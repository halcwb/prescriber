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4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drawings/drawing5.xml" ContentType="application/vnd.openxmlformats-officedocument.drawing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drawings/drawing6.xml" ContentType="application/vnd.openxmlformats-officedocument.drawing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drawings/drawing7.xml" ContentType="application/vnd.openxmlformats-officedocument.drawing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SheetTabs="0" xWindow="1847" yWindow="-15" windowWidth="9718" windowHeight="7321" tabRatio="819" firstSheet="9" activeTab="9"/>
  </bookViews>
  <sheets>
    <sheet name="HEIGHTNL.CRF" sheetId="62" state="veryHidden" r:id="rId1"/>
    <sheet name="WEIGHTNL.CRF" sheetId="61" state="veryHidden" r:id="rId2"/>
    <sheet name="AcuteOpvang" sheetId="32" r:id="rId3"/>
    <sheet name="ber_Opm" sheetId="35" state="veryHidden" r:id="rId4"/>
    <sheet name="AfsprakenCMV" sheetId="15" r:id="rId5"/>
    <sheet name="dbBead" sheetId="14" state="veryHidden" r:id="rId6"/>
    <sheet name="Temp" sheetId="39" state="veryHidden" r:id="rId7"/>
    <sheet name="Patienten" sheetId="33" state="veryHidden" r:id="rId8"/>
    <sheet name="AfsprakenTekst" sheetId="70" state="veryHidden" r:id="rId9"/>
    <sheet name="MedicatieIV" sheetId="2" r:id="rId10"/>
    <sheet name="tblMedicatieIV" sheetId="71" r:id="rId11"/>
    <sheet name="ber_IVmed" sheetId="7" state="veryHidden" r:id="rId12"/>
    <sheet name="Med_disc" sheetId="25" r:id="rId13"/>
    <sheet name="ber_Med_disc" sheetId="34" state="veryHidden" r:id="rId14"/>
    <sheet name="ber_tijden" sheetId="26" state="veryHidden" r:id="rId15"/>
    <sheet name="Medicatie" sheetId="28" r:id="rId16"/>
    <sheet name="Infusen" sheetId="16" r:id="rId17"/>
    <sheet name="ber_Infusen" sheetId="17" state="veryHidden" r:id="rId18"/>
    <sheet name="ber_normaal" sheetId="31" state="veryHidden" r:id="rId19"/>
    <sheet name="Intake" sheetId="9" r:id="rId20"/>
    <sheet name="ber_TPN" sheetId="11" state="veryHidden" r:id="rId21"/>
    <sheet name="Ber_Lab" sheetId="69" state="veryHidden" r:id="rId22"/>
    <sheet name="Lab" sheetId="18" r:id="rId23"/>
    <sheet name="ber_totalen" sheetId="10" state="veryHidden" r:id="rId24"/>
    <sheet name="conversie" sheetId="13" state="veryHidden" r:id="rId25"/>
    <sheet name="tblPO" sheetId="72" r:id="rId26"/>
    <sheet name="ber_PO" sheetId="12" state="veryHidden" r:id="rId27"/>
    <sheet name="TPN2tot6kg" sheetId="46" r:id="rId28"/>
    <sheet name="TPN7tot15kg" sheetId="54" r:id="rId29"/>
    <sheet name="TPN16tot30kg" sheetId="55" r:id="rId30"/>
    <sheet name="TPN31tot50kg" sheetId="56" r:id="rId31"/>
    <sheet name="TPNboven50kg" sheetId="60" r:id="rId32"/>
  </sheets>
  <functionGroups builtInGroupCount="18"/>
  <definedNames>
    <definedName name="_AchterNaam">dbBead!$D$2</definedName>
    <definedName name="_xlnm._FilterDatabase" localSheetId="7" hidden="1">Patienten!$A$1:$Q$605</definedName>
    <definedName name="_xlnm._FilterDatabase" localSheetId="6" hidden="1">Temp!$A$2:$B$437</definedName>
    <definedName name="_VoorNaam">dbBead!$E$2</definedName>
    <definedName name="AfspraakDatum">dbBead!$B$2</definedName>
    <definedName name="AfsprakenVersie">dbBead!$I$2</definedName>
    <definedName name="BedNummer">Patienten!$T$1</definedName>
    <definedName name="CaGluc">ber_TPN!$C$9</definedName>
    <definedName name="CaGlucVol">ber_TPN!$E$9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Patienten!$A$1:$B$622</definedName>
    <definedName name="DosHoev_1">ber_Med_disc!$G$2</definedName>
    <definedName name="DosHoev_10">ber_Med_disc!$G$11</definedName>
    <definedName name="DosHoev_11">ber_Med_disc!$G$12</definedName>
    <definedName name="DosHoev_12">ber_Med_disc!$G$13</definedName>
    <definedName name="DosHoev_13">ber_Med_disc!$G$14</definedName>
    <definedName name="DosHoev_14">ber_Med_disc!$G$15</definedName>
    <definedName name="DosHoev_15">ber_Med_disc!$G$16</definedName>
    <definedName name="DosHoev_16">ber_Med_disc!$G$17</definedName>
    <definedName name="DosHoev_17">ber_Med_disc!$G$18</definedName>
    <definedName name="DosHoev_18">ber_Med_disc!$G$19</definedName>
    <definedName name="DosHoev_19">ber_Med_disc!$G$20</definedName>
    <definedName name="DosHoev_2">ber_Med_disc!$G$3</definedName>
    <definedName name="DosHoev_20">ber_Med_disc!$G$21</definedName>
    <definedName name="DosHoev_3">ber_Med_disc!$G$4</definedName>
    <definedName name="DosHoev_4">ber_Med_disc!$G$5</definedName>
    <definedName name="DosHoev_5">ber_Med_disc!$G$6</definedName>
    <definedName name="DosHoev_6">ber_Med_disc!$G$7</definedName>
    <definedName name="DosHoev_7">ber_Med_disc!$G$8</definedName>
    <definedName name="DosHoev_8">ber_Med_disc!$G$9</definedName>
    <definedName name="DosHoev_9">ber_Med_disc!$G$10</definedName>
    <definedName name="Eenheid_1">ber_Med_disc!$F$2</definedName>
    <definedName name="Eenheid_10">ber_Med_disc!$F$11</definedName>
    <definedName name="Eenheid_11">ber_Med_disc!$F$12</definedName>
    <definedName name="Eenheid_12">ber_Med_disc!$F$13</definedName>
    <definedName name="Eenheid_13">ber_Med_disc!$F$14</definedName>
    <definedName name="Eenheid_14">ber_Med_disc!$F$15</definedName>
    <definedName name="Eenheid_15">ber_Med_disc!$F$16</definedName>
    <definedName name="Eenheid_16">ber_Med_disc!$F$17</definedName>
    <definedName name="Eenheid_17">ber_Med_disc!$F$18</definedName>
    <definedName name="Eenheid_18">ber_Med_disc!$F$19</definedName>
    <definedName name="Eenheid_19">ber_Med_disc!$F$20</definedName>
    <definedName name="Eenheid_2">ber_Med_disc!$F$3</definedName>
    <definedName name="Eenheid_20">ber_Med_disc!$F$21</definedName>
    <definedName name="Eenheid_3">ber_Med_disc!$F$4</definedName>
    <definedName name="Eenheid_4">ber_Med_disc!$F$5</definedName>
    <definedName name="Eenheid_5">ber_Med_disc!$F$6</definedName>
    <definedName name="Eenheid_6">ber_Med_disc!$F$7</definedName>
    <definedName name="Eenheid_7">ber_Med_disc!$F$8</definedName>
    <definedName name="Eenheid_8">ber_Med_disc!$F$9</definedName>
    <definedName name="Eenheid_9">ber_Med_disc!$F$10</definedName>
    <definedName name="FreqPO_1">ber_PO!$K$2</definedName>
    <definedName name="FreqPO_2">ber_PO!$K$3</definedName>
    <definedName name="FreqPO_3">ber_PO!$K$4</definedName>
    <definedName name="FreqPO_4">ber_PO!$K$5</definedName>
    <definedName name="GebDatum">dbBead!$F$2</definedName>
    <definedName name="Generic_1">ber_Med_disc!$D$2</definedName>
    <definedName name="Generic_10">ber_Med_disc!$D$11</definedName>
    <definedName name="Generic_11">ber_Med_disc!$D$12</definedName>
    <definedName name="Generic_12">ber_Med_disc!$D$13</definedName>
    <definedName name="Generic_13">ber_Med_disc!$D$14</definedName>
    <definedName name="Generic_14">ber_Med_disc!$D$15</definedName>
    <definedName name="Generic_15">ber_Med_disc!$D$16</definedName>
    <definedName name="Generic_16">ber_Med_disc!$D$17</definedName>
    <definedName name="Generic_17">ber_Med_disc!$D$18</definedName>
    <definedName name="Generic_18">ber_Med_disc!$D$19</definedName>
    <definedName name="Generic_19">ber_Med_disc!$D$20</definedName>
    <definedName name="Generic_2">ber_Med_disc!$D$3</definedName>
    <definedName name="Generic_20">ber_Med_disc!$D$21</definedName>
    <definedName name="Generic_3">ber_Med_disc!$D$4</definedName>
    <definedName name="Generic_4">ber_Med_disc!$D$5</definedName>
    <definedName name="Generic_5">ber_Med_disc!$D$6</definedName>
    <definedName name="Generic_6">ber_Med_disc!$D$7</definedName>
    <definedName name="Generic_7">ber_Med_disc!$D$8</definedName>
    <definedName name="Generic_8">ber_Med_disc!$D$9</definedName>
    <definedName name="Generic_9">ber_Med_disc!$D$10</definedName>
    <definedName name="Gewicht">dbBead!$G$2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ber_PO!$O$2</definedName>
    <definedName name="KeuzePO_2">ber_PO!$O$3</definedName>
    <definedName name="KeuzePO_3">ber_PO!$O$4</definedName>
    <definedName name="KeuzePO_4">ber_PO!$O$5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ber_Med_disc!$G$2</definedName>
    <definedName name="MedDosHoev_10">ber_Med_disc!$G$11</definedName>
    <definedName name="MedDosHoev_11">ber_Med_disc!$G$12</definedName>
    <definedName name="MedDosHoev_12">ber_Med_disc!$G$13</definedName>
    <definedName name="MedDosHoev_13">ber_Med_disc!$G$14</definedName>
    <definedName name="MedDosHoev_14">ber_Med_disc!$G$15</definedName>
    <definedName name="MedDosHoev_15">ber_Med_disc!$G$16</definedName>
    <definedName name="MedDosHoev_16">ber_Med_disc!$G$17</definedName>
    <definedName name="MedDosHoev_17">ber_Med_disc!$G$18</definedName>
    <definedName name="MedDosHoev_18">ber_Med_disc!$G$19</definedName>
    <definedName name="MedDosHoev_19">ber_Med_disc!$G$20</definedName>
    <definedName name="MedDosHoev_2">ber_Med_disc!$G$3</definedName>
    <definedName name="MedDosHoev_20">ber_Med_disc!$G$21</definedName>
    <definedName name="MedDosHoev_3">ber_Med_disc!$G$4</definedName>
    <definedName name="MedDosHoev_4">ber_Med_disc!$G$5</definedName>
    <definedName name="MedDosHoev_5">ber_Med_disc!$G$6</definedName>
    <definedName name="MedDosHoev_6">ber_Med_disc!$G$7</definedName>
    <definedName name="MedDosHoev_7">ber_Med_disc!$G$8</definedName>
    <definedName name="MedDosHoev_8">ber_Med_disc!$G$9</definedName>
    <definedName name="MedDosHoev_9">ber_Med_disc!$G$10</definedName>
    <definedName name="MedInloop_1">ber_Med_disc!$Q$2</definedName>
    <definedName name="MedInloop_10">ber_Med_disc!$Q$11</definedName>
    <definedName name="MedInloop_11">ber_Med_disc!$Q$12</definedName>
    <definedName name="MedInloop_12">ber_Med_disc!$Q$13</definedName>
    <definedName name="MedInloop_13">ber_Med_disc!$Q$14</definedName>
    <definedName name="MedInloop_14">ber_Med_disc!$Q$15</definedName>
    <definedName name="MedInloop_15">ber_Med_disc!$Q$16</definedName>
    <definedName name="MedInloop_16">ber_Med_disc!$Q$17</definedName>
    <definedName name="MedInloop_17">ber_Med_disc!$Q$18</definedName>
    <definedName name="MedInloop_18">ber_Med_disc!$Q$19</definedName>
    <definedName name="MedInloop_19">ber_Med_disc!$Q$20</definedName>
    <definedName name="MedInloop_2">ber_Med_disc!$Q$3</definedName>
    <definedName name="MedInloop_20">ber_Med_disc!$Q$21</definedName>
    <definedName name="MedInloop_3">ber_Med_disc!$Q$4</definedName>
    <definedName name="MedInloop_4">ber_Med_disc!$Q$5</definedName>
    <definedName name="MedInloop_5">ber_Med_disc!$Q$6</definedName>
    <definedName name="MedInloop_6">ber_Med_disc!$Q$7</definedName>
    <definedName name="MedInloop_7">ber_Med_disc!$Q$8</definedName>
    <definedName name="MedInloop_8">ber_Med_disc!$Q$9</definedName>
    <definedName name="MedInloop_9">ber_Med_disc!$Q$10</definedName>
    <definedName name="MedIVKeuze_1">ber_IVmed!$B$3</definedName>
    <definedName name="MedIVKeuze_10">ber_IVmed!$B$12</definedName>
    <definedName name="MedIVKeuze_11">ber_IVmed!$B$13</definedName>
    <definedName name="MedIVKeuze_12">ber_IVmed!$B$14</definedName>
    <definedName name="MedIVKeuze_13">ber_IVmed!$B$15</definedName>
    <definedName name="MedIVKeuze_14">ber_IVmed!$B$16</definedName>
    <definedName name="MedIVKeuze_15">ber_IVmed!$B$17</definedName>
    <definedName name="MedIVKeuze_2">ber_IVmed!$B$4</definedName>
    <definedName name="MedIVKeuze_3">ber_IVmed!$B$5</definedName>
    <definedName name="MedIVKeuze_4">ber_IVmed!$B$6</definedName>
    <definedName name="MedIVKeuze_5">ber_IVmed!$B$7</definedName>
    <definedName name="MedIVKeuze_6">ber_IVmed!$B$8</definedName>
    <definedName name="MedIVKeuze_7">ber_IVmed!$B$9</definedName>
    <definedName name="MedIVKeuze_8">ber_IVmed!$B$10</definedName>
    <definedName name="MedIVKeuze_9">ber_IVmed!$B$11</definedName>
    <definedName name="MedIVMlOpl_11">ber_IVmed!$E$13</definedName>
    <definedName name="MedIVMlOpl_12">ber_IVmed!$E$14</definedName>
    <definedName name="MedIVMlOpl_13">ber_IVmed!$E$15</definedName>
    <definedName name="MedIVMlOpl_14">ber_IVmed!$E$16</definedName>
    <definedName name="MedIVMlOpl_15">ber_IVmed!$E$17</definedName>
    <definedName name="MedIVOplVlst_1">ber_IVmed!$F$3</definedName>
    <definedName name="MedIVOplVlst_10">ber_IVmed!$F$12</definedName>
    <definedName name="MedIVOplVlst_11">ber_IVmed!$F$13</definedName>
    <definedName name="MedIVOplVlst_12">ber_IVmed!$F$14</definedName>
    <definedName name="MedIVOplVlst_13">ber_IVmed!$F$15</definedName>
    <definedName name="MedIVOplVlst_14">ber_IVmed!$F$16</definedName>
    <definedName name="MedIVOplVlst_15">ber_IVmed!$F$17</definedName>
    <definedName name="MedIVOplVlst_2">ber_IVmed!$F$4</definedName>
    <definedName name="MedIVOplVlst_3">ber_IVmed!$F$5</definedName>
    <definedName name="MedIVOplVlst_4">ber_IVmed!$F$6</definedName>
    <definedName name="MedIVOplVlst_5">ber_IVmed!$F$7</definedName>
    <definedName name="MedIVOplVlst_6">ber_IVmed!$F$8</definedName>
    <definedName name="MedIVOplVlst_7">ber_IVmed!$F$9</definedName>
    <definedName name="MedIVOplVlst_8">ber_IVmed!$F$10</definedName>
    <definedName name="MedIVOplVlst_9">ber_IVmed!$F$11</definedName>
    <definedName name="MedIVStand_1">ber_IVmed!$G$3</definedName>
    <definedName name="MedIVStand_10">ber_IVmed!$G$12</definedName>
    <definedName name="MedIVStand_11">ber_IVmed!$G$13</definedName>
    <definedName name="MedIVStand_12">ber_IVmed!$G$14</definedName>
    <definedName name="MedIVStand_13">ber_IVmed!$G$15</definedName>
    <definedName name="MedIVStand_14">ber_IVmed!$G$16</definedName>
    <definedName name="MedIVStand_15">ber_IVmed!$G$17</definedName>
    <definedName name="MedIVStand_2">ber_IVmed!$G$4</definedName>
    <definedName name="MedIVStand_3">ber_IVmed!$G$5</definedName>
    <definedName name="MedIVStand_4">ber_IVmed!$G$6</definedName>
    <definedName name="MedIVStand_5">ber_IVmed!$G$7</definedName>
    <definedName name="MedIVStand_6">ber_IVmed!$G$8</definedName>
    <definedName name="MedIVStand_7">ber_IVmed!$G$9</definedName>
    <definedName name="MedIVStand_8">ber_IVmed!$G$10</definedName>
    <definedName name="MedIVStand_9">ber_IVmed!$G$11</definedName>
    <definedName name="MedIVSterkte_1">ber_IVmed!$D$3</definedName>
    <definedName name="MedIVSterkte_10">ber_IVmed!$D$12</definedName>
    <definedName name="MedIVSterkte_11">ber_IVmed!$D$13</definedName>
    <definedName name="MedIVSterkte_12">ber_IVmed!$D$14</definedName>
    <definedName name="MedIVSterkte_13">ber_IVmed!$D$15</definedName>
    <definedName name="MedIVSterkte_14">ber_IVmed!$D$16</definedName>
    <definedName name="MedIVSterkte_15">ber_IVmed!$D$17</definedName>
    <definedName name="MedIVSterkte_2">ber_IVmed!$D$4</definedName>
    <definedName name="MedIVSterkte_3">ber_IVmed!$D$5</definedName>
    <definedName name="MedIVSterkte_4">ber_IVmed!$D$6</definedName>
    <definedName name="MedIVSterkte_5">ber_IVmed!$D$7</definedName>
    <definedName name="MedIVSterkte_6">ber_IVmed!$D$8</definedName>
    <definedName name="MedIVSterkte_7">ber_IVmed!$D$9</definedName>
    <definedName name="MedIVSterkte_8">ber_IVmed!$D$10</definedName>
    <definedName name="MedIVSterkte_9">ber_IVmed!$D$11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ber_Med_disc!$O$2</definedName>
    <definedName name="MedOpl_10">ber_Med_disc!$O$11</definedName>
    <definedName name="MedOpl_11">ber_Med_disc!$O$12</definedName>
    <definedName name="MedOpl_12">ber_Med_disc!$O$13</definedName>
    <definedName name="MedOpl_13">ber_Med_disc!$O$14</definedName>
    <definedName name="MedOpl_14">ber_Med_disc!$O$15</definedName>
    <definedName name="MedOpl_15">ber_Med_disc!$O$16</definedName>
    <definedName name="MedOpl_16">ber_Med_disc!$O$17</definedName>
    <definedName name="MedOpl_17">ber_Med_disc!$O$18</definedName>
    <definedName name="MedOpl_18">ber_Med_disc!$O$19</definedName>
    <definedName name="MedOpl_19">ber_Med_disc!$O$20</definedName>
    <definedName name="MedOpl_2">ber_Med_disc!$O$3</definedName>
    <definedName name="MedOpl_20">ber_Med_disc!$O$21</definedName>
    <definedName name="MedOpl_3">ber_Med_disc!$O$4</definedName>
    <definedName name="MedOpl_4">ber_Med_disc!$O$5</definedName>
    <definedName name="MedOpl_5">ber_Med_disc!$O$6</definedName>
    <definedName name="MedOpl_6">ber_Med_disc!$O$7</definedName>
    <definedName name="MedOpl_7">ber_Med_disc!$O$8</definedName>
    <definedName name="MedOpl_8">ber_Med_disc!$O$9</definedName>
    <definedName name="MedOpl_9">ber_Med_disc!$O$10</definedName>
    <definedName name="MedOplVol_1">ber_Med_disc!$N$2</definedName>
    <definedName name="MedOplVol_10">ber_Med_disc!$N$11</definedName>
    <definedName name="MedOplVol_11">ber_Med_disc!$N$12</definedName>
    <definedName name="MedOplVol_12">ber_Med_disc!$N$13</definedName>
    <definedName name="MedOplVol_13">ber_Med_disc!$N$14</definedName>
    <definedName name="MedOplVol_14">ber_Med_disc!$N$15</definedName>
    <definedName name="MedOplVol_15">ber_Med_disc!$N$16</definedName>
    <definedName name="MedOplVol_16">ber_Med_disc!$N$17</definedName>
    <definedName name="MedOplVol_17">ber_Med_disc!$N$18</definedName>
    <definedName name="MedOplVol_18">ber_Med_disc!$N$19</definedName>
    <definedName name="MedOplVol_19">ber_Med_disc!$N$20</definedName>
    <definedName name="MedOplVol_2">ber_Med_disc!$N$3</definedName>
    <definedName name="MedOplVol_20">ber_Med_disc!$N$21</definedName>
    <definedName name="MedOplVol_3">ber_Med_disc!$N$4</definedName>
    <definedName name="MedOplVol_4">ber_Med_disc!$N$5</definedName>
    <definedName name="MedOplVol_5">ber_Med_disc!$N$6</definedName>
    <definedName name="MedOplVol_6">ber_Med_disc!$N$7</definedName>
    <definedName name="MedOplVol_7">ber_Med_disc!$N$8</definedName>
    <definedName name="MedOplVol_8">ber_Med_disc!$N$9</definedName>
    <definedName name="MedOplVol_9">ber_Med_disc!$N$10</definedName>
    <definedName name="MedTijden_1">ber_Med_disc!$I$2</definedName>
    <definedName name="MedTijden_10">ber_Med_disc!$I$11</definedName>
    <definedName name="MedTijden_11">ber_Med_disc!$I$12</definedName>
    <definedName name="MedTijden_12">ber_Med_disc!$I$13</definedName>
    <definedName name="MedTijden_13">ber_Med_disc!$I$14</definedName>
    <definedName name="MedTijden_14">ber_Med_disc!$I$15</definedName>
    <definedName name="MedTijden_15">ber_Med_disc!$I$16</definedName>
    <definedName name="MedTijden_16">ber_Med_disc!$I$17</definedName>
    <definedName name="MedTijden_17">ber_Med_disc!$I$18</definedName>
    <definedName name="MedTijden_18">ber_Med_disc!$I$19</definedName>
    <definedName name="MedTijden_19">ber_Med_disc!$I$20</definedName>
    <definedName name="MedTijden_2">ber_Med_disc!$I$3</definedName>
    <definedName name="MedTijden_20">ber_Med_disc!$I$21</definedName>
    <definedName name="MedTijden_3">ber_Med_disc!$I$4</definedName>
    <definedName name="MedTijden_4">ber_Med_disc!$I$5</definedName>
    <definedName name="MedTijden_5">ber_Med_disc!$I$6</definedName>
    <definedName name="MedTijden_6">ber_Med_disc!$I$7</definedName>
    <definedName name="MedTijden_7">ber_Med_disc!$I$8</definedName>
    <definedName name="MedTijden_8">ber_Med_disc!$I$9</definedName>
    <definedName name="MedTijden_9">ber_Med_disc!$I$10</definedName>
    <definedName name="MedToed_1">ber_Med_disc!$L$2</definedName>
    <definedName name="MedToed_10">ber_Med_disc!$L$11</definedName>
    <definedName name="MedToed_11">ber_Med_disc!$L$12</definedName>
    <definedName name="MedToed_12">ber_Med_disc!$L$13</definedName>
    <definedName name="MedToed_13">ber_Med_disc!$L$14</definedName>
    <definedName name="MedToed_14">ber_Med_disc!$L$15</definedName>
    <definedName name="MedToed_15">ber_Med_disc!$L$16</definedName>
    <definedName name="MedToed_16">ber_Med_disc!$L$17</definedName>
    <definedName name="MedToed_17">ber_Med_disc!$L$18</definedName>
    <definedName name="MedToed_18">ber_Med_disc!$L$19</definedName>
    <definedName name="MedToed_19">ber_Med_disc!$L$20</definedName>
    <definedName name="MedToed_2">ber_Med_disc!$L$3</definedName>
    <definedName name="MedToed_20">ber_Med_disc!$L$21</definedName>
    <definedName name="MedToed_3">ber_Med_disc!$L$4</definedName>
    <definedName name="MedToed_4">ber_Med_disc!$L$5</definedName>
    <definedName name="MedToed_5">ber_Med_disc!$L$6</definedName>
    <definedName name="MedToed_6">ber_Med_disc!$L$7</definedName>
    <definedName name="MedToed_7">ber_Med_disc!$L$8</definedName>
    <definedName name="MedToed_8">ber_Med_disc!$L$9</definedName>
    <definedName name="MedToed_9">ber_Med_disc!$L$10</definedName>
    <definedName name="MgCl">ber_TPN!$C$10</definedName>
    <definedName name="MgClVol">ber_TPN!$E$10</definedName>
    <definedName name="NaCl">ber_TPN!$C$7</definedName>
    <definedName name="NaCl_2">ber_TPN!$C$20</definedName>
    <definedName name="NaClVol">ber_TPN!$E$7</definedName>
    <definedName name="NaClVol_2">ber_TPN!$E$20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_xlnm.Print_Area" localSheetId="2">AcuteOpvang!$B$2:$G$44</definedName>
    <definedName name="_xlnm.Print_Area" localSheetId="4">AfsprakenCMV!$A$2:$J$134</definedName>
    <definedName name="_xlnm.Print_Area" localSheetId="15">Medicatie!$B$1:$AG$22</definedName>
    <definedName name="_xlnm.Print_Area" localSheetId="29">TPN16tot30kg!$A$1:$H$48</definedName>
    <definedName name="_xlnm.Print_Area" localSheetId="27">TPN2tot6kg!$A$1:$H$48</definedName>
    <definedName name="_xlnm.Print_Area" localSheetId="30">TPN31tot50kg!$A$1:$H$49</definedName>
    <definedName name="_xlnm.Print_Area" localSheetId="28">TPN7tot15kg!$A$1:$H$50</definedName>
    <definedName name="_xlnm.Print_Area" localSheetId="31">TPNboven50kg!$A$1:$H$52</definedName>
    <definedName name="RecNo_1">ber_Med_disc!$U$2</definedName>
    <definedName name="RecNo_10">ber_Med_disc!$U$11</definedName>
    <definedName name="RecNo_11">ber_Med_disc!$U$12</definedName>
    <definedName name="RecNo_12">ber_Med_disc!$U$13</definedName>
    <definedName name="RecNo_13">ber_Med_disc!$U$14</definedName>
    <definedName name="RecNo_14">ber_Med_disc!$U$15</definedName>
    <definedName name="RecNo_15">ber_Med_disc!$U$16</definedName>
    <definedName name="RecNo_16">ber_Med_disc!$U$17</definedName>
    <definedName name="RecNo_17">ber_Med_disc!$U$18</definedName>
    <definedName name="RecNo_18">ber_Med_disc!$U$19</definedName>
    <definedName name="RecNo_19">ber_Med_disc!$U$20</definedName>
    <definedName name="RecNo_2">ber_Med_disc!$U$3</definedName>
    <definedName name="RecNo_20">ber_Med_disc!$U$21</definedName>
    <definedName name="RecNo_3">ber_Med_disc!$U$4</definedName>
    <definedName name="RecNo_4">ber_Med_disc!$U$5</definedName>
    <definedName name="RecNo_5">ber_Med_disc!$U$6</definedName>
    <definedName name="RecNo_6">ber_Med_disc!$U$7</definedName>
    <definedName name="RecNo_7">ber_Med_disc!$U$8</definedName>
    <definedName name="RecNo_8">ber_Med_disc!$U$9</definedName>
    <definedName name="RecNo_9">ber_Med_disc!$U$10</definedName>
    <definedName name="reservePat">Patienten!$C$2:$C$464</definedName>
    <definedName name="Soluvit">ber_TPN!$C$15</definedName>
    <definedName name="SoluvitVol">ber_TPN!$E$15</definedName>
    <definedName name="Sonde">ber_PO!$P$2</definedName>
    <definedName name="SpecVoed_1">ber_PO!$I$2</definedName>
    <definedName name="SpecVoed_2">ber_PO!$I$3</definedName>
    <definedName name="SpecVoed_3">ber_PO!$I$4</definedName>
    <definedName name="SpecVoed_4">ber_PO!$I$5</definedName>
    <definedName name="SpecVoed_5">ber_PO!$I$6</definedName>
    <definedName name="SpecVoed_6">ber_PO!$I$7</definedName>
    <definedName name="SpecVoed_7">ber_PO!$I$8</definedName>
    <definedName name="SpecVoed_8">ber_PO!$I$9</definedName>
    <definedName name="SpecVoed_9">ber_PO!$I$10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ber_Med_disc!$E$2</definedName>
    <definedName name="StandDos_10">ber_Med_disc!$E$11</definedName>
    <definedName name="StandDos_11">ber_Med_disc!$E$12</definedName>
    <definedName name="StandDos_12">ber_Med_disc!$E$13</definedName>
    <definedName name="StandDos_13">ber_Med_disc!$E$14</definedName>
    <definedName name="StandDos_14">ber_Med_disc!$E$15</definedName>
    <definedName name="StandDos_15">ber_Med_disc!$E$16</definedName>
    <definedName name="StandDos_16">ber_Med_disc!$E$17</definedName>
    <definedName name="StandDos_17">ber_Med_disc!$E$18</definedName>
    <definedName name="StandDos_18">ber_Med_disc!$E$19</definedName>
    <definedName name="StandDos_19">ber_Med_disc!$E$20</definedName>
    <definedName name="StandDos_2">ber_Med_disc!$E$3</definedName>
    <definedName name="StandDos_20">ber_Med_disc!$E$21</definedName>
    <definedName name="StandDos_3">ber_Med_disc!$E$4</definedName>
    <definedName name="StandDos_4">ber_Med_disc!$E$5</definedName>
    <definedName name="StandDos_5">ber_Med_disc!$E$6</definedName>
    <definedName name="StandDos_6">ber_Med_disc!$E$7</definedName>
    <definedName name="StandDos_7">ber_Med_disc!$E$8</definedName>
    <definedName name="StandDos_8">ber_Med_disc!$E$9</definedName>
    <definedName name="StandDos_9">ber_Med_disc!$E$10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BerMedContIV">ber_IVmed!$B$2:$E$12</definedName>
    <definedName name="tblInfusen">ber_Infusen!$A$1:$A$34</definedName>
    <definedName name="tblMedicationContIV">tblMedicatieIV!$B$3:$S$34</definedName>
    <definedName name="tblOplossing">ber_IVmed!$Q$3:$Q$6</definedName>
    <definedName name="tblPerOs">tblPO!$C$3:$L$22</definedName>
    <definedName name="tblPoeder">tblPO!$C$24:$L$40</definedName>
    <definedName name="tblSonde">ber_PO!$J$2:$J$6</definedName>
    <definedName name="tblSSTGlucose">ber_TPN!$K$26:$K$39</definedName>
    <definedName name="tblTijden">ber_Med_disc!$C$28:$D$38</definedName>
    <definedName name="tblTPN">ber_TPN!$A$26:$I$27</definedName>
    <definedName name="tblVoedingPO">tblPO!$C$3:$C$22</definedName>
    <definedName name="TPN">ber_TPN!$B$4</definedName>
    <definedName name="TPNVol">ber_TPN!$E$4</definedName>
    <definedName name="VitIntra">ber_TPN!$C$14</definedName>
    <definedName name="VitIntraVol">ber_TPN!$E$14</definedName>
    <definedName name="VolPO_1">ber_PO!$L$2</definedName>
    <definedName name="VolPO_2">ber_PO!$L$3</definedName>
    <definedName name="VolPO_3">ber_PO!$L$4</definedName>
    <definedName name="VolPO_4">ber_PO!$L$5</definedName>
  </definedNames>
  <calcPr calcId="152511"/>
</workbook>
</file>

<file path=xl/calcChain.xml><?xml version="1.0" encoding="utf-8"?>
<calcChain xmlns="http://schemas.openxmlformats.org/spreadsheetml/2006/main">
  <c r="B2" i="14" l="1"/>
  <c r="N9" i="9" l="1"/>
  <c r="N10" i="9"/>
  <c r="N11" i="9"/>
  <c r="N12" i="9"/>
  <c r="N13" i="9"/>
  <c r="N14" i="9"/>
  <c r="N15" i="9"/>
  <c r="N16" i="9"/>
  <c r="N8" i="9"/>
  <c r="V22" i="72"/>
  <c r="U22" i="72"/>
  <c r="T22" i="72"/>
  <c r="S22" i="72"/>
  <c r="R22" i="72"/>
  <c r="Q22" i="72"/>
  <c r="P22" i="72"/>
  <c r="O22" i="72"/>
  <c r="N22" i="72"/>
  <c r="D13" i="10" l="1"/>
  <c r="D9" i="10"/>
  <c r="C26" i="72"/>
  <c r="C27" i="72"/>
  <c r="C28" i="72"/>
  <c r="C29" i="72"/>
  <c r="C30" i="72"/>
  <c r="C31" i="72"/>
  <c r="C32" i="72"/>
  <c r="C33" i="72"/>
  <c r="C34" i="72"/>
  <c r="C35" i="72"/>
  <c r="C36" i="72"/>
  <c r="C37" i="72"/>
  <c r="C38" i="72"/>
  <c r="C39" i="72"/>
  <c r="C40" i="72"/>
  <c r="C25" i="72"/>
  <c r="D26" i="72"/>
  <c r="E26" i="72"/>
  <c r="F26" i="72"/>
  <c r="G26" i="72"/>
  <c r="H26" i="72"/>
  <c r="I26" i="72"/>
  <c r="J26" i="72"/>
  <c r="K26" i="72"/>
  <c r="L26" i="72"/>
  <c r="D27" i="72"/>
  <c r="E27" i="72"/>
  <c r="F27" i="72"/>
  <c r="G27" i="72"/>
  <c r="H27" i="72"/>
  <c r="I27" i="72"/>
  <c r="J27" i="72"/>
  <c r="K27" i="72"/>
  <c r="L27" i="72"/>
  <c r="D28" i="72"/>
  <c r="E28" i="72"/>
  <c r="F28" i="72"/>
  <c r="G28" i="72"/>
  <c r="H28" i="72"/>
  <c r="I28" i="72"/>
  <c r="J28" i="72"/>
  <c r="K28" i="72"/>
  <c r="L28" i="72"/>
  <c r="D29" i="72"/>
  <c r="E29" i="72"/>
  <c r="F29" i="72"/>
  <c r="G29" i="72"/>
  <c r="H29" i="72"/>
  <c r="I29" i="72"/>
  <c r="J29" i="72"/>
  <c r="K29" i="72"/>
  <c r="L29" i="72"/>
  <c r="D30" i="72"/>
  <c r="E30" i="72"/>
  <c r="F30" i="72"/>
  <c r="G30" i="72"/>
  <c r="H30" i="72"/>
  <c r="I30" i="72"/>
  <c r="J30" i="72"/>
  <c r="K30" i="72"/>
  <c r="L30" i="72"/>
  <c r="D31" i="72"/>
  <c r="E31" i="72"/>
  <c r="F31" i="72"/>
  <c r="G31" i="72"/>
  <c r="H31" i="72"/>
  <c r="I31" i="72"/>
  <c r="J31" i="72"/>
  <c r="K31" i="72"/>
  <c r="L31" i="72"/>
  <c r="D32" i="72"/>
  <c r="E32" i="72"/>
  <c r="F32" i="72"/>
  <c r="G32" i="72"/>
  <c r="H32" i="72"/>
  <c r="I32" i="72"/>
  <c r="J32" i="72"/>
  <c r="K32" i="72"/>
  <c r="L32" i="72"/>
  <c r="D33" i="72"/>
  <c r="E33" i="72"/>
  <c r="F33" i="72"/>
  <c r="G33" i="72"/>
  <c r="H33" i="72"/>
  <c r="I33" i="72"/>
  <c r="J33" i="72"/>
  <c r="K33" i="72"/>
  <c r="L33" i="72"/>
  <c r="D34" i="72"/>
  <c r="E34" i="72"/>
  <c r="F34" i="72"/>
  <c r="G34" i="72"/>
  <c r="H34" i="72"/>
  <c r="I34" i="72"/>
  <c r="J34" i="72"/>
  <c r="K34" i="72"/>
  <c r="L34" i="72"/>
  <c r="D35" i="72"/>
  <c r="E35" i="72"/>
  <c r="F35" i="72"/>
  <c r="G35" i="72"/>
  <c r="H35" i="72"/>
  <c r="I35" i="72"/>
  <c r="J35" i="72"/>
  <c r="K35" i="72"/>
  <c r="L35" i="72"/>
  <c r="D36" i="72"/>
  <c r="E36" i="72"/>
  <c r="F36" i="72"/>
  <c r="G36" i="72"/>
  <c r="H36" i="72"/>
  <c r="I36" i="72"/>
  <c r="J36" i="72"/>
  <c r="K36" i="72"/>
  <c r="L36" i="72"/>
  <c r="D37" i="72"/>
  <c r="E37" i="72"/>
  <c r="F37" i="72"/>
  <c r="G37" i="72"/>
  <c r="H37" i="72"/>
  <c r="I37" i="72"/>
  <c r="J37" i="72"/>
  <c r="K37" i="72"/>
  <c r="L37" i="72"/>
  <c r="D38" i="72"/>
  <c r="E38" i="72"/>
  <c r="F38" i="72"/>
  <c r="G38" i="72"/>
  <c r="H38" i="72"/>
  <c r="I38" i="72"/>
  <c r="J38" i="72"/>
  <c r="K38" i="72"/>
  <c r="L38" i="72"/>
  <c r="D39" i="72"/>
  <c r="E39" i="72"/>
  <c r="F39" i="72"/>
  <c r="G39" i="72"/>
  <c r="H39" i="72"/>
  <c r="I39" i="72"/>
  <c r="J39" i="72"/>
  <c r="K39" i="72"/>
  <c r="L39" i="72"/>
  <c r="D40" i="72"/>
  <c r="E40" i="72"/>
  <c r="F40" i="72"/>
  <c r="G40" i="72"/>
  <c r="H40" i="72"/>
  <c r="I40" i="72"/>
  <c r="J40" i="72"/>
  <c r="K40" i="72"/>
  <c r="L40" i="72"/>
  <c r="L25" i="72"/>
  <c r="K25" i="72"/>
  <c r="J25" i="72"/>
  <c r="I25" i="72"/>
  <c r="H25" i="72"/>
  <c r="G25" i="72"/>
  <c r="F25" i="72"/>
  <c r="E25" i="72"/>
  <c r="D25" i="72"/>
  <c r="D15" i="72"/>
  <c r="D5" i="72" l="1"/>
  <c r="E5" i="72"/>
  <c r="F5" i="72"/>
  <c r="G5" i="72"/>
  <c r="H5" i="72"/>
  <c r="I5" i="72"/>
  <c r="J5" i="72"/>
  <c r="K5" i="72"/>
  <c r="L5" i="72"/>
  <c r="D6" i="72"/>
  <c r="E6" i="72"/>
  <c r="F6" i="72"/>
  <c r="G6" i="72"/>
  <c r="H6" i="72"/>
  <c r="I6" i="72"/>
  <c r="J6" i="72"/>
  <c r="K6" i="72"/>
  <c r="L6" i="72"/>
  <c r="D7" i="72"/>
  <c r="E7" i="72"/>
  <c r="F7" i="72"/>
  <c r="G7" i="72"/>
  <c r="H7" i="72"/>
  <c r="I7" i="72"/>
  <c r="J7" i="72"/>
  <c r="K7" i="72"/>
  <c r="L7" i="72"/>
  <c r="D8" i="72"/>
  <c r="E8" i="72"/>
  <c r="F8" i="72"/>
  <c r="G8" i="72"/>
  <c r="H8" i="72"/>
  <c r="I8" i="72"/>
  <c r="J8" i="72"/>
  <c r="K8" i="72"/>
  <c r="L8" i="72"/>
  <c r="D9" i="72"/>
  <c r="E9" i="72"/>
  <c r="F9" i="72"/>
  <c r="G9" i="72"/>
  <c r="H9" i="72"/>
  <c r="I9" i="72"/>
  <c r="J9" i="72"/>
  <c r="K9" i="72"/>
  <c r="L9" i="72"/>
  <c r="D10" i="72"/>
  <c r="E10" i="72"/>
  <c r="F10" i="72"/>
  <c r="G10" i="72"/>
  <c r="H10" i="72"/>
  <c r="I10" i="72"/>
  <c r="J10" i="72"/>
  <c r="K10" i="72"/>
  <c r="L10" i="72"/>
  <c r="D11" i="72"/>
  <c r="E11" i="72"/>
  <c r="F11" i="72"/>
  <c r="G11" i="72"/>
  <c r="H11" i="72"/>
  <c r="I11" i="72"/>
  <c r="J11" i="72"/>
  <c r="K11" i="72"/>
  <c r="L11" i="72"/>
  <c r="D12" i="72"/>
  <c r="E12" i="72"/>
  <c r="F12" i="72"/>
  <c r="G12" i="72"/>
  <c r="H12" i="72"/>
  <c r="I12" i="72"/>
  <c r="J12" i="72"/>
  <c r="K12" i="72"/>
  <c r="L12" i="72"/>
  <c r="D13" i="72"/>
  <c r="E13" i="72"/>
  <c r="F13" i="72"/>
  <c r="G13" i="72"/>
  <c r="H13" i="72"/>
  <c r="I13" i="72"/>
  <c r="J13" i="72"/>
  <c r="K13" i="72"/>
  <c r="L13" i="72"/>
  <c r="D14" i="72"/>
  <c r="E14" i="72"/>
  <c r="F14" i="72"/>
  <c r="G14" i="72"/>
  <c r="H14" i="72"/>
  <c r="I14" i="72"/>
  <c r="J14" i="72"/>
  <c r="K14" i="72"/>
  <c r="L14" i="72"/>
  <c r="E15" i="72"/>
  <c r="F15" i="72"/>
  <c r="G15" i="72"/>
  <c r="H15" i="72"/>
  <c r="I15" i="72"/>
  <c r="J15" i="72"/>
  <c r="K15" i="72"/>
  <c r="L15" i="72"/>
  <c r="D16" i="72"/>
  <c r="E16" i="72"/>
  <c r="F16" i="72"/>
  <c r="G16" i="72"/>
  <c r="H16" i="72"/>
  <c r="I16" i="72"/>
  <c r="J16" i="72"/>
  <c r="K16" i="72"/>
  <c r="L16" i="72"/>
  <c r="D17" i="72"/>
  <c r="E17" i="72"/>
  <c r="F17" i="72"/>
  <c r="G17" i="72"/>
  <c r="H17" i="72"/>
  <c r="I17" i="72"/>
  <c r="J17" i="72"/>
  <c r="K17" i="72"/>
  <c r="L17" i="72"/>
  <c r="D18" i="72"/>
  <c r="E18" i="72"/>
  <c r="F18" i="72"/>
  <c r="G18" i="72"/>
  <c r="H18" i="72"/>
  <c r="I18" i="72"/>
  <c r="J18" i="72"/>
  <c r="K18" i="72"/>
  <c r="L18" i="72"/>
  <c r="D19" i="72"/>
  <c r="E19" i="72"/>
  <c r="F19" i="72"/>
  <c r="G19" i="72"/>
  <c r="H19" i="72"/>
  <c r="I19" i="72"/>
  <c r="J19" i="72"/>
  <c r="K19" i="72"/>
  <c r="L19" i="72"/>
  <c r="D20" i="72"/>
  <c r="E20" i="72"/>
  <c r="F20" i="72"/>
  <c r="G20" i="72"/>
  <c r="H20" i="72"/>
  <c r="I20" i="72"/>
  <c r="J20" i="72"/>
  <c r="K20" i="72"/>
  <c r="L20" i="72"/>
  <c r="D21" i="72"/>
  <c r="E21" i="72"/>
  <c r="F21" i="72"/>
  <c r="G21" i="72"/>
  <c r="H21" i="72"/>
  <c r="I21" i="72"/>
  <c r="J21" i="72"/>
  <c r="K21" i="72"/>
  <c r="L21" i="72"/>
  <c r="D22" i="72"/>
  <c r="E22" i="72"/>
  <c r="F22" i="72"/>
  <c r="G22" i="72"/>
  <c r="H22" i="72"/>
  <c r="I22" i="72"/>
  <c r="J22" i="72"/>
  <c r="K22" i="72"/>
  <c r="L22" i="72"/>
  <c r="D23" i="72"/>
  <c r="E23" i="72"/>
  <c r="F23" i="72"/>
  <c r="G23" i="72"/>
  <c r="H23" i="72"/>
  <c r="I23" i="72"/>
  <c r="J23" i="72"/>
  <c r="K23" i="72"/>
  <c r="L23" i="72"/>
  <c r="F24" i="72"/>
  <c r="G24" i="72"/>
  <c r="H24" i="72"/>
  <c r="I24" i="72"/>
  <c r="J24" i="72"/>
  <c r="K24" i="72"/>
  <c r="L24" i="72"/>
  <c r="L4" i="72"/>
  <c r="K4" i="72"/>
  <c r="J4" i="72"/>
  <c r="I4" i="72"/>
  <c r="H4" i="72"/>
  <c r="G4" i="72"/>
  <c r="F4" i="72"/>
  <c r="E4" i="72"/>
  <c r="D4" i="72"/>
  <c r="C5" i="72"/>
  <c r="C6" i="72"/>
  <c r="C7" i="72"/>
  <c r="C8" i="72"/>
  <c r="C9" i="72"/>
  <c r="C10" i="72"/>
  <c r="C11" i="72"/>
  <c r="C12" i="72"/>
  <c r="C13" i="72"/>
  <c r="C14" i="72"/>
  <c r="C15" i="72"/>
  <c r="C16" i="72"/>
  <c r="C17" i="72"/>
  <c r="C18" i="72"/>
  <c r="C19" i="72"/>
  <c r="C20" i="72"/>
  <c r="C21" i="72"/>
  <c r="C4" i="72"/>
  <c r="J12" i="71" l="1"/>
  <c r="J11" i="71"/>
  <c r="H12" i="71"/>
  <c r="H11" i="71"/>
  <c r="F12" i="71"/>
  <c r="F11" i="71"/>
  <c r="S11" i="71"/>
  <c r="O11" i="71"/>
  <c r="N11" i="71"/>
  <c r="M11" i="71"/>
  <c r="L11" i="71" l="1"/>
  <c r="P11" i="71" s="1"/>
  <c r="Q11" i="71"/>
  <c r="L4" i="7"/>
  <c r="L6" i="7"/>
  <c r="L7" i="7"/>
  <c r="L8" i="7"/>
  <c r="L9" i="7"/>
  <c r="L10" i="7"/>
  <c r="L11" i="7"/>
  <c r="L12" i="7"/>
  <c r="L13" i="7"/>
  <c r="L14" i="7"/>
  <c r="L15" i="7"/>
  <c r="L16" i="7"/>
  <c r="L17" i="7"/>
  <c r="L3" i="7"/>
  <c r="S12" i="71"/>
  <c r="L16" i="71"/>
  <c r="M16" i="71"/>
  <c r="N16" i="71"/>
  <c r="O16" i="71"/>
  <c r="P16" i="71" l="1"/>
  <c r="Q16" i="71"/>
  <c r="I3" i="7"/>
  <c r="M3" i="7"/>
  <c r="N3" i="7"/>
  <c r="O3" i="7"/>
  <c r="I4" i="7"/>
  <c r="M4" i="7"/>
  <c r="N4" i="7"/>
  <c r="O4" i="7"/>
  <c r="I5" i="7"/>
  <c r="K5" i="7"/>
  <c r="M5" i="7"/>
  <c r="N5" i="7"/>
  <c r="O5" i="7"/>
  <c r="I6" i="7"/>
  <c r="K6" i="7"/>
  <c r="M6" i="7"/>
  <c r="N6" i="7"/>
  <c r="O6" i="7"/>
  <c r="I7" i="7"/>
  <c r="K7" i="7"/>
  <c r="M7" i="7"/>
  <c r="N7" i="7"/>
  <c r="O7" i="7"/>
  <c r="I8" i="7"/>
  <c r="K8" i="7"/>
  <c r="M8" i="7"/>
  <c r="N8" i="7"/>
  <c r="O8" i="7"/>
  <c r="I9" i="7"/>
  <c r="K9" i="7"/>
  <c r="M9" i="7"/>
  <c r="N9" i="7"/>
  <c r="O9" i="7"/>
  <c r="I10" i="7"/>
  <c r="K10" i="7"/>
  <c r="M10" i="7"/>
  <c r="N10" i="7"/>
  <c r="O10" i="7"/>
  <c r="I11" i="7"/>
  <c r="K11" i="7"/>
  <c r="M11" i="7"/>
  <c r="N11" i="7"/>
  <c r="O11" i="7"/>
  <c r="I12" i="7"/>
  <c r="K12" i="7"/>
  <c r="M12" i="7"/>
  <c r="N12" i="7"/>
  <c r="O12" i="7"/>
  <c r="I13" i="7"/>
  <c r="M13" i="7"/>
  <c r="N13" i="7"/>
  <c r="O13" i="7"/>
  <c r="I14" i="7"/>
  <c r="K14" i="7"/>
  <c r="M14" i="7"/>
  <c r="N14" i="7"/>
  <c r="O14" i="7"/>
  <c r="I15" i="7"/>
  <c r="K15" i="7"/>
  <c r="M15" i="7"/>
  <c r="N15" i="7"/>
  <c r="O15" i="7"/>
  <c r="I16" i="7"/>
  <c r="K16" i="7"/>
  <c r="M16" i="7"/>
  <c r="N16" i="7"/>
  <c r="O16" i="7"/>
  <c r="I17" i="7"/>
  <c r="K17" i="7"/>
  <c r="M17" i="7"/>
  <c r="N17" i="7"/>
  <c r="O17" i="7"/>
  <c r="O5" i="71"/>
  <c r="O6" i="71"/>
  <c r="O7" i="71"/>
  <c r="O8" i="71"/>
  <c r="O9" i="71"/>
  <c r="O10" i="71"/>
  <c r="O12" i="71"/>
  <c r="O13" i="71"/>
  <c r="O14" i="71"/>
  <c r="O15" i="71"/>
  <c r="O17" i="71"/>
  <c r="O18" i="71"/>
  <c r="O19" i="71"/>
  <c r="O20" i="71"/>
  <c r="O21" i="71"/>
  <c r="O22" i="71"/>
  <c r="O23" i="71"/>
  <c r="O24" i="71"/>
  <c r="O25" i="71"/>
  <c r="O26" i="71"/>
  <c r="O27" i="71"/>
  <c r="O28" i="71"/>
  <c r="O29" i="71"/>
  <c r="O30" i="71"/>
  <c r="O31" i="71"/>
  <c r="O32" i="71"/>
  <c r="O33" i="71"/>
  <c r="O34" i="71"/>
  <c r="O4" i="71"/>
  <c r="N5" i="71"/>
  <c r="N6" i="71"/>
  <c r="N7" i="71"/>
  <c r="N8" i="71"/>
  <c r="N9" i="71"/>
  <c r="N10" i="71"/>
  <c r="N12" i="71"/>
  <c r="N13" i="71"/>
  <c r="N14" i="71"/>
  <c r="N15" i="71"/>
  <c r="N17" i="71"/>
  <c r="N18" i="71"/>
  <c r="N19" i="71"/>
  <c r="N20" i="71"/>
  <c r="N21" i="71"/>
  <c r="N22" i="71"/>
  <c r="N23" i="71"/>
  <c r="N24" i="71"/>
  <c r="N25" i="71"/>
  <c r="N26" i="71"/>
  <c r="N27" i="71"/>
  <c r="N28" i="71"/>
  <c r="N29" i="71"/>
  <c r="N30" i="71"/>
  <c r="N31" i="71"/>
  <c r="N32" i="71"/>
  <c r="N33" i="71"/>
  <c r="N34" i="71"/>
  <c r="N4" i="71"/>
  <c r="J17" i="2"/>
  <c r="J16" i="2"/>
  <c r="J15" i="2"/>
  <c r="J14" i="2"/>
  <c r="J13" i="2"/>
  <c r="J12" i="2"/>
  <c r="J11" i="2"/>
  <c r="J10" i="2"/>
  <c r="J9" i="2"/>
  <c r="J8" i="2"/>
  <c r="C17" i="2"/>
  <c r="H12" i="7" s="1"/>
  <c r="J12" i="7" s="1"/>
  <c r="C16" i="2"/>
  <c r="AA16" i="2" s="1"/>
  <c r="C15" i="2"/>
  <c r="H10" i="7" s="1"/>
  <c r="J10" i="7" s="1"/>
  <c r="C14" i="2"/>
  <c r="AA14" i="2" s="1"/>
  <c r="C13" i="2"/>
  <c r="H8" i="7" s="1"/>
  <c r="J8" i="7" s="1"/>
  <c r="C12" i="2"/>
  <c r="AA12" i="2" s="1"/>
  <c r="C11" i="2"/>
  <c r="C10" i="2"/>
  <c r="AA10" i="2" s="1"/>
  <c r="C9" i="2"/>
  <c r="G9" i="2" s="1"/>
  <c r="C8" i="2"/>
  <c r="AA8" i="2" s="1"/>
  <c r="S16" i="71" l="1"/>
  <c r="I18" i="7"/>
  <c r="N18" i="7"/>
  <c r="M18" i="7"/>
  <c r="O18" i="7"/>
  <c r="H11" i="7"/>
  <c r="J11" i="7" s="1"/>
  <c r="H9" i="7"/>
  <c r="J9" i="7" s="1"/>
  <c r="H7" i="7"/>
  <c r="J7" i="7" s="1"/>
  <c r="H6" i="7"/>
  <c r="J6" i="7" s="1"/>
  <c r="H5" i="7"/>
  <c r="H4" i="7"/>
  <c r="H3" i="7"/>
  <c r="H12" i="2"/>
  <c r="G15" i="2"/>
  <c r="G13" i="2"/>
  <c r="G17" i="2"/>
  <c r="G11" i="2"/>
  <c r="G10" i="2"/>
  <c r="G14" i="2"/>
  <c r="G12" i="2"/>
  <c r="G16" i="2"/>
  <c r="AA9" i="2"/>
  <c r="AA11" i="2"/>
  <c r="AA13" i="2"/>
  <c r="AA15" i="2"/>
  <c r="AA17" i="2"/>
  <c r="L5" i="71"/>
  <c r="P5" i="71" s="1"/>
  <c r="M5" i="71"/>
  <c r="Q5" i="71" s="1"/>
  <c r="L6" i="71"/>
  <c r="P6" i="71" s="1"/>
  <c r="M6" i="71"/>
  <c r="Q6" i="71" s="1"/>
  <c r="L7" i="71"/>
  <c r="P7" i="71" s="1"/>
  <c r="M7" i="71"/>
  <c r="Q7" i="71" s="1"/>
  <c r="L8" i="71"/>
  <c r="P8" i="71" s="1"/>
  <c r="D10" i="2" s="1"/>
  <c r="M8" i="71"/>
  <c r="Q8" i="71" s="1"/>
  <c r="L9" i="71"/>
  <c r="P9" i="71" s="1"/>
  <c r="M9" i="71"/>
  <c r="Q9" i="71" s="1"/>
  <c r="L10" i="71"/>
  <c r="P10" i="71" s="1"/>
  <c r="M10" i="71"/>
  <c r="Q10" i="71" s="1"/>
  <c r="L12" i="71"/>
  <c r="P12" i="71" s="1"/>
  <c r="D11" i="2" s="1"/>
  <c r="M12" i="71"/>
  <c r="Q12" i="71" s="1"/>
  <c r="E11" i="2" s="1"/>
  <c r="L13" i="71"/>
  <c r="P13" i="71" s="1"/>
  <c r="D12" i="2" s="1"/>
  <c r="M13" i="71"/>
  <c r="Q13" i="71" s="1"/>
  <c r="L14" i="71"/>
  <c r="P14" i="71" s="1"/>
  <c r="D13" i="2" s="1"/>
  <c r="M14" i="71"/>
  <c r="Q14" i="71" s="1"/>
  <c r="E13" i="2" s="1"/>
  <c r="L15" i="71"/>
  <c r="P15" i="71" s="1"/>
  <c r="D14" i="2" s="1"/>
  <c r="M15" i="71"/>
  <c r="Q15" i="71" s="1"/>
  <c r="E14" i="2" s="1"/>
  <c r="L17" i="71"/>
  <c r="P17" i="71" s="1"/>
  <c r="D15" i="2" s="1"/>
  <c r="M17" i="71"/>
  <c r="Q17" i="71" s="1"/>
  <c r="E15" i="2" s="1"/>
  <c r="L18" i="71"/>
  <c r="P18" i="71" s="1"/>
  <c r="D16" i="2" s="1"/>
  <c r="M18" i="71"/>
  <c r="Q18" i="71" s="1"/>
  <c r="E16" i="2" s="1"/>
  <c r="L19" i="71"/>
  <c r="P19" i="71" s="1"/>
  <c r="D17" i="2" s="1"/>
  <c r="M19" i="71"/>
  <c r="Q19" i="71" s="1"/>
  <c r="E17" i="2" s="1"/>
  <c r="L20" i="71"/>
  <c r="P20" i="71" s="1"/>
  <c r="M20" i="71"/>
  <c r="Q20" i="71" s="1"/>
  <c r="L21" i="71"/>
  <c r="P21" i="71" s="1"/>
  <c r="M21" i="71"/>
  <c r="Q21" i="71" s="1"/>
  <c r="L22" i="71"/>
  <c r="P22" i="71" s="1"/>
  <c r="M22" i="71"/>
  <c r="Q22" i="71" s="1"/>
  <c r="L23" i="71"/>
  <c r="P23" i="71" s="1"/>
  <c r="M23" i="71"/>
  <c r="Q23" i="71" s="1"/>
  <c r="L24" i="71"/>
  <c r="P24" i="71" s="1"/>
  <c r="M24" i="71"/>
  <c r="Q24" i="71" s="1"/>
  <c r="L25" i="71"/>
  <c r="P25" i="71" s="1"/>
  <c r="M25" i="71"/>
  <c r="Q25" i="71" s="1"/>
  <c r="L26" i="71"/>
  <c r="P26" i="71" s="1"/>
  <c r="M26" i="71"/>
  <c r="Q26" i="71" s="1"/>
  <c r="L27" i="71"/>
  <c r="P27" i="71" s="1"/>
  <c r="M27" i="71"/>
  <c r="Q27" i="71" s="1"/>
  <c r="L28" i="71"/>
  <c r="P28" i="71" s="1"/>
  <c r="M28" i="71"/>
  <c r="Q28" i="71" s="1"/>
  <c r="L29" i="71"/>
  <c r="P29" i="71" s="1"/>
  <c r="M29" i="71"/>
  <c r="Q29" i="71" s="1"/>
  <c r="L30" i="71"/>
  <c r="P30" i="71" s="1"/>
  <c r="M30" i="71"/>
  <c r="Q30" i="71" s="1"/>
  <c r="L31" i="71"/>
  <c r="P31" i="71" s="1"/>
  <c r="M31" i="71"/>
  <c r="Q31" i="71" s="1"/>
  <c r="L32" i="71"/>
  <c r="P32" i="71" s="1"/>
  <c r="M32" i="71"/>
  <c r="Q32" i="71" s="1"/>
  <c r="L33" i="71"/>
  <c r="P33" i="71" s="1"/>
  <c r="M33" i="71"/>
  <c r="Q33" i="71" s="1"/>
  <c r="L34" i="71"/>
  <c r="P34" i="71" s="1"/>
  <c r="M34" i="71"/>
  <c r="Q34" i="71" s="1"/>
  <c r="M4" i="71"/>
  <c r="Q4" i="71" s="1"/>
  <c r="L4" i="71"/>
  <c r="P4" i="71" s="1"/>
  <c r="J5" i="7" l="1"/>
  <c r="L5" i="7"/>
  <c r="S23" i="71"/>
  <c r="E12" i="2"/>
  <c r="S13" i="71"/>
  <c r="S26" i="71"/>
  <c r="S22" i="71"/>
  <c r="S27" i="71"/>
  <c r="J3" i="7"/>
  <c r="K3" i="7"/>
  <c r="K4" i="7"/>
  <c r="J4" i="7"/>
  <c r="S6" i="71"/>
  <c r="E10" i="2"/>
  <c r="D8" i="2"/>
  <c r="E9" i="2"/>
  <c r="D9" i="2"/>
  <c r="S33" i="71"/>
  <c r="S4" i="71"/>
  <c r="E8" i="2"/>
  <c r="S29" i="71"/>
  <c r="S25" i="71"/>
  <c r="S21" i="71"/>
  <c r="S19" i="71"/>
  <c r="H17" i="2" s="1"/>
  <c r="S17" i="71"/>
  <c r="H15" i="2" s="1"/>
  <c r="S14" i="71"/>
  <c r="S9" i="71"/>
  <c r="S7" i="71"/>
  <c r="S34" i="71"/>
  <c r="S32" i="71"/>
  <c r="S28" i="71"/>
  <c r="S24" i="71"/>
  <c r="S20" i="71"/>
  <c r="S18" i="71"/>
  <c r="H16" i="2" s="1"/>
  <c r="S15" i="71"/>
  <c r="H14" i="2" s="1"/>
  <c r="S10" i="71"/>
  <c r="S8" i="71"/>
  <c r="S31" i="71"/>
  <c r="S5" i="71"/>
  <c r="H11" i="2" s="1"/>
  <c r="S30" i="71"/>
  <c r="H13" i="2" l="1"/>
  <c r="H9" i="2"/>
  <c r="H10" i="2"/>
  <c r="H8" i="2"/>
  <c r="V3" i="34"/>
  <c r="V4" i="34"/>
  <c r="V5" i="34"/>
  <c r="V6" i="34"/>
  <c r="V7" i="34"/>
  <c r="V8" i="34"/>
  <c r="V9" i="34"/>
  <c r="V10" i="34"/>
  <c r="V11" i="34"/>
  <c r="V12" i="34"/>
  <c r="V13" i="34"/>
  <c r="V14" i="34"/>
  <c r="V15" i="34"/>
  <c r="V16" i="34"/>
  <c r="V17" i="34"/>
  <c r="V18" i="34"/>
  <c r="V19" i="34"/>
  <c r="V20" i="34"/>
  <c r="V21" i="34"/>
  <c r="V2" i="34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W3" i="34"/>
  <c r="Y3" i="34"/>
  <c r="AB3" i="34"/>
  <c r="W4" i="34"/>
  <c r="Y4" i="34"/>
  <c r="AB4" i="34"/>
  <c r="W5" i="34"/>
  <c r="Y5" i="34"/>
  <c r="AB5" i="34"/>
  <c r="W6" i="34"/>
  <c r="Y6" i="34"/>
  <c r="AB6" i="34"/>
  <c r="W7" i="34"/>
  <c r="Y7" i="34"/>
  <c r="AB7" i="34"/>
  <c r="W8" i="34"/>
  <c r="Y8" i="34"/>
  <c r="AB8" i="34"/>
  <c r="W9" i="34"/>
  <c r="Y9" i="34"/>
  <c r="AB9" i="34"/>
  <c r="W10" i="34"/>
  <c r="X10" i="34"/>
  <c r="Y10" i="34"/>
  <c r="AB10" i="34"/>
  <c r="W11" i="34"/>
  <c r="Y11" i="34"/>
  <c r="AB11" i="34"/>
  <c r="W12" i="34"/>
  <c r="X12" i="34"/>
  <c r="Y12" i="34"/>
  <c r="AB12" i="34"/>
  <c r="W13" i="34"/>
  <c r="X13" i="34"/>
  <c r="Y13" i="34"/>
  <c r="AB13" i="34"/>
  <c r="W14" i="34"/>
  <c r="X14" i="34"/>
  <c r="Y14" i="34"/>
  <c r="AB14" i="34"/>
  <c r="W15" i="34"/>
  <c r="X15" i="34"/>
  <c r="Y15" i="34"/>
  <c r="AB15" i="34"/>
  <c r="W16" i="34"/>
  <c r="X16" i="34"/>
  <c r="Y16" i="34"/>
  <c r="AB16" i="34"/>
  <c r="W17" i="34"/>
  <c r="X17" i="34"/>
  <c r="Y17" i="34"/>
  <c r="AB17" i="34"/>
  <c r="W18" i="34"/>
  <c r="X18" i="34"/>
  <c r="Y18" i="34"/>
  <c r="AB18" i="34"/>
  <c r="W19" i="34"/>
  <c r="X19" i="34"/>
  <c r="Y19" i="34"/>
  <c r="AB19" i="34"/>
  <c r="W20" i="34"/>
  <c r="X20" i="34"/>
  <c r="Y20" i="34"/>
  <c r="AB20" i="34"/>
  <c r="W21" i="34"/>
  <c r="X21" i="34"/>
  <c r="Y21" i="34"/>
  <c r="AB21" i="34"/>
  <c r="Y2" i="34"/>
  <c r="W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F17" i="9"/>
  <c r="C4" i="70"/>
  <c r="D30" i="9"/>
  <c r="C63" i="70" s="1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62" i="15"/>
  <c r="H3" i="34"/>
  <c r="J3" i="34"/>
  <c r="H4" i="34"/>
  <c r="J4" i="34"/>
  <c r="H5" i="34"/>
  <c r="J5" i="34"/>
  <c r="H6" i="34"/>
  <c r="I14" i="25" s="1"/>
  <c r="J6" i="34"/>
  <c r="H7" i="34"/>
  <c r="I16" i="25" s="1"/>
  <c r="J7" i="34"/>
  <c r="H8" i="34"/>
  <c r="I18" i="25" s="1"/>
  <c r="J8" i="34"/>
  <c r="H9" i="34"/>
  <c r="J9" i="34"/>
  <c r="H10" i="34"/>
  <c r="J10" i="34"/>
  <c r="H11" i="34"/>
  <c r="J11" i="34"/>
  <c r="H12" i="34"/>
  <c r="J12" i="34"/>
  <c r="H13" i="34"/>
  <c r="J13" i="34"/>
  <c r="H14" i="34"/>
  <c r="J14" i="34"/>
  <c r="H15" i="34"/>
  <c r="J15" i="34"/>
  <c r="H16" i="34"/>
  <c r="J16" i="34"/>
  <c r="H17" i="34"/>
  <c r="J17" i="34"/>
  <c r="H18" i="34"/>
  <c r="J18" i="34"/>
  <c r="H19" i="34"/>
  <c r="J19" i="34"/>
  <c r="H20" i="34"/>
  <c r="J20" i="34"/>
  <c r="H21" i="34"/>
  <c r="J21" i="34"/>
  <c r="H2" i="34"/>
  <c r="J2" i="34"/>
  <c r="AC19" i="34"/>
  <c r="C39" i="70" s="1"/>
  <c r="P3" i="34"/>
  <c r="Z3" i="34" s="1"/>
  <c r="AA3" i="34" s="1"/>
  <c r="P4" i="34"/>
  <c r="Z4" i="34" s="1"/>
  <c r="AA4" i="34" s="1"/>
  <c r="P5" i="34"/>
  <c r="Z5" i="34" s="1"/>
  <c r="AA5" i="34" s="1"/>
  <c r="P6" i="34"/>
  <c r="Z6" i="34" s="1"/>
  <c r="AA6" i="34" s="1"/>
  <c r="P7" i="34"/>
  <c r="Z7" i="34" s="1"/>
  <c r="AA7" i="34" s="1"/>
  <c r="P8" i="34"/>
  <c r="Z8" i="34" s="1"/>
  <c r="AA8" i="34" s="1"/>
  <c r="P9" i="34"/>
  <c r="Z9" i="34" s="1"/>
  <c r="AA9" i="34" s="1"/>
  <c r="P10" i="34"/>
  <c r="Z10" i="34" s="1"/>
  <c r="AA10" i="34" s="1"/>
  <c r="P11" i="34"/>
  <c r="Z11" i="34" s="1"/>
  <c r="AA11" i="34" s="1"/>
  <c r="P12" i="34"/>
  <c r="Z12" i="34" s="1"/>
  <c r="AA12" i="34" s="1"/>
  <c r="P13" i="34"/>
  <c r="Z13" i="34" s="1"/>
  <c r="AA13" i="34" s="1"/>
  <c r="P14" i="34"/>
  <c r="Z14" i="34" s="1"/>
  <c r="AA14" i="34" s="1"/>
  <c r="P15" i="34"/>
  <c r="Z15" i="34" s="1"/>
  <c r="AA15" i="34" s="1"/>
  <c r="P16" i="34"/>
  <c r="Z16" i="34" s="1"/>
  <c r="AA16" i="34" s="1"/>
  <c r="P17" i="34"/>
  <c r="Z17" i="34" s="1"/>
  <c r="AA17" i="34" s="1"/>
  <c r="P2" i="34"/>
  <c r="S2" i="34" s="1"/>
  <c r="P18" i="34"/>
  <c r="Z18" i="34" s="1"/>
  <c r="AA18" i="34" s="1"/>
  <c r="P19" i="34"/>
  <c r="Z19" i="34" s="1"/>
  <c r="AA19" i="34" s="1"/>
  <c r="P20" i="34"/>
  <c r="Z20" i="34" s="1"/>
  <c r="AA20" i="34" s="1"/>
  <c r="P21" i="34"/>
  <c r="Z21" i="34" s="1"/>
  <c r="AA21" i="34" s="1"/>
  <c r="AB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D24" i="25"/>
  <c r="H24" i="25"/>
  <c r="C11" i="28"/>
  <c r="D22" i="25"/>
  <c r="H22" i="25"/>
  <c r="N23" i="25" s="1"/>
  <c r="D20" i="25"/>
  <c r="H20" i="25"/>
  <c r="D10" i="28" s="1"/>
  <c r="D18" i="25"/>
  <c r="H18" i="25"/>
  <c r="D16" i="25"/>
  <c r="H16" i="25"/>
  <c r="D8" i="28" s="1"/>
  <c r="H14" i="25"/>
  <c r="D7" i="28" s="1"/>
  <c r="D14" i="25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M2" i="12"/>
  <c r="N2" i="12" s="1"/>
  <c r="F8" i="15"/>
  <c r="F9" i="15"/>
  <c r="E6" i="15"/>
  <c r="D11" i="11"/>
  <c r="F11" i="11"/>
  <c r="M11" i="11" s="1"/>
  <c r="E24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N4" i="12"/>
  <c r="N5" i="12"/>
  <c r="C19" i="2"/>
  <c r="I8" i="16"/>
  <c r="I9" i="16"/>
  <c r="I10" i="16"/>
  <c r="I11" i="16"/>
  <c r="I12" i="16"/>
  <c r="I13" i="16"/>
  <c r="I14" i="16"/>
  <c r="R2" i="34"/>
  <c r="R11" i="34"/>
  <c r="R12" i="34"/>
  <c r="R13" i="34"/>
  <c r="R14" i="34"/>
  <c r="R15" i="34"/>
  <c r="R16" i="34"/>
  <c r="R17" i="34"/>
  <c r="R18" i="34"/>
  <c r="R19" i="34"/>
  <c r="R20" i="34"/>
  <c r="R3" i="34"/>
  <c r="R21" i="34"/>
  <c r="R4" i="34"/>
  <c r="R5" i="34"/>
  <c r="R6" i="34"/>
  <c r="R7" i="34"/>
  <c r="R8" i="34"/>
  <c r="R9" i="34"/>
  <c r="R10" i="34"/>
  <c r="D15" i="11"/>
  <c r="F15" i="11"/>
  <c r="G26" i="55" s="1"/>
  <c r="E12" i="11"/>
  <c r="F12" i="11" s="1"/>
  <c r="H25" i="9" s="1"/>
  <c r="D14" i="11"/>
  <c r="F14" i="11"/>
  <c r="G24" i="46" s="1"/>
  <c r="T2" i="34"/>
  <c r="S11" i="34"/>
  <c r="T11" i="34"/>
  <c r="S12" i="34"/>
  <c r="T12" i="34"/>
  <c r="S13" i="34"/>
  <c r="T13" i="34"/>
  <c r="S14" i="34"/>
  <c r="T14" i="34"/>
  <c r="S15" i="34"/>
  <c r="T15" i="34"/>
  <c r="S16" i="34"/>
  <c r="T16" i="34"/>
  <c r="S17" i="34"/>
  <c r="T17" i="34"/>
  <c r="S18" i="34"/>
  <c r="T18" i="34"/>
  <c r="S19" i="34"/>
  <c r="T19" i="34"/>
  <c r="S20" i="34"/>
  <c r="T20" i="34"/>
  <c r="S3" i="34"/>
  <c r="T3" i="34"/>
  <c r="S21" i="34"/>
  <c r="T21" i="34"/>
  <c r="S4" i="34"/>
  <c r="T4" i="34"/>
  <c r="S5" i="34"/>
  <c r="T5" i="34"/>
  <c r="S6" i="34"/>
  <c r="T6" i="34"/>
  <c r="S7" i="34"/>
  <c r="T7" i="34"/>
  <c r="S8" i="34"/>
  <c r="T8" i="34"/>
  <c r="S9" i="34"/>
  <c r="T9" i="34"/>
  <c r="S10" i="34"/>
  <c r="T10" i="34"/>
  <c r="C20" i="2"/>
  <c r="C21" i="2"/>
  <c r="C22" i="2"/>
  <c r="H16" i="7" s="1"/>
  <c r="J16" i="7" s="1"/>
  <c r="C23" i="2"/>
  <c r="H17" i="7" s="1"/>
  <c r="J17" i="7" s="1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5" i="9"/>
  <c r="E28" i="9"/>
  <c r="F97" i="15" s="1"/>
  <c r="D97" i="15" s="1"/>
  <c r="L97" i="15" s="1"/>
  <c r="E27" i="9"/>
  <c r="F96" i="15" s="1"/>
  <c r="D96" i="15" s="1"/>
  <c r="L96" i="15" s="1"/>
  <c r="C30" i="15"/>
  <c r="C48" i="70" s="1"/>
  <c r="C33" i="16"/>
  <c r="C35" i="16"/>
  <c r="C36" i="16"/>
  <c r="C38" i="16"/>
  <c r="C28" i="15" s="1"/>
  <c r="C47" i="70" s="1"/>
  <c r="C40" i="16"/>
  <c r="C41" i="16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3" i="15"/>
  <c r="L164" i="15" s="1"/>
  <c r="H42" i="25"/>
  <c r="D21" i="28" s="1"/>
  <c r="L42" i="25"/>
  <c r="H44" i="25"/>
  <c r="D22" i="28" s="1"/>
  <c r="L44" i="25"/>
  <c r="G22" i="28" s="1"/>
  <c r="C21" i="70"/>
  <c r="F9" i="2"/>
  <c r="F10" i="2"/>
  <c r="F11" i="2"/>
  <c r="F12" i="2"/>
  <c r="F13" i="2"/>
  <c r="F14" i="2"/>
  <c r="F15" i="2"/>
  <c r="F16" i="2"/>
  <c r="F17" i="2"/>
  <c r="F19" i="2"/>
  <c r="D19" i="2"/>
  <c r="F8" i="2"/>
  <c r="C33" i="18"/>
  <c r="M3" i="12"/>
  <c r="N3" i="12" s="1"/>
  <c r="D9" i="9"/>
  <c r="F7" i="15" s="1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M4" i="12"/>
  <c r="M5" i="12"/>
  <c r="E9" i="10"/>
  <c r="E13" i="10"/>
  <c r="E78" i="15"/>
  <c r="D11" i="9"/>
  <c r="D10" i="9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E25" i="34"/>
  <c r="C25" i="34"/>
  <c r="D25" i="34" s="1"/>
  <c r="F17" i="31"/>
  <c r="A21" i="31" s="1"/>
  <c r="E33" i="9" s="1"/>
  <c r="E26" i="2" s="1"/>
  <c r="F18" i="31"/>
  <c r="D31" i="11"/>
  <c r="D30" i="11"/>
  <c r="E29" i="11"/>
  <c r="D29" i="11"/>
  <c r="G28" i="11"/>
  <c r="D28" i="11"/>
  <c r="E28" i="11"/>
  <c r="D8" i="11"/>
  <c r="D7" i="11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F16" i="9"/>
  <c r="G21" i="9"/>
  <c r="D13" i="9"/>
  <c r="E18" i="9"/>
  <c r="I4" i="9"/>
  <c r="D4" i="9"/>
  <c r="J3" i="9"/>
  <c r="H3" i="9"/>
  <c r="G3" i="9"/>
  <c r="D3" i="9"/>
  <c r="G2" i="9"/>
  <c r="H11" i="9"/>
  <c r="H10" i="9"/>
  <c r="D6" i="9"/>
  <c r="J32" i="9"/>
  <c r="I25" i="2" s="1"/>
  <c r="J33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J16" i="25"/>
  <c r="J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3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F10" i="12" l="1"/>
  <c r="F9" i="12"/>
  <c r="F8" i="12"/>
  <c r="F7" i="12"/>
  <c r="F6" i="12"/>
  <c r="F5" i="12"/>
  <c r="F4" i="12"/>
  <c r="F3" i="12"/>
  <c r="F2" i="12"/>
  <c r="E10" i="12"/>
  <c r="E9" i="12"/>
  <c r="E8" i="12"/>
  <c r="E7" i="12"/>
  <c r="E6" i="12"/>
  <c r="E5" i="12"/>
  <c r="E4" i="12"/>
  <c r="E3" i="12"/>
  <c r="G2" i="12"/>
  <c r="D10" i="12"/>
  <c r="D9" i="12"/>
  <c r="D8" i="12"/>
  <c r="D7" i="12"/>
  <c r="D6" i="12"/>
  <c r="D4" i="12"/>
  <c r="D3" i="12"/>
  <c r="D2" i="12"/>
  <c r="G10" i="12"/>
  <c r="G9" i="12"/>
  <c r="G7" i="12"/>
  <c r="G6" i="12"/>
  <c r="G5" i="12"/>
  <c r="G4" i="12"/>
  <c r="G3" i="12"/>
  <c r="E2" i="12"/>
  <c r="G8" i="12"/>
  <c r="D5" i="12"/>
  <c r="C9" i="12"/>
  <c r="C5" i="12"/>
  <c r="C8" i="12"/>
  <c r="C4" i="12"/>
  <c r="C7" i="12"/>
  <c r="C3" i="12"/>
  <c r="C10" i="12"/>
  <c r="C6" i="12"/>
  <c r="C2" i="12"/>
  <c r="H13" i="7"/>
  <c r="E19" i="2"/>
  <c r="H15" i="7"/>
  <c r="H14" i="7"/>
  <c r="J14" i="7" s="1"/>
  <c r="I10" i="25"/>
  <c r="AB13" i="2"/>
  <c r="H9" i="9"/>
  <c r="C27" i="15"/>
  <c r="C46" i="70" s="1"/>
  <c r="I8" i="25"/>
  <c r="K19" i="25"/>
  <c r="K25" i="25"/>
  <c r="AB17" i="2"/>
  <c r="I14" i="2"/>
  <c r="J64" i="15" s="1"/>
  <c r="E20" i="32"/>
  <c r="D16" i="32"/>
  <c r="D14" i="32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E11" i="32"/>
  <c r="E31" i="32"/>
  <c r="E30" i="32"/>
  <c r="D11" i="32"/>
  <c r="E27" i="32"/>
  <c r="D10" i="32"/>
  <c r="C5" i="32"/>
  <c r="C23" i="32" s="1"/>
  <c r="M17" i="25"/>
  <c r="K33" i="25"/>
  <c r="G23" i="2"/>
  <c r="G72" i="15" s="1"/>
  <c r="B3" i="10"/>
  <c r="H8" i="9"/>
  <c r="N21" i="25"/>
  <c r="M35" i="25"/>
  <c r="H21" i="25"/>
  <c r="H33" i="25"/>
  <c r="C70" i="15"/>
  <c r="C18" i="70" s="1"/>
  <c r="M19" i="25"/>
  <c r="N33" i="25"/>
  <c r="E19" i="9"/>
  <c r="K9" i="25"/>
  <c r="C53" i="70"/>
  <c r="C42" i="70"/>
  <c r="L16" i="25"/>
  <c r="M16" i="25" s="1"/>
  <c r="D14" i="28"/>
  <c r="R14" i="28" s="1"/>
  <c r="E94" i="15"/>
  <c r="D94" i="15" s="1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C10" i="34"/>
  <c r="C30" i="70" s="1"/>
  <c r="G22" i="2"/>
  <c r="G71" i="15" s="1"/>
  <c r="E21" i="2"/>
  <c r="C69" i="15"/>
  <c r="C17" i="70" s="1"/>
  <c r="AB10" i="2"/>
  <c r="G23" i="60"/>
  <c r="AC5" i="34"/>
  <c r="C25" i="70" s="1"/>
  <c r="AC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C7" i="34"/>
  <c r="C27" i="70" s="1"/>
  <c r="M38" i="25"/>
  <c r="AC15" i="34"/>
  <c r="C35" i="70" s="1"/>
  <c r="E22" i="2"/>
  <c r="B26" i="10"/>
  <c r="C26" i="10" s="1"/>
  <c r="G31" i="54"/>
  <c r="G30" i="46"/>
  <c r="G28" i="60"/>
  <c r="L51" i="15"/>
  <c r="L48" i="15"/>
  <c r="L46" i="15"/>
  <c r="G26" i="56"/>
  <c r="G26" i="54"/>
  <c r="D31" i="32"/>
  <c r="I10" i="9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C9" i="34"/>
  <c r="C29" i="70" s="1"/>
  <c r="AC6" i="34"/>
  <c r="C26" i="70" s="1"/>
  <c r="AC20" i="34"/>
  <c r="C40" i="70" s="1"/>
  <c r="AC17" i="34"/>
  <c r="C37" i="70" s="1"/>
  <c r="AC14" i="34"/>
  <c r="C34" i="70" s="1"/>
  <c r="AC13" i="34"/>
  <c r="C33" i="70" s="1"/>
  <c r="AC12" i="34"/>
  <c r="C32" i="70" s="1"/>
  <c r="L169" i="15"/>
  <c r="L80" i="15"/>
  <c r="L166" i="15"/>
  <c r="Z10" i="28"/>
  <c r="T10" i="28"/>
  <c r="AB10" i="28"/>
  <c r="L10" i="28"/>
  <c r="X10" i="28"/>
  <c r="H10" i="28"/>
  <c r="P10" i="28"/>
  <c r="K9" i="34"/>
  <c r="AE9" i="34" s="1"/>
  <c r="AD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K7" i="34"/>
  <c r="M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K5" i="34"/>
  <c r="AE5" i="34" s="1"/>
  <c r="AD5" i="34" s="1"/>
  <c r="K21" i="34"/>
  <c r="AE21" i="34" s="1"/>
  <c r="AD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K3" i="34"/>
  <c r="M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K19" i="34"/>
  <c r="AE19" i="34" s="1"/>
  <c r="AD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K17" i="34"/>
  <c r="AE17" i="34" s="1"/>
  <c r="AD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K15" i="34"/>
  <c r="AE15" i="34" s="1"/>
  <c r="AD15" i="34" s="1"/>
  <c r="H29" i="25"/>
  <c r="N29" i="25"/>
  <c r="L28" i="25"/>
  <c r="M28" i="25" s="1"/>
  <c r="K13" i="34"/>
  <c r="M13" i="34" s="1"/>
  <c r="M27" i="25"/>
  <c r="H27" i="25"/>
  <c r="H25" i="25"/>
  <c r="N25" i="25"/>
  <c r="L24" i="25"/>
  <c r="K11" i="34"/>
  <c r="M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19" i="28"/>
  <c r="B18" i="28"/>
  <c r="B15" i="28"/>
  <c r="B13" i="28"/>
  <c r="M44" i="25"/>
  <c r="O38" i="25"/>
  <c r="S23" i="34"/>
  <c r="B11" i="28"/>
  <c r="AC8" i="34"/>
  <c r="C28" i="70" s="1"/>
  <c r="B22" i="28"/>
  <c r="M40" i="25"/>
  <c r="B20" i="28"/>
  <c r="AC18" i="34"/>
  <c r="C38" i="70" s="1"/>
  <c r="M36" i="25"/>
  <c r="O36" i="25"/>
  <c r="B17" i="28"/>
  <c r="B16" i="28"/>
  <c r="B14" i="28"/>
  <c r="E23" i="2"/>
  <c r="G21" i="2"/>
  <c r="E20" i="2"/>
  <c r="G20" i="2"/>
  <c r="D18" i="15"/>
  <c r="C68" i="70" s="1"/>
  <c r="D16" i="15"/>
  <c r="C66" i="70" s="1"/>
  <c r="G24" i="9"/>
  <c r="J11" i="11"/>
  <c r="I11" i="9"/>
  <c r="G31" i="55"/>
  <c r="F3" i="11"/>
  <c r="F6" i="11" s="1"/>
  <c r="G31" i="60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N4" i="11"/>
  <c r="J4" i="11"/>
  <c r="C1" i="70"/>
  <c r="K9" i="11"/>
  <c r="G32" i="54"/>
  <c r="G32" i="55"/>
  <c r="G31" i="46"/>
  <c r="G32" i="56"/>
  <c r="K8" i="34"/>
  <c r="K6" i="34"/>
  <c r="M6" i="34" s="1"/>
  <c r="B21" i="28"/>
  <c r="K20" i="34"/>
  <c r="M20" i="34" s="1"/>
  <c r="K18" i="34"/>
  <c r="M18" i="34" s="1"/>
  <c r="K16" i="34"/>
  <c r="M16" i="34" s="1"/>
  <c r="K14" i="34"/>
  <c r="AE14" i="34" s="1"/>
  <c r="AD14" i="34" s="1"/>
  <c r="K12" i="34"/>
  <c r="M12" i="34" s="1"/>
  <c r="K2" i="34"/>
  <c r="AE2" i="34" s="1"/>
  <c r="AD2" i="34" s="1"/>
  <c r="K10" i="34"/>
  <c r="K4" i="34"/>
  <c r="M4" i="34" s="1"/>
  <c r="G29" i="60"/>
  <c r="G16" i="11"/>
  <c r="AB9" i="2"/>
  <c r="I9" i="2"/>
  <c r="J59" i="15" s="1"/>
  <c r="I10" i="2"/>
  <c r="J60" i="15" s="1"/>
  <c r="C59" i="15"/>
  <c r="L59" i="15" s="1"/>
  <c r="C60" i="15"/>
  <c r="C63" i="15"/>
  <c r="I8" i="2"/>
  <c r="J58" i="15" s="1"/>
  <c r="G62" i="15"/>
  <c r="E62" i="15"/>
  <c r="G8" i="2"/>
  <c r="I12" i="2"/>
  <c r="C58" i="15"/>
  <c r="I13" i="2"/>
  <c r="C67" i="15"/>
  <c r="B12" i="10"/>
  <c r="C61" i="15"/>
  <c r="I11" i="2"/>
  <c r="L62" i="15"/>
  <c r="I15" i="2"/>
  <c r="C66" i="15"/>
  <c r="C65" i="15"/>
  <c r="I17" i="2"/>
  <c r="I16" i="2"/>
  <c r="H4" i="2"/>
  <c r="G4" i="9"/>
  <c r="J4" i="25"/>
  <c r="K2" i="25"/>
  <c r="F4" i="16"/>
  <c r="D2" i="2"/>
  <c r="C2" i="16"/>
  <c r="D2" i="9"/>
  <c r="A18" i="31"/>
  <c r="E32" i="9" s="1"/>
  <c r="E25" i="2" s="1"/>
  <c r="H2" i="9"/>
  <c r="D5" i="32"/>
  <c r="I2" i="2"/>
  <c r="E2" i="25"/>
  <c r="G2" i="16"/>
  <c r="D3" i="15"/>
  <c r="Q23" i="34"/>
  <c r="B20" i="10" s="1"/>
  <c r="C20" i="10" s="1"/>
  <c r="C68" i="15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B16" i="10"/>
  <c r="D16" i="10" s="1"/>
  <c r="G21" i="28"/>
  <c r="O42" i="25"/>
  <c r="M42" i="25"/>
  <c r="D14" i="15"/>
  <c r="C64" i="70" s="1"/>
  <c r="D15" i="15"/>
  <c r="C65" i="70" s="1"/>
  <c r="C72" i="15"/>
  <c r="D15" i="28"/>
  <c r="L30" i="25"/>
  <c r="M31" i="25"/>
  <c r="M6" i="25"/>
  <c r="O6" i="25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Z2" i="34"/>
  <c r="AA2" i="34" s="1"/>
  <c r="O23" i="34"/>
  <c r="F21" i="11"/>
  <c r="J21" i="11" s="1"/>
  <c r="N10" i="28"/>
  <c r="V10" i="28"/>
  <c r="AD10" i="28"/>
  <c r="O44" i="25"/>
  <c r="H23" i="25"/>
  <c r="F94" i="15"/>
  <c r="G19" i="2"/>
  <c r="D17" i="15"/>
  <c r="C67" i="70" s="1"/>
  <c r="F22" i="28"/>
  <c r="F21" i="28"/>
  <c r="F17" i="11"/>
  <c r="G17" i="11" s="1"/>
  <c r="N17" i="11" s="1"/>
  <c r="I11" i="11"/>
  <c r="H24" i="9"/>
  <c r="D8" i="9"/>
  <c r="C8" i="9"/>
  <c r="L32" i="25"/>
  <c r="D16" i="28"/>
  <c r="L26" i="25"/>
  <c r="D13" i="28"/>
  <c r="C64" i="15"/>
  <c r="C71" i="15"/>
  <c r="I15" i="16"/>
  <c r="B19" i="10" s="1"/>
  <c r="C19" i="10" s="1"/>
  <c r="E17" i="28"/>
  <c r="F17" i="28"/>
  <c r="D4" i="28"/>
  <c r="L8" i="25"/>
  <c r="E6" i="28"/>
  <c r="F6" i="28"/>
  <c r="F78" i="15"/>
  <c r="D78" i="15" s="1"/>
  <c r="E7" i="28"/>
  <c r="F7" i="28"/>
  <c r="L18" i="25"/>
  <c r="D9" i="28"/>
  <c r="F3" i="28"/>
  <c r="E3" i="28"/>
  <c r="AC21" i="34"/>
  <c r="C41" i="70" s="1"/>
  <c r="F20" i="11"/>
  <c r="I20" i="11" s="1"/>
  <c r="H2" i="12" l="1"/>
  <c r="H7" i="12"/>
  <c r="B24" i="10" s="1"/>
  <c r="C24" i="10" s="1"/>
  <c r="H9" i="12"/>
  <c r="B31" i="10" s="1"/>
  <c r="C31" i="10" s="1"/>
  <c r="C30" i="10" s="1"/>
  <c r="I36" i="9" s="1"/>
  <c r="H6" i="12"/>
  <c r="B18" i="10" s="1"/>
  <c r="C18" i="10" s="1"/>
  <c r="H5" i="12"/>
  <c r="B14" i="10" s="1"/>
  <c r="C14" i="10" s="1"/>
  <c r="H10" i="12"/>
  <c r="B34" i="10" s="1"/>
  <c r="H8" i="12"/>
  <c r="B28" i="10" s="1"/>
  <c r="C28" i="10" s="1"/>
  <c r="H4" i="12"/>
  <c r="B6" i="10" s="1"/>
  <c r="H3" i="12"/>
  <c r="B10" i="10" s="1"/>
  <c r="B9" i="10" s="1"/>
  <c r="C9" i="10" s="1"/>
  <c r="I32" i="9" s="1"/>
  <c r="H25" i="2" s="1"/>
  <c r="I21" i="2"/>
  <c r="J70" i="15" s="1"/>
  <c r="J15" i="7"/>
  <c r="K13" i="7"/>
  <c r="L18" i="7" s="1"/>
  <c r="J13" i="7"/>
  <c r="H18" i="7"/>
  <c r="I20" i="2"/>
  <c r="J69" i="15" s="1"/>
  <c r="I23" i="2"/>
  <c r="J72" i="15" s="1"/>
  <c r="I22" i="2"/>
  <c r="J71" i="15" s="1"/>
  <c r="I19" i="2"/>
  <c r="J68" i="15" s="1"/>
  <c r="AC13" i="2"/>
  <c r="G63" i="15" s="1"/>
  <c r="L168" i="15"/>
  <c r="AB11" i="2"/>
  <c r="AC11" i="2" s="1"/>
  <c r="AC10" i="2"/>
  <c r="G60" i="15" s="1"/>
  <c r="AC17" i="2"/>
  <c r="G34" i="55"/>
  <c r="G34" i="56"/>
  <c r="X9" i="34"/>
  <c r="X5" i="34"/>
  <c r="G33" i="46"/>
  <c r="F90" i="15" s="1"/>
  <c r="D90" i="15" s="1"/>
  <c r="L90" i="15" s="1"/>
  <c r="G34" i="54"/>
  <c r="J17" i="25"/>
  <c r="C8" i="28"/>
  <c r="B8" i="28" s="1"/>
  <c r="C7" i="28"/>
  <c r="B7" i="28" s="1"/>
  <c r="J15" i="25"/>
  <c r="C12" i="28"/>
  <c r="B12" i="28" s="1"/>
  <c r="J25" i="25"/>
  <c r="G67" i="15"/>
  <c r="X2" i="34"/>
  <c r="AC2" i="34" s="1"/>
  <c r="C22" i="70" s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AD14" i="28"/>
  <c r="N14" i="28"/>
  <c r="M12" i="28"/>
  <c r="S12" i="28"/>
  <c r="K12" i="28"/>
  <c r="R12" i="28"/>
  <c r="X12" i="28"/>
  <c r="O16" i="25"/>
  <c r="G8" i="28"/>
  <c r="AC9" i="2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B8" i="2"/>
  <c r="AC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E7" i="34"/>
  <c r="AD7" i="34" s="1"/>
  <c r="X7" i="34" s="1"/>
  <c r="M21" i="34"/>
  <c r="AE4" i="34"/>
  <c r="AD4" i="34" s="1"/>
  <c r="AC4" i="34" s="1"/>
  <c r="C24" i="70" s="1"/>
  <c r="F88" i="15"/>
  <c r="D88" i="15" s="1"/>
  <c r="L88" i="15" s="1"/>
  <c r="L23" i="11"/>
  <c r="B35" i="10" s="1"/>
  <c r="C35" i="10" s="1"/>
  <c r="O20" i="25"/>
  <c r="G7" i="28"/>
  <c r="O14" i="25"/>
  <c r="AE12" i="34"/>
  <c r="AD12" i="34" s="1"/>
  <c r="AE11" i="34"/>
  <c r="AD11" i="34" s="1"/>
  <c r="X11" i="34" s="1"/>
  <c r="AC11" i="34" s="1"/>
  <c r="C31" i="70" s="1"/>
  <c r="M5" i="34"/>
  <c r="AE3" i="34"/>
  <c r="AD3" i="34" s="1"/>
  <c r="AC3" i="34" s="1"/>
  <c r="C23" i="70" s="1"/>
  <c r="M19" i="34"/>
  <c r="M17" i="34"/>
  <c r="M15" i="34"/>
  <c r="I7" i="15"/>
  <c r="F89" i="15"/>
  <c r="D89" i="15" s="1"/>
  <c r="L89" i="15" s="1"/>
  <c r="I9" i="15"/>
  <c r="I8" i="15"/>
  <c r="AE13" i="34"/>
  <c r="AD13" i="34" s="1"/>
  <c r="J77" i="15"/>
  <c r="G22" i="55"/>
  <c r="G6" i="11"/>
  <c r="N6" i="11" s="1"/>
  <c r="M9" i="34"/>
  <c r="AE20" i="34"/>
  <c r="AD20" i="34" s="1"/>
  <c r="G14" i="28"/>
  <c r="O28" i="25"/>
  <c r="G12" i="28"/>
  <c r="M24" i="25"/>
  <c r="O24" i="25"/>
  <c r="G70" i="15"/>
  <c r="G69" i="15"/>
  <c r="G35" i="56"/>
  <c r="G35" i="55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M2" i="34"/>
  <c r="AE6" i="34"/>
  <c r="AD6" i="34" s="1"/>
  <c r="X6" i="34" s="1"/>
  <c r="AE18" i="34"/>
  <c r="AD18" i="34" s="1"/>
  <c r="AE16" i="34"/>
  <c r="AD16" i="34" s="1"/>
  <c r="M14" i="34"/>
  <c r="M8" i="34"/>
  <c r="AE8" i="34"/>
  <c r="AD8" i="34" s="1"/>
  <c r="X8" i="34" s="1"/>
  <c r="M10" i="34"/>
  <c r="AE10" i="34"/>
  <c r="AD10" i="34" s="1"/>
  <c r="L60" i="15"/>
  <c r="E60" i="15"/>
  <c r="E59" i="15"/>
  <c r="E63" i="15"/>
  <c r="L63" i="15"/>
  <c r="J61" i="15"/>
  <c r="J65" i="15"/>
  <c r="E58" i="15"/>
  <c r="L58" i="15"/>
  <c r="J62" i="15"/>
  <c r="C10" i="70" s="1"/>
  <c r="J63" i="15"/>
  <c r="L67" i="15"/>
  <c r="E67" i="15"/>
  <c r="G61" i="15"/>
  <c r="L61" i="15"/>
  <c r="E61" i="15"/>
  <c r="J67" i="15"/>
  <c r="G65" i="15"/>
  <c r="E65" i="15"/>
  <c r="C13" i="70" s="1"/>
  <c r="L65" i="15"/>
  <c r="AB16" i="2"/>
  <c r="AC16" i="2" s="1"/>
  <c r="AB15" i="2"/>
  <c r="AC15" i="2" s="1"/>
  <c r="L66" i="15"/>
  <c r="E66" i="15"/>
  <c r="C14" i="70"/>
  <c r="G66" i="15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6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AB12" i="2"/>
  <c r="AC12" i="2" s="1"/>
  <c r="AB14" i="2"/>
  <c r="AC14" i="2" s="1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C12" i="70" s="1"/>
  <c r="G64" i="15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J18" i="7" l="1"/>
  <c r="B7" i="10" s="1"/>
  <c r="D7" i="10" s="1"/>
  <c r="D5" i="10" s="1"/>
  <c r="E5" i="10" s="1"/>
  <c r="C16" i="70"/>
  <c r="B21" i="10"/>
  <c r="C21" i="10" s="1"/>
  <c r="X4" i="34"/>
  <c r="C11" i="70"/>
  <c r="C9" i="70"/>
  <c r="G38" i="56"/>
  <c r="A30" i="56" s="1"/>
  <c r="G38" i="55"/>
  <c r="A30" i="55" s="1"/>
  <c r="X3" i="34"/>
  <c r="C10" i="28"/>
  <c r="B10" i="28" s="1"/>
  <c r="J21" i="25"/>
  <c r="C9" i="28"/>
  <c r="B9" i="28" s="1"/>
  <c r="J19" i="25"/>
  <c r="J13" i="25"/>
  <c r="C6" i="28"/>
  <c r="B6" i="28" s="1"/>
  <c r="C8" i="70"/>
  <c r="C15" i="70"/>
  <c r="C27" i="10"/>
  <c r="I34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D104" i="15"/>
  <c r="C71" i="70" s="1"/>
  <c r="J23" i="11"/>
  <c r="B25" i="10" s="1"/>
  <c r="C25" i="10" s="1"/>
  <c r="C23" i="10" s="1"/>
  <c r="D36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5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C17" i="10" l="1"/>
  <c r="D35" i="9" s="1"/>
  <c r="D28" i="2" s="1"/>
  <c r="H104" i="15"/>
  <c r="C76" i="70" s="1"/>
  <c r="F84" i="15"/>
  <c r="D84" i="15" s="1"/>
  <c r="G23" i="11"/>
  <c r="B8" i="10" s="1"/>
  <c r="B5" i="10" s="1"/>
  <c r="C5" i="10" s="1"/>
  <c r="D34" i="9" s="1"/>
  <c r="N23" i="11"/>
  <c r="B17" i="10"/>
  <c r="B23" i="10"/>
  <c r="J78" i="15"/>
  <c r="H78" i="15" s="1"/>
  <c r="L78" i="15" s="1"/>
  <c r="E84" i="15"/>
  <c r="D29" i="2"/>
  <c r="H105" i="15"/>
  <c r="C77" i="70" s="1"/>
  <c r="H28" i="2"/>
  <c r="D32" i="9"/>
  <c r="F32" i="9"/>
  <c r="D95" i="15"/>
  <c r="L95" i="15" s="1"/>
  <c r="C61" i="70"/>
  <c r="C15" i="10"/>
  <c r="C13" i="10" s="1"/>
  <c r="I33" i="9" s="1"/>
  <c r="B13" i="10"/>
  <c r="D36" i="10" l="1"/>
  <c r="E36" i="10" s="1"/>
  <c r="E38" i="10" s="1"/>
  <c r="D33" i="9" s="1"/>
  <c r="J103" i="15"/>
  <c r="C78" i="70" s="1"/>
  <c r="C59" i="70"/>
  <c r="F34" i="9"/>
  <c r="C62" i="70"/>
  <c r="D103" i="15"/>
  <c r="C70" i="70" s="1"/>
  <c r="D25" i="2"/>
  <c r="D105" i="15"/>
  <c r="C72" i="70" s="1"/>
  <c r="D27" i="2"/>
  <c r="F104" i="15"/>
  <c r="C74" i="70" s="1"/>
  <c r="H26" i="2"/>
  <c r="F103" i="15" l="1"/>
  <c r="C73" i="70" s="1"/>
  <c r="D26" i="2"/>
</calcChain>
</file>

<file path=xl/sharedStrings.xml><?xml version="1.0" encoding="utf-8"?>
<sst xmlns="http://schemas.openxmlformats.org/spreadsheetml/2006/main" count="2730" uniqueCount="1294">
  <si>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</si>
  <si>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</si>
  <si>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</si>
  <si>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</si>
  <si>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</si>
  <si>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</si>
  <si>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</si>
  <si>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</si>
  <si>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</si>
  <si>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</si>
  <si>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</si>
  <si>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</si>
  <si>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</si>
  <si>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</si>
  <si>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</si>
  <si>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</si>
  <si>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</si>
  <si>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</si>
  <si>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</si>
  <si>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</si>
  <si>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</si>
  <si>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</si>
  <si>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</si>
  <si>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</si>
  <si>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</si>
  <si>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</si>
  <si>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</si>
  <si>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</si>
  <si>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</si>
  <si>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</si>
  <si>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</si>
  <si>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</si>
  <si>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</si>
  <si>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</si>
  <si>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</si>
  <si>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</si>
  <si>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</si>
  <si>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</si>
  <si>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</si>
  <si>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</si>
  <si>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</si>
  <si>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INTRAVENEUZE VOEDING</t>
  </si>
  <si>
    <t>Infatrini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</si>
  <si>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</si>
  <si>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</si>
  <si>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</si>
  <si>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</si>
  <si>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</si>
  <si>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</si>
  <si>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</si>
  <si>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</si>
  <si>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</si>
  <si>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</si>
  <si>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</si>
  <si>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</si>
  <si>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</si>
  <si>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</si>
  <si>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</si>
  <si>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</si>
  <si>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</si>
  <si>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Leeftijd (jaren)</t>
  </si>
  <si>
    <t>Leeftijd (maanden)</t>
  </si>
  <si>
    <t>Man</t>
  </si>
  <si>
    <t>Vrouw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</si>
  <si>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</si>
  <si>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</si>
  <si>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</si>
  <si>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</si>
  <si>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</si>
  <si>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</si>
  <si>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</si>
  <si>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</si>
  <si>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</si>
  <si>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MedOplVol_3</t>
  </si>
  <si>
    <t>MedOplVol_4</t>
  </si>
  <si>
    <t>Naam: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</si>
  <si>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</si>
  <si>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</si>
  <si>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</si>
  <si>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</si>
  <si>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</si>
  <si>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</si>
  <si>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</si>
  <si>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</si>
  <si>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</si>
  <si>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</si>
  <si>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</si>
  <si>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</si>
  <si>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</si>
  <si>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</si>
  <si>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</si>
  <si>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</si>
  <si>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</si>
  <si>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</si>
  <si>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</si>
  <si>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</si>
  <si>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</si>
  <si>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</si>
  <si>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</si>
  <si>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</si>
  <si>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</si>
  <si>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</si>
  <si>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</si>
  <si>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</si>
  <si>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</si>
  <si>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</si>
  <si>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</si>
  <si>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</si>
  <si>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</si>
  <si>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</si>
  <si>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</si>
  <si>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</si>
  <si>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</si>
  <si>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</si>
  <si>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</si>
  <si>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</si>
  <si>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</si>
  <si>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</si>
  <si>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</si>
  <si>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</si>
  <si>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</si>
  <si>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</si>
  <si>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</si>
  <si>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</si>
  <si>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</si>
  <si>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</si>
  <si>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</si>
  <si>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</si>
  <si>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</si>
  <si>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</si>
  <si>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</si>
  <si>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</si>
  <si>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</si>
  <si>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</si>
  <si>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</si>
  <si>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</si>
  <si>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</si>
  <si>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</si>
  <si>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</si>
  <si>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</si>
  <si>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</si>
  <si>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</si>
  <si>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</si>
  <si>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</si>
  <si>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</si>
  <si>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</si>
  <si>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</si>
  <si>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</si>
  <si>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</si>
  <si>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</si>
  <si>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</si>
  <si>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</si>
  <si>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</si>
  <si>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</si>
  <si>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</si>
  <si>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</si>
  <si>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</si>
  <si>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</si>
  <si>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</si>
  <si>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</si>
  <si>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</si>
  <si>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</si>
  <si>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</si>
  <si>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</si>
  <si>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</si>
  <si>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</si>
  <si>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</si>
  <si>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</si>
  <si>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</si>
  <si>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</si>
  <si>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</si>
  <si>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</si>
  <si>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</si>
  <si>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</si>
  <si>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</si>
  <si>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</si>
  <si>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</si>
  <si>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</si>
  <si>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</si>
  <si>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</si>
  <si>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</si>
  <si>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</si>
  <si>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</si>
  <si>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</si>
  <si>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</si>
  <si>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</si>
  <si>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</si>
  <si>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</si>
  <si>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</si>
  <si>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</si>
  <si>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</si>
  <si>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</si>
  <si>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</si>
  <si>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</si>
  <si>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</si>
  <si>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</si>
  <si>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</si>
  <si>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</si>
  <si>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</si>
  <si>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</si>
  <si>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</si>
  <si>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</si>
  <si>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</si>
  <si>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</si>
  <si>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</si>
  <si>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</si>
  <si>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</si>
  <si>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</si>
  <si>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</si>
  <si>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</si>
  <si>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</si>
  <si>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</si>
  <si>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</si>
  <si>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</si>
  <si>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</si>
  <si>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</si>
  <si>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</si>
  <si>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</si>
  <si>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</si>
  <si>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</si>
  <si>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</si>
  <si>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</si>
  <si>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</si>
  <si>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</si>
  <si>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</si>
  <si>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</si>
  <si>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</si>
  <si>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</si>
  <si>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</si>
  <si>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</si>
  <si>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</si>
  <si>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</si>
  <si>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</si>
  <si>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</si>
  <si>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</si>
  <si>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</si>
  <si>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</si>
  <si>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</si>
  <si>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</si>
  <si>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</si>
  <si>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</si>
  <si>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</si>
  <si>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</si>
  <si>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</si>
  <si>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</si>
  <si>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</si>
  <si>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</si>
  <si>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</si>
  <si>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</si>
  <si>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</si>
  <si>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</si>
  <si>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</si>
  <si>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</si>
  <si>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</si>
  <si>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</si>
  <si>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</si>
  <si>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</si>
  <si>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</si>
  <si>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</si>
  <si>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</si>
  <si>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</si>
  <si>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</si>
  <si>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</si>
  <si>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</si>
  <si>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</si>
  <si>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</si>
  <si>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</si>
  <si>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</si>
  <si>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</si>
  <si>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</si>
  <si>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</si>
  <si>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</si>
  <si>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</si>
  <si>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</si>
  <si>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</si>
  <si>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</si>
  <si>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</si>
  <si>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</si>
  <si>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</si>
  <si>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</si>
  <si>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</si>
  <si>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</si>
  <si>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</si>
  <si>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</si>
  <si>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</si>
  <si>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</si>
  <si>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</si>
  <si>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</si>
  <si>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</si>
  <si>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</si>
  <si>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</si>
  <si>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</si>
  <si>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</si>
  <si>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</si>
  <si>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</si>
  <si>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</si>
  <si>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</si>
  <si>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</si>
  <si>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</si>
  <si>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</si>
  <si>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</si>
  <si>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</si>
  <si>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</si>
  <si>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</si>
  <si>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</si>
  <si>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</si>
  <si>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</si>
  <si>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</si>
  <si>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</si>
  <si>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</si>
  <si>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</si>
  <si>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</si>
  <si>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</si>
  <si>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</si>
  <si>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</si>
  <si>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</si>
  <si>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</si>
  <si>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</si>
  <si>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</si>
  <si>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</si>
  <si>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</si>
  <si>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</si>
  <si>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</si>
  <si>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</si>
  <si>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</si>
  <si>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</si>
  <si>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</si>
  <si>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</si>
  <si>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</si>
  <si>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</si>
  <si>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</si>
  <si>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</si>
  <si>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</si>
  <si>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</si>
  <si>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</si>
  <si>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</si>
  <si>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</si>
  <si>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</si>
  <si>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</si>
  <si>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</si>
  <si>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</si>
  <si>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</si>
  <si>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</si>
  <si>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</si>
  <si>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</si>
  <si>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</si>
  <si>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</si>
  <si>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</si>
  <si>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</si>
  <si>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</si>
  <si>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</si>
  <si>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Lengte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</si>
  <si>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</si>
  <si>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</si>
  <si>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</si>
  <si>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</si>
  <si>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</si>
  <si>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</si>
  <si>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</si>
  <si>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</si>
  <si>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</si>
  <si>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</si>
  <si>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</si>
  <si>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</si>
  <si>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</si>
  <si>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</si>
  <si>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</si>
  <si>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</si>
  <si>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</si>
  <si>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</si>
  <si>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</si>
  <si>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</si>
  <si>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</si>
  <si>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</si>
  <si>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</si>
  <si>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</si>
  <si>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</si>
  <si>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</si>
  <si>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</si>
  <si>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</si>
  <si>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</si>
  <si>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</si>
  <si>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</si>
  <si>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</si>
  <si>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</si>
  <si>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</si>
  <si>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</si>
  <si>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</si>
  <si>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</si>
  <si>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</si>
  <si>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</si>
  <si>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</si>
  <si>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</si>
  <si>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</si>
  <si>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</si>
  <si>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</si>
  <si>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</si>
  <si>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</si>
  <si>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</si>
  <si>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</si>
  <si>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</si>
  <si>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</si>
  <si>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</si>
  <si>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</si>
  <si>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</si>
  <si>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</si>
  <si>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</si>
  <si>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</si>
  <si>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</si>
  <si>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</si>
  <si>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</si>
  <si>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</si>
  <si>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</si>
  <si>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</si>
  <si>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</si>
  <si>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</si>
  <si>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</si>
  <si>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</si>
  <si>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</si>
  <si>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</si>
  <si>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</si>
  <si>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</si>
  <si>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</si>
  <si>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</si>
  <si>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</si>
  <si>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</si>
  <si>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</si>
  <si>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</si>
  <si>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</si>
  <si>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</si>
  <si>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</si>
  <si>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</si>
  <si>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</si>
  <si>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</si>
  <si>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</si>
  <si>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</si>
  <si>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</si>
  <si>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</si>
  <si>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</si>
  <si>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</si>
  <si>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</si>
  <si>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</si>
  <si>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</si>
  <si>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</si>
  <si>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</si>
  <si>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</si>
  <si>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</si>
  <si>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</si>
  <si>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</si>
  <si>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</si>
  <si>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</si>
  <si>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</si>
  <si>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</si>
  <si>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</si>
  <si>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</si>
  <si>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</si>
  <si>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</si>
  <si>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</si>
  <si>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</si>
  <si>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</si>
  <si>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</si>
  <si>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</si>
  <si>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</si>
  <si>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</si>
  <si>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</si>
  <si>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</si>
  <si>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</si>
  <si>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</si>
  <si>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</si>
  <si>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</si>
  <si>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</si>
  <si>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</si>
  <si>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</si>
  <si>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</si>
  <si>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MM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</si>
  <si>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</si>
  <si>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</si>
  <si>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</si>
  <si>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</si>
  <si>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</si>
  <si>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</si>
  <si>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</si>
  <si>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</si>
  <si>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</si>
  <si>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</si>
  <si>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</si>
  <si>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</si>
  <si>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</si>
  <si>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</si>
  <si>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</si>
  <si>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</si>
  <si>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</si>
  <si>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</si>
  <si>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</si>
  <si>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</si>
  <si>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</si>
  <si>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</si>
  <si>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</si>
  <si>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</si>
  <si>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</si>
  <si>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</si>
  <si>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</si>
  <si>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</si>
  <si>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</si>
  <si>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</si>
  <si>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</si>
  <si>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</si>
  <si>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</si>
  <si>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</si>
  <si>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</si>
  <si>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</si>
  <si>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</si>
  <si>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</si>
  <si>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</si>
  <si>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</si>
  <si>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</si>
  <si>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</si>
  <si>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</si>
  <si>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</si>
  <si>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CVL lijn lumen II: medicatie</t>
  </si>
  <si>
    <t>MedToed_11</t>
  </si>
  <si>
    <t>volume</t>
  </si>
  <si>
    <t>heparine</t>
  </si>
  <si>
    <t>IE/kg/uur</t>
  </si>
  <si>
    <t>15-20 IE/kg/uur</t>
  </si>
  <si>
    <t>0,25-2 mcg/kg/uur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</si>
  <si>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</si>
  <si>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</si>
  <si>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</si>
  <si>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</si>
  <si>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</si>
  <si>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</si>
  <si>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</si>
  <si>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</si>
  <si>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</si>
  <si>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</si>
  <si>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</si>
  <si>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</si>
  <si>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</si>
  <si>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</si>
  <si>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</si>
  <si>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</si>
  <si>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</si>
  <si>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</si>
  <si>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</si>
  <si>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</si>
  <si>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</si>
  <si>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</si>
  <si>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Freq</t>
  </si>
  <si>
    <t>Sonde</t>
  </si>
  <si>
    <t>AfspraakDatum</t>
  </si>
  <si>
    <t>OpnDatum</t>
  </si>
  <si>
    <t>AchterNaam</t>
  </si>
  <si>
    <t>VoorNaam</t>
  </si>
  <si>
    <t>GebDatum</t>
  </si>
  <si>
    <t>opmAfsprBlad__6</t>
  </si>
  <si>
    <t>VolPO_4</t>
  </si>
  <si>
    <t>adrenaline</t>
  </si>
  <si>
    <t>0,5-1 mg/kg/uur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</si>
  <si>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</si>
  <si>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</si>
  <si>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</si>
  <si>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</si>
  <si>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</si>
  <si>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</si>
  <si>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</si>
  <si>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</si>
  <si>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</si>
  <si>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</si>
  <si>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</si>
  <si>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</si>
  <si>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</si>
  <si>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</si>
  <si>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</si>
  <si>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</si>
  <si>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</si>
  <si>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</si>
  <si>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</si>
  <si>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</si>
  <si>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</si>
  <si>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</si>
  <si>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</si>
  <si>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</si>
  <si>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</si>
  <si>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</si>
  <si>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</si>
  <si>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</si>
  <si>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</si>
  <si>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</si>
  <si>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</si>
  <si>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</si>
  <si>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</si>
  <si>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</si>
  <si>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</si>
  <si>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</si>
  <si>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</si>
  <si>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</si>
  <si>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</si>
  <si>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</si>
  <si>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</si>
  <si>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</si>
  <si>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</si>
  <si>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</si>
  <si>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</si>
  <si>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</si>
  <si>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</si>
  <si>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</si>
  <si>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</si>
  <si>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</si>
  <si>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</si>
  <si>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</si>
  <si>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</si>
  <si>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Eenheid_9</t>
  </si>
  <si>
    <t>Glucose/KH</t>
  </si>
  <si>
    <t>Oraal of per sonde</t>
  </si>
  <si>
    <t>Keuze</t>
  </si>
  <si>
    <t>flush</t>
  </si>
  <si>
    <t>RecNo_17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</si>
  <si>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</si>
  <si>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</si>
  <si>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</si>
  <si>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</si>
  <si>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</si>
  <si>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</si>
  <si>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</si>
  <si>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</si>
  <si>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</si>
  <si>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</si>
  <si>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</si>
  <si>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</si>
  <si>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</si>
  <si>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</si>
  <si>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</si>
  <si>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</si>
  <si>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</si>
  <si>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</si>
  <si>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</si>
  <si>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</si>
  <si>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</si>
  <si>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</si>
  <si>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</si>
  <si>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</si>
  <si>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</si>
  <si>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</si>
  <si>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</si>
  <si>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</si>
  <si>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MedToed_12</t>
  </si>
  <si>
    <t>MedToed_13</t>
  </si>
  <si>
    <t>MedToed_14</t>
  </si>
  <si>
    <t>MedToed_15</t>
  </si>
  <si>
    <t>MedToed_16</t>
  </si>
  <si>
    <t>MedToed_17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</si>
  <si>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</si>
  <si>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</si>
  <si>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</si>
  <si>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</si>
  <si>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</si>
  <si>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</si>
  <si>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</si>
  <si>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</si>
  <si>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</si>
  <si>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</si>
  <si>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</si>
  <si>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</si>
  <si>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</si>
  <si>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</si>
  <si>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</si>
  <si>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</si>
  <si>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</si>
  <si>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</si>
  <si>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</si>
  <si>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</si>
  <si>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</si>
  <si>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</si>
  <si>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</si>
  <si>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</si>
  <si>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</si>
  <si>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</si>
  <si>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</si>
  <si>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</si>
  <si>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</si>
  <si>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</si>
  <si>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</si>
  <si>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</si>
  <si>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</si>
  <si>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</si>
  <si>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</si>
  <si>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</si>
  <si>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</si>
  <si>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</si>
  <si>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</si>
  <si>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</si>
  <si>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</si>
  <si>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</si>
  <si>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</si>
  <si>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</si>
  <si>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</si>
  <si>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</si>
  <si>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</si>
  <si>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</si>
  <si>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</si>
  <si>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</si>
  <si>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</si>
  <si>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</si>
  <si>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</si>
  <si>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</si>
  <si>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</si>
  <si>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</si>
  <si>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</si>
  <si>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</si>
  <si>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</si>
  <si>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</si>
  <si>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</si>
  <si>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</si>
  <si>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</si>
  <si>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</si>
  <si>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</si>
  <si>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</si>
  <si>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</si>
  <si>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</si>
  <si>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</si>
  <si>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</si>
  <si>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</si>
  <si>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</si>
  <si>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</si>
  <si>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</si>
  <si>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</si>
  <si>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</si>
  <si>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</si>
  <si>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</si>
  <si>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</si>
  <si>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</si>
  <si>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</si>
  <si>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</si>
  <si>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</si>
  <si>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</si>
  <si>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</si>
  <si>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</si>
  <si>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</si>
  <si>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</si>
  <si>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</si>
  <si>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</si>
  <si>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</si>
  <si>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</si>
  <si>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</si>
  <si>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</si>
  <si>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</si>
  <si>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</si>
  <si>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</si>
  <si>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</si>
  <si>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</si>
  <si>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</si>
  <si>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Sedatie volgens Comfort Scale?</t>
  </si>
  <si>
    <t>Comfort</t>
  </si>
  <si>
    <t>Midazolam</t>
  </si>
  <si>
    <t xml:space="preserve">fenytoïne 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</si>
  <si>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</si>
  <si>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</si>
  <si>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</si>
  <si>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</si>
  <si>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</si>
  <si>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</si>
  <si>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</si>
  <si>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</si>
  <si>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</si>
  <si>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</si>
  <si>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</si>
  <si>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</si>
  <si>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</si>
  <si>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</si>
  <si>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</si>
  <si>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</si>
  <si>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</si>
  <si>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</si>
  <si>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</si>
  <si>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</si>
  <si>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</si>
  <si>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</si>
  <si>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</si>
  <si>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</si>
  <si>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</si>
  <si>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</si>
  <si>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</si>
  <si>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</si>
  <si>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</si>
  <si>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</si>
  <si>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</si>
  <si>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</si>
  <si>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</si>
  <si>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</si>
  <si>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</si>
  <si>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</si>
  <si>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</si>
  <si>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Infuussnelheid</t>
  </si>
  <si>
    <t>SSTglucose</t>
  </si>
  <si>
    <t>MedDosHoev_8</t>
  </si>
  <si>
    <t>MedDosHoev_9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</si>
  <si>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</si>
  <si>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</si>
  <si>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</si>
  <si>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</si>
  <si>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</si>
  <si>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</si>
  <si>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</si>
  <si>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</si>
  <si>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</si>
  <si>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</si>
  <si>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opmAfsprBlad__11</t>
  </si>
  <si>
    <t>opmAfsprBlad__12</t>
  </si>
  <si>
    <t>opmAfsprBlad__13</t>
  </si>
  <si>
    <t>PRVC</t>
  </si>
  <si>
    <t>VS</t>
  </si>
  <si>
    <t>medicament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</si>
  <si>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</si>
  <si>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</si>
  <si>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</si>
  <si>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</si>
  <si>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</si>
  <si>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</si>
  <si>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</si>
  <si>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Perifeer infuus 1: SST 2</t>
  </si>
  <si>
    <t>sc</t>
  </si>
  <si>
    <t>Pomp-snelh.</t>
  </si>
  <si>
    <t>SST2Stand</t>
  </si>
  <si>
    <t>NaCl 0,9%</t>
  </si>
  <si>
    <t>Peditrace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</si>
  <si>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</si>
  <si>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</si>
  <si>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</si>
  <si>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</si>
  <si>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</si>
  <si>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</si>
  <si>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</si>
  <si>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</si>
  <si>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</si>
  <si>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calciumchloride 10%</t>
  </si>
  <si>
    <t>Acuut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</si>
  <si>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</si>
  <si>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</si>
  <si>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</si>
  <si>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</si>
  <si>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</si>
  <si>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</si>
  <si>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</si>
  <si>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</si>
  <si>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</si>
  <si>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</si>
  <si>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</si>
  <si>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MedOplVol_5</t>
  </si>
  <si>
    <t>MedOplVol_6</t>
  </si>
  <si>
    <t>MedOplVol_7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</si>
  <si>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</si>
  <si>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</si>
  <si>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</si>
  <si>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</si>
  <si>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</si>
  <si>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</si>
  <si>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</si>
  <si>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</si>
  <si>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</si>
  <si>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</si>
  <si>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0,6-1,2 mg/kg/uur</t>
  </si>
  <si>
    <t>Adviesdosering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</si>
  <si>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</si>
  <si>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</si>
  <si>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</si>
  <si>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</si>
  <si>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</si>
  <si>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</si>
  <si>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</si>
  <si>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</si>
  <si>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</si>
  <si>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</si>
  <si>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</si>
  <si>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</si>
  <si>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</si>
  <si>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</si>
  <si>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</si>
  <si>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</si>
  <si>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</si>
  <si>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</si>
  <si>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</si>
  <si>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</si>
  <si>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</si>
  <si>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</si>
  <si>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</si>
  <si>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</si>
  <si>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</si>
  <si>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</si>
  <si>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</si>
  <si>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</si>
  <si>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</si>
  <si>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</si>
  <si>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</si>
  <si>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</si>
  <si>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</si>
  <si>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</si>
  <si>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</si>
  <si>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</si>
  <si>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</si>
  <si>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</si>
  <si>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</si>
  <si>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</si>
  <si>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</si>
  <si>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</si>
  <si>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</si>
  <si>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</si>
  <si>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</si>
  <si>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</si>
  <si>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</si>
  <si>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</si>
  <si>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</si>
  <si>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</si>
  <si>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</si>
  <si>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</si>
  <si>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</si>
  <si>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</si>
  <si>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</si>
  <si>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</si>
  <si>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</si>
  <si>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</si>
  <si>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</si>
  <si>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</si>
  <si>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</si>
  <si>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</si>
  <si>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</si>
  <si>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</si>
  <si>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</si>
  <si>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</si>
  <si>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</si>
  <si>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</si>
  <si>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</si>
  <si>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</si>
  <si>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</si>
  <si>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</si>
  <si>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</si>
  <si>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</si>
  <si>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</si>
  <si>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</si>
  <si>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</si>
  <si>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</si>
  <si>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</si>
  <si>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</si>
  <si>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</si>
  <si>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</si>
  <si>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</si>
  <si>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</si>
  <si>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</si>
  <si>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</si>
  <si>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</si>
  <si>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</si>
  <si>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</si>
  <si>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</si>
  <si>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</si>
  <si>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</si>
  <si>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</si>
  <si>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</si>
  <si>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MedIVOplVlst_13</t>
  </si>
  <si>
    <t>MedIVOplVlst_14</t>
  </si>
  <si>
    <t>MedIVOplVlst_15</t>
  </si>
  <si>
    <t>MedIVOplVlst_2</t>
  </si>
  <si>
    <t>Controle_5</t>
  </si>
  <si>
    <t>Controle_6</t>
  </si>
  <si>
    <t>Intern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</si>
  <si>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</si>
  <si>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</si>
  <si>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</si>
  <si>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</si>
  <si>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</si>
  <si>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</si>
  <si>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</si>
  <si>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</si>
  <si>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</si>
  <si>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</si>
  <si>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</si>
  <si>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</si>
  <si>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</si>
  <si>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</si>
  <si>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</si>
  <si>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</si>
  <si>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</si>
  <si>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</si>
  <si>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MedIVOplVlst_1</t>
  </si>
  <si>
    <t>MedIVOplVlst_10</t>
  </si>
  <si>
    <t>MedIVOplVlst_11</t>
  </si>
  <si>
    <t>1 ml/kg;    max 10 ml</t>
  </si>
  <si>
    <t>Infuus_6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</si>
  <si>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</si>
  <si>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</si>
  <si>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</si>
  <si>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</si>
  <si>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</si>
  <si>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</si>
  <si>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</si>
  <si>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</si>
  <si>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</si>
  <si>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</si>
  <si>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</si>
  <si>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</si>
  <si>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</si>
  <si>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</si>
  <si>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</si>
  <si>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</si>
  <si>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</si>
  <si>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</si>
  <si>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</si>
  <si>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</si>
  <si>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</si>
  <si>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</si>
  <si>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</si>
  <si>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</si>
  <si>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</si>
  <si>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</si>
  <si>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</si>
  <si>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</si>
  <si>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</si>
  <si>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</si>
  <si>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</si>
  <si>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</si>
  <si>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</si>
  <si>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</si>
  <si>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</si>
  <si>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</si>
  <si>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</si>
  <si>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</si>
  <si>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</si>
  <si>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</si>
  <si>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</si>
  <si>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</si>
  <si>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</si>
  <si>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</si>
  <si>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</si>
  <si>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</si>
  <si>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</si>
  <si>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</si>
  <si>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</si>
  <si>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</si>
  <si>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</si>
  <si>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</si>
  <si>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</si>
  <si>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</si>
  <si>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</si>
  <si>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</si>
  <si>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</si>
  <si>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</si>
  <si>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</si>
  <si>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</si>
  <si>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</si>
  <si>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</si>
  <si>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</si>
  <si>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</si>
  <si>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</si>
  <si>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</si>
  <si>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</si>
  <si>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</si>
  <si>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</si>
  <si>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</si>
  <si>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</si>
  <si>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</si>
  <si>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</si>
  <si>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</si>
  <si>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</si>
  <si>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</si>
  <si>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</si>
  <si>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</si>
  <si>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</si>
  <si>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</si>
  <si>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</si>
  <si>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</si>
  <si>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</si>
  <si>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</si>
  <si>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</si>
  <si>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</si>
  <si>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</si>
  <si>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</si>
  <si>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</si>
  <si>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</si>
  <si>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</si>
  <si>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</si>
  <si>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</si>
  <si>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</si>
  <si>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</si>
  <si>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</si>
  <si>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</si>
  <si>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</si>
  <si>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</si>
  <si>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</si>
  <si>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</si>
  <si>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</si>
  <si>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</si>
  <si>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</si>
  <si>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</si>
  <si>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</si>
  <si>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</si>
  <si>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</si>
  <si>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</si>
  <si>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</si>
  <si>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</si>
  <si>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</si>
  <si>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</si>
  <si>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</si>
  <si>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</si>
  <si>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</si>
  <si>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</si>
  <si>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</si>
  <si>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</si>
  <si>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</si>
  <si>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</si>
  <si>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</si>
  <si>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</si>
  <si>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</si>
  <si>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</si>
  <si>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</si>
  <si>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</si>
  <si>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</si>
  <si>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</si>
  <si>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</si>
  <si>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</si>
  <si>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</si>
  <si>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</si>
  <si>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</si>
  <si>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</si>
  <si>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</si>
  <si>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</si>
  <si>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</si>
  <si>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</si>
  <si>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</si>
  <si>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</si>
  <si>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</si>
  <si>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</si>
  <si>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</si>
  <si>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</si>
  <si>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</si>
  <si>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</si>
  <si>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MedOpl_8</t>
  </si>
  <si>
    <t>MedOpl_9</t>
  </si>
  <si>
    <t>MedOplVol_1</t>
  </si>
  <si>
    <t>MedOplVol_10</t>
  </si>
  <si>
    <t>MedOplVol_11</t>
  </si>
  <si>
    <t>MedOplVol_12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</si>
  <si>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</si>
  <si>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</si>
  <si>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</si>
  <si>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</si>
  <si>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</si>
  <si>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</si>
  <si>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</si>
  <si>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</si>
  <si>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</si>
  <si>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</si>
  <si>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</si>
  <si>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</si>
  <si>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</si>
  <si>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</si>
  <si>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</si>
  <si>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</si>
  <si>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</si>
  <si>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</si>
  <si>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</si>
  <si>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</si>
  <si>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</si>
  <si>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</si>
  <si>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</si>
  <si>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</si>
  <si>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</si>
  <si>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</si>
  <si>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</si>
  <si>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</si>
  <si>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</si>
  <si>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</si>
  <si>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</si>
  <si>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</si>
  <si>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Op geleide van spiegels</t>
  </si>
  <si>
    <t>5 dd</t>
  </si>
  <si>
    <t>zn</t>
  </si>
  <si>
    <t>1-3 mg/kg/uur</t>
  </si>
  <si>
    <t>ml/u</t>
  </si>
  <si>
    <t>AfsprakenVersie</t>
  </si>
  <si>
    <t>Frequentie</t>
  </si>
  <si>
    <t>Route</t>
  </si>
  <si>
    <t>Opm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</si>
  <si>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</si>
  <si>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</si>
  <si>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</si>
  <si>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</si>
  <si>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</si>
  <si>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</si>
  <si>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</si>
  <si>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</si>
  <si>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</si>
  <si>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Glucose 5% + NaCl 0,45%</t>
  </si>
  <si>
    <t>Glucose 5% + NaCl 0,9%</t>
  </si>
  <si>
    <t>Ringer lactaat</t>
  </si>
  <si>
    <t>Geboortedatum</t>
  </si>
  <si>
    <t>Datum</t>
  </si>
  <si>
    <t>Naam</t>
  </si>
  <si>
    <t>Generiek</t>
  </si>
  <si>
    <t>paracetamol</t>
  </si>
  <si>
    <t>2 tot 6</t>
  </si>
  <si>
    <t>6 tot 11</t>
  </si>
  <si>
    <t>vanaf 11</t>
  </si>
  <si>
    <t>generic</t>
  </si>
  <si>
    <t>doseUnit</t>
  </si>
  <si>
    <t>advice</t>
  </si>
  <si>
    <t>unit</t>
  </si>
  <si>
    <t>strength</t>
  </si>
  <si>
    <t>sol</t>
  </si>
  <si>
    <t>esmolol</t>
  </si>
  <si>
    <t>fenylefrine</t>
  </si>
  <si>
    <t>EH</t>
  </si>
  <si>
    <t>insuline</t>
  </si>
  <si>
    <t>labetalol</t>
  </si>
  <si>
    <t>magnesiumsulfaat</t>
  </si>
  <si>
    <t>milrinone</t>
  </si>
  <si>
    <t>rate</t>
  </si>
  <si>
    <t>dose</t>
  </si>
  <si>
    <t>Standard</t>
  </si>
  <si>
    <t>Set</t>
  </si>
  <si>
    <t>Calculated</t>
  </si>
  <si>
    <t>5-15 mcg/kg/min</t>
  </si>
  <si>
    <t>0,1-1 mg/kg/min</t>
  </si>
  <si>
    <t>mg/kg/min</t>
  </si>
  <si>
    <t>Row</t>
  </si>
  <si>
    <t>Opl Ml</t>
  </si>
  <si>
    <t>Opl Vlstf</t>
  </si>
  <si>
    <t>Vol</t>
  </si>
  <si>
    <t>Gluc 5</t>
  </si>
  <si>
    <t>Gluc 10</t>
  </si>
  <si>
    <t>No</t>
  </si>
  <si>
    <t>_AchterNaam</t>
  </si>
  <si>
    <t>_VoorNaam</t>
  </si>
  <si>
    <t>0,5-1 mcg/kg/min</t>
  </si>
  <si>
    <t>3-20 mg/kg/uur (=0,01-0,08 mmol/kg/uur)</t>
  </si>
  <si>
    <t>mmol</t>
  </si>
  <si>
    <t>fentanyl</t>
  </si>
  <si>
    <t>1-5 mcg/kg/uur</t>
  </si>
  <si>
    <t>epi bupi 2,5mg, sufenta 1 mcg /ml</t>
  </si>
  <si>
    <t>epi bupi 2,5mg /ml</t>
  </si>
  <si>
    <t>N.B. Epiduraal, bereiden en voorschrijven volgens protocol en/of voorschrift anesthesist!</t>
  </si>
  <si>
    <t>3,5-10 kg</t>
  </si>
  <si>
    <t>Nutrilon Standaard 1 (&lt; 6 mnd)</t>
  </si>
  <si>
    <t>Nutrilon Standaard 2 (&gt; 6 mnd)</t>
  </si>
  <si>
    <t>Ingredienten per mL</t>
  </si>
  <si>
    <t>ingredienten per 100 mL</t>
  </si>
  <si>
    <t>Infatrini Peptisorb (resorptie)</t>
  </si>
  <si>
    <t>Nutrilon Pepti 1 (allergie)</t>
  </si>
  <si>
    <t>10-20 kg</t>
  </si>
  <si>
    <t>Nutrini Multi Fibre</t>
  </si>
  <si>
    <t>Nutrini Energy Multi Fibre</t>
  </si>
  <si>
    <t>Nutrini Peptisorb (resorptie)</t>
  </si>
  <si>
    <t>Nutrilon Pepti 2 (allergie)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</si>
  <si>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</si>
  <si>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</si>
  <si>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</si>
  <si>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</si>
  <si>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</si>
  <si>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</si>
  <si>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Nutrison Adv Peptisorb (resorptie)</t>
  </si>
  <si>
    <t>Poeder1</t>
  </si>
  <si>
    <t>Poeder2</t>
  </si>
  <si>
    <t>Poeder3</t>
  </si>
  <si>
    <t>Poeder4</t>
  </si>
  <si>
    <t>Sum</t>
  </si>
  <si>
    <t>SpecVoed</t>
  </si>
  <si>
    <t>Enteraal voeding</t>
  </si>
  <si>
    <t>Maagsonde voeding</t>
  </si>
  <si>
    <t>Maagsonde hevelen</t>
  </si>
  <si>
    <t>Duodenumsonde voeding</t>
  </si>
  <si>
    <t>PEG voeding</t>
  </si>
  <si>
    <t>Sonde keuze</t>
  </si>
  <si>
    <t>Schreppers</t>
  </si>
  <si>
    <t>IE</t>
  </si>
  <si>
    <t>microgr</t>
  </si>
  <si>
    <t>100 mg</t>
  </si>
  <si>
    <t>MedStart_1</t>
  </si>
  <si>
    <t>MedStart_10</t>
  </si>
  <si>
    <t>MedStart_11</t>
  </si>
  <si>
    <t>MedStart_12</t>
  </si>
  <si>
    <t>MedStart_13</t>
  </si>
  <si>
    <t>MedStart_14</t>
  </si>
  <si>
    <t>MedStart_15</t>
  </si>
  <si>
    <t>MedStart_16</t>
  </si>
  <si>
    <t>MedStart_17</t>
  </si>
  <si>
    <t>MedStart_18</t>
  </si>
  <si>
    <t>MedStart_19</t>
  </si>
  <si>
    <t>MedStart_2</t>
  </si>
  <si>
    <t>MedStart_20</t>
  </si>
  <si>
    <t>MedStart_3</t>
  </si>
  <si>
    <t>MedStart_4</t>
  </si>
  <si>
    <t>MedStart_5</t>
  </si>
  <si>
    <t>MedStart_6</t>
  </si>
  <si>
    <t>MedStart_7</t>
  </si>
  <si>
    <t>MedStart_8</t>
  </si>
  <si>
    <t>MedStart_9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</si>
</sst>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\ mmmm\ \y\y\y\y"/>
    <numFmt numFmtId="165" formatCode="dd\/mm\/\y\y"/>
    <numFmt numFmtId="166" formatCode="d/mmm/yyyy"/>
    <numFmt numFmtId="167" formatCode="d\ mmmm\ yyyy"/>
    <numFmt numFmtId="168" formatCode="0.0"/>
    <numFmt numFmtId="169" formatCode="0.000"/>
  </numFmts>
  <fonts count="57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sz val="12"/>
      <color rgb="FF000000"/>
      <name val="Calibri"/>
      <family val="2"/>
      <scheme val="minor"/>
    </font>
    <font>
      <b/>
      <sz val="10"/>
      <color theme="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CC"/>
        <bgColor indexed="64"/>
      </patternFill>
    </fill>
  </fills>
  <borders count="5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05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5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0" xfId="0" applyFont="1" applyFill="1" applyBorder="1"/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7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6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37" xfId="0" applyFont="1" applyFill="1" applyBorder="1" applyProtection="1"/>
    <xf numFmtId="0" fontId="13" fillId="0" borderId="37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Alignment="1" applyProtection="1">
      <alignment horizontal="center"/>
      <protection locked="0"/>
    </xf>
    <xf numFmtId="0" fontId="4" fillId="0" borderId="38" xfId="0" applyFont="1" applyFill="1" applyBorder="1" applyProtection="1"/>
    <xf numFmtId="0" fontId="13" fillId="0" borderId="38" xfId="0" applyFont="1" applyFill="1" applyBorder="1" applyProtection="1"/>
    <xf numFmtId="0" fontId="4" fillId="0" borderId="37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/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37" xfId="0" applyFont="1" applyFill="1" applyBorder="1" applyProtection="1"/>
    <xf numFmtId="0" fontId="29" fillId="0" borderId="0" xfId="0" applyFont="1" applyFill="1" applyBorder="1" applyProtection="1"/>
    <xf numFmtId="167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39" xfId="0" applyFont="1" applyFill="1" applyBorder="1" applyProtection="1"/>
    <xf numFmtId="0" fontId="4" fillId="0" borderId="39" xfId="0" applyFont="1" applyFill="1" applyBorder="1" applyProtection="1"/>
    <xf numFmtId="0" fontId="13" fillId="0" borderId="39" xfId="0" applyFont="1" applyFill="1" applyBorder="1" applyProtection="1"/>
    <xf numFmtId="0" fontId="9" fillId="25" borderId="40" xfId="0" applyFont="1" applyFill="1" applyBorder="1" applyProtection="1"/>
    <xf numFmtId="0" fontId="4" fillId="0" borderId="40" xfId="0" applyFont="1" applyFill="1" applyBorder="1" applyProtection="1"/>
    <xf numFmtId="0" fontId="13" fillId="0" borderId="40" xfId="0" applyFont="1" applyFill="1" applyBorder="1" applyProtection="1"/>
    <xf numFmtId="0" fontId="13" fillId="25" borderId="40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69" fontId="0" fillId="0" borderId="0" xfId="0" applyNumberFormat="1"/>
    <xf numFmtId="168" fontId="0" fillId="0" borderId="0" xfId="0" applyNumberFormat="1"/>
    <xf numFmtId="166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1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2" xfId="0" applyFont="1" applyFill="1" applyBorder="1"/>
    <xf numFmtId="0" fontId="13" fillId="0" borderId="43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2" xfId="0" applyFont="1" applyFill="1" applyBorder="1" applyAlignment="1">
      <alignment horizontal="center"/>
    </xf>
    <xf numFmtId="0" fontId="13" fillId="0" borderId="42" xfId="0" applyFont="1" applyFill="1" applyBorder="1" applyAlignment="1">
      <alignment horizontal="left"/>
    </xf>
    <xf numFmtId="0" fontId="4" fillId="0" borderId="42" xfId="0" applyFont="1" applyFill="1" applyBorder="1"/>
    <xf numFmtId="0" fontId="4" fillId="0" borderId="44" xfId="0" applyFont="1" applyFill="1" applyBorder="1"/>
    <xf numFmtId="0" fontId="13" fillId="0" borderId="44" xfId="0" applyFont="1" applyFill="1" applyBorder="1"/>
    <xf numFmtId="0" fontId="4" fillId="0" borderId="45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5" xfId="0" applyFont="1" applyFill="1" applyBorder="1" applyProtection="1">
      <protection locked="0" hidden="1"/>
    </xf>
    <xf numFmtId="0" fontId="13" fillId="0" borderId="46" xfId="0" applyFont="1" applyFill="1" applyBorder="1"/>
    <xf numFmtId="0" fontId="13" fillId="0" borderId="45" xfId="0" applyFont="1" applyFill="1" applyBorder="1"/>
    <xf numFmtId="0" fontId="13" fillId="0" borderId="47" xfId="0" applyFont="1" applyFill="1" applyBorder="1"/>
    <xf numFmtId="0" fontId="9" fillId="0" borderId="0" xfId="0" applyFont="1" applyFill="1" applyBorder="1"/>
    <xf numFmtId="0" fontId="13" fillId="26" borderId="42" xfId="0" applyFont="1" applyFill="1" applyBorder="1"/>
    <xf numFmtId="0" fontId="13" fillId="26" borderId="44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1" xfId="0" applyFont="1" applyFill="1" applyBorder="1"/>
    <xf numFmtId="0" fontId="13" fillId="0" borderId="41" xfId="0" applyFont="1" applyFill="1" applyBorder="1" applyAlignment="1">
      <alignment horizontal="left"/>
    </xf>
    <xf numFmtId="0" fontId="13" fillId="0" borderId="41" xfId="0" applyFont="1" applyFill="1" applyBorder="1"/>
    <xf numFmtId="0" fontId="13" fillId="0" borderId="41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41" xfId="0" applyFont="1" applyFill="1" applyBorder="1" applyAlignment="1">
      <alignment horizontal="center"/>
    </xf>
    <xf numFmtId="49" fontId="13" fillId="0" borderId="41" xfId="0" applyNumberFormat="1" applyFont="1" applyFill="1" applyBorder="1" applyAlignment="1">
      <alignment horizontal="left" vertical="top" wrapText="1"/>
    </xf>
    <xf numFmtId="0" fontId="13" fillId="0" borderId="41" xfId="0" applyNumberFormat="1" applyFont="1" applyFill="1" applyBorder="1" applyAlignment="1"/>
    <xf numFmtId="0" fontId="13" fillId="0" borderId="41" xfId="0" applyFont="1" applyFill="1" applyBorder="1" applyAlignment="1" applyProtection="1">
      <alignment horizontal="left"/>
      <protection locked="0"/>
    </xf>
    <xf numFmtId="0" fontId="13" fillId="0" borderId="41" xfId="0" applyFont="1" applyFill="1" applyBorder="1" applyAlignment="1">
      <alignment shrinkToFit="1"/>
    </xf>
    <xf numFmtId="0" fontId="2" fillId="0" borderId="41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48" xfId="0" applyFont="1" applyFill="1" applyBorder="1"/>
    <xf numFmtId="0" fontId="6" fillId="0" borderId="48" xfId="0" applyFont="1" applyFill="1" applyBorder="1" applyAlignment="1">
      <alignment horizontal="center"/>
    </xf>
    <xf numFmtId="0" fontId="17" fillId="0" borderId="48" xfId="0" applyFont="1" applyFill="1" applyBorder="1"/>
    <xf numFmtId="0" fontId="22" fillId="0" borderId="48" xfId="0" applyFont="1" applyFill="1" applyBorder="1"/>
    <xf numFmtId="0" fontId="3" fillId="0" borderId="38" xfId="0" applyFont="1" applyFill="1" applyBorder="1" applyProtection="1"/>
    <xf numFmtId="0" fontId="3" fillId="0" borderId="37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39" xfId="0" applyFont="1" applyFill="1" applyBorder="1" applyAlignment="1" applyProtection="1">
      <alignment horizontal="right"/>
    </xf>
    <xf numFmtId="0" fontId="52" fillId="0" borderId="39" xfId="0" applyFont="1" applyFill="1" applyBorder="1" applyProtection="1"/>
    <xf numFmtId="0" fontId="52" fillId="0" borderId="0" xfId="0" applyFont="1" applyFill="1" applyBorder="1" applyProtection="1"/>
    <xf numFmtId="0" fontId="52" fillId="0" borderId="40" xfId="0" applyFont="1" applyFill="1" applyBorder="1" applyProtection="1"/>
    <xf numFmtId="0" fontId="52" fillId="0" borderId="0" xfId="0" applyFont="1" applyBorder="1" applyAlignment="1"/>
    <xf numFmtId="0" fontId="52" fillId="0" borderId="40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" fillId="0" borderId="0" xfId="0" applyFont="1"/>
    <xf numFmtId="0" fontId="8" fillId="0" borderId="0" xfId="0" applyFont="1" applyFill="1" applyProtection="1"/>
    <xf numFmtId="0" fontId="13" fillId="29" borderId="0" xfId="0" applyFont="1" applyFill="1" applyProtection="1"/>
    <xf numFmtId="0" fontId="2" fillId="29" borderId="0" xfId="0" applyFont="1" applyFill="1" applyProtection="1"/>
    <xf numFmtId="0" fontId="13" fillId="29" borderId="0" xfId="0" applyFont="1" applyFill="1" applyBorder="1" applyAlignment="1">
      <alignment horizontal="left"/>
    </xf>
    <xf numFmtId="15" fontId="4" fillId="29" borderId="0" xfId="0" applyNumberFormat="1" applyFont="1" applyFill="1" applyBorder="1" applyAlignment="1">
      <alignment horizontal="left"/>
    </xf>
    <xf numFmtId="0" fontId="13" fillId="29" borderId="0" xfId="0" applyFont="1" applyFill="1" applyBorder="1" applyAlignment="1"/>
    <xf numFmtId="15" fontId="4" fillId="29" borderId="0" xfId="0" applyNumberFormat="1" applyFont="1" applyFill="1" applyBorder="1" applyAlignment="1" applyProtection="1">
      <alignment horizontal="left"/>
      <protection locked="0"/>
    </xf>
    <xf numFmtId="0" fontId="13" fillId="29" borderId="0" xfId="0" applyFont="1" applyFill="1"/>
    <xf numFmtId="0" fontId="4" fillId="29" borderId="0" xfId="0" applyFont="1" applyFill="1" applyBorder="1" applyAlignment="1" applyProtection="1">
      <alignment horizontal="left"/>
      <protection locked="0"/>
    </xf>
    <xf numFmtId="0" fontId="4" fillId="29" borderId="0" xfId="0" applyFont="1" applyFill="1" applyBorder="1" applyAlignment="1">
      <alignment horizontal="left"/>
    </xf>
    <xf numFmtId="0" fontId="13" fillId="29" borderId="0" xfId="0" applyFont="1" applyFill="1" applyBorder="1" applyProtection="1"/>
    <xf numFmtId="1" fontId="4" fillId="29" borderId="0" xfId="0" applyNumberFormat="1" applyFont="1" applyFill="1" applyBorder="1" applyAlignment="1">
      <alignment horizontal="left"/>
    </xf>
    <xf numFmtId="0" fontId="8" fillId="29" borderId="0" xfId="0" applyFont="1" applyFill="1" applyProtection="1"/>
    <xf numFmtId="0" fontId="8" fillId="0" borderId="0" xfId="0" applyFont="1" applyFill="1" applyBorder="1" applyProtection="1"/>
    <xf numFmtId="0" fontId="1" fillId="0" borderId="0" xfId="0" applyFont="1" applyFill="1" applyBorder="1"/>
    <xf numFmtId="0" fontId="55" fillId="0" borderId="0" xfId="0" applyFont="1"/>
    <xf numFmtId="0" fontId="1" fillId="0" borderId="0" xfId="0" applyFont="1" applyAlignment="1">
      <alignment wrapText="1"/>
    </xf>
    <xf numFmtId="0" fontId="56" fillId="0" borderId="0" xfId="0" applyFont="1" applyFill="1" applyBorder="1" applyAlignment="1" applyProtection="1">
      <alignment horizontal="center"/>
    </xf>
    <xf numFmtId="0" fontId="1" fillId="0" borderId="0" xfId="0" applyFont="1" applyFill="1" applyProtection="1">
      <protection locked="0" hidden="1"/>
    </xf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0" xfId="0" applyFont="1" applyFill="1" applyBorder="1" applyAlignment="1" applyProtection="1">
      <alignment horizontal="left" vertical="center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6" fillId="0" borderId="0" xfId="0" applyFont="1" applyFill="1" applyBorder="1" applyAlignment="1">
      <alignment horizontal="left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49" xfId="0" applyNumberFormat="1" applyBorder="1" applyAlignment="1"/>
    <xf numFmtId="15" fontId="0" fillId="0" borderId="49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0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1" xfId="0" applyFont="1" applyBorder="1" applyAlignment="1">
      <alignment vertical="top" wrapText="1"/>
    </xf>
    <xf numFmtId="0" fontId="22" fillId="0" borderId="52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3" fillId="0" borderId="51" xfId="0" applyFont="1" applyBorder="1" applyAlignment="1">
      <alignment horizontal="center" vertical="top" wrapText="1"/>
    </xf>
    <xf numFmtId="0" fontId="13" fillId="0" borderId="52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13" fillId="0" borderId="50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4" fillId="0" borderId="51" xfId="0" applyFont="1" applyBorder="1" applyAlignment="1">
      <alignment vertical="top" wrapText="1"/>
    </xf>
    <xf numFmtId="0" fontId="14" fillId="0" borderId="52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5">
    <dxf>
      <font>
        <b/>
        <i val="0"/>
        <condense val="0"/>
        <extend val="0"/>
      </font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attachedToolbars" Target="attachedToolbars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Drop" dropStyle="combo" dx="16" fmlaLink="ber_IVmed!$B$3" fmlaRange="tblMedicationContIV" sel="15" val="0"/>
</file>

<file path=xl/ctrlProps/ctrlProp2.xml><?xml version="1.0" encoding="utf-8"?>
<formControlPr xmlns="http://schemas.microsoft.com/office/spreadsheetml/2009/9/main" objectType="Drop" dropStyle="combo" dx="16" fmlaLink="ber_IVmed!$B$4" fmlaRange="tblMedicationContIV" sel="17" val="20"/>
</file>

<file path=xl/ctrlProps/ctrlProp3.xml><?xml version="1.0" encoding="utf-8"?>
<formControlPr xmlns="http://schemas.microsoft.com/office/spreadsheetml/2009/9/main" objectType="Drop" dropStyle="combo" dx="16" fmlaLink="ber_IVmed!$B$5" fmlaRange="tblMedicationContIV" sel="6" val="21"/>
</file>

<file path=xl/ctrlProps/ctrlProp4.xml><?xml version="1.0" encoding="utf-8"?>
<formControlPr xmlns="http://schemas.microsoft.com/office/spreadsheetml/2009/9/main" objectType="Drop" dropStyle="combo" dx="16" fmlaLink="ber_IVmed!$B$6" fmlaRange="tblMedicationContIV" sel="1" val="0"/>
</file>

<file path=xl/ctrlProps/ctrlProp5.xml><?xml version="1.0" encoding="utf-8"?>
<formControlPr xmlns="http://schemas.microsoft.com/office/spreadsheetml/2009/9/main" objectType="Drop" dropStyle="combo" dx="16" fmlaLink="ber_IVmed!$B$7" fmlaRange="tblMedicationContIV" sel="1" val="0"/>
</file>

<file path=xl/ctrlProps/ctrlProp6.xml><?xml version="1.0" encoding="utf-8"?>
<formControlPr xmlns="http://schemas.microsoft.com/office/spreadsheetml/2009/9/main" objectType="Drop" dropStyle="combo" dx="16" fmlaLink="ber_IVmed!$B$8" fmlaRange="tblMedicationContIV" sel="1" val="0"/>
</file>

<file path=xl/ctrlProps/ctrlProp7.xml><?xml version="1.0" encoding="utf-8"?>
<formControlPr xmlns="http://schemas.microsoft.com/office/spreadsheetml/2009/9/main" objectType="Drop" dropStyle="combo" dx="16" fmlaLink="ber_IVmed!$B$9" fmlaRange="tblMedicationContIV" sel="1" val="8"/>
</file>

<file path=xl/ctrlProps/ctrlProp8.xml><?xml version="1.0" encoding="utf-8"?>
<formControlPr xmlns="http://schemas.microsoft.com/office/spreadsheetml/2009/9/main" objectType="Drop" dropStyle="combo" dx="16" fmlaLink="ber_IVmed!$B$10" fmlaRange="tblMedicationContIV" sel="1" val="0"/>
</file>

<file path=xl/ctrlProps/ctrlProp9.xml><?xml version="1.0" encoding="utf-8"?>
<formControlPr xmlns="http://schemas.microsoft.com/office/spreadsheetml/2009/9/main" objectType="Drop" dropStyle="combo" dx="16" fmlaLink="ber_IVmed!$B$11" fmlaRange="tblMedicationContIV" sel="1" val="0"/>
</file>

<file path=xl/ctrlProps/ctrlProp10.xml><?xml version="1.0" encoding="utf-8"?>
<formControlPr xmlns="http://schemas.microsoft.com/office/spreadsheetml/2009/9/main" objectType="Drop" dropStyle="combo" dx="16" fmlaLink="ber_IVmed!$F$3" fmlaRange="tblOplossing" sel="1" val="0"/>
</file>

<file path=xl/ctrlProps/ctrlProp11.xml><?xml version="1.0" encoding="utf-8"?>
<formControlPr xmlns="http://schemas.microsoft.com/office/spreadsheetml/2009/9/main" objectType="Drop" dropStyle="combo" dx="16" fmlaLink="ber_IVmed!$F$4" fmlaRange="tblOplossing" sel="2" val="0"/>
</file>

<file path=xl/ctrlProps/ctrlProp12.xml><?xml version="1.0" encoding="utf-8"?>
<formControlPr xmlns="http://schemas.microsoft.com/office/spreadsheetml/2009/9/main" objectType="Drop" dropStyle="combo" dx="16" fmlaLink="ber_IVmed!$F$5" fmlaRange="tblOplossing" sel="1" val="0"/>
</file>

<file path=xl/ctrlProps/ctrlProp13.xml><?xml version="1.0" encoding="utf-8"?>
<formControlPr xmlns="http://schemas.microsoft.com/office/spreadsheetml/2009/9/main" objectType="Drop" dropStyle="combo" dx="16" fmlaLink="ber_IVmed!$F$6" fmlaRange="tblOplossing" sel="1" val="0"/>
</file>

<file path=xl/ctrlProps/ctrlProp14.xml><?xml version="1.0" encoding="utf-8"?>
<formControlPr xmlns="http://schemas.microsoft.com/office/spreadsheetml/2009/9/main" objectType="Drop" dropStyle="combo" dx="16" fmlaLink="ber_IVmed!$F$7" fmlaRange="tblOplossing" sel="1" val="0"/>
</file>

<file path=xl/ctrlProps/ctrlProp15.xml><?xml version="1.0" encoding="utf-8"?>
<formControlPr xmlns="http://schemas.microsoft.com/office/spreadsheetml/2009/9/main" objectType="Drop" dropStyle="combo" dx="16" fmlaLink="ber_IVmed!$F$8" fmlaRange="tblOplossing" sel="1" val="0"/>
</file>

<file path=xl/ctrlProps/ctrlProp16.xml><?xml version="1.0" encoding="utf-8"?>
<formControlPr xmlns="http://schemas.microsoft.com/office/spreadsheetml/2009/9/main" objectType="Drop" dropStyle="combo" dx="16" fmlaLink="ber_IVmed!$F$9" fmlaRange="tblOplossing" sel="1" val="0"/>
</file>

<file path=xl/ctrlProps/ctrlProp17.xml><?xml version="1.0" encoding="utf-8"?>
<formControlPr xmlns="http://schemas.microsoft.com/office/spreadsheetml/2009/9/main" objectType="Drop" dropStyle="combo" dx="16" fmlaLink="ber_IVmed!$F$10" fmlaRange="tblOplossing" sel="1" val="0"/>
</file>

<file path=xl/ctrlProps/ctrlProp18.xml><?xml version="1.0" encoding="utf-8"?>
<formControlPr xmlns="http://schemas.microsoft.com/office/spreadsheetml/2009/9/main" objectType="Drop" dropStyle="combo" dx="16" fmlaLink="ber_IVmed!$F$11" fmlaRange="tblOplossing" sel="1" val="0"/>
</file>

<file path=xl/ctrlProps/ctrlProp19.xml><?xml version="1.0" encoding="utf-8"?>
<formControlPr xmlns="http://schemas.microsoft.com/office/spreadsheetml/2009/9/main" objectType="Drop" dropStyle="combo" dx="16" fmlaLink="ber_IVmed!$F$15" fmlaRange="tblOplossing" sel="1" val="0"/>
</file>

<file path=xl/ctrlProps/ctrlProp20.xml><?xml version="1.0" encoding="utf-8"?>
<formControlPr xmlns="http://schemas.microsoft.com/office/spreadsheetml/2009/9/main" objectType="Drop" dropStyle="combo" dx="16" fmlaLink="ber_IVmed!$F$13" fmlaRange="oplossing" sel="0" val="0"/>
</file>

<file path=xl/ctrlProps/ctrlProp21.xml><?xml version="1.0" encoding="utf-8"?>
<formControlPr xmlns="http://schemas.microsoft.com/office/spreadsheetml/2009/9/main" objectType="Drop" dropStyle="combo" dx="16" fmlaLink="ber_IVmed!$F$14" fmlaRange="oplossing" sel="0" val="0"/>
</file>

<file path=xl/ctrlProps/ctrlProp22.xml><?xml version="1.0" encoding="utf-8"?>
<formControlPr xmlns="http://schemas.microsoft.com/office/spreadsheetml/2009/9/main" objectType="Spin" dx="15" fmlaLink="ber_IVmed!$E$15" max="100" min="1" page="10"/>
</file>

<file path=xl/ctrlProps/ctrlProp23.xml><?xml version="1.0" encoding="utf-8"?>
<formControlPr xmlns="http://schemas.microsoft.com/office/spreadsheetml/2009/9/main" objectType="Drop" dropStyle="combo" dx="16" fmlaLink="ber_IVmed!$F$16" fmlaRange="tblOplossing" sel="1" val="0"/>
</file>

<file path=xl/ctrlProps/ctrlProp24.xml><?xml version="1.0" encoding="utf-8"?>
<formControlPr xmlns="http://schemas.microsoft.com/office/spreadsheetml/2009/9/main" objectType="Spin" dx="15" fmlaLink="ber_IVmed!$E$16" max="100" min="1" page="10"/>
</file>

<file path=xl/ctrlProps/ctrlProp25.xml><?xml version="1.0" encoding="utf-8"?>
<formControlPr xmlns="http://schemas.microsoft.com/office/spreadsheetml/2009/9/main" objectType="Drop" dropStyle="combo" dx="16" fmlaLink="ber_IVmed!$F$17" fmlaRange="tblOplossing" sel="1" val="0"/>
</file>

<file path=xl/ctrlProps/ctrlProp26.xml><?xml version="1.0" encoding="utf-8"?>
<formControlPr xmlns="http://schemas.microsoft.com/office/spreadsheetml/2009/9/main" objectType="Spin" dx="15" fmlaLink="ber_IVmed!$E$17" max="100" min="1" page="10"/>
</file>

<file path=xl/ctrlProps/ctrlProp27.xml><?xml version="1.0" encoding="utf-8"?>
<formControlPr xmlns="http://schemas.microsoft.com/office/spreadsheetml/2009/9/main" objectType="Spin" dx="15" fmlaLink="ber_IVmed!$G$15" max="500" page="10" val="0"/>
</file>

<file path=xl/ctrlProps/ctrlProp28.xml><?xml version="1.0" encoding="utf-8"?>
<formControlPr xmlns="http://schemas.microsoft.com/office/spreadsheetml/2009/9/main" objectType="Spin" dx="15" fmlaLink="ber_IVmed!$G$16" max="500" page="10" val="0"/>
</file>

<file path=xl/ctrlProps/ctrlProp29.xml><?xml version="1.0" encoding="utf-8"?>
<formControlPr xmlns="http://schemas.microsoft.com/office/spreadsheetml/2009/9/main" objectType="Spin" dx="15" fmlaLink="ber_IVmed!$G$17" max="500" page="10" val="0"/>
</file>

<file path=xl/ctrlProps/ctrlProp30.xml><?xml version="1.0" encoding="utf-8"?>
<formControlPr xmlns="http://schemas.microsoft.com/office/spreadsheetml/2009/9/main" objectType="Drop" dropStyle="combo" dx="16" fmlaLink="ber_IVmed!$F$13" fmlaRange="tblOplossing" sel="2" val="0"/>
</file>

<file path=xl/ctrlProps/ctrlProp31.xml><?xml version="1.0" encoding="utf-8"?>
<formControlPr xmlns="http://schemas.microsoft.com/office/spreadsheetml/2009/9/main" objectType="Spin" dx="15" fmlaLink="ber_IVmed!$E$13" max="100" min="1" page="10"/>
</file>

<file path=xl/ctrlProps/ctrlProp32.xml><?xml version="1.0" encoding="utf-8"?>
<formControlPr xmlns="http://schemas.microsoft.com/office/spreadsheetml/2009/9/main" objectType="Spin" dx="15" fmlaLink="ber_IVmed!$G$13" max="500" page="10" val="10"/>
</file>

<file path=xl/ctrlProps/ctrlProp33.xml><?xml version="1.0" encoding="utf-8"?>
<formControlPr xmlns="http://schemas.microsoft.com/office/spreadsheetml/2009/9/main" objectType="Drop" dropStyle="combo" dx="16" fmlaLink="ber_IVmed!$F$14" fmlaRange="tblOplossing" sel="1" val="0"/>
</file>

<file path=xl/ctrlProps/ctrlProp34.xml><?xml version="1.0" encoding="utf-8"?>
<formControlPr xmlns="http://schemas.microsoft.com/office/spreadsheetml/2009/9/main" objectType="Spin" dx="15" fmlaLink="ber_IVmed!$E$14" max="100" min="1" page="10"/>
</file>

<file path=xl/ctrlProps/ctrlProp35.xml><?xml version="1.0" encoding="utf-8"?>
<formControlPr xmlns="http://schemas.microsoft.com/office/spreadsheetml/2009/9/main" objectType="Spin" dx="15" fmlaLink="ber_IVmed!$G$14" max="500" page="10" val="0"/>
</file>

<file path=xl/ctrlProps/ctrlProp36.xml><?xml version="1.0" encoding="utf-8"?>
<formControlPr xmlns="http://schemas.microsoft.com/office/spreadsheetml/2009/9/main" objectType="Drop" dropStyle="combo" dx="16" fmlaLink="ber_IVmed!$B$12" fmlaRange="tblMedicationContIV" sel="1" val="0"/>
</file>

<file path=xl/ctrlProps/ctrlProp37.xml><?xml version="1.0" encoding="utf-8"?>
<formControlPr xmlns="http://schemas.microsoft.com/office/spreadsheetml/2009/9/main" objectType="Drop" dropStyle="combo" dx="16" fmlaLink="ber_IVmed!$F$12" fmlaRange="tblOplossing" sel="1" val="0"/>
</file>

<file path=xl/ctrlProps/ctrlProp38.xml><?xml version="1.0" encoding="utf-8"?>
<formControlPr xmlns="http://schemas.microsoft.com/office/spreadsheetml/2009/9/main" objectType="Spin" dx="15" fmlaLink="ber_IVmed!$G$4" max="1000" page="10" val="7"/>
</file>

<file path=xl/ctrlProps/ctrlProp39.xml><?xml version="1.0" encoding="utf-8"?>
<formControlPr xmlns="http://schemas.microsoft.com/office/spreadsheetml/2009/9/main" objectType="Spin" dx="15" fmlaLink="ber_IVmed!$G$5" max="1000" page="10" val="0"/>
</file>

<file path=xl/ctrlProps/ctrlProp40.xml><?xml version="1.0" encoding="utf-8"?>
<formControlPr xmlns="http://schemas.microsoft.com/office/spreadsheetml/2009/9/main" objectType="Spin" dx="15" fmlaLink="ber_IVmed!$G$6" max="1000" page="10" val="2"/>
</file>

<file path=xl/ctrlProps/ctrlProp41.xml><?xml version="1.0" encoding="utf-8"?>
<formControlPr xmlns="http://schemas.microsoft.com/office/spreadsheetml/2009/9/main" objectType="Spin" dx="15" fmlaLink="ber_IVmed!$G$7" max="1000" page="10" val="0"/>
</file>

<file path=xl/ctrlProps/ctrlProp42.xml><?xml version="1.0" encoding="utf-8"?>
<formControlPr xmlns="http://schemas.microsoft.com/office/spreadsheetml/2009/9/main" objectType="Spin" dx="15" fmlaLink="ber_IVmed!$G$8" max="1000" page="10"/>
</file>

<file path=xl/ctrlProps/ctrlProp43.xml><?xml version="1.0" encoding="utf-8"?>
<formControlPr xmlns="http://schemas.microsoft.com/office/spreadsheetml/2009/9/main" objectType="Spin" dx="15" fmlaLink="ber_IVmed!$G$9" max="1000" page="10" val="0"/>
</file>

<file path=xl/ctrlProps/ctrlProp44.xml><?xml version="1.0" encoding="utf-8"?>
<formControlPr xmlns="http://schemas.microsoft.com/office/spreadsheetml/2009/9/main" objectType="Spin" dx="15" fmlaLink="ber_IVmed!$G$10" max="1000" page="10" val="0"/>
</file>

<file path=xl/ctrlProps/ctrlProp45.xml><?xml version="1.0" encoding="utf-8"?>
<formControlPr xmlns="http://schemas.microsoft.com/office/spreadsheetml/2009/9/main" objectType="Spin" dx="15" fmlaLink="ber_IVmed!$G$11" max="1000" page="10" val="0"/>
</file>

<file path=xl/ctrlProps/ctrlProp46.xml><?xml version="1.0" encoding="utf-8"?>
<formControlPr xmlns="http://schemas.microsoft.com/office/spreadsheetml/2009/9/main" objectType="Spin" dx="15" fmlaLink="ber_IVmed!$G$12" max="1000" page="10" val="0"/>
</file>

<file path=xl/ctrlProps/ctrlProp47.xml><?xml version="1.0" encoding="utf-8"?>
<formControlPr xmlns="http://schemas.microsoft.com/office/spreadsheetml/2009/9/main" objectType="Spin" dx="15" fmlaLink="dbBead!$G$2" max="1000" min="25" page="10" val="50"/>
</file>

<file path=xl/ctrlProps/ctrlProp48.xml><?xml version="1.0" encoding="utf-8"?>
<formControlPr xmlns="http://schemas.microsoft.com/office/spreadsheetml/2009/9/main" objectType="Spin" dx="15" fmlaLink="dbBead!$H$2" max="200" min="40" page="10" val="61"/>
</file>

<file path=xl/ctrlProps/ctrlProp49.xml><?xml version="1.0" encoding="utf-8"?>
<formControlPr xmlns="http://schemas.microsoft.com/office/spreadsheetml/2009/9/main" objectType="Spin" dx="15" fmlaLink="ber_IVmed!$E$4" max="1000" page="10" val="0"/>
</file>

<file path=xl/ctrlProps/ctrlProp50.xml><?xml version="1.0" encoding="utf-8"?>
<formControlPr xmlns="http://schemas.microsoft.com/office/spreadsheetml/2009/9/main" objectType="Spin" dx="15" fmlaLink="ber_IVmed!$E$5" max="1000" page="10" val="0"/>
</file>

<file path=xl/ctrlProps/ctrlProp51.xml><?xml version="1.0" encoding="utf-8"?>
<formControlPr xmlns="http://schemas.microsoft.com/office/spreadsheetml/2009/9/main" objectType="Spin" dx="15" fmlaLink="ber_IVmed!$E$6" max="1000" page="10" val="2"/>
</file>

<file path=xl/ctrlProps/ctrlProp52.xml><?xml version="1.0" encoding="utf-8"?>
<formControlPr xmlns="http://schemas.microsoft.com/office/spreadsheetml/2009/9/main" objectType="Spin" dx="15" fmlaLink="ber_IVmed!$E$7" max="1000" page="10" val="0"/>
</file>

<file path=xl/ctrlProps/ctrlProp53.xml><?xml version="1.0" encoding="utf-8"?>
<formControlPr xmlns="http://schemas.microsoft.com/office/spreadsheetml/2009/9/main" objectType="Spin" dx="15" fmlaLink="ber_IVmed!$E$8" max="1000" page="10"/>
</file>

<file path=xl/ctrlProps/ctrlProp54.xml><?xml version="1.0" encoding="utf-8"?>
<formControlPr xmlns="http://schemas.microsoft.com/office/spreadsheetml/2009/9/main" objectType="Spin" dx="15" fmlaLink="ber_IVmed!$E$9" max="1000" page="10" val="0"/>
</file>

<file path=xl/ctrlProps/ctrlProp55.xml><?xml version="1.0" encoding="utf-8"?>
<formControlPr xmlns="http://schemas.microsoft.com/office/spreadsheetml/2009/9/main" objectType="Spin" dx="15" fmlaLink="ber_IVmed!$E$10" max="1000" page="10" val="0"/>
</file>

<file path=xl/ctrlProps/ctrlProp56.xml><?xml version="1.0" encoding="utf-8"?>
<formControlPr xmlns="http://schemas.microsoft.com/office/spreadsheetml/2009/9/main" objectType="Spin" dx="15" fmlaLink="ber_IVmed!$E$11" max="1000" page="10" val="0"/>
</file>

<file path=xl/ctrlProps/ctrlProp57.xml><?xml version="1.0" encoding="utf-8"?>
<formControlPr xmlns="http://schemas.microsoft.com/office/spreadsheetml/2009/9/main" objectType="Spin" dx="15" fmlaLink="ber_IVmed!$E$12" max="1000" page="10" val="0"/>
</file>

<file path=xl/ctrlProps/ctrlProp58.xml><?xml version="1.0" encoding="utf-8"?>
<formControlPr xmlns="http://schemas.microsoft.com/office/spreadsheetml/2009/9/main" objectType="Spin" dx="15" fmlaLink="ber_IVmed!$D$6" max="1000" page="10" val="0"/>
</file>

<file path=xl/ctrlProps/ctrlProp59.xml><?xml version="1.0" encoding="utf-8"?>
<formControlPr xmlns="http://schemas.microsoft.com/office/spreadsheetml/2009/9/main" objectType="Spin" dx="15" fmlaLink="ber_IVmed!$D$7" max="1000" page="10" val="0"/>
</file>

<file path=xl/ctrlProps/ctrlProp60.xml><?xml version="1.0" encoding="utf-8"?>
<formControlPr xmlns="http://schemas.microsoft.com/office/spreadsheetml/2009/9/main" objectType="Spin" dx="15" fmlaLink="ber_IVmed!$D$8" max="1000" page="10" val="0"/>
</file>

<file path=xl/ctrlProps/ctrlProp61.xml><?xml version="1.0" encoding="utf-8"?>
<formControlPr xmlns="http://schemas.microsoft.com/office/spreadsheetml/2009/9/main" objectType="Spin" dx="15" fmlaLink="ber_IVmed!$D$9" max="1000" page="10" val="0"/>
</file>

<file path=xl/ctrlProps/ctrlProp62.xml><?xml version="1.0" encoding="utf-8"?>
<formControlPr xmlns="http://schemas.microsoft.com/office/spreadsheetml/2009/9/main" objectType="Spin" dx="15" fmlaLink="ber_IVmed!$D$10" max="1000" page="10" val="0"/>
</file>

<file path=xl/ctrlProps/ctrlProp63.xml><?xml version="1.0" encoding="utf-8"?>
<formControlPr xmlns="http://schemas.microsoft.com/office/spreadsheetml/2009/9/main" objectType="Spin" dx="15" fmlaLink="ber_IVmed!$D$11" max="1000" page="10" val="0"/>
</file>

<file path=xl/ctrlProps/ctrlProp64.xml><?xml version="1.0" encoding="utf-8"?>
<formControlPr xmlns="http://schemas.microsoft.com/office/spreadsheetml/2009/9/main" objectType="Spin" dx="15" fmlaLink="ber_IVmed!$D$12" max="1000" page="10" val="0"/>
</file>

<file path=xl/ctrlProps/ctrlProp65.xml><?xml version="1.0" encoding="utf-8"?>
<formControlPr xmlns="http://schemas.microsoft.com/office/spreadsheetml/2009/9/main" objectType="Spin" dx="15" fmlaLink="ber_IVmed!$E$3" max="1000" page="10" val="0"/>
</file>

<file path=xl/ctrlProps/ctrlProp66.xml><?xml version="1.0" encoding="utf-8"?>
<formControlPr xmlns="http://schemas.microsoft.com/office/spreadsheetml/2009/9/main" objectType="Spin" dx="15" fmlaLink="ber_IVmed!$D$3" max="1000" page="10" val="0"/>
</file>

<file path=xl/ctrlProps/ctrlProp67.xml><?xml version="1.0" encoding="utf-8"?>
<formControlPr xmlns="http://schemas.microsoft.com/office/spreadsheetml/2009/9/main" objectType="Spin" dx="15" fmlaLink="ber_IVmed!$G$3" max="1000" page="10"/>
</file>

<file path=xl/ctrlProps/ctrlProp68.xml><?xml version="1.0" encoding="utf-8"?>
<formControlPr xmlns="http://schemas.microsoft.com/office/spreadsheetml/2009/9/main" objectType="Spin" dx="15" fmlaLink="ber_IVmed!$D$4" max="1000" page="10" val="0"/>
</file>

<file path=xl/ctrlProps/ctrlProp69.xml><?xml version="1.0" encoding="utf-8"?>
<formControlPr xmlns="http://schemas.microsoft.com/office/spreadsheetml/2009/9/main" objectType="Spin" dx="15" fmlaLink="ber_IVmed!$D$5" max="1000" page="10" val="0"/>
</file>

<file path=xl/ctrlProps/ctrlProp70.xml><?xml version="1.0" encoding="utf-8"?>
<formControlPr xmlns="http://schemas.microsoft.com/office/spreadsheetml/2009/9/main" objectType="Spin" dx="15" fmlaLink="ber_Med_disc!$I$2" max="12" min="1" page="10"/>
</file>

<file path=xl/ctrlProps/ctrlProp71.xml><?xml version="1.0" encoding="utf-8"?>
<formControlPr xmlns="http://schemas.microsoft.com/office/spreadsheetml/2009/9/main" objectType="Spin" dx="15" fmlaLink="ber_Med_disc!$G$2" max="100" page="10"/>
</file>

<file path=xl/ctrlProps/ctrlProp72.xml><?xml version="1.0" encoding="utf-8"?>
<formControlPr xmlns="http://schemas.microsoft.com/office/spreadsheetml/2009/9/main" objectType="Drop" dropStyle="combo" dx="16" fmlaLink="ber_Med_disc!$O$2" fmlaRange="ber_Med_disc!$B$27:$B$30" sel="0" val="0"/>
</file>

<file path=xl/ctrlProps/ctrlProp73.xml><?xml version="1.0" encoding="utf-8"?>
<formControlPr xmlns="http://schemas.microsoft.com/office/spreadsheetml/2009/9/main" objectType="Spin" dx="15" fmlaLink="ber_Med_disc!$N$2" max="30000" page="10" val="0"/>
</file>

<file path=xl/ctrlProps/ctrlProp74.xml><?xml version="1.0" encoding="utf-8"?>
<formControlPr xmlns="http://schemas.microsoft.com/office/spreadsheetml/2009/9/main" objectType="Spin" dx="15" fmlaLink="ber_Med_disc!$G$3" max="100" page="10"/>
</file>

<file path=xl/ctrlProps/ctrlProp75.xml><?xml version="1.0" encoding="utf-8"?>
<formControlPr xmlns="http://schemas.microsoft.com/office/spreadsheetml/2009/9/main" objectType="Drop" dropStyle="combo" dx="16" fmlaLink="ber_Med_disc!$O$3" fmlaRange="ber_Med_disc!$B$27:$B$30" sel="0" val="0"/>
</file>

<file path=xl/ctrlProps/ctrlProp76.xml><?xml version="1.0" encoding="utf-8"?>
<formControlPr xmlns="http://schemas.microsoft.com/office/spreadsheetml/2009/9/main" objectType="Spin" dx="15" fmlaLink="ber_Med_disc!$N$3" max="30000" page="10" val="0"/>
</file>

<file path=xl/ctrlProps/ctrlProp77.xml><?xml version="1.0" encoding="utf-8"?>
<formControlPr xmlns="http://schemas.microsoft.com/office/spreadsheetml/2009/9/main" objectType="Spin" dx="15" fmlaLink="ber_Med_disc!$I$4" max="12" min="1" page="10"/>
</file>

<file path=xl/ctrlProps/ctrlProp78.xml><?xml version="1.0" encoding="utf-8"?>
<formControlPr xmlns="http://schemas.microsoft.com/office/spreadsheetml/2009/9/main" objectType="Spin" dx="15" fmlaLink="ber_Med_disc!$G$4" max="100" page="10" val="0"/>
</file>

<file path=xl/ctrlProps/ctrlProp79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80.xml><?xml version="1.0" encoding="utf-8"?>
<formControlPr xmlns="http://schemas.microsoft.com/office/spreadsheetml/2009/9/main" objectType="Spin" dx="15" fmlaLink="ber_Med_disc!$N$4" max="30000" page="10" val="0"/>
</file>

<file path=xl/ctrlProps/ctrlProp81.xml><?xml version="1.0" encoding="utf-8"?>
<formControlPr xmlns="http://schemas.microsoft.com/office/spreadsheetml/2009/9/main" objectType="Spin" dx="15" fmlaLink="ber_Med_disc!$I$5" max="12" min="1" page="10"/>
</file>

<file path=xl/ctrlProps/ctrlProp82.xml><?xml version="1.0" encoding="utf-8"?>
<formControlPr xmlns="http://schemas.microsoft.com/office/spreadsheetml/2009/9/main" objectType="Spin" dx="15" fmlaLink="ber_Med_disc!$G$5" max="100" page="10" val="5"/>
</file>

<file path=xl/ctrlProps/ctrlProp83.xml><?xml version="1.0" encoding="utf-8"?>
<formControlPr xmlns="http://schemas.microsoft.com/office/spreadsheetml/2009/9/main" objectType="Drop" dropStyle="combo" dx="16" fmlaLink="ber_Med_disc!$O$5" fmlaRange="ber_Med_disc!$B$27:$B$30" sel="0" val="0"/>
</file>

<file path=xl/ctrlProps/ctrlProp84.xml><?xml version="1.0" encoding="utf-8"?>
<formControlPr xmlns="http://schemas.microsoft.com/office/spreadsheetml/2009/9/main" objectType="Spin" dx="15" fmlaLink="ber_Med_disc!$N$5" max="30000" page="10" val="0"/>
</file>

<file path=xl/ctrlProps/ctrlProp85.xml><?xml version="1.0" encoding="utf-8"?>
<formControlPr xmlns="http://schemas.microsoft.com/office/spreadsheetml/2009/9/main" objectType="Spin" dx="15" fmlaLink="ber_Med_disc!$I$6" max="12" min="1" page="10"/>
</file>

<file path=xl/ctrlProps/ctrlProp86.xml><?xml version="1.0" encoding="utf-8"?>
<formControlPr xmlns="http://schemas.microsoft.com/office/spreadsheetml/2009/9/main" objectType="Spin" dx="15" fmlaLink="ber_Med_disc!$G$6" max="100" page="10"/>
</file>

<file path=xl/ctrlProps/ctrlProp87.xml><?xml version="1.0" encoding="utf-8"?>
<formControlPr xmlns="http://schemas.microsoft.com/office/spreadsheetml/2009/9/main" objectType="Drop" dropStyle="combo" dx="16" fmlaLink="ber_Med_disc!$O$6" fmlaRange="ber_Med_disc!$B$27:$B$30" sel="0" val="0"/>
</file>

<file path=xl/ctrlProps/ctrlProp88.xml><?xml version="1.0" encoding="utf-8"?>
<formControlPr xmlns="http://schemas.microsoft.com/office/spreadsheetml/2009/9/main" objectType="Spin" dx="15" fmlaLink="ber_Med_disc!$N$6" max="30000" page="10" val="0"/>
</file>

<file path=xl/ctrlProps/ctrlProp89.xml><?xml version="1.0" encoding="utf-8"?>
<formControlPr xmlns="http://schemas.microsoft.com/office/spreadsheetml/2009/9/main" objectType="Spin" dx="15" fmlaLink="ber_Med_disc!$I$7" max="12" min="1" page="10"/>
</file>

<file path=xl/ctrlProps/ctrlProp90.xml><?xml version="1.0" encoding="utf-8"?>
<formControlPr xmlns="http://schemas.microsoft.com/office/spreadsheetml/2009/9/main" objectType="Spin" dx="15" fmlaLink="ber_Med_disc!$G$7" max="100" page="10"/>
</file>

<file path=xl/ctrlProps/ctrlProp91.xml><?xml version="1.0" encoding="utf-8"?>
<formControlPr xmlns="http://schemas.microsoft.com/office/spreadsheetml/2009/9/main" objectType="Drop" dropStyle="combo" dx="16" fmlaLink="ber_Med_disc!$O$7" fmlaRange="ber_Med_disc!$B$27:$B$30" sel="0" val="0"/>
</file>

<file path=xl/ctrlProps/ctrlProp92.xml><?xml version="1.0" encoding="utf-8"?>
<formControlPr xmlns="http://schemas.microsoft.com/office/spreadsheetml/2009/9/main" objectType="Spin" dx="15" fmlaLink="ber_Med_disc!$N$7" max="30000" page="10" val="0"/>
</file>

<file path=xl/ctrlProps/ctrlProp93.xml><?xml version="1.0" encoding="utf-8"?>
<formControlPr xmlns="http://schemas.microsoft.com/office/spreadsheetml/2009/9/main" objectType="Spin" dx="15" fmlaLink="ber_Med_disc!$I$8" max="12" min="1" page="10"/>
</file>

<file path=xl/ctrlProps/ctrlProp94.xml><?xml version="1.0" encoding="utf-8"?>
<formControlPr xmlns="http://schemas.microsoft.com/office/spreadsheetml/2009/9/main" objectType="Spin" dx="15" fmlaLink="ber_Med_disc!$G$8" max="100" page="10" val="2"/>
</file>

<file path=xl/ctrlProps/ctrlProp95.xml><?xml version="1.0" encoding="utf-8"?>
<formControlPr xmlns="http://schemas.microsoft.com/office/spreadsheetml/2009/9/main" objectType="Drop" dropStyle="combo" dx="16" fmlaLink="ber_Med_disc!$O$8" fmlaRange="ber_Med_disc!$B$27:$B$30" sel="0" val="0"/>
</file>

<file path=xl/ctrlProps/ctrlProp96.xml><?xml version="1.0" encoding="utf-8"?>
<formControlPr xmlns="http://schemas.microsoft.com/office/spreadsheetml/2009/9/main" objectType="Spin" dx="15" fmlaLink="ber_Med_disc!$N$8" max="30000" page="10" val="0"/>
</file>

<file path=xl/ctrlProps/ctrlProp97.xml><?xml version="1.0" encoding="utf-8"?>
<formControlPr xmlns="http://schemas.microsoft.com/office/spreadsheetml/2009/9/main" objectType="Spin" dx="15" fmlaLink="ber_Med_disc!$I$9" max="12" min="1" page="10"/>
</file>

<file path=xl/ctrlProps/ctrlProp98.xml><?xml version="1.0" encoding="utf-8"?>
<formControlPr xmlns="http://schemas.microsoft.com/office/spreadsheetml/2009/9/main" objectType="Spin" dx="15" fmlaLink="ber_Med_disc!$G$9" max="100" page="10"/>
</file>

<file path=xl/ctrlProps/ctrlProp99.xml><?xml version="1.0" encoding="utf-8"?>
<formControlPr xmlns="http://schemas.microsoft.com/office/spreadsheetml/2009/9/main" objectType="Drop" dropStyle="combo" dx="16" fmlaLink="ber_Med_disc!$O$9" fmlaRange="ber_Med_disc!$B$27:$B$30" sel="0" val="0"/>
</file>

<file path=xl/ctrlProps/ctrlProp100.xml><?xml version="1.0" encoding="utf-8"?>
<formControlPr xmlns="http://schemas.microsoft.com/office/spreadsheetml/2009/9/main" objectType="Spin" dx="15" fmlaLink="ber_Med_disc!$N$9" max="30000" page="10" val="0"/>
</file>

<file path=xl/ctrlProps/ctrlProp101.xml><?xml version="1.0" encoding="utf-8"?>
<formControlPr xmlns="http://schemas.microsoft.com/office/spreadsheetml/2009/9/main" objectType="Spin" dx="15" fmlaLink="ber_Med_disc!$I$10" max="12" min="1" page="10"/>
</file>

<file path=xl/ctrlProps/ctrlProp102.xml><?xml version="1.0" encoding="utf-8"?>
<formControlPr xmlns="http://schemas.microsoft.com/office/spreadsheetml/2009/9/main" objectType="Spin" dx="15" fmlaLink="ber_Med_disc!$G$10" max="100" page="10" val="0"/>
</file>

<file path=xl/ctrlProps/ctrlProp103.xml><?xml version="1.0" encoding="utf-8"?>
<formControlPr xmlns="http://schemas.microsoft.com/office/spreadsheetml/2009/9/main" objectType="Drop" dropStyle="combo" dx="16" fmlaLink="ber_Med_disc!$O$10" fmlaRange="ber_Med_disc!$B$27:$B$30" sel="0" val="0"/>
</file>

<file path=xl/ctrlProps/ctrlProp104.xml><?xml version="1.0" encoding="utf-8"?>
<formControlPr xmlns="http://schemas.microsoft.com/office/spreadsheetml/2009/9/main" objectType="Spin" dx="15" fmlaLink="ber_Med_disc!$N$10" max="30000" page="10" val="0"/>
</file>

<file path=xl/ctrlProps/ctrlProp105.xml><?xml version="1.0" encoding="utf-8"?>
<formControlPr xmlns="http://schemas.microsoft.com/office/spreadsheetml/2009/9/main" objectType="Spin" dx="15" fmlaLink="ber_Med_disc!$I$11" max="12" min="1" page="10"/>
</file>

<file path=xl/ctrlProps/ctrlProp106.xml><?xml version="1.0" encoding="utf-8"?>
<formControlPr xmlns="http://schemas.microsoft.com/office/spreadsheetml/2009/9/main" objectType="Spin" dx="15" fmlaLink="ber_Med_disc!$G$11" max="100" page="10"/>
</file>

<file path=xl/ctrlProps/ctrlProp107.xml><?xml version="1.0" encoding="utf-8"?>
<formControlPr xmlns="http://schemas.microsoft.com/office/spreadsheetml/2009/9/main" objectType="Drop" dropStyle="combo" dx="16" fmlaLink="ber_Med_disc!$O$11" fmlaRange="ber_Med_disc!$B$27:$B$30" sel="0" val="0"/>
</file>

<file path=xl/ctrlProps/ctrlProp108.xml><?xml version="1.0" encoding="utf-8"?>
<formControlPr xmlns="http://schemas.microsoft.com/office/spreadsheetml/2009/9/main" objectType="Spin" dx="15" fmlaLink="ber_Med_disc!$N$11" max="30000" page="10" val="0"/>
</file>

<file path=xl/ctrlProps/ctrlProp109.xml><?xml version="1.0" encoding="utf-8"?>
<formControlPr xmlns="http://schemas.microsoft.com/office/spreadsheetml/2009/9/main" objectType="Spin" dx="15" fmlaLink="ber_Med_disc!$I$12" max="12" min="1" page="10"/>
</file>

<file path=xl/ctrlProps/ctrlProp110.xml><?xml version="1.0" encoding="utf-8"?>
<formControlPr xmlns="http://schemas.microsoft.com/office/spreadsheetml/2009/9/main" objectType="Spin" dx="15" fmlaLink="ber_Med_disc!$G$12" max="100" page="10" val="0"/>
</file>

<file path=xl/ctrlProps/ctrlProp111.xml><?xml version="1.0" encoding="utf-8"?>
<formControlPr xmlns="http://schemas.microsoft.com/office/spreadsheetml/2009/9/main" objectType="Drop" dropStyle="combo" dx="16" fmlaLink="ber_Med_disc!$O$12" fmlaRange="ber_Med_disc!$B$27:$B$30" sel="0" val="0"/>
</file>

<file path=xl/ctrlProps/ctrlProp112.xml><?xml version="1.0" encoding="utf-8"?>
<formControlPr xmlns="http://schemas.microsoft.com/office/spreadsheetml/2009/9/main" objectType="Spin" dx="15" fmlaLink="ber_Med_disc!$N$12" max="30000" page="10" val="0"/>
</file>

<file path=xl/ctrlProps/ctrlProp113.xml><?xml version="1.0" encoding="utf-8"?>
<formControlPr xmlns="http://schemas.microsoft.com/office/spreadsheetml/2009/9/main" objectType="Spin" dx="15" fmlaLink="ber_Med_disc!$I$13" max="12" min="1" page="10"/>
</file>

<file path=xl/ctrlProps/ctrlProp114.xml><?xml version="1.0" encoding="utf-8"?>
<formControlPr xmlns="http://schemas.microsoft.com/office/spreadsheetml/2009/9/main" objectType="Spin" dx="15" fmlaLink="ber_Med_disc!$G$13" max="100" page="10" val="0"/>
</file>

<file path=xl/ctrlProps/ctrlProp115.xml><?xml version="1.0" encoding="utf-8"?>
<formControlPr xmlns="http://schemas.microsoft.com/office/spreadsheetml/2009/9/main" objectType="Drop" dropStyle="combo" dx="16" fmlaLink="ber_Med_disc!$O$13" fmlaRange="ber_Med_disc!$B$27:$B$30" sel="0" val="0"/>
</file>

<file path=xl/ctrlProps/ctrlProp116.xml><?xml version="1.0" encoding="utf-8"?>
<formControlPr xmlns="http://schemas.microsoft.com/office/spreadsheetml/2009/9/main" objectType="Spin" dx="15" fmlaLink="ber_Med_disc!$N$13" max="30000" page="10" val="0"/>
</file>

<file path=xl/ctrlProps/ctrlProp117.xml><?xml version="1.0" encoding="utf-8"?>
<formControlPr xmlns="http://schemas.microsoft.com/office/spreadsheetml/2009/9/main" objectType="Spin" dx="15" fmlaLink="ber_Med_disc!$I$14" max="12" min="1" page="10"/>
</file>

<file path=xl/ctrlProps/ctrlProp118.xml><?xml version="1.0" encoding="utf-8"?>
<formControlPr xmlns="http://schemas.microsoft.com/office/spreadsheetml/2009/9/main" objectType="Spin" dx="15" fmlaLink="ber_Med_disc!$G$14" max="100" page="10" val="0"/>
</file>

<file path=xl/ctrlProps/ctrlProp119.xml><?xml version="1.0" encoding="utf-8"?>
<formControlPr xmlns="http://schemas.microsoft.com/office/spreadsheetml/2009/9/main" objectType="Drop" dropStyle="combo" dx="16" fmlaLink="ber_Med_disc!$O$14" fmlaRange="ber_Med_disc!$B$27:$B$30" sel="0" val="0"/>
</file>

<file path=xl/ctrlProps/ctrlProp120.xml><?xml version="1.0" encoding="utf-8"?>
<formControlPr xmlns="http://schemas.microsoft.com/office/spreadsheetml/2009/9/main" objectType="Spin" dx="15" fmlaLink="ber_Med_disc!$N$14" max="30000" page="10" val="0"/>
</file>

<file path=xl/ctrlProps/ctrlProp121.xml><?xml version="1.0" encoding="utf-8"?>
<formControlPr xmlns="http://schemas.microsoft.com/office/spreadsheetml/2009/9/main" objectType="Spin" dx="15" fmlaLink="ber_Med_disc!$I$15" max="12" min="1" page="10"/>
</file>

<file path=xl/ctrlProps/ctrlProp122.xml><?xml version="1.0" encoding="utf-8"?>
<formControlPr xmlns="http://schemas.microsoft.com/office/spreadsheetml/2009/9/main" objectType="Spin" dx="15" fmlaLink="ber_Med_disc!$G$15" max="100" page="10" val="0"/>
</file>

<file path=xl/ctrlProps/ctrlProp123.xml><?xml version="1.0" encoding="utf-8"?>
<formControlPr xmlns="http://schemas.microsoft.com/office/spreadsheetml/2009/9/main" objectType="Drop" dropStyle="combo" dx="16" fmlaLink="ber_Med_disc!$O$15" fmlaRange="ber_Med_disc!$B$27:$B$30" sel="0" val="0"/>
</file>

<file path=xl/ctrlProps/ctrlProp124.xml><?xml version="1.0" encoding="utf-8"?>
<formControlPr xmlns="http://schemas.microsoft.com/office/spreadsheetml/2009/9/main" objectType="Spin" dx="15" fmlaLink="ber_Med_disc!$N$15" max="30000" page="10" val="0"/>
</file>

<file path=xl/ctrlProps/ctrlProp125.xml><?xml version="1.0" encoding="utf-8"?>
<formControlPr xmlns="http://schemas.microsoft.com/office/spreadsheetml/2009/9/main" objectType="Spin" dx="15" fmlaLink="ber_Med_disc!$I$16" max="12" min="1" page="10"/>
</file>

<file path=xl/ctrlProps/ctrlProp126.xml><?xml version="1.0" encoding="utf-8"?>
<formControlPr xmlns="http://schemas.microsoft.com/office/spreadsheetml/2009/9/main" objectType="Spin" dx="15" fmlaLink="ber_Med_disc!$G$16" max="100" page="10" val="0"/>
</file>

<file path=xl/ctrlProps/ctrlProp127.xml><?xml version="1.0" encoding="utf-8"?>
<formControlPr xmlns="http://schemas.microsoft.com/office/spreadsheetml/2009/9/main" objectType="Drop" dropStyle="combo" dx="16" fmlaLink="ber_Med_disc!$O$16" fmlaRange="ber_Med_disc!$B$27:$B$30" sel="0" val="0"/>
</file>

<file path=xl/ctrlProps/ctrlProp128.xml><?xml version="1.0" encoding="utf-8"?>
<formControlPr xmlns="http://schemas.microsoft.com/office/spreadsheetml/2009/9/main" objectType="Spin" dx="15" fmlaLink="ber_Med_disc!$N$16" max="30000" page="10" val="0"/>
</file>

<file path=xl/ctrlProps/ctrlProp129.xml><?xml version="1.0" encoding="utf-8"?>
<formControlPr xmlns="http://schemas.microsoft.com/office/spreadsheetml/2009/9/main" objectType="Spin" dx="15" fmlaLink="ber_Med_disc!$I$17" max="12" min="1" page="10"/>
</file>

<file path=xl/ctrlProps/ctrlProp130.xml><?xml version="1.0" encoding="utf-8"?>
<formControlPr xmlns="http://schemas.microsoft.com/office/spreadsheetml/2009/9/main" objectType="Spin" dx="15" fmlaLink="ber_Med_disc!$G$17" max="1000" page="10" val="0"/>
</file>

<file path=xl/ctrlProps/ctrlProp131.xml><?xml version="1.0" encoding="utf-8"?>
<formControlPr xmlns="http://schemas.microsoft.com/office/spreadsheetml/2009/9/main" objectType="Drop" dropStyle="combo" dx="16" fmlaLink="ber_Med_disc!$O$17" fmlaRange="ber_Med_disc!$B$27:$B$30" sel="0" val="0"/>
</file>

<file path=xl/ctrlProps/ctrlProp132.xml><?xml version="1.0" encoding="utf-8"?>
<formControlPr xmlns="http://schemas.microsoft.com/office/spreadsheetml/2009/9/main" objectType="Spin" dx="15" fmlaLink="ber_Med_disc!$N$17" max="30000" page="10" val="0"/>
</file>

<file path=xl/ctrlProps/ctrlProp133.xml><?xml version="1.0" encoding="utf-8"?>
<formControlPr xmlns="http://schemas.microsoft.com/office/spreadsheetml/2009/9/main" objectType="Spin" dx="15" fmlaLink="ber_Med_disc!$I$18" max="12" min="1" page="10"/>
</file>

<file path=xl/ctrlProps/ctrlProp134.xml><?xml version="1.0" encoding="utf-8"?>
<formControlPr xmlns="http://schemas.microsoft.com/office/spreadsheetml/2009/9/main" objectType="Spin" dx="15" fmlaLink="ber_Med_disc!$G$18" max="1000" page="10" val="0"/>
</file>

<file path=xl/ctrlProps/ctrlProp135.xml><?xml version="1.0" encoding="utf-8"?>
<formControlPr xmlns="http://schemas.microsoft.com/office/spreadsheetml/2009/9/main" objectType="Drop" dropStyle="combo" dx="16" fmlaLink="ber_Med_disc!$O$18" fmlaRange="ber_Med_disc!$B$27:$B$30" sel="0" val="0"/>
</file>

<file path=xl/ctrlProps/ctrlProp136.xml><?xml version="1.0" encoding="utf-8"?>
<formControlPr xmlns="http://schemas.microsoft.com/office/spreadsheetml/2009/9/main" objectType="Spin" dx="15" fmlaLink="ber_Med_disc!$N$18" max="30000" page="10" val="0"/>
</file>

<file path=xl/ctrlProps/ctrlProp137.xml><?xml version="1.0" encoding="utf-8"?>
<formControlPr xmlns="http://schemas.microsoft.com/office/spreadsheetml/2009/9/main" objectType="Spin" dx="15" fmlaLink="ber_Med_disc!$I$19" max="12" min="1" page="10"/>
</file>

<file path=xl/ctrlProps/ctrlProp138.xml><?xml version="1.0" encoding="utf-8"?>
<formControlPr xmlns="http://schemas.microsoft.com/office/spreadsheetml/2009/9/main" objectType="Spin" dx="15" fmlaLink="ber_Med_disc!$G$19" max="1000" page="10" val="0"/>
</file>

<file path=xl/ctrlProps/ctrlProp139.xml><?xml version="1.0" encoding="utf-8"?>
<formControlPr xmlns="http://schemas.microsoft.com/office/spreadsheetml/2009/9/main" objectType="Drop" dropStyle="combo" dx="16" fmlaLink="ber_Med_disc!$O$19" fmlaRange="ber_Med_disc!$B$27:$B$30" sel="0" val="0"/>
</file>

<file path=xl/ctrlProps/ctrlProp140.xml><?xml version="1.0" encoding="utf-8"?>
<formControlPr xmlns="http://schemas.microsoft.com/office/spreadsheetml/2009/9/main" objectType="Spin" dx="15" fmlaLink="ber_Med_disc!$N$19" max="30000" page="10" val="0"/>
</file>

<file path=xl/ctrlProps/ctrlProp141.xml><?xml version="1.0" encoding="utf-8"?>
<formControlPr xmlns="http://schemas.microsoft.com/office/spreadsheetml/2009/9/main" objectType="Spin" dx="15" fmlaLink="ber_Med_disc!$I$20" max="12" min="1" page="10"/>
</file>

<file path=xl/ctrlProps/ctrlProp142.xml><?xml version="1.0" encoding="utf-8"?>
<formControlPr xmlns="http://schemas.microsoft.com/office/spreadsheetml/2009/9/main" objectType="Spin" dx="15" fmlaLink="ber_Med_disc!$G$20" max="1000" page="10" val="0"/>
</file>

<file path=xl/ctrlProps/ctrlProp143.xml><?xml version="1.0" encoding="utf-8"?>
<formControlPr xmlns="http://schemas.microsoft.com/office/spreadsheetml/2009/9/main" objectType="Drop" dropStyle="combo" dx="16" fmlaLink="ber_Med_disc!$O$20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N$20" max="30000" page="10" val="0"/>
</file>

<file path=xl/ctrlProps/ctrlProp145.xml><?xml version="1.0" encoding="utf-8"?>
<formControlPr xmlns="http://schemas.microsoft.com/office/spreadsheetml/2009/9/main" objectType="Spin" dx="15" fmlaLink="ber_Med_disc!$I$21" max="12" min="1" page="10"/>
</file>

<file path=xl/ctrlProps/ctrlProp146.xml><?xml version="1.0" encoding="utf-8"?>
<formControlPr xmlns="http://schemas.microsoft.com/office/spreadsheetml/2009/9/main" objectType="Spin" dx="15" fmlaLink="ber_Med_disc!$G$21" max="1000" page="10" val="0"/>
</file>

<file path=xl/ctrlProps/ctrlProp147.xml><?xml version="1.0" encoding="utf-8"?>
<formControlPr xmlns="http://schemas.microsoft.com/office/spreadsheetml/2009/9/main" objectType="Drop" dropStyle="combo" dx="16" fmlaLink="ber_Med_disc!$O$21" fmlaRange="ber_Med_disc!$B$27:$B$30" sel="0" val="0"/>
</file>

<file path=xl/ctrlProps/ctrlProp148.xml><?xml version="1.0" encoding="utf-8"?>
<formControlPr xmlns="http://schemas.microsoft.com/office/spreadsheetml/2009/9/main" objectType="Spin" dx="15" fmlaLink="ber_Med_disc!$N$21" max="30000" page="10" val="0"/>
</file>

<file path=xl/ctrlProps/ctrlProp149.xml><?xml version="1.0" encoding="utf-8"?>
<formControlPr xmlns="http://schemas.microsoft.com/office/spreadsheetml/2009/9/main" objectType="Spin" dx="15" fmlaLink="ber_Med_disc!$I$3" max="12" min="1" page="10"/>
</file>

<file path=xl/ctrlProps/ctrlProp150.xml><?xml version="1.0" encoding="utf-8"?>
<formControlPr xmlns="http://schemas.microsoft.com/office/spreadsheetml/2009/9/main" objectType="Spin" dx="15" fmlaLink="ber_Med_disc!$Q$2" inc="5" max="1440" page="10" val="0"/>
</file>

<file path=xl/ctrlProps/ctrlProp151.xml><?xml version="1.0" encoding="utf-8"?>
<formControlPr xmlns="http://schemas.microsoft.com/office/spreadsheetml/2009/9/main" objectType="Spin" dx="15" fmlaLink="ber_Med_disc!$Q$3" inc="5" max="1440" page="10" val="0"/>
</file>

<file path=xl/ctrlProps/ctrlProp152.xml><?xml version="1.0" encoding="utf-8"?>
<formControlPr xmlns="http://schemas.microsoft.com/office/spreadsheetml/2009/9/main" objectType="Spin" dx="15" fmlaLink="ber_Med_disc!$Q$4" inc="5" max="1440" page="10" val="0"/>
</file>

<file path=xl/ctrlProps/ctrlProp153.xml><?xml version="1.0" encoding="utf-8"?>
<formControlPr xmlns="http://schemas.microsoft.com/office/spreadsheetml/2009/9/main" objectType="Spin" dx="15" fmlaLink="ber_Med_disc!$Q$5" inc="5" max="1440" page="10" val="0"/>
</file>

<file path=xl/ctrlProps/ctrlProp154.xml><?xml version="1.0" encoding="utf-8"?>
<formControlPr xmlns="http://schemas.microsoft.com/office/spreadsheetml/2009/9/main" objectType="Spin" dx="15" fmlaLink="ber_Med_disc!$Q$6" inc="5" max="1440" page="10" val="0"/>
</file>

<file path=xl/ctrlProps/ctrlProp155.xml><?xml version="1.0" encoding="utf-8"?>
<formControlPr xmlns="http://schemas.microsoft.com/office/spreadsheetml/2009/9/main" objectType="Spin" dx="15" fmlaLink="ber_Med_disc!$Q$7" inc="5" max="1440" page="10" val="0"/>
</file>

<file path=xl/ctrlProps/ctrlProp156.xml><?xml version="1.0" encoding="utf-8"?>
<formControlPr xmlns="http://schemas.microsoft.com/office/spreadsheetml/2009/9/main" objectType="Spin" dx="15" fmlaLink="ber_Med_disc!$Q$8" inc="5" max="1440" page="10" val="0"/>
</file>

<file path=xl/ctrlProps/ctrlProp157.xml><?xml version="1.0" encoding="utf-8"?>
<formControlPr xmlns="http://schemas.microsoft.com/office/spreadsheetml/2009/9/main" objectType="Spin" dx="15" fmlaLink="ber_Med_disc!$Q$9" inc="5" max="1440" page="10" val="0"/>
</file>

<file path=xl/ctrlProps/ctrlProp158.xml><?xml version="1.0" encoding="utf-8"?>
<formControlPr xmlns="http://schemas.microsoft.com/office/spreadsheetml/2009/9/main" objectType="Spin" dx="15" fmlaLink="ber_Med_disc!$Q$10" inc="5" max="1440" page="10" val="0"/>
</file>

<file path=xl/ctrlProps/ctrlProp159.xml><?xml version="1.0" encoding="utf-8"?>
<formControlPr xmlns="http://schemas.microsoft.com/office/spreadsheetml/2009/9/main" objectType="Spin" dx="15" fmlaLink="ber_Med_disc!$Q$11" inc="5" max="1440" page="10" val="0"/>
</file>

<file path=xl/ctrlProps/ctrlProp160.xml><?xml version="1.0" encoding="utf-8"?>
<formControlPr xmlns="http://schemas.microsoft.com/office/spreadsheetml/2009/9/main" objectType="Spin" dx="15" fmlaLink="ber_Med_disc!$Q$12" inc="5" max="1440" page="10" val="0"/>
</file>

<file path=xl/ctrlProps/ctrlProp161.xml><?xml version="1.0" encoding="utf-8"?>
<formControlPr xmlns="http://schemas.microsoft.com/office/spreadsheetml/2009/9/main" objectType="Spin" dx="15" fmlaLink="ber_Med_disc!$Q$13" inc="5" max="1440" page="10" val="0"/>
</file>

<file path=xl/ctrlProps/ctrlProp162.xml><?xml version="1.0" encoding="utf-8"?>
<formControlPr xmlns="http://schemas.microsoft.com/office/spreadsheetml/2009/9/main" objectType="Spin" dx="15" fmlaLink="ber_Med_disc!$Q$14" inc="5" max="1440" page="10" val="0"/>
</file>

<file path=xl/ctrlProps/ctrlProp163.xml><?xml version="1.0" encoding="utf-8"?>
<formControlPr xmlns="http://schemas.microsoft.com/office/spreadsheetml/2009/9/main" objectType="Spin" dx="15" fmlaLink="ber_Med_disc!$Q$15" inc="5" max="1440" page="10" val="0"/>
</file>

<file path=xl/ctrlProps/ctrlProp164.xml><?xml version="1.0" encoding="utf-8"?>
<formControlPr xmlns="http://schemas.microsoft.com/office/spreadsheetml/2009/9/main" objectType="Spin" dx="15" fmlaLink="ber_Med_disc!$Q$16" inc="5" max="1440" page="10" val="0"/>
</file>

<file path=xl/ctrlProps/ctrlProp165.xml><?xml version="1.0" encoding="utf-8"?>
<formControlPr xmlns="http://schemas.microsoft.com/office/spreadsheetml/2009/9/main" objectType="Spin" dx="15" fmlaLink="ber_Med_disc!$Q$17" inc="5" max="1440" page="10" val="0"/>
</file>

<file path=xl/ctrlProps/ctrlProp166.xml><?xml version="1.0" encoding="utf-8"?>
<formControlPr xmlns="http://schemas.microsoft.com/office/spreadsheetml/2009/9/main" objectType="Spin" dx="15" fmlaLink="ber_Med_disc!$Q$18" inc="5" max="1440" page="10" val="0"/>
</file>

<file path=xl/ctrlProps/ctrlProp167.xml><?xml version="1.0" encoding="utf-8"?>
<formControlPr xmlns="http://schemas.microsoft.com/office/spreadsheetml/2009/9/main" objectType="Spin" dx="15" fmlaLink="ber_Med_disc!$Q$19" inc="5" max="1440" page="10" val="0"/>
</file>

<file path=xl/ctrlProps/ctrlProp168.xml><?xml version="1.0" encoding="utf-8"?>
<formControlPr xmlns="http://schemas.microsoft.com/office/spreadsheetml/2009/9/main" objectType="Spin" dx="15" fmlaLink="ber_Med_disc!$Q$20" inc="5" max="1440" page="10" val="0"/>
</file>

<file path=xl/ctrlProps/ctrlProp169.xml><?xml version="1.0" encoding="utf-8"?>
<formControlPr xmlns="http://schemas.microsoft.com/office/spreadsheetml/2009/9/main" objectType="Spin" dx="15" fmlaLink="ber_Med_disc!$Q$21" inc="5" max="1440" page="10" val="0"/>
</file>

<file path=xl/ctrlProps/ctrlProp170.xml><?xml version="1.0" encoding="utf-8"?>
<formControlPr xmlns="http://schemas.microsoft.com/office/spreadsheetml/2009/9/main" objectType="Drop" dropStyle="combo" dx="16" fmlaLink="ber_Med_disc!$O$4" fmlaRange="ber_Med_disc!$B$27:$B$30" sel="0" val="0"/>
</file>

<file path=xl/ctrlProps/ctrlProp171.xml><?xml version="1.0" encoding="utf-8"?>
<formControlPr xmlns="http://schemas.microsoft.com/office/spreadsheetml/2009/9/main" objectType="Spin" dx="15" fmlaLink="dbBead!$G$2" max="1000" min="25" page="10" val="50"/>
</file>

<file path=xl/ctrlProps/ctrlProp172.xml><?xml version="1.0" encoding="utf-8"?>
<formControlPr xmlns="http://schemas.microsoft.com/office/spreadsheetml/2009/9/main" objectType="Spin" dx="15" fmlaLink="dbBead!$H$2" max="200" min="40" page="10" val="61"/>
</file>

<file path=xl/ctrlProps/ctrlProp173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174.xml><?xml version="1.0" encoding="utf-8"?>
<formControlPr xmlns="http://schemas.microsoft.com/office/spreadsheetml/2009/9/main" objectType="Drop" dropStyle="combo" dx="16" fmlaLink="ber_Infusen!$E$3" fmlaRange="tblInfusen" sel="17" val="0"/>
</file>

<file path=xl/ctrlProps/ctrlProp175.xml><?xml version="1.0" encoding="utf-8"?>
<formControlPr xmlns="http://schemas.microsoft.com/office/spreadsheetml/2009/9/main" objectType="Drop" dropStyle="combo" dx="16" fmlaLink="ber_Infusen!$E$4" fmlaRange="tblInfusen" sel="18" val="0"/>
</file>

<file path=xl/ctrlProps/ctrlProp176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177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178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179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180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181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182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183.xml><?xml version="1.0" encoding="utf-8"?>
<formControlPr xmlns="http://schemas.microsoft.com/office/spreadsheetml/2009/9/main" objectType="Spin" dx="15" fmlaLink="dbBead!$G$2" max="1000" min="25" page="10" val="50"/>
</file>

<file path=xl/ctrlProps/ctrlProp184.xml><?xml version="1.0" encoding="utf-8"?>
<formControlPr xmlns="http://schemas.microsoft.com/office/spreadsheetml/2009/9/main" objectType="Spin" dx="15" fmlaLink="dbBead!$H$2" max="200" min="40" page="10" val="61"/>
</file>

<file path=xl/ctrlProps/ctrlProp185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186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187.xml><?xml version="1.0" encoding="utf-8"?>
<formControlPr xmlns="http://schemas.microsoft.com/office/spreadsheetml/2009/9/main" objectType="Spin" dx="15" fmlaLink="ber_Infusen!$R$1" max="200" min="30" page="10" val="30"/>
</file>

<file path=xl/ctrlProps/ctrlProp188.xml><?xml version="1.0" encoding="utf-8"?>
<formControlPr xmlns="http://schemas.microsoft.com/office/spreadsheetml/2009/9/main" objectType="Spin" dx="15" fmlaLink="ber_Infusen!$R$2" max="20" page="10" val="0"/>
</file>

<file path=xl/ctrlProps/ctrlProp189.xml><?xml version="1.0" encoding="utf-8"?>
<formControlPr xmlns="http://schemas.microsoft.com/office/spreadsheetml/2009/9/main" objectType="Spin" dx="15" fmlaLink="ber_Infusen!$R$3" max="20" page="10" val="0"/>
</file>

<file path=xl/ctrlProps/ctrlProp190.xml><?xml version="1.0" encoding="utf-8"?>
<formControlPr xmlns="http://schemas.microsoft.com/office/spreadsheetml/2009/9/main" objectType="Spin" dx="15" fmlaLink="ber_Infusen!$R$4" max="250" min="20" page="10" val="20"/>
</file>

<file path=xl/ctrlProps/ctrlProp191.xml><?xml version="1.0" encoding="utf-8"?>
<formControlPr xmlns="http://schemas.microsoft.com/office/spreadsheetml/2009/9/main" objectType="Spin" dx="15" fmlaLink="ber_Infusen!$R$5" max="100" min="4" page="10" val="4"/>
</file>

<file path=xl/ctrlProps/ctrlProp192.xml><?xml version="1.0" encoding="utf-8"?>
<formControlPr xmlns="http://schemas.microsoft.com/office/spreadsheetml/2009/9/main" objectType="Spin" dx="15" fmlaLink="ber_Infusen!$R$6" max="100" min="4" page="10" val="4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Spin" dx="15" fmlaLink="ber_Infusen!$H$3" max="24" page="10" val="0"/>
</file>

<file path=xl/ctrlProps/ctrlProp195.xml><?xml version="1.0" encoding="utf-8"?>
<formControlPr xmlns="http://schemas.microsoft.com/office/spreadsheetml/2009/9/main" objectType="Spin" dx="15" fmlaLink="ber_Infusen!$H$6" max="24" page="10" val="3"/>
</file>

<file path=xl/ctrlProps/ctrlProp196.xml><?xml version="1.0" encoding="utf-8"?>
<formControlPr xmlns="http://schemas.microsoft.com/office/spreadsheetml/2009/9/main" objectType="Spin" dx="15" fmlaLink="ber_Infusen!$H$2" max="24" page="10" val="8"/>
</file>

<file path=xl/ctrlProps/ctrlProp197.xml><?xml version="1.0" encoding="utf-8"?>
<formControlPr xmlns="http://schemas.microsoft.com/office/spreadsheetml/2009/9/main" objectType="Spin" dx="15" fmlaLink="ber_Infusen!$H$8" max="24" page="10" val="0"/>
</file>

<file path=xl/ctrlProps/ctrlProp198.xml><?xml version="1.0" encoding="utf-8"?>
<formControlPr xmlns="http://schemas.microsoft.com/office/spreadsheetml/2009/9/main" objectType="CheckBox" checked="Checked" fmlaLink="ber_Infusen!$P$8" lockText="1" noThreeD="1"/>
</file>

<file path=xl/ctrlProps/ctrlProp199.xml><?xml version="1.0" encoding="utf-8"?>
<formControlPr xmlns="http://schemas.microsoft.com/office/spreadsheetml/2009/9/main" objectType="Spin" dx="15" fmlaLink="ber_PO!$K$2" max="24" min="1" page="10" val="24"/>
</file>

<file path=xl/ctrlProps/ctrlProp200.xml><?xml version="1.0" encoding="utf-8"?>
<formControlPr xmlns="http://schemas.microsoft.com/office/spreadsheetml/2009/9/main" objectType="Spin" dx="15" fmlaLink="ber_PO!$L$2" max="10000" min="1" page="10"/>
</file>

<file path=xl/ctrlProps/ctrlProp201.xml><?xml version="1.0" encoding="utf-8"?>
<formControlPr xmlns="http://schemas.microsoft.com/office/spreadsheetml/2009/9/main" objectType="Drop" dropStyle="combo" dx="16" fmlaLink="ber_PO!$O$2" fmlaRange="tblPerOs" sel="20" val="0"/>
</file>

<file path=xl/ctrlProps/ctrlProp202.xml><?xml version="1.0" encoding="utf-8"?>
<formControlPr xmlns="http://schemas.microsoft.com/office/spreadsheetml/2009/9/main" objectType="Spin" dx="15" fmlaLink="ber_TPN!$D$3" max="300" page="10" val="0"/>
</file>

<file path=xl/ctrlProps/ctrlProp203.xml><?xml version="1.0" encoding="utf-8"?>
<formControlPr xmlns="http://schemas.microsoft.com/office/spreadsheetml/2009/9/main" objectType="Spin" dx="15" fmlaLink="ber_TPN!$E$7" max="5000" min="1" page="10"/>
</file>

<file path=xl/ctrlProps/ctrlProp204.xml><?xml version="1.0" encoding="utf-8"?>
<formControlPr xmlns="http://schemas.microsoft.com/office/spreadsheetml/2009/9/main" objectType="Spin" dx="15" fmlaLink="ber_TPN!$E$8" max="5000" min="1" page="10"/>
</file>

<file path=xl/ctrlProps/ctrlProp205.xml><?xml version="1.0" encoding="utf-8"?>
<formControlPr xmlns="http://schemas.microsoft.com/office/spreadsheetml/2009/9/main" objectType="Spin" dx="15" fmlaLink="ber_TPN!$E$9" max="5000" min="1" page="10"/>
</file>

<file path=xl/ctrlProps/ctrlProp206.xml><?xml version="1.0" encoding="utf-8"?>
<formControlPr xmlns="http://schemas.microsoft.com/office/spreadsheetml/2009/9/main" objectType="CheckBox" fmlaLink="ber_TPN!$C$7" lockText="1"/>
</file>

<file path=xl/ctrlProps/ctrlProp207.xml><?xml version="1.0" encoding="utf-8"?>
<formControlPr xmlns="http://schemas.microsoft.com/office/spreadsheetml/2009/9/main" objectType="CheckBox" fmlaLink="ber_TPN!$C$8" lockText="1"/>
</file>

<file path=xl/ctrlProps/ctrlProp208.xml><?xml version="1.0" encoding="utf-8"?>
<formControlPr xmlns="http://schemas.microsoft.com/office/spreadsheetml/2009/9/main" objectType="CheckBox" fmlaLink="ber_TPN!$C$9" lockText="1"/>
</file>

<file path=xl/ctrlProps/ctrlProp209.xml><?xml version="1.0" encoding="utf-8"?>
<formControlPr xmlns="http://schemas.microsoft.com/office/spreadsheetml/2009/9/main" objectType="Spin" dx="15" fmlaLink="ber_TPN!$D$12" max="200" page="10" val="0"/>
</file>

<file path=xl/ctrlProps/ctrlProp210.xml><?xml version="1.0" encoding="utf-8"?>
<formControlPr xmlns="http://schemas.microsoft.com/office/spreadsheetml/2009/9/main" objectType="CheckBox" fmlaLink="ber_TPN!$C$14" lockText="1"/>
</file>

<file path=xl/ctrlProps/ctrlProp211.xml><?xml version="1.0" encoding="utf-8"?>
<formControlPr xmlns="http://schemas.microsoft.com/office/spreadsheetml/2009/9/main" objectType="CheckBox" fmlaLink="ber_TPN!$C$15" lockText="1"/>
</file>

<file path=xl/ctrlProps/ctrlProp212.xml><?xml version="1.0" encoding="utf-8"?>
<formControlPr xmlns="http://schemas.microsoft.com/office/spreadsheetml/2009/9/main" objectType="Spin" dx="15" fmlaLink="ber_TPN!$E$14" max="55" min="1" page="10"/>
</file>

<file path=xl/ctrlProps/ctrlProp213.xml><?xml version="1.0" encoding="utf-8"?>
<formControlPr xmlns="http://schemas.microsoft.com/office/spreadsheetml/2009/9/main" objectType="Spin" dx="15" fmlaLink="ber_TPN!$E$15" max="55" min="1" page="10"/>
</file>

<file path=xl/ctrlProps/ctrlProp214.xml><?xml version="1.0" encoding="utf-8"?>
<formControlPr xmlns="http://schemas.microsoft.com/office/spreadsheetml/2009/9/main" objectType="Drop" dropStyle="combo" dx="16" fmlaLink="ber_PO!$P$2" fmlaRange="tblSonde" sel="1" val="0"/>
</file>

<file path=xl/ctrlProps/ctrlProp215.xml><?xml version="1.0" encoding="utf-8"?>
<formControlPr xmlns="http://schemas.microsoft.com/office/spreadsheetml/2009/9/main" objectType="CheckBox" fmlaLink="ber_TPN!$C$10" lockText="1"/>
</file>

<file path=xl/ctrlProps/ctrlProp216.xml><?xml version="1.0" encoding="utf-8"?>
<formControlPr xmlns="http://schemas.microsoft.com/office/spreadsheetml/2009/9/main" objectType="CheckBox" fmlaLink="ber_TPN!$C$11" lockText="1"/>
</file>

<file path=xl/ctrlProps/ctrlProp217.xml><?xml version="1.0" encoding="utf-8"?>
<formControlPr xmlns="http://schemas.microsoft.com/office/spreadsheetml/2009/9/main" objectType="Spin" dx="15" fmlaLink="ber_TPN!$E$10" max="5000" min="1" page="10"/>
</file>

<file path=xl/ctrlProps/ctrlProp218.xml><?xml version="1.0" encoding="utf-8"?>
<formControlPr xmlns="http://schemas.microsoft.com/office/spreadsheetml/2009/9/main" objectType="Spin" dx="15" fmlaLink="ber_TPN!$E$11" max="200" min="1" page="10"/>
</file>

<file path=xl/ctrlProps/ctrlProp219.xml><?xml version="1.0" encoding="utf-8"?>
<formControlPr xmlns="http://schemas.microsoft.com/office/spreadsheetml/2009/9/main" objectType="Drop" dropStyle="combo" dx="16" fmlaLink="ber_TPN!$B$4" fmlaRange="tblTPN" sel="1" val="0"/>
</file>

<file path=xl/ctrlProps/ctrlProp220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21.xml><?xml version="1.0" encoding="utf-8"?>
<formControlPr xmlns="http://schemas.microsoft.com/office/spreadsheetml/2009/9/main" objectType="Spin" dx="15" fmlaLink="ber_TPN!$E$4" max="4000" page="10" val="0"/>
</file>

<file path=xl/ctrlProps/ctrlProp222.xml><?xml version="1.0" encoding="utf-8"?>
<formControlPr xmlns="http://schemas.microsoft.com/office/spreadsheetml/2009/9/main" objectType="Spin" dx="15" fmlaLink="ber_PO!$K$3" max="12" min="1" page="10"/>
</file>

<file path=xl/ctrlProps/ctrlProp223.xml><?xml version="1.0" encoding="utf-8"?>
<formControlPr xmlns="http://schemas.microsoft.com/office/spreadsheetml/2009/9/main" objectType="Spin" dx="15" fmlaLink="ber_PO!$L$3" max="100" page="10" val="0"/>
</file>

<file path=xl/ctrlProps/ctrlProp224.xml><?xml version="1.0" encoding="utf-8"?>
<formControlPr xmlns="http://schemas.microsoft.com/office/spreadsheetml/2009/9/main" objectType="Drop" dropStyle="combo" dx="16" fmlaLink="ber_PO!$O$3" fmlaRange="tblPoeder" sel="1" val="0"/>
</file>

<file path=xl/ctrlProps/ctrlProp225.xml><?xml version="1.0" encoding="utf-8"?>
<formControlPr xmlns="http://schemas.microsoft.com/office/spreadsheetml/2009/9/main" objectType="Spin" dx="15" fmlaLink="ber_TPN!$E$5" max="15" page="10" val="0"/>
</file>

<file path=xl/ctrlProps/ctrlProp226.xml><?xml version="1.0" encoding="utf-8"?>
<formControlPr xmlns="http://schemas.microsoft.com/office/spreadsheetml/2009/9/main" objectType="Spin" dx="15" fmlaLink="ber_PO!$K$4" max="12" min="1" page="10"/>
</file>

<file path=xl/ctrlProps/ctrlProp227.xml><?xml version="1.0" encoding="utf-8"?>
<formControlPr xmlns="http://schemas.microsoft.com/office/spreadsheetml/2009/9/main" objectType="Spin" dx="15" fmlaLink="ber_PO!$L$4" max="100" page="10" val="0"/>
</file>

<file path=xl/ctrlProps/ctrlProp228.xml><?xml version="1.0" encoding="utf-8"?>
<formControlPr xmlns="http://schemas.microsoft.com/office/spreadsheetml/2009/9/main" objectType="Drop" dropStyle="combo" dx="16" fmlaLink="ber_PO!$O$4" fmlaRange="tblPoeder" sel="0" val="0"/>
</file>

<file path=xl/ctrlProps/ctrlProp229.xml><?xml version="1.0" encoding="utf-8"?>
<formControlPr xmlns="http://schemas.microsoft.com/office/spreadsheetml/2009/9/main" objectType="Spin" dx="15" fmlaLink="ber_PO!$K$5" max="12" min="1" page="10"/>
</file>

<file path=xl/ctrlProps/ctrlProp230.xml><?xml version="1.0" encoding="utf-8"?>
<formControlPr xmlns="http://schemas.microsoft.com/office/spreadsheetml/2009/9/main" objectType="Spin" dx="15" fmlaLink="ber_PO!$L$5" max="100" page="10" val="0"/>
</file>

<file path=xl/ctrlProps/ctrlProp231.xml><?xml version="1.0" encoding="utf-8"?>
<formControlPr xmlns="http://schemas.microsoft.com/office/spreadsheetml/2009/9/main" objectType="Drop" dropStyle="combo" dx="16" fmlaLink="ber_PO!$O$5" fmlaRange="tblPoeder" sel="0" val="0"/>
</file>

<file path=xl/ctrlProps/ctrlProp232.xml><?xml version="1.0" encoding="utf-8"?>
<formControlPr xmlns="http://schemas.microsoft.com/office/spreadsheetml/2009/9/main" objectType="Spin" dx="15" fmlaLink="ber_TPN!$D$18" max="200" page="10" val="0"/>
</file>

<file path=xl/ctrlProps/ctrlProp233.xml><?xml version="1.0" encoding="utf-8"?>
<formControlPr xmlns="http://schemas.microsoft.com/office/spreadsheetml/2009/9/main" objectType="Spin" dx="15" fmlaLink="ber_TPN!$E$20" max="1000" min="1" page="10"/>
</file>

<file path=xl/ctrlProps/ctrlProp234.xml><?xml version="1.0" encoding="utf-8"?>
<formControlPr xmlns="http://schemas.microsoft.com/office/spreadsheetml/2009/9/main" objectType="Spin" dx="15" fmlaLink="ber_TPN!$E$21" max="200" min="1" page="10"/>
</file>

<file path=xl/ctrlProps/ctrlProp235.xml><?xml version="1.0" encoding="utf-8"?>
<formControlPr xmlns="http://schemas.microsoft.com/office/spreadsheetml/2009/9/main" objectType="CheckBox" fmlaLink="ber_TPN!$C$20" lockText="1"/>
</file>

<file path=xl/ctrlProps/ctrlProp236.xml><?xml version="1.0" encoding="utf-8"?>
<formControlPr xmlns="http://schemas.microsoft.com/office/spreadsheetml/2009/9/main" objectType="CheckBox" fmlaLink="ber_TPN!$C$21" lockText="1"/>
</file>

<file path=xl/ctrlProps/ctrlProp237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238.xml><?xml version="1.0" encoding="utf-8"?>
<formControlPr xmlns="http://schemas.microsoft.com/office/spreadsheetml/2009/9/main" objectType="Spin" dx="15" fmlaLink="dbBead!$G$2" max="1000" min="25" page="10" val="50"/>
</file>

<file path=xl/ctrlProps/ctrlProp239.xml><?xml version="1.0" encoding="utf-8"?>
<formControlPr xmlns="http://schemas.microsoft.com/office/spreadsheetml/2009/9/main" objectType="Spin" dx="15" fmlaLink="dbBead!$H$2" max="200" min="40" page="10" val="61"/>
</file>

<file path=xl/ctrlProps/ctrlProp240.xml><?xml version="1.0" encoding="utf-8"?>
<formControlPr xmlns="http://schemas.microsoft.com/office/spreadsheetml/2009/9/main" objectType="CheckBox" fmlaLink="Ber_Lab!$C$5" lockText="1"/>
</file>

<file path=xl/ctrlProps/ctrlProp241.xml><?xml version="1.0" encoding="utf-8"?>
<formControlPr xmlns="http://schemas.microsoft.com/office/spreadsheetml/2009/9/main" objectType="CheckBox" fmlaLink="Ber_Lab!C6" lockText="1"/>
</file>

<file path=xl/ctrlProps/ctrlProp242.xml><?xml version="1.0" encoding="utf-8"?>
<formControlPr xmlns="http://schemas.microsoft.com/office/spreadsheetml/2009/9/main" objectType="CheckBox" fmlaLink="Ber_Lab!C8" lockText="1"/>
</file>

<file path=xl/ctrlProps/ctrlProp243.xml><?xml version="1.0" encoding="utf-8"?>
<formControlPr xmlns="http://schemas.microsoft.com/office/spreadsheetml/2009/9/main" objectType="CheckBox" fmlaLink="Ber_Lab!C9" lockText="1"/>
</file>

<file path=xl/ctrlProps/ctrlProp244.xml><?xml version="1.0" encoding="utf-8"?>
<formControlPr xmlns="http://schemas.microsoft.com/office/spreadsheetml/2009/9/main" objectType="CheckBox" fmlaLink="Ber_Lab!C14" lockText="1"/>
</file>

<file path=xl/ctrlProps/ctrlProp245.xml><?xml version="1.0" encoding="utf-8"?>
<formControlPr xmlns="http://schemas.microsoft.com/office/spreadsheetml/2009/9/main" objectType="CheckBox" fmlaLink="Ber_Lab!C13" lockText="1"/>
</file>

<file path=xl/ctrlProps/ctrlProp246.xml><?xml version="1.0" encoding="utf-8"?>
<formControlPr xmlns="http://schemas.microsoft.com/office/spreadsheetml/2009/9/main" objectType="CheckBox" fmlaLink="Ber_Lab!C27" lockText="1"/>
</file>

<file path=xl/ctrlProps/ctrlProp247.xml><?xml version="1.0" encoding="utf-8"?>
<formControlPr xmlns="http://schemas.microsoft.com/office/spreadsheetml/2009/9/main" objectType="CheckBox" fmlaLink="Ber_Lab!C16" lockText="1"/>
</file>

<file path=xl/ctrlProps/ctrlProp248.xml><?xml version="1.0" encoding="utf-8"?>
<formControlPr xmlns="http://schemas.microsoft.com/office/spreadsheetml/2009/9/main" objectType="CheckBox" fmlaLink="Ber_Lab!C18" lockText="1"/>
</file>

<file path=xl/ctrlProps/ctrlProp249.xml><?xml version="1.0" encoding="utf-8"?>
<formControlPr xmlns="http://schemas.microsoft.com/office/spreadsheetml/2009/9/main" objectType="CheckBox" fmlaLink="Ber_Lab!C19" lockText="1"/>
</file>

<file path=xl/ctrlProps/ctrlProp250.xml><?xml version="1.0" encoding="utf-8"?>
<formControlPr xmlns="http://schemas.microsoft.com/office/spreadsheetml/2009/9/main" objectType="CheckBox" fmlaLink="Ber_Lab!C20" lockText="1"/>
</file>

<file path=xl/ctrlProps/ctrlProp251.xml><?xml version="1.0" encoding="utf-8"?>
<formControlPr xmlns="http://schemas.microsoft.com/office/spreadsheetml/2009/9/main" objectType="CheckBox" fmlaLink="Ber_Lab!C12" lockText="1"/>
</file>

<file path=xl/ctrlProps/ctrlProp252.xml><?xml version="1.0" encoding="utf-8"?>
<formControlPr xmlns="http://schemas.microsoft.com/office/spreadsheetml/2009/9/main" objectType="CheckBox" fmlaLink="Ber_Lab!C28" lockText="1"/>
</file>

<file path=xl/ctrlProps/ctrlProp253.xml><?xml version="1.0" encoding="utf-8"?>
<formControlPr xmlns="http://schemas.microsoft.com/office/spreadsheetml/2009/9/main" objectType="CheckBox" fmlaLink="Ber_Lab!G5" lockText="1"/>
</file>

<file path=xl/ctrlProps/ctrlProp254.xml><?xml version="1.0" encoding="utf-8"?>
<formControlPr xmlns="http://schemas.microsoft.com/office/spreadsheetml/2009/9/main" objectType="CheckBox" fmlaLink="Ber_Lab!G6" lockText="1"/>
</file>

<file path=xl/ctrlProps/ctrlProp255.xml><?xml version="1.0" encoding="utf-8"?>
<formControlPr xmlns="http://schemas.microsoft.com/office/spreadsheetml/2009/9/main" objectType="CheckBox" fmlaLink="Ber_Lab!G8" lockText="1"/>
</file>

<file path=xl/ctrlProps/ctrlProp256.xml><?xml version="1.0" encoding="utf-8"?>
<formControlPr xmlns="http://schemas.microsoft.com/office/spreadsheetml/2009/9/main" objectType="CheckBox" fmlaLink="Ber_Lab!G9" lockText="1"/>
</file>

<file path=xl/ctrlProps/ctrlProp257.xml><?xml version="1.0" encoding="utf-8"?>
<formControlPr xmlns="http://schemas.microsoft.com/office/spreadsheetml/2009/9/main" objectType="CheckBox" fmlaLink="Ber_Lab!G14" lockText="1"/>
</file>

<file path=xl/ctrlProps/ctrlProp258.xml><?xml version="1.0" encoding="utf-8"?>
<formControlPr xmlns="http://schemas.microsoft.com/office/spreadsheetml/2009/9/main" objectType="CheckBox" fmlaLink="Ber_Lab!G13" lockText="1"/>
</file>

<file path=xl/ctrlProps/ctrlProp259.xml><?xml version="1.0" encoding="utf-8"?>
<formControlPr xmlns="http://schemas.microsoft.com/office/spreadsheetml/2009/9/main" objectType="CheckBox" fmlaLink="Ber_Lab!G27" lockText="1"/>
</file>

<file path=xl/ctrlProps/ctrlProp260.xml><?xml version="1.0" encoding="utf-8"?>
<formControlPr xmlns="http://schemas.microsoft.com/office/spreadsheetml/2009/9/main" objectType="CheckBox" fmlaLink="Ber_Lab!G16" lockText="1"/>
</file>

<file path=xl/ctrlProps/ctrlProp261.xml><?xml version="1.0" encoding="utf-8"?>
<formControlPr xmlns="http://schemas.microsoft.com/office/spreadsheetml/2009/9/main" objectType="CheckBox" fmlaLink="Ber_Lab!G18" lockText="1"/>
</file>

<file path=xl/ctrlProps/ctrlProp262.xml><?xml version="1.0" encoding="utf-8"?>
<formControlPr xmlns="http://schemas.microsoft.com/office/spreadsheetml/2009/9/main" objectType="CheckBox" fmlaLink="Ber_Lab!G19" lockText="1"/>
</file>

<file path=xl/ctrlProps/ctrlProp263.xml><?xml version="1.0" encoding="utf-8"?>
<formControlPr xmlns="http://schemas.microsoft.com/office/spreadsheetml/2009/9/main" objectType="CheckBox" fmlaLink="Ber_Lab!G20" lockText="1"/>
</file>

<file path=xl/ctrlProps/ctrlProp264.xml><?xml version="1.0" encoding="utf-8"?>
<formControlPr xmlns="http://schemas.microsoft.com/office/spreadsheetml/2009/9/main" objectType="CheckBox" fmlaLink="Ber_Lab!G12" lockText="1"/>
</file>

<file path=xl/ctrlProps/ctrlProp265.xml><?xml version="1.0" encoding="utf-8"?>
<formControlPr xmlns="http://schemas.microsoft.com/office/spreadsheetml/2009/9/main" objectType="CheckBox" fmlaLink="Ber_Lab!G28" lockText="1"/>
</file>

<file path=xl/ctrlProps/ctrlProp266.xml><?xml version="1.0" encoding="utf-8"?>
<formControlPr xmlns="http://schemas.microsoft.com/office/spreadsheetml/2009/9/main" objectType="CheckBox" fmlaLink="Ber_Lab!I5" lockText="1"/>
</file>

<file path=xl/ctrlProps/ctrlProp267.xml><?xml version="1.0" encoding="utf-8"?>
<formControlPr xmlns="http://schemas.microsoft.com/office/spreadsheetml/2009/9/main" objectType="CheckBox" fmlaLink="Ber_Lab!I6" lockText="1"/>
</file>

<file path=xl/ctrlProps/ctrlProp268.xml><?xml version="1.0" encoding="utf-8"?>
<formControlPr xmlns="http://schemas.microsoft.com/office/spreadsheetml/2009/9/main" objectType="CheckBox" fmlaLink="Ber_Lab!I8" lockText="1"/>
</file>

<file path=xl/ctrlProps/ctrlProp269.xml><?xml version="1.0" encoding="utf-8"?>
<formControlPr xmlns="http://schemas.microsoft.com/office/spreadsheetml/2009/9/main" objectType="CheckBox" fmlaLink="Ber_Lab!I9" lockText="1"/>
</file>

<file path=xl/ctrlProps/ctrlProp270.xml><?xml version="1.0" encoding="utf-8"?>
<formControlPr xmlns="http://schemas.microsoft.com/office/spreadsheetml/2009/9/main" objectType="CheckBox" fmlaLink="Ber_Lab!I14" lockText="1"/>
</file>

<file path=xl/ctrlProps/ctrlProp271.xml><?xml version="1.0" encoding="utf-8"?>
<formControlPr xmlns="http://schemas.microsoft.com/office/spreadsheetml/2009/9/main" objectType="CheckBox" fmlaLink="Ber_Lab!I13" lockText="1"/>
</file>

<file path=xl/ctrlProps/ctrlProp272.xml><?xml version="1.0" encoding="utf-8"?>
<formControlPr xmlns="http://schemas.microsoft.com/office/spreadsheetml/2009/9/main" objectType="CheckBox" fmlaLink="Ber_Lab!I27" lockText="1"/>
</file>

<file path=xl/ctrlProps/ctrlProp273.xml><?xml version="1.0" encoding="utf-8"?>
<formControlPr xmlns="http://schemas.microsoft.com/office/spreadsheetml/2009/9/main" objectType="CheckBox" fmlaLink="Ber_Lab!I16" lockText="1"/>
</file>

<file path=xl/ctrlProps/ctrlProp274.xml><?xml version="1.0" encoding="utf-8"?>
<formControlPr xmlns="http://schemas.microsoft.com/office/spreadsheetml/2009/9/main" objectType="CheckBox" fmlaLink="Ber_Lab!I18" lockText="1"/>
</file>

<file path=xl/ctrlProps/ctrlProp275.xml><?xml version="1.0" encoding="utf-8"?>
<formControlPr xmlns="http://schemas.microsoft.com/office/spreadsheetml/2009/9/main" objectType="CheckBox" fmlaLink="Ber_Lab!I19" lockText="1"/>
</file>

<file path=xl/ctrlProps/ctrlProp276.xml><?xml version="1.0" encoding="utf-8"?>
<formControlPr xmlns="http://schemas.microsoft.com/office/spreadsheetml/2009/9/main" objectType="CheckBox" fmlaLink="Ber_Lab!I20" lockText="1"/>
</file>

<file path=xl/ctrlProps/ctrlProp277.xml><?xml version="1.0" encoding="utf-8"?>
<formControlPr xmlns="http://schemas.microsoft.com/office/spreadsheetml/2009/9/main" objectType="CheckBox" fmlaLink="Ber_Lab!I12" lockText="1"/>
</file>

<file path=xl/ctrlProps/ctrlProp278.xml><?xml version="1.0" encoding="utf-8"?>
<formControlPr xmlns="http://schemas.microsoft.com/office/spreadsheetml/2009/9/main" objectType="CheckBox" fmlaLink="Ber_Lab!I28" lockText="1"/>
</file>

<file path=xl/ctrlProps/ctrlProp279.xml><?xml version="1.0" encoding="utf-8"?>
<formControlPr xmlns="http://schemas.microsoft.com/office/spreadsheetml/2009/9/main" objectType="CheckBox" fmlaLink="Ber_Lab!M5" lockText="1"/>
</file>

<file path=xl/ctrlProps/ctrlProp280.xml><?xml version="1.0" encoding="utf-8"?>
<formControlPr xmlns="http://schemas.microsoft.com/office/spreadsheetml/2009/9/main" objectType="CheckBox" fmlaLink="Ber_Lab!M6" lockText="1"/>
</file>

<file path=xl/ctrlProps/ctrlProp281.xml><?xml version="1.0" encoding="utf-8"?>
<formControlPr xmlns="http://schemas.microsoft.com/office/spreadsheetml/2009/9/main" objectType="CheckBox" fmlaLink="Ber_Lab!M8" lockText="1"/>
</file>

<file path=xl/ctrlProps/ctrlProp282.xml><?xml version="1.0" encoding="utf-8"?>
<formControlPr xmlns="http://schemas.microsoft.com/office/spreadsheetml/2009/9/main" objectType="CheckBox" fmlaLink="Ber_Lab!M9" lockText="1"/>
</file>

<file path=xl/ctrlProps/ctrlProp283.xml><?xml version="1.0" encoding="utf-8"?>
<formControlPr xmlns="http://schemas.microsoft.com/office/spreadsheetml/2009/9/main" objectType="CheckBox" fmlaLink="Ber_Lab!M14" lockText="1"/>
</file>

<file path=xl/ctrlProps/ctrlProp284.xml><?xml version="1.0" encoding="utf-8"?>
<formControlPr xmlns="http://schemas.microsoft.com/office/spreadsheetml/2009/9/main" objectType="CheckBox" fmlaLink="Ber_Lab!M13" lockText="1"/>
</file>

<file path=xl/ctrlProps/ctrlProp285.xml><?xml version="1.0" encoding="utf-8"?>
<formControlPr xmlns="http://schemas.microsoft.com/office/spreadsheetml/2009/9/main" objectType="CheckBox" fmlaLink="Ber_Lab!M27" lockText="1"/>
</file>

<file path=xl/ctrlProps/ctrlProp286.xml><?xml version="1.0" encoding="utf-8"?>
<formControlPr xmlns="http://schemas.microsoft.com/office/spreadsheetml/2009/9/main" objectType="CheckBox" fmlaLink="Ber_Lab!M16" lockText="1"/>
</file>

<file path=xl/ctrlProps/ctrlProp287.xml><?xml version="1.0" encoding="utf-8"?>
<formControlPr xmlns="http://schemas.microsoft.com/office/spreadsheetml/2009/9/main" objectType="CheckBox" fmlaLink="Ber_Lab!M18" lockText="1"/>
</file>

<file path=xl/ctrlProps/ctrlProp288.xml><?xml version="1.0" encoding="utf-8"?>
<formControlPr xmlns="http://schemas.microsoft.com/office/spreadsheetml/2009/9/main" objectType="CheckBox" fmlaLink="Ber_Lab!M19" lockText="1"/>
</file>

<file path=xl/ctrlProps/ctrlProp289.xml><?xml version="1.0" encoding="utf-8"?>
<formControlPr xmlns="http://schemas.microsoft.com/office/spreadsheetml/2009/9/main" objectType="CheckBox" fmlaLink="Ber_Lab!M20" lockText="1"/>
</file>

<file path=xl/ctrlProps/ctrlProp290.xml><?xml version="1.0" encoding="utf-8"?>
<formControlPr xmlns="http://schemas.microsoft.com/office/spreadsheetml/2009/9/main" objectType="CheckBox" fmlaLink="Ber_Lab!M12" lockText="1"/>
</file>

<file path=xl/ctrlProps/ctrlProp291.xml><?xml version="1.0" encoding="utf-8"?>
<formControlPr xmlns="http://schemas.microsoft.com/office/spreadsheetml/2009/9/main" objectType="CheckBox" fmlaLink="Ber_Lab!M28" lockText="1"/>
</file>

<file path=xl/ctrlProps/ctrlProp292.xml><?xml version="1.0" encoding="utf-8"?>
<formControlPr xmlns="http://schemas.microsoft.com/office/spreadsheetml/2009/9/main" objectType="CheckBox" fmlaLink="Ber_Lab!C29" lockText="1"/>
</file>

<file path=xl/ctrlProps/ctrlProp293.xml><?xml version="1.0" encoding="utf-8"?>
<formControlPr xmlns="http://schemas.microsoft.com/office/spreadsheetml/2009/9/main" objectType="CheckBox" fmlaLink="Ber_Lab!G29" lockText="1"/>
</file>

<file path=xl/ctrlProps/ctrlProp294.xml><?xml version="1.0" encoding="utf-8"?>
<formControlPr xmlns="http://schemas.microsoft.com/office/spreadsheetml/2009/9/main" objectType="CheckBox" fmlaLink="Ber_Lab!I29" lockText="1"/>
</file>

<file path=xl/ctrlProps/ctrlProp295.xml><?xml version="1.0" encoding="utf-8"?>
<formControlPr xmlns="http://schemas.microsoft.com/office/spreadsheetml/2009/9/main" objectType="CheckBox" fmlaLink="Ber_Lab!M29" lockText="1"/>
</file>

<file path=xl/ctrlProps/ctrlProp296.xml><?xml version="1.0" encoding="utf-8"?>
<formControlPr xmlns="http://schemas.microsoft.com/office/spreadsheetml/2009/9/main" objectType="CheckBox" fmlaLink="Ber_Lab!C7" lockText="1"/>
</file>

<file path=xl/ctrlProps/ctrlProp297.xml><?xml version="1.0" encoding="utf-8"?>
<formControlPr xmlns="http://schemas.microsoft.com/office/spreadsheetml/2009/9/main" objectType="CheckBox" fmlaLink="Ber_Lab!G7" lockText="1"/>
</file>

<file path=xl/ctrlProps/ctrlProp298.xml><?xml version="1.0" encoding="utf-8"?>
<formControlPr xmlns="http://schemas.microsoft.com/office/spreadsheetml/2009/9/main" objectType="CheckBox" fmlaLink="Ber_Lab!I7" lockText="1"/>
</file>

<file path=xl/ctrlProps/ctrlProp299.xml><?xml version="1.0" encoding="utf-8"?>
<formControlPr xmlns="http://schemas.microsoft.com/office/spreadsheetml/2009/9/main" objectType="CheckBox" fmlaLink="Ber_Lab!M7" lockText="1"/>
</file>

<file path=xl/ctrlProps/ctrlProp300.xml><?xml version="1.0" encoding="utf-8"?>
<formControlPr xmlns="http://schemas.microsoft.com/office/spreadsheetml/2009/9/main" objectType="CheckBox" fmlaLink="Ber_Lab!C17" lockText="1"/>
</file>

<file path=xl/ctrlProps/ctrlProp301.xml><?xml version="1.0" encoding="utf-8"?>
<formControlPr xmlns="http://schemas.microsoft.com/office/spreadsheetml/2009/9/main" objectType="CheckBox" fmlaLink="Ber_Lab!G17" lockText="1"/>
</file>

<file path=xl/ctrlProps/ctrlProp302.xml><?xml version="1.0" encoding="utf-8"?>
<formControlPr xmlns="http://schemas.microsoft.com/office/spreadsheetml/2009/9/main" objectType="CheckBox" fmlaLink="Ber_Lab!I17" lockText="1"/>
</file>

<file path=xl/ctrlProps/ctrlProp303.xml><?xml version="1.0" encoding="utf-8"?>
<formControlPr xmlns="http://schemas.microsoft.com/office/spreadsheetml/2009/9/main" objectType="CheckBox" fmlaLink="Ber_Lab!M17" lockText="1"/>
</file>

<file path=xl/ctrlProps/ctrlProp304.xml><?xml version="1.0" encoding="utf-8"?>
<formControlPr xmlns="http://schemas.microsoft.com/office/spreadsheetml/2009/9/main" objectType="CheckBox" fmlaLink="Ber_Lab!$E$5" lockText="1"/>
</file>

<file path=xl/ctrlProps/ctrlProp305.xml><?xml version="1.0" encoding="utf-8"?>
<formControlPr xmlns="http://schemas.microsoft.com/office/spreadsheetml/2009/9/main" objectType="CheckBox" fmlaLink="Ber_Lab!E6" lockText="1"/>
</file>

<file path=xl/ctrlProps/ctrlProp306.xml><?xml version="1.0" encoding="utf-8"?>
<formControlPr xmlns="http://schemas.microsoft.com/office/spreadsheetml/2009/9/main" objectType="CheckBox" fmlaLink="Ber_Lab!E8" lockText="1"/>
</file>

<file path=xl/ctrlProps/ctrlProp307.xml><?xml version="1.0" encoding="utf-8"?>
<formControlPr xmlns="http://schemas.microsoft.com/office/spreadsheetml/2009/9/main" objectType="CheckBox" fmlaLink="Ber_Lab!E9" lockText="1"/>
</file>

<file path=xl/ctrlProps/ctrlProp308.xml><?xml version="1.0" encoding="utf-8"?>
<formControlPr xmlns="http://schemas.microsoft.com/office/spreadsheetml/2009/9/main" objectType="CheckBox" fmlaLink="Ber_Lab!E14" lockText="1"/>
</file>

<file path=xl/ctrlProps/ctrlProp309.xml><?xml version="1.0" encoding="utf-8"?>
<formControlPr xmlns="http://schemas.microsoft.com/office/spreadsheetml/2009/9/main" objectType="CheckBox" fmlaLink="Ber_Lab!E13" lockText="1"/>
</file>

<file path=xl/ctrlProps/ctrlProp310.xml><?xml version="1.0" encoding="utf-8"?>
<formControlPr xmlns="http://schemas.microsoft.com/office/spreadsheetml/2009/9/main" objectType="CheckBox" fmlaLink="Ber_Lab!E27" lockText="1"/>
</file>

<file path=xl/ctrlProps/ctrlProp311.xml><?xml version="1.0" encoding="utf-8"?>
<formControlPr xmlns="http://schemas.microsoft.com/office/spreadsheetml/2009/9/main" objectType="CheckBox" fmlaLink="Ber_Lab!E16" lockText="1"/>
</file>

<file path=xl/ctrlProps/ctrlProp312.xml><?xml version="1.0" encoding="utf-8"?>
<formControlPr xmlns="http://schemas.microsoft.com/office/spreadsheetml/2009/9/main" objectType="CheckBox" fmlaLink="Ber_Lab!E18" lockText="1"/>
</file>

<file path=xl/ctrlProps/ctrlProp313.xml><?xml version="1.0" encoding="utf-8"?>
<formControlPr xmlns="http://schemas.microsoft.com/office/spreadsheetml/2009/9/main" objectType="CheckBox" fmlaLink="Ber_Lab!E19" lockText="1"/>
</file>

<file path=xl/ctrlProps/ctrlProp314.xml><?xml version="1.0" encoding="utf-8"?>
<formControlPr xmlns="http://schemas.microsoft.com/office/spreadsheetml/2009/9/main" objectType="CheckBox" fmlaLink="Ber_Lab!E20" lockText="1"/>
</file>

<file path=xl/ctrlProps/ctrlProp315.xml><?xml version="1.0" encoding="utf-8"?>
<formControlPr xmlns="http://schemas.microsoft.com/office/spreadsheetml/2009/9/main" objectType="CheckBox" fmlaLink="Ber_Lab!E12" lockText="1"/>
</file>

<file path=xl/ctrlProps/ctrlProp316.xml><?xml version="1.0" encoding="utf-8"?>
<formControlPr xmlns="http://schemas.microsoft.com/office/spreadsheetml/2009/9/main" objectType="CheckBox" fmlaLink="Ber_Lab!E28" lockText="1"/>
</file>

<file path=xl/ctrlProps/ctrlProp317.xml><?xml version="1.0" encoding="utf-8"?>
<formControlPr xmlns="http://schemas.microsoft.com/office/spreadsheetml/2009/9/main" objectType="CheckBox" fmlaLink="Ber_Lab!E29" lockText="1"/>
</file>

<file path=xl/ctrlProps/ctrlProp318.xml><?xml version="1.0" encoding="utf-8"?>
<formControlPr xmlns="http://schemas.microsoft.com/office/spreadsheetml/2009/9/main" objectType="CheckBox" fmlaLink="Ber_Lab!E7" lockText="1"/>
</file>

<file path=xl/ctrlProps/ctrlProp319.xml><?xml version="1.0" encoding="utf-8"?>
<formControlPr xmlns="http://schemas.microsoft.com/office/spreadsheetml/2009/9/main" objectType="CheckBox" fmlaLink="Ber_Lab!E17" lockText="1"/>
</file>

<file path=xl/ctrlProps/ctrlProp320.xml><?xml version="1.0" encoding="utf-8"?>
<formControlPr xmlns="http://schemas.microsoft.com/office/spreadsheetml/2009/9/main" objectType="CheckBox" fmlaLink="Ber_Lab!O5" lockText="1"/>
</file>

<file path=xl/ctrlProps/ctrlProp321.xml><?xml version="1.0" encoding="utf-8"?>
<formControlPr xmlns="http://schemas.microsoft.com/office/spreadsheetml/2009/9/main" objectType="CheckBox" fmlaLink="Ber_Lab!O6" lockText="1"/>
</file>

<file path=xl/ctrlProps/ctrlProp322.xml><?xml version="1.0" encoding="utf-8"?>
<formControlPr xmlns="http://schemas.microsoft.com/office/spreadsheetml/2009/9/main" objectType="CheckBox" fmlaLink="Ber_Lab!O8" lockText="1"/>
</file>

<file path=xl/ctrlProps/ctrlProp323.xml><?xml version="1.0" encoding="utf-8"?>
<formControlPr xmlns="http://schemas.microsoft.com/office/spreadsheetml/2009/9/main" objectType="CheckBox" fmlaLink="Ber_Lab!O9" lockText="1"/>
</file>

<file path=xl/ctrlProps/ctrlProp324.xml><?xml version="1.0" encoding="utf-8"?>
<formControlPr xmlns="http://schemas.microsoft.com/office/spreadsheetml/2009/9/main" objectType="CheckBox" fmlaLink="Ber_Lab!O14" lockText="1"/>
</file>

<file path=xl/ctrlProps/ctrlProp325.xml><?xml version="1.0" encoding="utf-8"?>
<formControlPr xmlns="http://schemas.microsoft.com/office/spreadsheetml/2009/9/main" objectType="CheckBox" fmlaLink="Ber_Lab!O13" lockText="1"/>
</file>

<file path=xl/ctrlProps/ctrlProp326.xml><?xml version="1.0" encoding="utf-8"?>
<formControlPr xmlns="http://schemas.microsoft.com/office/spreadsheetml/2009/9/main" objectType="CheckBox" fmlaLink="Ber_Lab!O27" lockText="1"/>
</file>

<file path=xl/ctrlProps/ctrlProp327.xml><?xml version="1.0" encoding="utf-8"?>
<formControlPr xmlns="http://schemas.microsoft.com/office/spreadsheetml/2009/9/main" objectType="CheckBox" fmlaLink="Ber_Lab!O16" lockText="1"/>
</file>

<file path=xl/ctrlProps/ctrlProp328.xml><?xml version="1.0" encoding="utf-8"?>
<formControlPr xmlns="http://schemas.microsoft.com/office/spreadsheetml/2009/9/main" objectType="CheckBox" fmlaLink="Ber_Lab!O18" lockText="1"/>
</file>

<file path=xl/ctrlProps/ctrlProp329.xml><?xml version="1.0" encoding="utf-8"?>
<formControlPr xmlns="http://schemas.microsoft.com/office/spreadsheetml/2009/9/main" objectType="CheckBox" fmlaLink="Ber_Lab!O19" lockText="1"/>
</file>

<file path=xl/ctrlProps/ctrlProp330.xml><?xml version="1.0" encoding="utf-8"?>
<formControlPr xmlns="http://schemas.microsoft.com/office/spreadsheetml/2009/9/main" objectType="CheckBox" fmlaLink="Ber_Lab!O20" lockText="1"/>
</file>

<file path=xl/ctrlProps/ctrlProp331.xml><?xml version="1.0" encoding="utf-8"?>
<formControlPr xmlns="http://schemas.microsoft.com/office/spreadsheetml/2009/9/main" objectType="CheckBox" fmlaLink="Ber_Lab!O12" lockText="1"/>
</file>

<file path=xl/ctrlProps/ctrlProp332.xml><?xml version="1.0" encoding="utf-8"?>
<formControlPr xmlns="http://schemas.microsoft.com/office/spreadsheetml/2009/9/main" objectType="CheckBox" fmlaLink="Ber_Lab!O28" lockText="1"/>
</file>

<file path=xl/ctrlProps/ctrlProp333.xml><?xml version="1.0" encoding="utf-8"?>
<formControlPr xmlns="http://schemas.microsoft.com/office/spreadsheetml/2009/9/main" objectType="CheckBox" fmlaLink="Ber_Lab!O29" lockText="1"/>
</file>

<file path=xl/ctrlProps/ctrlProp334.xml><?xml version="1.0" encoding="utf-8"?>
<formControlPr xmlns="http://schemas.microsoft.com/office/spreadsheetml/2009/9/main" objectType="CheckBox" fmlaLink="Ber_Lab!O7" lockText="1"/>
</file>

<file path=xl/ctrlProps/ctrlProp335.xml><?xml version="1.0" encoding="utf-8"?>
<formControlPr xmlns="http://schemas.microsoft.com/office/spreadsheetml/2009/9/main" objectType="CheckBox" fmlaLink="Ber_Lab!O17" lockText="1"/>
</file>

<file path=xl/ctrlProps/ctrlProp336.xml><?xml version="1.0" encoding="utf-8"?>
<formControlPr xmlns="http://schemas.microsoft.com/office/spreadsheetml/2009/9/main" objectType="CheckBox" fmlaLink="Ber_Lab!Q5" lockText="1"/>
</file>

<file path=xl/ctrlProps/ctrlProp337.xml><?xml version="1.0" encoding="utf-8"?>
<formControlPr xmlns="http://schemas.microsoft.com/office/spreadsheetml/2009/9/main" objectType="CheckBox" fmlaLink="Ber_Lab!Q6" lockText="1"/>
</file>

<file path=xl/ctrlProps/ctrlProp338.xml><?xml version="1.0" encoding="utf-8"?>
<formControlPr xmlns="http://schemas.microsoft.com/office/spreadsheetml/2009/9/main" objectType="CheckBox" fmlaLink="Ber_Lab!Q8" lockText="1"/>
</file>

<file path=xl/ctrlProps/ctrlProp339.xml><?xml version="1.0" encoding="utf-8"?>
<formControlPr xmlns="http://schemas.microsoft.com/office/spreadsheetml/2009/9/main" objectType="CheckBox" fmlaLink="Ber_Lab!Q9" lockText="1"/>
</file>

<file path=xl/ctrlProps/ctrlProp340.xml><?xml version="1.0" encoding="utf-8"?>
<formControlPr xmlns="http://schemas.microsoft.com/office/spreadsheetml/2009/9/main" objectType="CheckBox" fmlaLink="Ber_Lab!Q14" lockText="1"/>
</file>

<file path=xl/ctrlProps/ctrlProp341.xml><?xml version="1.0" encoding="utf-8"?>
<formControlPr xmlns="http://schemas.microsoft.com/office/spreadsheetml/2009/9/main" objectType="CheckBox" fmlaLink="Ber_Lab!Q13" lockText="1"/>
</file>

<file path=xl/ctrlProps/ctrlProp342.xml><?xml version="1.0" encoding="utf-8"?>
<formControlPr xmlns="http://schemas.microsoft.com/office/spreadsheetml/2009/9/main" objectType="CheckBox" fmlaLink="Ber_Lab!Q27" lockText="1"/>
</file>

<file path=xl/ctrlProps/ctrlProp343.xml><?xml version="1.0" encoding="utf-8"?>
<formControlPr xmlns="http://schemas.microsoft.com/office/spreadsheetml/2009/9/main" objectType="CheckBox" fmlaLink="Ber_Lab!Q16" lockText="1"/>
</file>

<file path=xl/ctrlProps/ctrlProp344.xml><?xml version="1.0" encoding="utf-8"?>
<formControlPr xmlns="http://schemas.microsoft.com/office/spreadsheetml/2009/9/main" objectType="CheckBox" fmlaLink="Ber_Lab!Q18" lockText="1"/>
</file>

<file path=xl/ctrlProps/ctrlProp345.xml><?xml version="1.0" encoding="utf-8"?>
<formControlPr xmlns="http://schemas.microsoft.com/office/spreadsheetml/2009/9/main" objectType="CheckBox" fmlaLink="Ber_Lab!Q19" lockText="1"/>
</file>

<file path=xl/ctrlProps/ctrlProp346.xml><?xml version="1.0" encoding="utf-8"?>
<formControlPr xmlns="http://schemas.microsoft.com/office/spreadsheetml/2009/9/main" objectType="CheckBox" fmlaLink="Ber_Lab!Q20" lockText="1"/>
</file>

<file path=xl/ctrlProps/ctrlProp347.xml><?xml version="1.0" encoding="utf-8"?>
<formControlPr xmlns="http://schemas.microsoft.com/office/spreadsheetml/2009/9/main" objectType="CheckBox" fmlaLink="Ber_Lab!Q12" lockText="1"/>
</file>

<file path=xl/ctrlProps/ctrlProp348.xml><?xml version="1.0" encoding="utf-8"?>
<formControlPr xmlns="http://schemas.microsoft.com/office/spreadsheetml/2009/9/main" objectType="CheckBox" fmlaLink="Ber_Lab!Q28" lockText="1"/>
</file>

<file path=xl/ctrlProps/ctrlProp349.xml><?xml version="1.0" encoding="utf-8"?>
<formControlPr xmlns="http://schemas.microsoft.com/office/spreadsheetml/2009/9/main" objectType="CheckBox" fmlaLink="Ber_Lab!Q29" lockText="1"/>
</file>

<file path=xl/ctrlProps/ctrlProp350.xml><?xml version="1.0" encoding="utf-8"?>
<formControlPr xmlns="http://schemas.microsoft.com/office/spreadsheetml/2009/9/main" objectType="CheckBox" fmlaLink="Ber_Lab!Q7" lockText="1"/>
</file>

<file path=xl/ctrlProps/ctrlProp351.xml><?xml version="1.0" encoding="utf-8"?>
<formControlPr xmlns="http://schemas.microsoft.com/office/spreadsheetml/2009/9/main" objectType="CheckBox" fmlaLink="Ber_Lab!Q17" lockText="1"/>
</file>

<file path=xl/ctrlProps/ctrlProp352.xml><?xml version="1.0" encoding="utf-8"?>
<formControlPr xmlns="http://schemas.microsoft.com/office/spreadsheetml/2009/9/main" objectType="CheckBox" fmlaLink="Ber_Lab!C30" lockText="1"/>
</file>

<file path=xl/ctrlProps/ctrlProp353.xml><?xml version="1.0" encoding="utf-8"?>
<formControlPr xmlns="http://schemas.microsoft.com/office/spreadsheetml/2009/9/main" objectType="CheckBox" fmlaLink="Ber_Lab!G30" lockText="1"/>
</file>

<file path=xl/ctrlProps/ctrlProp354.xml><?xml version="1.0" encoding="utf-8"?>
<formControlPr xmlns="http://schemas.microsoft.com/office/spreadsheetml/2009/9/main" objectType="CheckBox" fmlaLink="Ber_Lab!I30" lockText="1"/>
</file>

<file path=xl/ctrlProps/ctrlProp355.xml><?xml version="1.0" encoding="utf-8"?>
<formControlPr xmlns="http://schemas.microsoft.com/office/spreadsheetml/2009/9/main" objectType="CheckBox" fmlaLink="Ber_Lab!M30" lockText="1"/>
</file>

<file path=xl/ctrlProps/ctrlProp356.xml><?xml version="1.0" encoding="utf-8"?>
<formControlPr xmlns="http://schemas.microsoft.com/office/spreadsheetml/2009/9/main" objectType="CheckBox" fmlaLink="Ber_Lab!E30" lockText="1"/>
</file>

<file path=xl/ctrlProps/ctrlProp357.xml><?xml version="1.0" encoding="utf-8"?>
<formControlPr xmlns="http://schemas.microsoft.com/office/spreadsheetml/2009/9/main" objectType="CheckBox" fmlaLink="Ber_Lab!O30" lockText="1"/>
</file>

<file path=xl/ctrlProps/ctrlProp358.xml><?xml version="1.0" encoding="utf-8"?>
<formControlPr xmlns="http://schemas.microsoft.com/office/spreadsheetml/2009/9/main" objectType="CheckBox" fmlaLink="Ber_Lab!Q30" lockText="1"/>
</file>

<file path=xl/ctrlProps/ctrlProp359.xml><?xml version="1.0" encoding="utf-8"?>
<formControlPr xmlns="http://schemas.microsoft.com/office/spreadsheetml/2009/9/main" objectType="CheckBox" fmlaLink="Ber_Lab!C31" lockText="1"/>
</file>

<file path=xl/ctrlProps/ctrlProp360.xml><?xml version="1.0" encoding="utf-8"?>
<formControlPr xmlns="http://schemas.microsoft.com/office/spreadsheetml/2009/9/main" objectType="CheckBox" fmlaLink="Ber_Lab!G31" lockText="1"/>
</file>

<file path=xl/ctrlProps/ctrlProp361.xml><?xml version="1.0" encoding="utf-8"?>
<formControlPr xmlns="http://schemas.microsoft.com/office/spreadsheetml/2009/9/main" objectType="CheckBox" fmlaLink="Ber_Lab!I31" lockText="1"/>
</file>

<file path=xl/ctrlProps/ctrlProp362.xml><?xml version="1.0" encoding="utf-8"?>
<formControlPr xmlns="http://schemas.microsoft.com/office/spreadsheetml/2009/9/main" objectType="CheckBox" fmlaLink="Ber_Lab!M31" lockText="1"/>
</file>

<file path=xl/ctrlProps/ctrlProp363.xml><?xml version="1.0" encoding="utf-8"?>
<formControlPr xmlns="http://schemas.microsoft.com/office/spreadsheetml/2009/9/main" objectType="CheckBox" fmlaLink="Ber_Lab!E31" lockText="1"/>
</file>

<file path=xl/ctrlProps/ctrlProp364.xml><?xml version="1.0" encoding="utf-8"?>
<formControlPr xmlns="http://schemas.microsoft.com/office/spreadsheetml/2009/9/main" objectType="CheckBox" fmlaLink="Ber_Lab!O31" lockText="1"/>
</file>

<file path=xl/ctrlProps/ctrlProp365.xml><?xml version="1.0" encoding="utf-8"?>
<formControlPr xmlns="http://schemas.microsoft.com/office/spreadsheetml/2009/9/main" objectType="CheckBox" fmlaLink="Ber_Lab!Q31" lockText="1"/>
</file>

<file path=xl/ctrlProps/ctrlProp366.xml><?xml version="1.0" encoding="utf-8"?>
<formControlPr xmlns="http://schemas.microsoft.com/office/spreadsheetml/2009/9/main" objectType="CheckBox" fmlaLink="Ber_Lab!C10" lockText="1"/>
</file>

<file path=xl/ctrlProps/ctrlProp367.xml><?xml version="1.0" encoding="utf-8"?>
<formControlPr xmlns="http://schemas.microsoft.com/office/spreadsheetml/2009/9/main" objectType="CheckBox" fmlaLink="Ber_Lab!G10" lockText="1"/>
</file>

<file path=xl/ctrlProps/ctrlProp368.xml><?xml version="1.0" encoding="utf-8"?>
<formControlPr xmlns="http://schemas.microsoft.com/office/spreadsheetml/2009/9/main" objectType="CheckBox" fmlaLink="Ber_Lab!I10" lockText="1"/>
</file>

<file path=xl/ctrlProps/ctrlProp369.xml><?xml version="1.0" encoding="utf-8"?>
<formControlPr xmlns="http://schemas.microsoft.com/office/spreadsheetml/2009/9/main" objectType="CheckBox" fmlaLink="Ber_Lab!M10" lockText="1"/>
</file>

<file path=xl/ctrlProps/ctrlProp370.xml><?xml version="1.0" encoding="utf-8"?>
<formControlPr xmlns="http://schemas.microsoft.com/office/spreadsheetml/2009/9/main" objectType="CheckBox" fmlaLink="Ber_Lab!E10" lockText="1"/>
</file>

<file path=xl/ctrlProps/ctrlProp371.xml><?xml version="1.0" encoding="utf-8"?>
<formControlPr xmlns="http://schemas.microsoft.com/office/spreadsheetml/2009/9/main" objectType="CheckBox" fmlaLink="Ber_Lab!O10" lockText="1"/>
</file>

<file path=xl/ctrlProps/ctrlProp372.xml><?xml version="1.0" encoding="utf-8"?>
<formControlPr xmlns="http://schemas.microsoft.com/office/spreadsheetml/2009/9/main" objectType="CheckBox" fmlaLink="Ber_Lab!Q10" lockText="1"/>
</file>

<file path=xl/ctrlProps/ctrlProp373.xml><?xml version="1.0" encoding="utf-8"?>
<formControlPr xmlns="http://schemas.microsoft.com/office/spreadsheetml/2009/9/main" objectType="CheckBox" fmlaLink="Ber_Lab!C11" lockText="1"/>
</file>

<file path=xl/ctrlProps/ctrlProp374.xml><?xml version="1.0" encoding="utf-8"?>
<formControlPr xmlns="http://schemas.microsoft.com/office/spreadsheetml/2009/9/main" objectType="CheckBox" fmlaLink="Ber_Lab!G11" lockText="1"/>
</file>

<file path=xl/ctrlProps/ctrlProp375.xml><?xml version="1.0" encoding="utf-8"?>
<formControlPr xmlns="http://schemas.microsoft.com/office/spreadsheetml/2009/9/main" objectType="CheckBox" fmlaLink="Ber_Lab!I11" lockText="1"/>
</file>

<file path=xl/ctrlProps/ctrlProp376.xml><?xml version="1.0" encoding="utf-8"?>
<formControlPr xmlns="http://schemas.microsoft.com/office/spreadsheetml/2009/9/main" objectType="CheckBox" fmlaLink="Ber_Lab!M11" lockText="1"/>
</file>

<file path=xl/ctrlProps/ctrlProp377.xml><?xml version="1.0" encoding="utf-8"?>
<formControlPr xmlns="http://schemas.microsoft.com/office/spreadsheetml/2009/9/main" objectType="CheckBox" fmlaLink="Ber_Lab!E11" lockText="1"/>
</file>

<file path=xl/ctrlProps/ctrlProp378.xml><?xml version="1.0" encoding="utf-8"?>
<formControlPr xmlns="http://schemas.microsoft.com/office/spreadsheetml/2009/9/main" objectType="CheckBox" fmlaLink="Ber_Lab!O11" lockText="1"/>
</file>

<file path=xl/ctrlProps/ctrlProp379.xml><?xml version="1.0" encoding="utf-8"?>
<formControlPr xmlns="http://schemas.microsoft.com/office/spreadsheetml/2009/9/main" objectType="CheckBox" fmlaLink="Ber_Lab!Q11" lockText="1"/>
</file>

<file path=xl/ctrlProps/ctrlProp380.xml><?xml version="1.0" encoding="utf-8"?>
<formControlPr xmlns="http://schemas.microsoft.com/office/spreadsheetml/2009/9/main" objectType="CheckBox" fmlaLink="Ber_Lab!C15" lockText="1"/>
</file>

<file path=xl/ctrlProps/ctrlProp381.xml><?xml version="1.0" encoding="utf-8"?>
<formControlPr xmlns="http://schemas.microsoft.com/office/spreadsheetml/2009/9/main" objectType="CheckBox" fmlaLink="Ber_Lab!G15" lockText="1"/>
</file>

<file path=xl/ctrlProps/ctrlProp382.xml><?xml version="1.0" encoding="utf-8"?>
<formControlPr xmlns="http://schemas.microsoft.com/office/spreadsheetml/2009/9/main" objectType="CheckBox" fmlaLink="Ber_Lab!I15" lockText="1"/>
</file>

<file path=xl/ctrlProps/ctrlProp383.xml><?xml version="1.0" encoding="utf-8"?>
<formControlPr xmlns="http://schemas.microsoft.com/office/spreadsheetml/2009/9/main" objectType="CheckBox" fmlaLink="Ber_Lab!M15" lockText="1"/>
</file>

<file path=xl/ctrlProps/ctrlProp384.xml><?xml version="1.0" encoding="utf-8"?>
<formControlPr xmlns="http://schemas.microsoft.com/office/spreadsheetml/2009/9/main" objectType="CheckBox" fmlaLink="Ber_Lab!E15" lockText="1"/>
</file>

<file path=xl/ctrlProps/ctrlProp385.xml><?xml version="1.0" encoding="utf-8"?>
<formControlPr xmlns="http://schemas.microsoft.com/office/spreadsheetml/2009/9/main" objectType="CheckBox" fmlaLink="Ber_Lab!O15" lockText="1"/>
</file>

<file path=xl/ctrlProps/ctrlProp386.xml><?xml version="1.0" encoding="utf-8"?>
<formControlPr xmlns="http://schemas.microsoft.com/office/spreadsheetml/2009/9/main" objectType="CheckBox" fmlaLink="Ber_Lab!Q15" lockText="1"/>
</file>

<file path=xl/ctrlProps/ctrlProp387.xml><?xml version="1.0" encoding="utf-8"?>
<formControlPr xmlns="http://schemas.microsoft.com/office/spreadsheetml/2009/9/main" objectType="CheckBox" fmlaLink="Ber_Lab!C21" lockText="1"/>
</file>

<file path=xl/ctrlProps/ctrlProp388.xml><?xml version="1.0" encoding="utf-8"?>
<formControlPr xmlns="http://schemas.microsoft.com/office/spreadsheetml/2009/9/main" objectType="CheckBox" fmlaLink="Ber_Lab!G21" lockText="1"/>
</file>

<file path=xl/ctrlProps/ctrlProp389.xml><?xml version="1.0" encoding="utf-8"?>
<formControlPr xmlns="http://schemas.microsoft.com/office/spreadsheetml/2009/9/main" objectType="CheckBox" fmlaLink="Ber_Lab!I21" lockText="1"/>
</file>

<file path=xl/ctrlProps/ctrlProp390.xml><?xml version="1.0" encoding="utf-8"?>
<formControlPr xmlns="http://schemas.microsoft.com/office/spreadsheetml/2009/9/main" objectType="CheckBox" fmlaLink="Ber_Lab!M21" lockText="1"/>
</file>

<file path=xl/ctrlProps/ctrlProp391.xml><?xml version="1.0" encoding="utf-8"?>
<formControlPr xmlns="http://schemas.microsoft.com/office/spreadsheetml/2009/9/main" objectType="CheckBox" fmlaLink="Ber_Lab!E21" lockText="1"/>
</file>

<file path=xl/ctrlProps/ctrlProp392.xml><?xml version="1.0" encoding="utf-8"?>
<formControlPr xmlns="http://schemas.microsoft.com/office/spreadsheetml/2009/9/main" objectType="CheckBox" fmlaLink="Ber_Lab!O21" lockText="1"/>
</file>

<file path=xl/ctrlProps/ctrlProp393.xml><?xml version="1.0" encoding="utf-8"?>
<formControlPr xmlns="http://schemas.microsoft.com/office/spreadsheetml/2009/9/main" objectType="CheckBox" fmlaLink="Ber_Lab!Q21" lockText="1"/>
</file>

<file path=xl/ctrlProps/ctrlProp394.xml><?xml version="1.0" encoding="utf-8"?>
<formControlPr xmlns="http://schemas.microsoft.com/office/spreadsheetml/2009/9/main" objectType="CheckBox" fmlaLink="Ber_Lab!C22" lockText="1"/>
</file>

<file path=xl/ctrlProps/ctrlProp395.xml><?xml version="1.0" encoding="utf-8"?>
<formControlPr xmlns="http://schemas.microsoft.com/office/spreadsheetml/2009/9/main" objectType="CheckBox" fmlaLink="Ber_Lab!G22" lockText="1"/>
</file>

<file path=xl/ctrlProps/ctrlProp396.xml><?xml version="1.0" encoding="utf-8"?>
<formControlPr xmlns="http://schemas.microsoft.com/office/spreadsheetml/2009/9/main" objectType="CheckBox" fmlaLink="Ber_Lab!I22" lockText="1"/>
</file>

<file path=xl/ctrlProps/ctrlProp397.xml><?xml version="1.0" encoding="utf-8"?>
<formControlPr xmlns="http://schemas.microsoft.com/office/spreadsheetml/2009/9/main" objectType="CheckBox" fmlaLink="Ber_Lab!M22" lockText="1"/>
</file>

<file path=xl/ctrlProps/ctrlProp398.xml><?xml version="1.0" encoding="utf-8"?>
<formControlPr xmlns="http://schemas.microsoft.com/office/spreadsheetml/2009/9/main" objectType="CheckBox" fmlaLink="Ber_Lab!E22" lockText="1"/>
</file>

<file path=xl/ctrlProps/ctrlProp399.xml><?xml version="1.0" encoding="utf-8"?>
<formControlPr xmlns="http://schemas.microsoft.com/office/spreadsheetml/2009/9/main" objectType="CheckBox" fmlaLink="Ber_Lab!O22" lockText="1"/>
</file>

<file path=xl/ctrlProps/ctrlProp400.xml><?xml version="1.0" encoding="utf-8"?>
<formControlPr xmlns="http://schemas.microsoft.com/office/spreadsheetml/2009/9/main" objectType="CheckBox" fmlaLink="Ber_Lab!Q22" lockText="1"/>
</file>

<file path=xl/ctrlProps/ctrlProp401.xml><?xml version="1.0" encoding="utf-8"?>
<formControlPr xmlns="http://schemas.microsoft.com/office/spreadsheetml/2009/9/main" objectType="CheckBox" fmlaLink="Ber_Lab!C23" lockText="1"/>
</file>

<file path=xl/ctrlProps/ctrlProp402.xml><?xml version="1.0" encoding="utf-8"?>
<formControlPr xmlns="http://schemas.microsoft.com/office/spreadsheetml/2009/9/main" objectType="CheckBox" fmlaLink="Ber_Lab!G23" lockText="1"/>
</file>

<file path=xl/ctrlProps/ctrlProp403.xml><?xml version="1.0" encoding="utf-8"?>
<formControlPr xmlns="http://schemas.microsoft.com/office/spreadsheetml/2009/9/main" objectType="CheckBox" fmlaLink="Ber_Lab!I23" lockText="1"/>
</file>

<file path=xl/ctrlProps/ctrlProp404.xml><?xml version="1.0" encoding="utf-8"?>
<formControlPr xmlns="http://schemas.microsoft.com/office/spreadsheetml/2009/9/main" objectType="CheckBox" fmlaLink="Ber_Lab!M23" lockText="1"/>
</file>

<file path=xl/ctrlProps/ctrlProp405.xml><?xml version="1.0" encoding="utf-8"?>
<formControlPr xmlns="http://schemas.microsoft.com/office/spreadsheetml/2009/9/main" objectType="CheckBox" fmlaLink="Ber_Lab!E23" lockText="1"/>
</file>

<file path=xl/ctrlProps/ctrlProp406.xml><?xml version="1.0" encoding="utf-8"?>
<formControlPr xmlns="http://schemas.microsoft.com/office/spreadsheetml/2009/9/main" objectType="CheckBox" fmlaLink="Ber_Lab!O23" lockText="1"/>
</file>

<file path=xl/ctrlProps/ctrlProp407.xml><?xml version="1.0" encoding="utf-8"?>
<formControlPr xmlns="http://schemas.microsoft.com/office/spreadsheetml/2009/9/main" objectType="CheckBox" fmlaLink="Ber_Lab!Q23" lockText="1"/>
</file>

<file path=xl/ctrlProps/ctrlProp408.xml><?xml version="1.0" encoding="utf-8"?>
<formControlPr xmlns="http://schemas.microsoft.com/office/spreadsheetml/2009/9/main" objectType="CheckBox" fmlaLink="Ber_Lab!C24" lockText="1"/>
</file>

<file path=xl/ctrlProps/ctrlProp409.xml><?xml version="1.0" encoding="utf-8"?>
<formControlPr xmlns="http://schemas.microsoft.com/office/spreadsheetml/2009/9/main" objectType="CheckBox" fmlaLink="Ber_Lab!G24" lockText="1"/>
</file>

<file path=xl/ctrlProps/ctrlProp410.xml><?xml version="1.0" encoding="utf-8"?>
<formControlPr xmlns="http://schemas.microsoft.com/office/spreadsheetml/2009/9/main" objectType="CheckBox" fmlaLink="Ber_Lab!I24" lockText="1"/>
</file>

<file path=xl/ctrlProps/ctrlProp411.xml><?xml version="1.0" encoding="utf-8"?>
<formControlPr xmlns="http://schemas.microsoft.com/office/spreadsheetml/2009/9/main" objectType="CheckBox" fmlaLink="Ber_Lab!M24" lockText="1"/>
</file>

<file path=xl/ctrlProps/ctrlProp412.xml><?xml version="1.0" encoding="utf-8"?>
<formControlPr xmlns="http://schemas.microsoft.com/office/spreadsheetml/2009/9/main" objectType="CheckBox" fmlaLink="Ber_Lab!E24" lockText="1"/>
</file>

<file path=xl/ctrlProps/ctrlProp413.xml><?xml version="1.0" encoding="utf-8"?>
<formControlPr xmlns="http://schemas.microsoft.com/office/spreadsheetml/2009/9/main" objectType="CheckBox" fmlaLink="Ber_Lab!O24" lockText="1"/>
</file>

<file path=xl/ctrlProps/ctrlProp414.xml><?xml version="1.0" encoding="utf-8"?>
<formControlPr xmlns="http://schemas.microsoft.com/office/spreadsheetml/2009/9/main" objectType="CheckBox" fmlaLink="Ber_Lab!Q24" lockText="1"/>
</file>

<file path=xl/ctrlProps/ctrlProp415.xml><?xml version="1.0" encoding="utf-8"?>
<formControlPr xmlns="http://schemas.microsoft.com/office/spreadsheetml/2009/9/main" objectType="CheckBox" fmlaLink="Ber_Lab!C25" lockText="1"/>
</file>

<file path=xl/ctrlProps/ctrlProp416.xml><?xml version="1.0" encoding="utf-8"?>
<formControlPr xmlns="http://schemas.microsoft.com/office/spreadsheetml/2009/9/main" objectType="CheckBox" fmlaLink="Ber_Lab!G25" lockText="1"/>
</file>

<file path=xl/ctrlProps/ctrlProp417.xml><?xml version="1.0" encoding="utf-8"?>
<formControlPr xmlns="http://schemas.microsoft.com/office/spreadsheetml/2009/9/main" objectType="CheckBox" fmlaLink="Ber_Lab!I25" lockText="1"/>
</file>

<file path=xl/ctrlProps/ctrlProp418.xml><?xml version="1.0" encoding="utf-8"?>
<formControlPr xmlns="http://schemas.microsoft.com/office/spreadsheetml/2009/9/main" objectType="CheckBox" fmlaLink="Ber_Lab!M25" lockText="1"/>
</file>

<file path=xl/ctrlProps/ctrlProp419.xml><?xml version="1.0" encoding="utf-8"?>
<formControlPr xmlns="http://schemas.microsoft.com/office/spreadsheetml/2009/9/main" objectType="CheckBox" fmlaLink="Ber_Lab!E25" lockText="1"/>
</file>

<file path=xl/ctrlProps/ctrlProp420.xml><?xml version="1.0" encoding="utf-8"?>
<formControlPr xmlns="http://schemas.microsoft.com/office/spreadsheetml/2009/9/main" objectType="CheckBox" fmlaLink="Ber_Lab!O25" lockText="1"/>
</file>

<file path=xl/ctrlProps/ctrlProp421.xml><?xml version="1.0" encoding="utf-8"?>
<formControlPr xmlns="http://schemas.microsoft.com/office/spreadsheetml/2009/9/main" objectType="CheckBox" fmlaLink="Ber_Lab!Q25" lockText="1"/>
</file>

<file path=xl/ctrlProps/ctrlProp422.xml><?xml version="1.0" encoding="utf-8"?>
<formControlPr xmlns="http://schemas.microsoft.com/office/spreadsheetml/2009/9/main" objectType="CheckBox" fmlaLink="Ber_Lab!C26" lockText="1"/>
</file>

<file path=xl/ctrlProps/ctrlProp423.xml><?xml version="1.0" encoding="utf-8"?>
<formControlPr xmlns="http://schemas.microsoft.com/office/spreadsheetml/2009/9/main" objectType="CheckBox" fmlaLink="Ber_Lab!G26" lockText="1"/>
</file>

<file path=xl/ctrlProps/ctrlProp424.xml><?xml version="1.0" encoding="utf-8"?>
<formControlPr xmlns="http://schemas.microsoft.com/office/spreadsheetml/2009/9/main" objectType="CheckBox" fmlaLink="Ber_Lab!I26" lockText="1"/>
</file>

<file path=xl/ctrlProps/ctrlProp425.xml><?xml version="1.0" encoding="utf-8"?>
<formControlPr xmlns="http://schemas.microsoft.com/office/spreadsheetml/2009/9/main" objectType="CheckBox" fmlaLink="Ber_Lab!M26" lockText="1"/>
</file>

<file path=xl/ctrlProps/ctrlProp426.xml><?xml version="1.0" encoding="utf-8"?>
<formControlPr xmlns="http://schemas.microsoft.com/office/spreadsheetml/2009/9/main" objectType="CheckBox" fmlaLink="Ber_Lab!E26" lockText="1"/>
</file>

<file path=xl/ctrlProps/ctrlProp427.xml><?xml version="1.0" encoding="utf-8"?>
<formControlPr xmlns="http://schemas.microsoft.com/office/spreadsheetml/2009/9/main" objectType="CheckBox" fmlaLink="Ber_Lab!O26" lockText="1"/>
</file>

<file path=xl/ctrlProps/ctrlProp428.xml><?xml version="1.0" encoding="utf-8"?>
<formControlPr xmlns="http://schemas.microsoft.com/office/spreadsheetml/2009/9/main" objectType="CheckBox" fmlaLink="Ber_Lab!Q26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7</xdr:row>
          <xdr:rowOff>47874</xdr:rowOff>
        </xdr:from>
        <xdr:to>
          <xdr:col>2</xdr:col>
          <xdr:colOff>1929336</xdr:colOff>
          <xdr:row>8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8</xdr:row>
          <xdr:rowOff>47874</xdr:rowOff>
        </xdr:from>
        <xdr:to>
          <xdr:col>2</xdr:col>
          <xdr:colOff>1929336</xdr:colOff>
          <xdr:row>9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9</xdr:row>
          <xdr:rowOff>47874</xdr:rowOff>
        </xdr:from>
        <xdr:to>
          <xdr:col>2</xdr:col>
          <xdr:colOff>1929336</xdr:colOff>
          <xdr:row>10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10</xdr:row>
          <xdr:rowOff>47874</xdr:rowOff>
        </xdr:from>
        <xdr:to>
          <xdr:col>2</xdr:col>
          <xdr:colOff>1929336</xdr:colOff>
          <xdr:row>11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11</xdr:row>
          <xdr:rowOff>47874</xdr:rowOff>
        </xdr:from>
        <xdr:to>
          <xdr:col>2</xdr:col>
          <xdr:colOff>1929336</xdr:colOff>
          <xdr:row>12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12</xdr:row>
          <xdr:rowOff>47874</xdr:rowOff>
        </xdr:from>
        <xdr:to>
          <xdr:col>2</xdr:col>
          <xdr:colOff>1929336</xdr:colOff>
          <xdr:row>13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13</xdr:row>
          <xdr:rowOff>47874</xdr:rowOff>
        </xdr:from>
        <xdr:to>
          <xdr:col>2</xdr:col>
          <xdr:colOff>1929336</xdr:colOff>
          <xdr:row>14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14</xdr:row>
          <xdr:rowOff>47874</xdr:rowOff>
        </xdr:from>
        <xdr:to>
          <xdr:col>2</xdr:col>
          <xdr:colOff>1929336</xdr:colOff>
          <xdr:row>15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15</xdr:row>
          <xdr:rowOff>47874</xdr:rowOff>
        </xdr:from>
        <xdr:to>
          <xdr:col>2</xdr:col>
          <xdr:colOff>1929336</xdr:colOff>
          <xdr:row>16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23937</xdr:colOff>
          <xdr:row>16</xdr:row>
          <xdr:rowOff>47874</xdr:rowOff>
        </xdr:from>
        <xdr:to>
          <xdr:col>2</xdr:col>
          <xdr:colOff>1929336</xdr:colOff>
          <xdr:row>17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7</xdr:row>
          <xdr:rowOff>9575</xdr:rowOff>
        </xdr:from>
        <xdr:to>
          <xdr:col>6</xdr:col>
          <xdr:colOff>1153772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8</xdr:row>
          <xdr:rowOff>9575</xdr:rowOff>
        </xdr:from>
        <xdr:to>
          <xdr:col>6</xdr:col>
          <xdr:colOff>1153772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9</xdr:row>
          <xdr:rowOff>9575</xdr:rowOff>
        </xdr:from>
        <xdr:to>
          <xdr:col>6</xdr:col>
          <xdr:colOff>1153772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10</xdr:row>
          <xdr:rowOff>9575</xdr:rowOff>
        </xdr:from>
        <xdr:to>
          <xdr:col>6</xdr:col>
          <xdr:colOff>1153772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11</xdr:row>
          <xdr:rowOff>9575</xdr:rowOff>
        </xdr:from>
        <xdr:to>
          <xdr:col>6</xdr:col>
          <xdr:colOff>1153772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12</xdr:row>
          <xdr:rowOff>9575</xdr:rowOff>
        </xdr:from>
        <xdr:to>
          <xdr:col>6</xdr:col>
          <xdr:colOff>1153772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13</xdr:row>
          <xdr:rowOff>9575</xdr:rowOff>
        </xdr:from>
        <xdr:to>
          <xdr:col>6</xdr:col>
          <xdr:colOff>1153772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14</xdr:row>
          <xdr:rowOff>9575</xdr:rowOff>
        </xdr:from>
        <xdr:to>
          <xdr:col>6</xdr:col>
          <xdr:colOff>1153772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15</xdr:row>
          <xdr:rowOff>9575</xdr:rowOff>
        </xdr:from>
        <xdr:to>
          <xdr:col>6</xdr:col>
          <xdr:colOff>1153772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1000574</xdr:colOff>
          <xdr:row>16</xdr:row>
          <xdr:rowOff>9575</xdr:rowOff>
        </xdr:from>
        <xdr:to>
          <xdr:col>6</xdr:col>
          <xdr:colOff>1153772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7</xdr:row>
          <xdr:rowOff>9575</xdr:rowOff>
        </xdr:from>
        <xdr:to>
          <xdr:col>4</xdr:col>
          <xdr:colOff>765990</xdr:colOff>
          <xdr:row>7</xdr:row>
          <xdr:rowOff>220222</xdr:rowOff>
        </xdr:to>
        <xdr:sp macro="" textlink="">
          <xdr:nvSpPr>
            <xdr:cNvPr id="2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8</xdr:row>
          <xdr:rowOff>9575</xdr:rowOff>
        </xdr:from>
        <xdr:to>
          <xdr:col>4</xdr:col>
          <xdr:colOff>765990</xdr:colOff>
          <xdr:row>8</xdr:row>
          <xdr:rowOff>220222</xdr:rowOff>
        </xdr:to>
        <xdr:sp macro="" textlink="">
          <xdr:nvSpPr>
            <xdr:cNvPr id="3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9</xdr:row>
          <xdr:rowOff>9575</xdr:rowOff>
        </xdr:from>
        <xdr:to>
          <xdr:col>4</xdr:col>
          <xdr:colOff>765990</xdr:colOff>
          <xdr:row>9</xdr:row>
          <xdr:rowOff>220222</xdr:rowOff>
        </xdr:to>
        <xdr:sp macro="" textlink="">
          <xdr:nvSpPr>
            <xdr:cNvPr id="4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10</xdr:row>
          <xdr:rowOff>9575</xdr:rowOff>
        </xdr:from>
        <xdr:to>
          <xdr:col>4</xdr:col>
          <xdr:colOff>765990</xdr:colOff>
          <xdr:row>10</xdr:row>
          <xdr:rowOff>220222</xdr:rowOff>
        </xdr:to>
        <xdr:sp macro="" textlink="">
          <xdr:nvSpPr>
            <xdr:cNvPr id="5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11</xdr:row>
          <xdr:rowOff>9575</xdr:rowOff>
        </xdr:from>
        <xdr:to>
          <xdr:col>4</xdr:col>
          <xdr:colOff>765990</xdr:colOff>
          <xdr:row>11</xdr:row>
          <xdr:rowOff>220222</xdr:rowOff>
        </xdr:to>
        <xdr:sp macro="" textlink="">
          <xdr:nvSpPr>
            <xdr:cNvPr id="6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12</xdr:row>
          <xdr:rowOff>9575</xdr:rowOff>
        </xdr:from>
        <xdr:to>
          <xdr:col>4</xdr:col>
          <xdr:colOff>765990</xdr:colOff>
          <xdr:row>12</xdr:row>
          <xdr:rowOff>220222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13</xdr:row>
          <xdr:rowOff>9575</xdr:rowOff>
        </xdr:from>
        <xdr:to>
          <xdr:col>4</xdr:col>
          <xdr:colOff>765990</xdr:colOff>
          <xdr:row>13</xdr:row>
          <xdr:rowOff>220222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14</xdr:row>
          <xdr:rowOff>9575</xdr:rowOff>
        </xdr:from>
        <xdr:to>
          <xdr:col>4</xdr:col>
          <xdr:colOff>765990</xdr:colOff>
          <xdr:row>14</xdr:row>
          <xdr:rowOff>220222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15</xdr:row>
          <xdr:rowOff>9575</xdr:rowOff>
        </xdr:from>
        <xdr:to>
          <xdr:col>4</xdr:col>
          <xdr:colOff>765990</xdr:colOff>
          <xdr:row>15</xdr:row>
          <xdr:rowOff>220222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612792</xdr:colOff>
          <xdr:row>16</xdr:row>
          <xdr:rowOff>9575</xdr:rowOff>
        </xdr:from>
        <xdr:to>
          <xdr:col>4</xdr:col>
          <xdr:colOff>765990</xdr:colOff>
          <xdr:row>16</xdr:row>
          <xdr:rowOff>220222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7</xdr:row>
          <xdr:rowOff>23937</xdr:rowOff>
        </xdr:from>
        <xdr:to>
          <xdr:col>3</xdr:col>
          <xdr:colOff>947912</xdr:colOff>
          <xdr:row>7</xdr:row>
          <xdr:rowOff>234584</xdr:rowOff>
        </xdr:to>
        <xdr:sp macro="" textlink="">
          <xdr:nvSpPr>
            <xdr:cNvPr id="2171" name="Spinner 123" hidden="1">
              <a:extLst>
                <a:ext uri="{63B3BB69-23CF-44E3-9099-C40C66FF867C}">
                  <a14:compatExt spid="_x0000_s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8</xdr:row>
          <xdr:rowOff>23937</xdr:rowOff>
        </xdr:from>
        <xdr:to>
          <xdr:col>3</xdr:col>
          <xdr:colOff>947912</xdr:colOff>
          <xdr:row>8</xdr:row>
          <xdr:rowOff>234584</xdr:rowOff>
        </xdr:to>
        <xdr:sp macro="" textlink="">
          <xdr:nvSpPr>
            <xdr:cNvPr id="2172" name="Spinner 124" hidden="1">
              <a:extLst>
                <a:ext uri="{63B3BB69-23CF-44E3-9099-C40C66FF867C}">
                  <a14:compatExt spid="_x0000_s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9</xdr:row>
          <xdr:rowOff>23937</xdr:rowOff>
        </xdr:from>
        <xdr:to>
          <xdr:col>3</xdr:col>
          <xdr:colOff>947912</xdr:colOff>
          <xdr:row>9</xdr:row>
          <xdr:rowOff>234584</xdr:rowOff>
        </xdr:to>
        <xdr:sp macro="" textlink="">
          <xdr:nvSpPr>
            <xdr:cNvPr id="2173" name="Spinner 125" hidden="1">
              <a:extLst>
                <a:ext uri="{63B3BB69-23CF-44E3-9099-C40C66FF867C}">
                  <a14:compatExt spid="_x0000_s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10</xdr:row>
          <xdr:rowOff>23937</xdr:rowOff>
        </xdr:from>
        <xdr:to>
          <xdr:col>3</xdr:col>
          <xdr:colOff>947912</xdr:colOff>
          <xdr:row>10</xdr:row>
          <xdr:rowOff>234584</xdr:rowOff>
        </xdr:to>
        <xdr:sp macro="" textlink="">
          <xdr:nvSpPr>
            <xdr:cNvPr id="2174" name="Spinner 126" hidden="1">
              <a:extLst>
                <a:ext uri="{63B3BB69-23CF-44E3-9099-C40C66FF867C}">
                  <a14:compatExt spid="_x0000_s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11</xdr:row>
          <xdr:rowOff>23937</xdr:rowOff>
        </xdr:from>
        <xdr:to>
          <xdr:col>3</xdr:col>
          <xdr:colOff>947912</xdr:colOff>
          <xdr:row>11</xdr:row>
          <xdr:rowOff>234584</xdr:rowOff>
        </xdr:to>
        <xdr:sp macro="" textlink="">
          <xdr:nvSpPr>
            <xdr:cNvPr id="2175" name="Spinner 127" hidden="1">
              <a:extLst>
                <a:ext uri="{63B3BB69-23CF-44E3-9099-C40C66FF867C}">
                  <a14:compatExt spid="_x0000_s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12</xdr:row>
          <xdr:rowOff>23937</xdr:rowOff>
        </xdr:from>
        <xdr:to>
          <xdr:col>3</xdr:col>
          <xdr:colOff>947912</xdr:colOff>
          <xdr:row>12</xdr:row>
          <xdr:rowOff>234584</xdr:rowOff>
        </xdr:to>
        <xdr:sp macro="" textlink="">
          <xdr:nvSpPr>
            <xdr:cNvPr id="2176" name="Spinner 128" hidden="1">
              <a:extLst>
                <a:ext uri="{63B3BB69-23CF-44E3-9099-C40C66FF867C}">
                  <a14:compatExt spid="_x0000_s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13</xdr:row>
          <xdr:rowOff>23937</xdr:rowOff>
        </xdr:from>
        <xdr:to>
          <xdr:col>3</xdr:col>
          <xdr:colOff>947912</xdr:colOff>
          <xdr:row>13</xdr:row>
          <xdr:rowOff>234584</xdr:rowOff>
        </xdr:to>
        <xdr:sp macro="" textlink="">
          <xdr:nvSpPr>
            <xdr:cNvPr id="2177" name="Spinner 129" hidden="1">
              <a:extLst>
                <a:ext uri="{63B3BB69-23CF-44E3-9099-C40C66FF867C}">
                  <a14:compatExt spid="_x0000_s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14</xdr:row>
          <xdr:rowOff>23937</xdr:rowOff>
        </xdr:from>
        <xdr:to>
          <xdr:col>3</xdr:col>
          <xdr:colOff>947912</xdr:colOff>
          <xdr:row>14</xdr:row>
          <xdr:rowOff>234584</xdr:rowOff>
        </xdr:to>
        <xdr:sp macro="" textlink="">
          <xdr:nvSpPr>
            <xdr:cNvPr id="2178" name="Spinner 130" hidden="1">
              <a:extLst>
                <a:ext uri="{63B3BB69-23CF-44E3-9099-C40C66FF867C}">
                  <a14:compatExt spid="_x0000_s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15</xdr:row>
          <xdr:rowOff>23937</xdr:rowOff>
        </xdr:from>
        <xdr:to>
          <xdr:col>3</xdr:col>
          <xdr:colOff>947912</xdr:colOff>
          <xdr:row>15</xdr:row>
          <xdr:rowOff>234584</xdr:rowOff>
        </xdr:to>
        <xdr:sp macro="" textlink="">
          <xdr:nvSpPr>
            <xdr:cNvPr id="2179" name="Spinner 131" hidden="1">
              <a:extLst>
                <a:ext uri="{63B3BB69-23CF-44E3-9099-C40C66FF867C}">
                  <a14:compatExt spid="_x0000_s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794714</xdr:colOff>
          <xdr:row>16</xdr:row>
          <xdr:rowOff>23937</xdr:rowOff>
        </xdr:from>
        <xdr:to>
          <xdr:col>3</xdr:col>
          <xdr:colOff>947912</xdr:colOff>
          <xdr:row>16</xdr:row>
          <xdr:rowOff>234584</xdr:rowOff>
        </xdr:to>
        <xdr:sp macro="" textlink="">
          <xdr:nvSpPr>
            <xdr:cNvPr id="2180" name="Spinner 132" hidden="1">
              <a:extLst>
                <a:ext uri="{63B3BB69-23CF-44E3-9099-C40C66FF867C}">
                  <a14:compatExt spid="_x0000_s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23937</xdr:rowOff>
        </xdr:from>
        <xdr:to>
          <xdr:col>5</xdr:col>
          <xdr:colOff>1072385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24</xdr:row>
          <xdr:rowOff>76599</xdr:rowOff>
        </xdr:from>
        <xdr:to>
          <xdr:col>4</xdr:col>
          <xdr:colOff>134048</xdr:colOff>
          <xdr:row>24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27</xdr:row>
          <xdr:rowOff>47874</xdr:rowOff>
        </xdr:from>
        <xdr:to>
          <xdr:col>2</xdr:col>
          <xdr:colOff>124473</xdr:colOff>
          <xdr:row>28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27</xdr:row>
          <xdr:rowOff>28725</xdr:rowOff>
        </xdr:from>
        <xdr:to>
          <xdr:col>5</xdr:col>
          <xdr:colOff>229797</xdr:colOff>
          <xdr:row>27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23</xdr:row>
          <xdr:rowOff>95749</xdr:rowOff>
        </xdr:from>
        <xdr:to>
          <xdr:col>2</xdr:col>
          <xdr:colOff>114898</xdr:colOff>
          <xdr:row>24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23</xdr:row>
          <xdr:rowOff>124473</xdr:rowOff>
        </xdr:from>
        <xdr:to>
          <xdr:col>5</xdr:col>
          <xdr:colOff>229797</xdr:colOff>
          <xdr:row>24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23937</xdr:rowOff>
        </xdr:from>
        <xdr:to>
          <xdr:col>5</xdr:col>
          <xdr:colOff>1072385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23937</xdr:rowOff>
        </xdr:from>
        <xdr:to>
          <xdr:col>5</xdr:col>
          <xdr:colOff>1072385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23937</xdr:rowOff>
        </xdr:from>
        <xdr:to>
          <xdr:col>5</xdr:col>
          <xdr:colOff>1072385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36879</xdr:colOff>
      <xdr:row>5</xdr:row>
      <xdr:rowOff>18055</xdr:rowOff>
    </xdr:from>
    <xdr:to>
      <xdr:col>14</xdr:col>
      <xdr:colOff>568178</xdr:colOff>
      <xdr:row>16</xdr:row>
      <xdr:rowOff>5262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933090" y="854541"/>
          <a:ext cx="2504143" cy="27597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29</xdr:row>
      <xdr:rowOff>57150</xdr:rowOff>
    </xdr:from>
    <xdr:to>
      <xdr:col>9</xdr:col>
      <xdr:colOff>0</xdr:colOff>
      <xdr:row>30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92.xml"/><Relationship Id="rId21" Type="http://schemas.openxmlformats.org/officeDocument/2006/relationships/ctrlProp" Target="../ctrlProps/ctrlProp87.xml"/><Relationship Id="rId42" Type="http://schemas.openxmlformats.org/officeDocument/2006/relationships/ctrlProp" Target="../ctrlProps/ctrlProp108.xml"/><Relationship Id="rId47" Type="http://schemas.openxmlformats.org/officeDocument/2006/relationships/ctrlProp" Target="../ctrlProps/ctrlProp113.xml"/><Relationship Id="rId63" Type="http://schemas.openxmlformats.org/officeDocument/2006/relationships/ctrlProp" Target="../ctrlProps/ctrlProp129.xml"/><Relationship Id="rId68" Type="http://schemas.openxmlformats.org/officeDocument/2006/relationships/ctrlProp" Target="../ctrlProps/ctrlProp134.xml"/><Relationship Id="rId84" Type="http://schemas.openxmlformats.org/officeDocument/2006/relationships/ctrlProp" Target="../ctrlProps/ctrlProp150.xml"/><Relationship Id="rId89" Type="http://schemas.openxmlformats.org/officeDocument/2006/relationships/ctrlProp" Target="../ctrlProps/ctrlProp155.xml"/><Relationship Id="rId16" Type="http://schemas.openxmlformats.org/officeDocument/2006/relationships/ctrlProp" Target="../ctrlProps/ctrlProp82.xml"/><Relationship Id="rId11" Type="http://schemas.openxmlformats.org/officeDocument/2006/relationships/ctrlProp" Target="../ctrlProps/ctrlProp77.xml"/><Relationship Id="rId32" Type="http://schemas.openxmlformats.org/officeDocument/2006/relationships/ctrlProp" Target="../ctrlProps/ctrlProp98.xml"/><Relationship Id="rId37" Type="http://schemas.openxmlformats.org/officeDocument/2006/relationships/ctrlProp" Target="../ctrlProps/ctrlProp103.xml"/><Relationship Id="rId53" Type="http://schemas.openxmlformats.org/officeDocument/2006/relationships/ctrlProp" Target="../ctrlProps/ctrlProp119.xml"/><Relationship Id="rId58" Type="http://schemas.openxmlformats.org/officeDocument/2006/relationships/ctrlProp" Target="../ctrlProps/ctrlProp124.xml"/><Relationship Id="rId74" Type="http://schemas.openxmlformats.org/officeDocument/2006/relationships/ctrlProp" Target="../ctrlProps/ctrlProp140.xml"/><Relationship Id="rId79" Type="http://schemas.openxmlformats.org/officeDocument/2006/relationships/ctrlProp" Target="../ctrlProps/ctrlProp145.xml"/><Relationship Id="rId102" Type="http://schemas.openxmlformats.org/officeDocument/2006/relationships/ctrlProp" Target="../ctrlProps/ctrlProp168.xml"/><Relationship Id="rId5" Type="http://schemas.openxmlformats.org/officeDocument/2006/relationships/ctrlProp" Target="../ctrlProps/ctrlProp71.xml"/><Relationship Id="rId90" Type="http://schemas.openxmlformats.org/officeDocument/2006/relationships/ctrlProp" Target="../ctrlProps/ctrlProp156.xml"/><Relationship Id="rId95" Type="http://schemas.openxmlformats.org/officeDocument/2006/relationships/ctrlProp" Target="../ctrlProps/ctrlProp161.xml"/><Relationship Id="rId22" Type="http://schemas.openxmlformats.org/officeDocument/2006/relationships/ctrlProp" Target="../ctrlProps/ctrlProp88.xml"/><Relationship Id="rId27" Type="http://schemas.openxmlformats.org/officeDocument/2006/relationships/ctrlProp" Target="../ctrlProps/ctrlProp93.xml"/><Relationship Id="rId43" Type="http://schemas.openxmlformats.org/officeDocument/2006/relationships/ctrlProp" Target="../ctrlProps/ctrlProp109.xml"/><Relationship Id="rId48" Type="http://schemas.openxmlformats.org/officeDocument/2006/relationships/ctrlProp" Target="../ctrlProps/ctrlProp114.xml"/><Relationship Id="rId64" Type="http://schemas.openxmlformats.org/officeDocument/2006/relationships/ctrlProp" Target="../ctrlProps/ctrlProp130.xml"/><Relationship Id="rId69" Type="http://schemas.openxmlformats.org/officeDocument/2006/relationships/ctrlProp" Target="../ctrlProps/ctrlProp135.xml"/><Relationship Id="rId80" Type="http://schemas.openxmlformats.org/officeDocument/2006/relationships/ctrlProp" Target="../ctrlProps/ctrlProp146.xml"/><Relationship Id="rId85" Type="http://schemas.openxmlformats.org/officeDocument/2006/relationships/ctrlProp" Target="../ctrlProps/ctrlProp151.xml"/><Relationship Id="rId12" Type="http://schemas.openxmlformats.org/officeDocument/2006/relationships/ctrlProp" Target="../ctrlProps/ctrlProp78.xml"/><Relationship Id="rId17" Type="http://schemas.openxmlformats.org/officeDocument/2006/relationships/ctrlProp" Target="../ctrlProps/ctrlProp83.xml"/><Relationship Id="rId33" Type="http://schemas.openxmlformats.org/officeDocument/2006/relationships/ctrlProp" Target="../ctrlProps/ctrlProp99.xml"/><Relationship Id="rId38" Type="http://schemas.openxmlformats.org/officeDocument/2006/relationships/ctrlProp" Target="../ctrlProps/ctrlProp104.xml"/><Relationship Id="rId59" Type="http://schemas.openxmlformats.org/officeDocument/2006/relationships/ctrlProp" Target="../ctrlProps/ctrlProp125.xml"/><Relationship Id="rId103" Type="http://schemas.openxmlformats.org/officeDocument/2006/relationships/ctrlProp" Target="../ctrlProps/ctrlProp169.xml"/><Relationship Id="rId20" Type="http://schemas.openxmlformats.org/officeDocument/2006/relationships/ctrlProp" Target="../ctrlProps/ctrlProp86.xml"/><Relationship Id="rId41" Type="http://schemas.openxmlformats.org/officeDocument/2006/relationships/ctrlProp" Target="../ctrlProps/ctrlProp107.xml"/><Relationship Id="rId54" Type="http://schemas.openxmlformats.org/officeDocument/2006/relationships/ctrlProp" Target="../ctrlProps/ctrlProp120.xml"/><Relationship Id="rId62" Type="http://schemas.openxmlformats.org/officeDocument/2006/relationships/ctrlProp" Target="../ctrlProps/ctrlProp128.xml"/><Relationship Id="rId70" Type="http://schemas.openxmlformats.org/officeDocument/2006/relationships/ctrlProp" Target="../ctrlProps/ctrlProp136.xml"/><Relationship Id="rId75" Type="http://schemas.openxmlformats.org/officeDocument/2006/relationships/ctrlProp" Target="../ctrlProps/ctrlProp141.xml"/><Relationship Id="rId83" Type="http://schemas.openxmlformats.org/officeDocument/2006/relationships/ctrlProp" Target="../ctrlProps/ctrlProp149.xml"/><Relationship Id="rId88" Type="http://schemas.openxmlformats.org/officeDocument/2006/relationships/ctrlProp" Target="../ctrlProps/ctrlProp154.xml"/><Relationship Id="rId91" Type="http://schemas.openxmlformats.org/officeDocument/2006/relationships/ctrlProp" Target="../ctrlProps/ctrlProp157.xml"/><Relationship Id="rId96" Type="http://schemas.openxmlformats.org/officeDocument/2006/relationships/ctrlProp" Target="../ctrlProps/ctrlProp16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.xml"/><Relationship Id="rId15" Type="http://schemas.openxmlformats.org/officeDocument/2006/relationships/ctrlProp" Target="../ctrlProps/ctrlProp81.xml"/><Relationship Id="rId23" Type="http://schemas.openxmlformats.org/officeDocument/2006/relationships/ctrlProp" Target="../ctrlProps/ctrlProp89.xml"/><Relationship Id="rId28" Type="http://schemas.openxmlformats.org/officeDocument/2006/relationships/ctrlProp" Target="../ctrlProps/ctrlProp94.xml"/><Relationship Id="rId36" Type="http://schemas.openxmlformats.org/officeDocument/2006/relationships/ctrlProp" Target="../ctrlProps/ctrlProp102.xml"/><Relationship Id="rId49" Type="http://schemas.openxmlformats.org/officeDocument/2006/relationships/ctrlProp" Target="../ctrlProps/ctrlProp115.xml"/><Relationship Id="rId57" Type="http://schemas.openxmlformats.org/officeDocument/2006/relationships/ctrlProp" Target="../ctrlProps/ctrlProp123.xml"/><Relationship Id="rId106" Type="http://schemas.openxmlformats.org/officeDocument/2006/relationships/ctrlProp" Target="../ctrlProps/ctrlProp172.xml"/><Relationship Id="rId10" Type="http://schemas.openxmlformats.org/officeDocument/2006/relationships/ctrlProp" Target="../ctrlProps/ctrlProp76.xml"/><Relationship Id="rId31" Type="http://schemas.openxmlformats.org/officeDocument/2006/relationships/ctrlProp" Target="../ctrlProps/ctrlProp97.xml"/><Relationship Id="rId44" Type="http://schemas.openxmlformats.org/officeDocument/2006/relationships/ctrlProp" Target="../ctrlProps/ctrlProp110.xml"/><Relationship Id="rId52" Type="http://schemas.openxmlformats.org/officeDocument/2006/relationships/ctrlProp" Target="../ctrlProps/ctrlProp118.xml"/><Relationship Id="rId60" Type="http://schemas.openxmlformats.org/officeDocument/2006/relationships/ctrlProp" Target="../ctrlProps/ctrlProp126.xml"/><Relationship Id="rId65" Type="http://schemas.openxmlformats.org/officeDocument/2006/relationships/ctrlProp" Target="../ctrlProps/ctrlProp131.xml"/><Relationship Id="rId73" Type="http://schemas.openxmlformats.org/officeDocument/2006/relationships/ctrlProp" Target="../ctrlProps/ctrlProp139.xml"/><Relationship Id="rId78" Type="http://schemas.openxmlformats.org/officeDocument/2006/relationships/ctrlProp" Target="../ctrlProps/ctrlProp144.xml"/><Relationship Id="rId81" Type="http://schemas.openxmlformats.org/officeDocument/2006/relationships/ctrlProp" Target="../ctrlProps/ctrlProp147.xml"/><Relationship Id="rId86" Type="http://schemas.openxmlformats.org/officeDocument/2006/relationships/ctrlProp" Target="../ctrlProps/ctrlProp152.xml"/><Relationship Id="rId94" Type="http://schemas.openxmlformats.org/officeDocument/2006/relationships/ctrlProp" Target="../ctrlProps/ctrlProp160.xml"/><Relationship Id="rId99" Type="http://schemas.openxmlformats.org/officeDocument/2006/relationships/ctrlProp" Target="../ctrlProps/ctrlProp165.xml"/><Relationship Id="rId101" Type="http://schemas.openxmlformats.org/officeDocument/2006/relationships/ctrlProp" Target="../ctrlProps/ctrlProp167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Relationship Id="rId13" Type="http://schemas.openxmlformats.org/officeDocument/2006/relationships/ctrlProp" Target="../ctrlProps/ctrlProp79.xml"/><Relationship Id="rId18" Type="http://schemas.openxmlformats.org/officeDocument/2006/relationships/ctrlProp" Target="../ctrlProps/ctrlProp84.xml"/><Relationship Id="rId39" Type="http://schemas.openxmlformats.org/officeDocument/2006/relationships/ctrlProp" Target="../ctrlProps/ctrlProp105.xml"/><Relationship Id="rId34" Type="http://schemas.openxmlformats.org/officeDocument/2006/relationships/ctrlProp" Target="../ctrlProps/ctrlProp100.xml"/><Relationship Id="rId50" Type="http://schemas.openxmlformats.org/officeDocument/2006/relationships/ctrlProp" Target="../ctrlProps/ctrlProp116.xml"/><Relationship Id="rId55" Type="http://schemas.openxmlformats.org/officeDocument/2006/relationships/ctrlProp" Target="../ctrlProps/ctrlProp121.xml"/><Relationship Id="rId76" Type="http://schemas.openxmlformats.org/officeDocument/2006/relationships/ctrlProp" Target="../ctrlProps/ctrlProp142.xml"/><Relationship Id="rId97" Type="http://schemas.openxmlformats.org/officeDocument/2006/relationships/ctrlProp" Target="../ctrlProps/ctrlProp163.xml"/><Relationship Id="rId104" Type="http://schemas.openxmlformats.org/officeDocument/2006/relationships/ctrlProp" Target="../ctrlProps/ctrlProp170.xml"/><Relationship Id="rId7" Type="http://schemas.openxmlformats.org/officeDocument/2006/relationships/ctrlProp" Target="../ctrlProps/ctrlProp73.xml"/><Relationship Id="rId71" Type="http://schemas.openxmlformats.org/officeDocument/2006/relationships/ctrlProp" Target="../ctrlProps/ctrlProp137.xml"/><Relationship Id="rId92" Type="http://schemas.openxmlformats.org/officeDocument/2006/relationships/ctrlProp" Target="../ctrlProps/ctrlProp158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95.xml"/><Relationship Id="rId24" Type="http://schemas.openxmlformats.org/officeDocument/2006/relationships/ctrlProp" Target="../ctrlProps/ctrlProp90.xml"/><Relationship Id="rId40" Type="http://schemas.openxmlformats.org/officeDocument/2006/relationships/ctrlProp" Target="../ctrlProps/ctrlProp106.xml"/><Relationship Id="rId45" Type="http://schemas.openxmlformats.org/officeDocument/2006/relationships/ctrlProp" Target="../ctrlProps/ctrlProp111.xml"/><Relationship Id="rId66" Type="http://schemas.openxmlformats.org/officeDocument/2006/relationships/ctrlProp" Target="../ctrlProps/ctrlProp132.xml"/><Relationship Id="rId87" Type="http://schemas.openxmlformats.org/officeDocument/2006/relationships/ctrlProp" Target="../ctrlProps/ctrlProp153.xml"/><Relationship Id="rId61" Type="http://schemas.openxmlformats.org/officeDocument/2006/relationships/ctrlProp" Target="../ctrlProps/ctrlProp127.xml"/><Relationship Id="rId82" Type="http://schemas.openxmlformats.org/officeDocument/2006/relationships/ctrlProp" Target="../ctrlProps/ctrlProp148.xml"/><Relationship Id="rId19" Type="http://schemas.openxmlformats.org/officeDocument/2006/relationships/ctrlProp" Target="../ctrlProps/ctrlProp85.xml"/><Relationship Id="rId14" Type="http://schemas.openxmlformats.org/officeDocument/2006/relationships/ctrlProp" Target="../ctrlProps/ctrlProp80.xml"/><Relationship Id="rId30" Type="http://schemas.openxmlformats.org/officeDocument/2006/relationships/ctrlProp" Target="../ctrlProps/ctrlProp96.xml"/><Relationship Id="rId35" Type="http://schemas.openxmlformats.org/officeDocument/2006/relationships/ctrlProp" Target="../ctrlProps/ctrlProp101.xml"/><Relationship Id="rId56" Type="http://schemas.openxmlformats.org/officeDocument/2006/relationships/ctrlProp" Target="../ctrlProps/ctrlProp122.xml"/><Relationship Id="rId77" Type="http://schemas.openxmlformats.org/officeDocument/2006/relationships/ctrlProp" Target="../ctrlProps/ctrlProp143.xml"/><Relationship Id="rId100" Type="http://schemas.openxmlformats.org/officeDocument/2006/relationships/ctrlProp" Target="../ctrlProps/ctrlProp166.xml"/><Relationship Id="rId105" Type="http://schemas.openxmlformats.org/officeDocument/2006/relationships/ctrlProp" Target="../ctrlProps/ctrlProp171.xml"/><Relationship Id="rId8" Type="http://schemas.openxmlformats.org/officeDocument/2006/relationships/ctrlProp" Target="../ctrlProps/ctrlProp74.xml"/><Relationship Id="rId51" Type="http://schemas.openxmlformats.org/officeDocument/2006/relationships/ctrlProp" Target="../ctrlProps/ctrlProp117.xml"/><Relationship Id="rId72" Type="http://schemas.openxmlformats.org/officeDocument/2006/relationships/ctrlProp" Target="../ctrlProps/ctrlProp138.xml"/><Relationship Id="rId93" Type="http://schemas.openxmlformats.org/officeDocument/2006/relationships/ctrlProp" Target="../ctrlProps/ctrlProp159.xml"/><Relationship Id="rId98" Type="http://schemas.openxmlformats.org/officeDocument/2006/relationships/ctrlProp" Target="../ctrlProps/ctrlProp164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91.xml"/><Relationship Id="rId46" Type="http://schemas.openxmlformats.org/officeDocument/2006/relationships/ctrlProp" Target="../ctrlProps/ctrlProp112.xml"/><Relationship Id="rId67" Type="http://schemas.openxmlformats.org/officeDocument/2006/relationships/ctrlProp" Target="../ctrlProps/ctrlProp13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7.xml"/><Relationship Id="rId13" Type="http://schemas.openxmlformats.org/officeDocument/2006/relationships/ctrlProp" Target="../ctrlProps/ctrlProp182.xml"/><Relationship Id="rId18" Type="http://schemas.openxmlformats.org/officeDocument/2006/relationships/ctrlProp" Target="../ctrlProps/ctrlProp187.xml"/><Relationship Id="rId26" Type="http://schemas.openxmlformats.org/officeDocument/2006/relationships/ctrlProp" Target="../ctrlProps/ctrlProp19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90.xml"/><Relationship Id="rId7" Type="http://schemas.openxmlformats.org/officeDocument/2006/relationships/ctrlProp" Target="../ctrlProps/ctrlProp176.xml"/><Relationship Id="rId12" Type="http://schemas.openxmlformats.org/officeDocument/2006/relationships/ctrlProp" Target="../ctrlProps/ctrlProp181.xml"/><Relationship Id="rId17" Type="http://schemas.openxmlformats.org/officeDocument/2006/relationships/ctrlProp" Target="../ctrlProps/ctrlProp186.xml"/><Relationship Id="rId25" Type="http://schemas.openxmlformats.org/officeDocument/2006/relationships/ctrlProp" Target="../ctrlProps/ctrlProp19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85.xml"/><Relationship Id="rId20" Type="http://schemas.openxmlformats.org/officeDocument/2006/relationships/ctrlProp" Target="../ctrlProps/ctrlProp189.xml"/><Relationship Id="rId29" Type="http://schemas.openxmlformats.org/officeDocument/2006/relationships/ctrlProp" Target="../ctrlProps/ctrlProp19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75.xml"/><Relationship Id="rId11" Type="http://schemas.openxmlformats.org/officeDocument/2006/relationships/ctrlProp" Target="../ctrlProps/ctrlProp180.xml"/><Relationship Id="rId24" Type="http://schemas.openxmlformats.org/officeDocument/2006/relationships/ctrlProp" Target="../ctrlProps/ctrlProp193.xml"/><Relationship Id="rId5" Type="http://schemas.openxmlformats.org/officeDocument/2006/relationships/ctrlProp" Target="../ctrlProps/ctrlProp174.xml"/><Relationship Id="rId15" Type="http://schemas.openxmlformats.org/officeDocument/2006/relationships/ctrlProp" Target="../ctrlProps/ctrlProp184.xml"/><Relationship Id="rId23" Type="http://schemas.openxmlformats.org/officeDocument/2006/relationships/ctrlProp" Target="../ctrlProps/ctrlProp192.xml"/><Relationship Id="rId28" Type="http://schemas.openxmlformats.org/officeDocument/2006/relationships/ctrlProp" Target="../ctrlProps/ctrlProp197.xml"/><Relationship Id="rId10" Type="http://schemas.openxmlformats.org/officeDocument/2006/relationships/ctrlProp" Target="../ctrlProps/ctrlProp179.xml"/><Relationship Id="rId19" Type="http://schemas.openxmlformats.org/officeDocument/2006/relationships/ctrlProp" Target="../ctrlProps/ctrlProp188.xml"/><Relationship Id="rId4" Type="http://schemas.openxmlformats.org/officeDocument/2006/relationships/ctrlProp" Target="../ctrlProps/ctrlProp173.xml"/><Relationship Id="rId9" Type="http://schemas.openxmlformats.org/officeDocument/2006/relationships/ctrlProp" Target="../ctrlProps/ctrlProp178.xml"/><Relationship Id="rId14" Type="http://schemas.openxmlformats.org/officeDocument/2006/relationships/ctrlProp" Target="../ctrlProps/ctrlProp183.xml"/><Relationship Id="rId22" Type="http://schemas.openxmlformats.org/officeDocument/2006/relationships/ctrlProp" Target="../ctrlProps/ctrlProp191.xml"/><Relationship Id="rId27" Type="http://schemas.openxmlformats.org/officeDocument/2006/relationships/ctrlProp" Target="../ctrlProps/ctrlProp196.x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08.xml"/><Relationship Id="rId18" Type="http://schemas.openxmlformats.org/officeDocument/2006/relationships/ctrlProp" Target="../ctrlProps/ctrlProp213.xml"/><Relationship Id="rId26" Type="http://schemas.openxmlformats.org/officeDocument/2006/relationships/ctrlProp" Target="../ctrlProps/ctrlProp221.xml"/><Relationship Id="rId39" Type="http://schemas.openxmlformats.org/officeDocument/2006/relationships/ctrlProp" Target="../ctrlProps/ctrlProp234.xml"/><Relationship Id="rId21" Type="http://schemas.openxmlformats.org/officeDocument/2006/relationships/ctrlProp" Target="../ctrlProps/ctrlProp216.xml"/><Relationship Id="rId34" Type="http://schemas.openxmlformats.org/officeDocument/2006/relationships/ctrlProp" Target="../ctrlProps/ctrlProp229.xml"/><Relationship Id="rId42" Type="http://schemas.openxmlformats.org/officeDocument/2006/relationships/ctrlProp" Target="../ctrlProps/ctrlProp237.xml"/><Relationship Id="rId7" Type="http://schemas.openxmlformats.org/officeDocument/2006/relationships/ctrlProp" Target="../ctrlProps/ctrlProp202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211.xml"/><Relationship Id="rId20" Type="http://schemas.openxmlformats.org/officeDocument/2006/relationships/ctrlProp" Target="../ctrlProps/ctrlProp215.xml"/><Relationship Id="rId29" Type="http://schemas.openxmlformats.org/officeDocument/2006/relationships/ctrlProp" Target="../ctrlProps/ctrlProp224.xml"/><Relationship Id="rId41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01.xml"/><Relationship Id="rId11" Type="http://schemas.openxmlformats.org/officeDocument/2006/relationships/ctrlProp" Target="../ctrlProps/ctrlProp206.xml"/><Relationship Id="rId24" Type="http://schemas.openxmlformats.org/officeDocument/2006/relationships/ctrlProp" Target="../ctrlProps/ctrlProp219.xml"/><Relationship Id="rId32" Type="http://schemas.openxmlformats.org/officeDocument/2006/relationships/ctrlProp" Target="../ctrlProps/ctrlProp227.xml"/><Relationship Id="rId37" Type="http://schemas.openxmlformats.org/officeDocument/2006/relationships/ctrlProp" Target="../ctrlProps/ctrlProp232.xml"/><Relationship Id="rId40" Type="http://schemas.openxmlformats.org/officeDocument/2006/relationships/ctrlProp" Target="../ctrlProps/ctrlProp235.xml"/><Relationship Id="rId5" Type="http://schemas.openxmlformats.org/officeDocument/2006/relationships/ctrlProp" Target="../ctrlProps/ctrlProp200.xml"/><Relationship Id="rId15" Type="http://schemas.openxmlformats.org/officeDocument/2006/relationships/ctrlProp" Target="../ctrlProps/ctrlProp210.xml"/><Relationship Id="rId23" Type="http://schemas.openxmlformats.org/officeDocument/2006/relationships/ctrlProp" Target="../ctrlProps/ctrlProp218.xml"/><Relationship Id="rId28" Type="http://schemas.openxmlformats.org/officeDocument/2006/relationships/ctrlProp" Target="../ctrlProps/ctrlProp223.xml"/><Relationship Id="rId36" Type="http://schemas.openxmlformats.org/officeDocument/2006/relationships/ctrlProp" Target="../ctrlProps/ctrlProp231.xml"/><Relationship Id="rId10" Type="http://schemas.openxmlformats.org/officeDocument/2006/relationships/ctrlProp" Target="../ctrlProps/ctrlProp205.xml"/><Relationship Id="rId19" Type="http://schemas.openxmlformats.org/officeDocument/2006/relationships/ctrlProp" Target="../ctrlProps/ctrlProp214.xml"/><Relationship Id="rId31" Type="http://schemas.openxmlformats.org/officeDocument/2006/relationships/ctrlProp" Target="../ctrlProps/ctrlProp226.xml"/><Relationship Id="rId44" Type="http://schemas.openxmlformats.org/officeDocument/2006/relationships/ctrlProp" Target="../ctrlProps/ctrlProp239.xml"/><Relationship Id="rId4" Type="http://schemas.openxmlformats.org/officeDocument/2006/relationships/ctrlProp" Target="../ctrlProps/ctrlProp199.xml"/><Relationship Id="rId9" Type="http://schemas.openxmlformats.org/officeDocument/2006/relationships/ctrlProp" Target="../ctrlProps/ctrlProp204.xml"/><Relationship Id="rId14" Type="http://schemas.openxmlformats.org/officeDocument/2006/relationships/ctrlProp" Target="../ctrlProps/ctrlProp209.xml"/><Relationship Id="rId22" Type="http://schemas.openxmlformats.org/officeDocument/2006/relationships/ctrlProp" Target="../ctrlProps/ctrlProp217.xml"/><Relationship Id="rId27" Type="http://schemas.openxmlformats.org/officeDocument/2006/relationships/ctrlProp" Target="../ctrlProps/ctrlProp222.xml"/><Relationship Id="rId30" Type="http://schemas.openxmlformats.org/officeDocument/2006/relationships/ctrlProp" Target="../ctrlProps/ctrlProp225.xml"/><Relationship Id="rId35" Type="http://schemas.openxmlformats.org/officeDocument/2006/relationships/ctrlProp" Target="../ctrlProps/ctrlProp230.xml"/><Relationship Id="rId43" Type="http://schemas.openxmlformats.org/officeDocument/2006/relationships/ctrlProp" Target="../ctrlProps/ctrlProp238.xml"/><Relationship Id="rId8" Type="http://schemas.openxmlformats.org/officeDocument/2006/relationships/ctrlProp" Target="../ctrlProps/ctrlProp203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207.xml"/><Relationship Id="rId17" Type="http://schemas.openxmlformats.org/officeDocument/2006/relationships/ctrlProp" Target="../ctrlProps/ctrlProp212.xml"/><Relationship Id="rId25" Type="http://schemas.openxmlformats.org/officeDocument/2006/relationships/ctrlProp" Target="../ctrlProps/ctrlProp220.xml"/><Relationship Id="rId33" Type="http://schemas.openxmlformats.org/officeDocument/2006/relationships/ctrlProp" Target="../ctrlProps/ctrlProp228.xml"/><Relationship Id="rId38" Type="http://schemas.openxmlformats.org/officeDocument/2006/relationships/ctrlProp" Target="../ctrlProps/ctrlProp23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3.xml"/><Relationship Id="rId21" Type="http://schemas.openxmlformats.org/officeDocument/2006/relationships/ctrlProp" Target="../ctrlProps/ctrlProp257.xml"/><Relationship Id="rId42" Type="http://schemas.openxmlformats.org/officeDocument/2006/relationships/ctrlProp" Target="../ctrlProps/ctrlProp278.xml"/><Relationship Id="rId63" Type="http://schemas.openxmlformats.org/officeDocument/2006/relationships/ctrlProp" Target="../ctrlProps/ctrlProp299.xml"/><Relationship Id="rId84" Type="http://schemas.openxmlformats.org/officeDocument/2006/relationships/ctrlProp" Target="../ctrlProps/ctrlProp320.xml"/><Relationship Id="rId138" Type="http://schemas.openxmlformats.org/officeDocument/2006/relationships/ctrlProp" Target="../ctrlProps/ctrlProp374.xml"/><Relationship Id="rId159" Type="http://schemas.openxmlformats.org/officeDocument/2006/relationships/ctrlProp" Target="../ctrlProps/ctrlProp395.xml"/><Relationship Id="rId170" Type="http://schemas.openxmlformats.org/officeDocument/2006/relationships/ctrlProp" Target="../ctrlProps/ctrlProp406.xml"/><Relationship Id="rId191" Type="http://schemas.openxmlformats.org/officeDocument/2006/relationships/ctrlProp" Target="../ctrlProps/ctrlProp427.xml"/><Relationship Id="rId107" Type="http://schemas.openxmlformats.org/officeDocument/2006/relationships/ctrlProp" Target="../ctrlProps/ctrlProp343.xml"/><Relationship Id="rId11" Type="http://schemas.openxmlformats.org/officeDocument/2006/relationships/ctrlProp" Target="../ctrlProps/ctrlProp247.xml"/><Relationship Id="rId32" Type="http://schemas.openxmlformats.org/officeDocument/2006/relationships/ctrlProp" Target="../ctrlProps/ctrlProp268.xml"/><Relationship Id="rId53" Type="http://schemas.openxmlformats.org/officeDocument/2006/relationships/ctrlProp" Target="../ctrlProps/ctrlProp289.xml"/><Relationship Id="rId74" Type="http://schemas.openxmlformats.org/officeDocument/2006/relationships/ctrlProp" Target="../ctrlProps/ctrlProp310.xml"/><Relationship Id="rId128" Type="http://schemas.openxmlformats.org/officeDocument/2006/relationships/ctrlProp" Target="../ctrlProps/ctrlProp364.xml"/><Relationship Id="rId149" Type="http://schemas.openxmlformats.org/officeDocument/2006/relationships/ctrlProp" Target="../ctrlProps/ctrlProp385.xml"/><Relationship Id="rId5" Type="http://schemas.openxmlformats.org/officeDocument/2006/relationships/ctrlProp" Target="../ctrlProps/ctrlProp241.xml"/><Relationship Id="rId95" Type="http://schemas.openxmlformats.org/officeDocument/2006/relationships/ctrlProp" Target="../ctrlProps/ctrlProp331.xml"/><Relationship Id="rId160" Type="http://schemas.openxmlformats.org/officeDocument/2006/relationships/ctrlProp" Target="../ctrlProps/ctrlProp396.xml"/><Relationship Id="rId181" Type="http://schemas.openxmlformats.org/officeDocument/2006/relationships/ctrlProp" Target="../ctrlProps/ctrlProp417.xml"/><Relationship Id="rId22" Type="http://schemas.openxmlformats.org/officeDocument/2006/relationships/ctrlProp" Target="../ctrlProps/ctrlProp258.xml"/><Relationship Id="rId43" Type="http://schemas.openxmlformats.org/officeDocument/2006/relationships/ctrlProp" Target="../ctrlProps/ctrlProp279.xml"/><Relationship Id="rId64" Type="http://schemas.openxmlformats.org/officeDocument/2006/relationships/ctrlProp" Target="../ctrlProps/ctrlProp300.xml"/><Relationship Id="rId118" Type="http://schemas.openxmlformats.org/officeDocument/2006/relationships/ctrlProp" Target="../ctrlProps/ctrlProp354.xml"/><Relationship Id="rId139" Type="http://schemas.openxmlformats.org/officeDocument/2006/relationships/ctrlProp" Target="../ctrlProps/ctrlProp375.xml"/><Relationship Id="rId85" Type="http://schemas.openxmlformats.org/officeDocument/2006/relationships/ctrlProp" Target="../ctrlProps/ctrlProp321.xml"/><Relationship Id="rId150" Type="http://schemas.openxmlformats.org/officeDocument/2006/relationships/ctrlProp" Target="../ctrlProps/ctrlProp386.xml"/><Relationship Id="rId171" Type="http://schemas.openxmlformats.org/officeDocument/2006/relationships/ctrlProp" Target="../ctrlProps/ctrlProp407.xml"/><Relationship Id="rId192" Type="http://schemas.openxmlformats.org/officeDocument/2006/relationships/ctrlProp" Target="../ctrlProps/ctrlProp428.xml"/><Relationship Id="rId12" Type="http://schemas.openxmlformats.org/officeDocument/2006/relationships/ctrlProp" Target="../ctrlProps/ctrlProp248.xml"/><Relationship Id="rId33" Type="http://schemas.openxmlformats.org/officeDocument/2006/relationships/ctrlProp" Target="../ctrlProps/ctrlProp269.xml"/><Relationship Id="rId108" Type="http://schemas.openxmlformats.org/officeDocument/2006/relationships/ctrlProp" Target="../ctrlProps/ctrlProp344.xml"/><Relationship Id="rId129" Type="http://schemas.openxmlformats.org/officeDocument/2006/relationships/ctrlProp" Target="../ctrlProps/ctrlProp365.xml"/><Relationship Id="rId54" Type="http://schemas.openxmlformats.org/officeDocument/2006/relationships/ctrlProp" Target="../ctrlProps/ctrlProp290.xml"/><Relationship Id="rId75" Type="http://schemas.openxmlformats.org/officeDocument/2006/relationships/ctrlProp" Target="../ctrlProps/ctrlProp311.xml"/><Relationship Id="rId96" Type="http://schemas.openxmlformats.org/officeDocument/2006/relationships/ctrlProp" Target="../ctrlProps/ctrlProp332.xml"/><Relationship Id="rId140" Type="http://schemas.openxmlformats.org/officeDocument/2006/relationships/ctrlProp" Target="../ctrlProps/ctrlProp376.xml"/><Relationship Id="rId161" Type="http://schemas.openxmlformats.org/officeDocument/2006/relationships/ctrlProp" Target="../ctrlProps/ctrlProp397.xml"/><Relationship Id="rId182" Type="http://schemas.openxmlformats.org/officeDocument/2006/relationships/ctrlProp" Target="../ctrlProps/ctrlProp418.xml"/><Relationship Id="rId6" Type="http://schemas.openxmlformats.org/officeDocument/2006/relationships/ctrlProp" Target="../ctrlProps/ctrlProp242.xml"/><Relationship Id="rId23" Type="http://schemas.openxmlformats.org/officeDocument/2006/relationships/ctrlProp" Target="../ctrlProps/ctrlProp259.xml"/><Relationship Id="rId119" Type="http://schemas.openxmlformats.org/officeDocument/2006/relationships/ctrlProp" Target="../ctrlProps/ctrlProp355.xml"/><Relationship Id="rId44" Type="http://schemas.openxmlformats.org/officeDocument/2006/relationships/ctrlProp" Target="../ctrlProps/ctrlProp280.xml"/><Relationship Id="rId65" Type="http://schemas.openxmlformats.org/officeDocument/2006/relationships/ctrlProp" Target="../ctrlProps/ctrlProp301.xml"/><Relationship Id="rId86" Type="http://schemas.openxmlformats.org/officeDocument/2006/relationships/ctrlProp" Target="../ctrlProps/ctrlProp322.xml"/><Relationship Id="rId130" Type="http://schemas.openxmlformats.org/officeDocument/2006/relationships/ctrlProp" Target="../ctrlProps/ctrlProp366.xml"/><Relationship Id="rId151" Type="http://schemas.openxmlformats.org/officeDocument/2006/relationships/ctrlProp" Target="../ctrlProps/ctrlProp387.xml"/><Relationship Id="rId172" Type="http://schemas.openxmlformats.org/officeDocument/2006/relationships/ctrlProp" Target="../ctrlProps/ctrlProp408.xml"/><Relationship Id="rId13" Type="http://schemas.openxmlformats.org/officeDocument/2006/relationships/ctrlProp" Target="../ctrlProps/ctrlProp249.xml"/><Relationship Id="rId18" Type="http://schemas.openxmlformats.org/officeDocument/2006/relationships/ctrlProp" Target="../ctrlProps/ctrlProp254.xml"/><Relationship Id="rId39" Type="http://schemas.openxmlformats.org/officeDocument/2006/relationships/ctrlProp" Target="../ctrlProps/ctrlProp275.xml"/><Relationship Id="rId109" Type="http://schemas.openxmlformats.org/officeDocument/2006/relationships/ctrlProp" Target="../ctrlProps/ctrlProp345.xml"/><Relationship Id="rId34" Type="http://schemas.openxmlformats.org/officeDocument/2006/relationships/ctrlProp" Target="../ctrlProps/ctrlProp270.xml"/><Relationship Id="rId50" Type="http://schemas.openxmlformats.org/officeDocument/2006/relationships/ctrlProp" Target="../ctrlProps/ctrlProp286.xml"/><Relationship Id="rId55" Type="http://schemas.openxmlformats.org/officeDocument/2006/relationships/ctrlProp" Target="../ctrlProps/ctrlProp291.xml"/><Relationship Id="rId76" Type="http://schemas.openxmlformats.org/officeDocument/2006/relationships/ctrlProp" Target="../ctrlProps/ctrlProp312.xml"/><Relationship Id="rId97" Type="http://schemas.openxmlformats.org/officeDocument/2006/relationships/ctrlProp" Target="../ctrlProps/ctrlProp333.xml"/><Relationship Id="rId104" Type="http://schemas.openxmlformats.org/officeDocument/2006/relationships/ctrlProp" Target="../ctrlProps/ctrlProp340.xml"/><Relationship Id="rId120" Type="http://schemas.openxmlformats.org/officeDocument/2006/relationships/ctrlProp" Target="../ctrlProps/ctrlProp356.xml"/><Relationship Id="rId125" Type="http://schemas.openxmlformats.org/officeDocument/2006/relationships/ctrlProp" Target="../ctrlProps/ctrlProp361.xml"/><Relationship Id="rId141" Type="http://schemas.openxmlformats.org/officeDocument/2006/relationships/ctrlProp" Target="../ctrlProps/ctrlProp377.xml"/><Relationship Id="rId146" Type="http://schemas.openxmlformats.org/officeDocument/2006/relationships/ctrlProp" Target="../ctrlProps/ctrlProp382.xml"/><Relationship Id="rId167" Type="http://schemas.openxmlformats.org/officeDocument/2006/relationships/ctrlProp" Target="../ctrlProps/ctrlProp403.xml"/><Relationship Id="rId188" Type="http://schemas.openxmlformats.org/officeDocument/2006/relationships/ctrlProp" Target="../ctrlProps/ctrlProp424.xml"/><Relationship Id="rId7" Type="http://schemas.openxmlformats.org/officeDocument/2006/relationships/ctrlProp" Target="../ctrlProps/ctrlProp243.xml"/><Relationship Id="rId71" Type="http://schemas.openxmlformats.org/officeDocument/2006/relationships/ctrlProp" Target="../ctrlProps/ctrlProp307.xml"/><Relationship Id="rId92" Type="http://schemas.openxmlformats.org/officeDocument/2006/relationships/ctrlProp" Target="../ctrlProps/ctrlProp328.xml"/><Relationship Id="rId162" Type="http://schemas.openxmlformats.org/officeDocument/2006/relationships/ctrlProp" Target="../ctrlProps/ctrlProp398.xml"/><Relationship Id="rId183" Type="http://schemas.openxmlformats.org/officeDocument/2006/relationships/ctrlProp" Target="../ctrlProps/ctrlProp41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265.xml"/><Relationship Id="rId24" Type="http://schemas.openxmlformats.org/officeDocument/2006/relationships/ctrlProp" Target="../ctrlProps/ctrlProp260.xml"/><Relationship Id="rId40" Type="http://schemas.openxmlformats.org/officeDocument/2006/relationships/ctrlProp" Target="../ctrlProps/ctrlProp276.xml"/><Relationship Id="rId45" Type="http://schemas.openxmlformats.org/officeDocument/2006/relationships/ctrlProp" Target="../ctrlProps/ctrlProp281.xml"/><Relationship Id="rId66" Type="http://schemas.openxmlformats.org/officeDocument/2006/relationships/ctrlProp" Target="../ctrlProps/ctrlProp302.xml"/><Relationship Id="rId87" Type="http://schemas.openxmlformats.org/officeDocument/2006/relationships/ctrlProp" Target="../ctrlProps/ctrlProp323.xml"/><Relationship Id="rId110" Type="http://schemas.openxmlformats.org/officeDocument/2006/relationships/ctrlProp" Target="../ctrlProps/ctrlProp346.xml"/><Relationship Id="rId115" Type="http://schemas.openxmlformats.org/officeDocument/2006/relationships/ctrlProp" Target="../ctrlProps/ctrlProp351.xml"/><Relationship Id="rId131" Type="http://schemas.openxmlformats.org/officeDocument/2006/relationships/ctrlProp" Target="../ctrlProps/ctrlProp367.xml"/><Relationship Id="rId136" Type="http://schemas.openxmlformats.org/officeDocument/2006/relationships/ctrlProp" Target="../ctrlProps/ctrlProp372.xml"/><Relationship Id="rId157" Type="http://schemas.openxmlformats.org/officeDocument/2006/relationships/ctrlProp" Target="../ctrlProps/ctrlProp393.xml"/><Relationship Id="rId178" Type="http://schemas.openxmlformats.org/officeDocument/2006/relationships/ctrlProp" Target="../ctrlProps/ctrlProp414.xml"/><Relationship Id="rId61" Type="http://schemas.openxmlformats.org/officeDocument/2006/relationships/ctrlProp" Target="../ctrlProps/ctrlProp297.xml"/><Relationship Id="rId82" Type="http://schemas.openxmlformats.org/officeDocument/2006/relationships/ctrlProp" Target="../ctrlProps/ctrlProp318.xml"/><Relationship Id="rId152" Type="http://schemas.openxmlformats.org/officeDocument/2006/relationships/ctrlProp" Target="../ctrlProps/ctrlProp388.xml"/><Relationship Id="rId173" Type="http://schemas.openxmlformats.org/officeDocument/2006/relationships/ctrlProp" Target="../ctrlProps/ctrlProp409.xml"/><Relationship Id="rId19" Type="http://schemas.openxmlformats.org/officeDocument/2006/relationships/ctrlProp" Target="../ctrlProps/ctrlProp255.xml"/><Relationship Id="rId14" Type="http://schemas.openxmlformats.org/officeDocument/2006/relationships/ctrlProp" Target="../ctrlProps/ctrlProp250.xml"/><Relationship Id="rId30" Type="http://schemas.openxmlformats.org/officeDocument/2006/relationships/ctrlProp" Target="../ctrlProps/ctrlProp266.xml"/><Relationship Id="rId35" Type="http://schemas.openxmlformats.org/officeDocument/2006/relationships/ctrlProp" Target="../ctrlProps/ctrlProp271.xml"/><Relationship Id="rId56" Type="http://schemas.openxmlformats.org/officeDocument/2006/relationships/ctrlProp" Target="../ctrlProps/ctrlProp292.xml"/><Relationship Id="rId77" Type="http://schemas.openxmlformats.org/officeDocument/2006/relationships/ctrlProp" Target="../ctrlProps/ctrlProp313.xml"/><Relationship Id="rId100" Type="http://schemas.openxmlformats.org/officeDocument/2006/relationships/ctrlProp" Target="../ctrlProps/ctrlProp336.xml"/><Relationship Id="rId105" Type="http://schemas.openxmlformats.org/officeDocument/2006/relationships/ctrlProp" Target="../ctrlProps/ctrlProp341.xml"/><Relationship Id="rId126" Type="http://schemas.openxmlformats.org/officeDocument/2006/relationships/ctrlProp" Target="../ctrlProps/ctrlProp362.xml"/><Relationship Id="rId147" Type="http://schemas.openxmlformats.org/officeDocument/2006/relationships/ctrlProp" Target="../ctrlProps/ctrlProp383.xml"/><Relationship Id="rId168" Type="http://schemas.openxmlformats.org/officeDocument/2006/relationships/ctrlProp" Target="../ctrlProps/ctrlProp404.xml"/><Relationship Id="rId8" Type="http://schemas.openxmlformats.org/officeDocument/2006/relationships/ctrlProp" Target="../ctrlProps/ctrlProp244.xml"/><Relationship Id="rId51" Type="http://schemas.openxmlformats.org/officeDocument/2006/relationships/ctrlProp" Target="../ctrlProps/ctrlProp287.xml"/><Relationship Id="rId72" Type="http://schemas.openxmlformats.org/officeDocument/2006/relationships/ctrlProp" Target="../ctrlProps/ctrlProp308.xml"/><Relationship Id="rId93" Type="http://schemas.openxmlformats.org/officeDocument/2006/relationships/ctrlProp" Target="../ctrlProps/ctrlProp329.xml"/><Relationship Id="rId98" Type="http://schemas.openxmlformats.org/officeDocument/2006/relationships/ctrlProp" Target="../ctrlProps/ctrlProp334.xml"/><Relationship Id="rId121" Type="http://schemas.openxmlformats.org/officeDocument/2006/relationships/ctrlProp" Target="../ctrlProps/ctrlProp357.xml"/><Relationship Id="rId142" Type="http://schemas.openxmlformats.org/officeDocument/2006/relationships/ctrlProp" Target="../ctrlProps/ctrlProp378.xml"/><Relationship Id="rId163" Type="http://schemas.openxmlformats.org/officeDocument/2006/relationships/ctrlProp" Target="../ctrlProps/ctrlProp399.xml"/><Relationship Id="rId184" Type="http://schemas.openxmlformats.org/officeDocument/2006/relationships/ctrlProp" Target="../ctrlProps/ctrlProp420.xml"/><Relationship Id="rId189" Type="http://schemas.openxmlformats.org/officeDocument/2006/relationships/ctrlProp" Target="../ctrlProps/ctrlProp425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61.xml"/><Relationship Id="rId46" Type="http://schemas.openxmlformats.org/officeDocument/2006/relationships/ctrlProp" Target="../ctrlProps/ctrlProp282.xml"/><Relationship Id="rId67" Type="http://schemas.openxmlformats.org/officeDocument/2006/relationships/ctrlProp" Target="../ctrlProps/ctrlProp303.xml"/><Relationship Id="rId116" Type="http://schemas.openxmlformats.org/officeDocument/2006/relationships/ctrlProp" Target="../ctrlProps/ctrlProp352.xml"/><Relationship Id="rId137" Type="http://schemas.openxmlformats.org/officeDocument/2006/relationships/ctrlProp" Target="../ctrlProps/ctrlProp373.xml"/><Relationship Id="rId158" Type="http://schemas.openxmlformats.org/officeDocument/2006/relationships/ctrlProp" Target="../ctrlProps/ctrlProp394.xml"/><Relationship Id="rId20" Type="http://schemas.openxmlformats.org/officeDocument/2006/relationships/ctrlProp" Target="../ctrlProps/ctrlProp256.xml"/><Relationship Id="rId41" Type="http://schemas.openxmlformats.org/officeDocument/2006/relationships/ctrlProp" Target="../ctrlProps/ctrlProp277.xml"/><Relationship Id="rId62" Type="http://schemas.openxmlformats.org/officeDocument/2006/relationships/ctrlProp" Target="../ctrlProps/ctrlProp298.xml"/><Relationship Id="rId83" Type="http://schemas.openxmlformats.org/officeDocument/2006/relationships/ctrlProp" Target="../ctrlProps/ctrlProp319.xml"/><Relationship Id="rId88" Type="http://schemas.openxmlformats.org/officeDocument/2006/relationships/ctrlProp" Target="../ctrlProps/ctrlProp324.xml"/><Relationship Id="rId111" Type="http://schemas.openxmlformats.org/officeDocument/2006/relationships/ctrlProp" Target="../ctrlProps/ctrlProp347.xml"/><Relationship Id="rId132" Type="http://schemas.openxmlformats.org/officeDocument/2006/relationships/ctrlProp" Target="../ctrlProps/ctrlProp368.xml"/><Relationship Id="rId153" Type="http://schemas.openxmlformats.org/officeDocument/2006/relationships/ctrlProp" Target="../ctrlProps/ctrlProp389.xml"/><Relationship Id="rId174" Type="http://schemas.openxmlformats.org/officeDocument/2006/relationships/ctrlProp" Target="../ctrlProps/ctrlProp410.xml"/><Relationship Id="rId179" Type="http://schemas.openxmlformats.org/officeDocument/2006/relationships/ctrlProp" Target="../ctrlProps/ctrlProp415.xml"/><Relationship Id="rId190" Type="http://schemas.openxmlformats.org/officeDocument/2006/relationships/ctrlProp" Target="../ctrlProps/ctrlProp426.xml"/><Relationship Id="rId15" Type="http://schemas.openxmlformats.org/officeDocument/2006/relationships/ctrlProp" Target="../ctrlProps/ctrlProp251.xml"/><Relationship Id="rId36" Type="http://schemas.openxmlformats.org/officeDocument/2006/relationships/ctrlProp" Target="../ctrlProps/ctrlProp272.xml"/><Relationship Id="rId57" Type="http://schemas.openxmlformats.org/officeDocument/2006/relationships/ctrlProp" Target="../ctrlProps/ctrlProp293.xml"/><Relationship Id="rId106" Type="http://schemas.openxmlformats.org/officeDocument/2006/relationships/ctrlProp" Target="../ctrlProps/ctrlProp342.xml"/><Relationship Id="rId127" Type="http://schemas.openxmlformats.org/officeDocument/2006/relationships/ctrlProp" Target="../ctrlProps/ctrlProp363.xml"/><Relationship Id="rId10" Type="http://schemas.openxmlformats.org/officeDocument/2006/relationships/ctrlProp" Target="../ctrlProps/ctrlProp246.xml"/><Relationship Id="rId31" Type="http://schemas.openxmlformats.org/officeDocument/2006/relationships/ctrlProp" Target="../ctrlProps/ctrlProp267.xml"/><Relationship Id="rId52" Type="http://schemas.openxmlformats.org/officeDocument/2006/relationships/ctrlProp" Target="../ctrlProps/ctrlProp288.xml"/><Relationship Id="rId73" Type="http://schemas.openxmlformats.org/officeDocument/2006/relationships/ctrlProp" Target="../ctrlProps/ctrlProp309.xml"/><Relationship Id="rId78" Type="http://schemas.openxmlformats.org/officeDocument/2006/relationships/ctrlProp" Target="../ctrlProps/ctrlProp314.xml"/><Relationship Id="rId94" Type="http://schemas.openxmlformats.org/officeDocument/2006/relationships/ctrlProp" Target="../ctrlProps/ctrlProp330.xml"/><Relationship Id="rId99" Type="http://schemas.openxmlformats.org/officeDocument/2006/relationships/ctrlProp" Target="../ctrlProps/ctrlProp335.xml"/><Relationship Id="rId101" Type="http://schemas.openxmlformats.org/officeDocument/2006/relationships/ctrlProp" Target="../ctrlProps/ctrlProp337.xml"/><Relationship Id="rId122" Type="http://schemas.openxmlformats.org/officeDocument/2006/relationships/ctrlProp" Target="../ctrlProps/ctrlProp358.xml"/><Relationship Id="rId143" Type="http://schemas.openxmlformats.org/officeDocument/2006/relationships/ctrlProp" Target="../ctrlProps/ctrlProp379.xml"/><Relationship Id="rId148" Type="http://schemas.openxmlformats.org/officeDocument/2006/relationships/ctrlProp" Target="../ctrlProps/ctrlProp384.xml"/><Relationship Id="rId164" Type="http://schemas.openxmlformats.org/officeDocument/2006/relationships/ctrlProp" Target="../ctrlProps/ctrlProp400.xml"/><Relationship Id="rId169" Type="http://schemas.openxmlformats.org/officeDocument/2006/relationships/ctrlProp" Target="../ctrlProps/ctrlProp405.xml"/><Relationship Id="rId185" Type="http://schemas.openxmlformats.org/officeDocument/2006/relationships/ctrlProp" Target="../ctrlProps/ctrlProp421.xml"/><Relationship Id="rId4" Type="http://schemas.openxmlformats.org/officeDocument/2006/relationships/ctrlProp" Target="../ctrlProps/ctrlProp240.xml"/><Relationship Id="rId9" Type="http://schemas.openxmlformats.org/officeDocument/2006/relationships/ctrlProp" Target="../ctrlProps/ctrlProp245.xml"/><Relationship Id="rId180" Type="http://schemas.openxmlformats.org/officeDocument/2006/relationships/ctrlProp" Target="../ctrlProps/ctrlProp416.xml"/><Relationship Id="rId26" Type="http://schemas.openxmlformats.org/officeDocument/2006/relationships/ctrlProp" Target="../ctrlProps/ctrlProp262.xml"/><Relationship Id="rId47" Type="http://schemas.openxmlformats.org/officeDocument/2006/relationships/ctrlProp" Target="../ctrlProps/ctrlProp283.xml"/><Relationship Id="rId68" Type="http://schemas.openxmlformats.org/officeDocument/2006/relationships/ctrlProp" Target="../ctrlProps/ctrlProp304.xml"/><Relationship Id="rId89" Type="http://schemas.openxmlformats.org/officeDocument/2006/relationships/ctrlProp" Target="../ctrlProps/ctrlProp325.xml"/><Relationship Id="rId112" Type="http://schemas.openxmlformats.org/officeDocument/2006/relationships/ctrlProp" Target="../ctrlProps/ctrlProp348.xml"/><Relationship Id="rId133" Type="http://schemas.openxmlformats.org/officeDocument/2006/relationships/ctrlProp" Target="../ctrlProps/ctrlProp369.xml"/><Relationship Id="rId154" Type="http://schemas.openxmlformats.org/officeDocument/2006/relationships/ctrlProp" Target="../ctrlProps/ctrlProp390.xml"/><Relationship Id="rId175" Type="http://schemas.openxmlformats.org/officeDocument/2006/relationships/ctrlProp" Target="../ctrlProps/ctrlProp411.xml"/><Relationship Id="rId16" Type="http://schemas.openxmlformats.org/officeDocument/2006/relationships/ctrlProp" Target="../ctrlProps/ctrlProp252.xml"/><Relationship Id="rId37" Type="http://schemas.openxmlformats.org/officeDocument/2006/relationships/ctrlProp" Target="../ctrlProps/ctrlProp273.xml"/><Relationship Id="rId58" Type="http://schemas.openxmlformats.org/officeDocument/2006/relationships/ctrlProp" Target="../ctrlProps/ctrlProp294.xml"/><Relationship Id="rId79" Type="http://schemas.openxmlformats.org/officeDocument/2006/relationships/ctrlProp" Target="../ctrlProps/ctrlProp315.xml"/><Relationship Id="rId102" Type="http://schemas.openxmlformats.org/officeDocument/2006/relationships/ctrlProp" Target="../ctrlProps/ctrlProp338.xml"/><Relationship Id="rId123" Type="http://schemas.openxmlformats.org/officeDocument/2006/relationships/ctrlProp" Target="../ctrlProps/ctrlProp359.xml"/><Relationship Id="rId144" Type="http://schemas.openxmlformats.org/officeDocument/2006/relationships/ctrlProp" Target="../ctrlProps/ctrlProp380.xml"/><Relationship Id="rId90" Type="http://schemas.openxmlformats.org/officeDocument/2006/relationships/ctrlProp" Target="../ctrlProps/ctrlProp326.xml"/><Relationship Id="rId165" Type="http://schemas.openxmlformats.org/officeDocument/2006/relationships/ctrlProp" Target="../ctrlProps/ctrlProp401.xml"/><Relationship Id="rId186" Type="http://schemas.openxmlformats.org/officeDocument/2006/relationships/ctrlProp" Target="../ctrlProps/ctrlProp422.xml"/><Relationship Id="rId27" Type="http://schemas.openxmlformats.org/officeDocument/2006/relationships/ctrlProp" Target="../ctrlProps/ctrlProp263.xml"/><Relationship Id="rId48" Type="http://schemas.openxmlformats.org/officeDocument/2006/relationships/ctrlProp" Target="../ctrlProps/ctrlProp284.xml"/><Relationship Id="rId69" Type="http://schemas.openxmlformats.org/officeDocument/2006/relationships/ctrlProp" Target="../ctrlProps/ctrlProp305.xml"/><Relationship Id="rId113" Type="http://schemas.openxmlformats.org/officeDocument/2006/relationships/ctrlProp" Target="../ctrlProps/ctrlProp349.xml"/><Relationship Id="rId134" Type="http://schemas.openxmlformats.org/officeDocument/2006/relationships/ctrlProp" Target="../ctrlProps/ctrlProp370.xml"/><Relationship Id="rId80" Type="http://schemas.openxmlformats.org/officeDocument/2006/relationships/ctrlProp" Target="../ctrlProps/ctrlProp316.xml"/><Relationship Id="rId155" Type="http://schemas.openxmlformats.org/officeDocument/2006/relationships/ctrlProp" Target="../ctrlProps/ctrlProp391.xml"/><Relationship Id="rId176" Type="http://schemas.openxmlformats.org/officeDocument/2006/relationships/ctrlProp" Target="../ctrlProps/ctrlProp412.xml"/><Relationship Id="rId17" Type="http://schemas.openxmlformats.org/officeDocument/2006/relationships/ctrlProp" Target="../ctrlProps/ctrlProp253.xml"/><Relationship Id="rId38" Type="http://schemas.openxmlformats.org/officeDocument/2006/relationships/ctrlProp" Target="../ctrlProps/ctrlProp274.xml"/><Relationship Id="rId59" Type="http://schemas.openxmlformats.org/officeDocument/2006/relationships/ctrlProp" Target="../ctrlProps/ctrlProp295.xml"/><Relationship Id="rId103" Type="http://schemas.openxmlformats.org/officeDocument/2006/relationships/ctrlProp" Target="../ctrlProps/ctrlProp339.xml"/><Relationship Id="rId124" Type="http://schemas.openxmlformats.org/officeDocument/2006/relationships/ctrlProp" Target="../ctrlProps/ctrlProp360.xml"/><Relationship Id="rId70" Type="http://schemas.openxmlformats.org/officeDocument/2006/relationships/ctrlProp" Target="../ctrlProps/ctrlProp306.xml"/><Relationship Id="rId91" Type="http://schemas.openxmlformats.org/officeDocument/2006/relationships/ctrlProp" Target="../ctrlProps/ctrlProp327.xml"/><Relationship Id="rId145" Type="http://schemas.openxmlformats.org/officeDocument/2006/relationships/ctrlProp" Target="../ctrlProps/ctrlProp381.xml"/><Relationship Id="rId166" Type="http://schemas.openxmlformats.org/officeDocument/2006/relationships/ctrlProp" Target="../ctrlProps/ctrlProp402.xml"/><Relationship Id="rId187" Type="http://schemas.openxmlformats.org/officeDocument/2006/relationships/ctrlProp" Target="../ctrlProps/ctrlProp423.xml"/><Relationship Id="rId1" Type="http://schemas.openxmlformats.org/officeDocument/2006/relationships/printerSettings" Target="../printerSettings/printerSettings15.bin"/><Relationship Id="rId28" Type="http://schemas.openxmlformats.org/officeDocument/2006/relationships/ctrlProp" Target="../ctrlProps/ctrlProp264.xml"/><Relationship Id="rId49" Type="http://schemas.openxmlformats.org/officeDocument/2006/relationships/ctrlProp" Target="../ctrlProps/ctrlProp285.xml"/><Relationship Id="rId114" Type="http://schemas.openxmlformats.org/officeDocument/2006/relationships/ctrlProp" Target="../ctrlProps/ctrlProp350.xml"/><Relationship Id="rId60" Type="http://schemas.openxmlformats.org/officeDocument/2006/relationships/ctrlProp" Target="../ctrlProps/ctrlProp296.xml"/><Relationship Id="rId81" Type="http://schemas.openxmlformats.org/officeDocument/2006/relationships/ctrlProp" Target="../ctrlProps/ctrlProp317.xml"/><Relationship Id="rId135" Type="http://schemas.openxmlformats.org/officeDocument/2006/relationships/ctrlProp" Target="../ctrlProps/ctrlProp371.xml"/><Relationship Id="rId156" Type="http://schemas.openxmlformats.org/officeDocument/2006/relationships/ctrlProp" Target="../ctrlProps/ctrlProp392.xml"/><Relationship Id="rId177" Type="http://schemas.openxmlformats.org/officeDocument/2006/relationships/ctrlProp" Target="../ctrlProps/ctrlProp4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27" t="s">
        <v>60</v>
      </c>
      <c r="B1" t="s">
        <v>62</v>
      </c>
      <c r="C1" t="s">
        <v>63</v>
      </c>
    </row>
    <row r="2" spans="1:4" x14ac:dyDescent="0.35">
      <c r="A2" s="2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t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27" t="s">
        <v>60</v>
      </c>
      <c r="B1" s="27" t="s">
        <v>60</v>
      </c>
      <c r="C1" s="27" t="s">
        <v>61</v>
      </c>
      <c r="I1" t="s">
        <v>62</v>
      </c>
      <c r="P1" t="s">
        <v>63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34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34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34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35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35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35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35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35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35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35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35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35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35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35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35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35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35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35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35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35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35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35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35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35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35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35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35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35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35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35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35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35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35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35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35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35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35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35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35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35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35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35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35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35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35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35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35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35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showZeros="0" showOutlineSymbols="0" zoomScaleNormal="100" workbookViewId="0">
      <selection activeCell="D5" sqref="D5"/>
    </sheetView>
  </sheetViews>
  <sheetFormatPr defaultColWidth="9.1328125" defaultRowHeight="12.85" x14ac:dyDescent="0.35"/>
  <cols>
    <col min="1" max="1" width="9.1328125" style="63"/>
    <col min="2" max="2" width="10.265625" style="11" customWidth="1"/>
    <col min="3" max="3" width="19.73046875" style="63" customWidth="1"/>
    <col min="4" max="5" width="17.73046875" style="63" customWidth="1"/>
    <col min="6" max="7" width="18.73046875" style="63" customWidth="1"/>
    <col min="8" max="16384" width="9.1328125" style="63"/>
  </cols>
  <sheetData>
    <row r="1" spans="2:25 4305:4305" x14ac:dyDescent="0.35">
      <c r="J1" s="231"/>
      <c r="K1" s="231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231"/>
      <c r="X1" s="231"/>
      <c r="Y1" s="231"/>
    </row>
    <row r="2" spans="2:25 4305:4305" ht="15" customHeight="1" x14ac:dyDescent="0.4">
      <c r="B2" s="222" t="str">
        <f>"Patient: "&amp;_AchterNaam&amp;", "&amp;_VoorNaam</f>
        <v>Patient: Achternaam, Voornaam</v>
      </c>
      <c r="C2" s="220"/>
      <c r="D2" s="177"/>
      <c r="E2" s="223" t="str">
        <f ca="1">"Geschatte lengte: "&amp;VLOOKUP(C5+D5/12,HEIGHTNL.CRF!A2:D45,4)&amp;" cm"</f>
        <v>Geschatte lengte: 75,6 cm</v>
      </c>
      <c r="F2" s="177"/>
      <c r="G2" s="185"/>
      <c r="H2" s="64"/>
      <c r="I2" s="64"/>
      <c r="J2" s="231"/>
      <c r="K2" s="231"/>
      <c r="L2" s="176">
        <v>0</v>
      </c>
      <c r="M2" s="176">
        <v>40</v>
      </c>
      <c r="N2" s="176">
        <v>3.5</v>
      </c>
      <c r="O2" s="176">
        <v>0</v>
      </c>
      <c r="P2" s="176">
        <v>3.5</v>
      </c>
      <c r="Q2" s="176">
        <v>51</v>
      </c>
      <c r="R2" s="176"/>
      <c r="S2" s="176">
        <v>1</v>
      </c>
      <c r="T2" s="176">
        <v>1</v>
      </c>
      <c r="U2" s="176">
        <v>1</v>
      </c>
      <c r="V2" s="176"/>
      <c r="W2" s="231"/>
      <c r="X2" s="231"/>
      <c r="Y2" s="231"/>
      <c r="FIO2" s="63">
        <v>30</v>
      </c>
    </row>
    <row r="3" spans="2:25 4305:4305" ht="15" customHeight="1" x14ac:dyDescent="0.35">
      <c r="B3" s="222" t="str">
        <f>"Geb datum.: "</f>
        <v xml:space="preserve">Geb datum.: </v>
      </c>
      <c r="C3" s="236">
        <f>GebDatum</f>
        <v>41732</v>
      </c>
      <c r="D3" s="177"/>
      <c r="E3" s="223" t="str">
        <f ca="1">"Geschat gewicht: "&amp;VLOOKUP(C5+D5/12,WEIGHTNL.CRF!A2:T49,20)&amp;" kg"</f>
        <v>Geschat gewicht: 9,8 kg</v>
      </c>
      <c r="F3" s="216"/>
      <c r="G3" s="185"/>
      <c r="H3" s="64"/>
      <c r="I3" s="64"/>
      <c r="J3" s="231"/>
      <c r="K3" s="231"/>
      <c r="L3" s="176">
        <v>1</v>
      </c>
      <c r="M3" s="176">
        <v>30</v>
      </c>
      <c r="N3" s="176">
        <v>4.5</v>
      </c>
      <c r="O3" s="176">
        <v>1</v>
      </c>
      <c r="P3" s="176">
        <v>4.2</v>
      </c>
      <c r="Q3" s="176">
        <v>54</v>
      </c>
      <c r="R3" s="176"/>
      <c r="S3" s="176">
        <v>2</v>
      </c>
      <c r="T3" s="176">
        <v>2</v>
      </c>
      <c r="U3" s="176">
        <v>2</v>
      </c>
      <c r="V3" s="176"/>
      <c r="W3" s="231"/>
      <c r="X3" s="231"/>
      <c r="Y3" s="231"/>
    </row>
    <row r="4" spans="2:25 4305:4305" ht="15.75" customHeight="1" x14ac:dyDescent="0.4">
      <c r="B4" s="209"/>
      <c r="C4" s="218" t="s">
        <v>1145</v>
      </c>
      <c r="D4" s="218" t="s">
        <v>1146</v>
      </c>
      <c r="E4" s="218" t="s">
        <v>759</v>
      </c>
      <c r="F4" s="218" t="s">
        <v>351</v>
      </c>
      <c r="G4" s="218" t="s">
        <v>139</v>
      </c>
      <c r="H4" s="64"/>
      <c r="J4" s="232"/>
      <c r="K4" s="232"/>
      <c r="L4" s="176">
        <v>2</v>
      </c>
      <c r="M4" s="176">
        <v>25</v>
      </c>
      <c r="N4" s="176">
        <v>4.5</v>
      </c>
      <c r="O4" s="176">
        <v>2</v>
      </c>
      <c r="P4" s="176">
        <v>5</v>
      </c>
      <c r="Q4" s="176">
        <v>57</v>
      </c>
      <c r="R4" s="176"/>
      <c r="S4" s="176">
        <v>3</v>
      </c>
      <c r="T4" s="176">
        <v>3</v>
      </c>
      <c r="U4" s="176">
        <v>3</v>
      </c>
      <c r="V4" s="176"/>
      <c r="W4" s="231"/>
      <c r="X4" s="231"/>
      <c r="Y4" s="231"/>
    </row>
    <row r="5" spans="2:25 4305:4305" ht="15" customHeight="1" x14ac:dyDescent="0.4">
      <c r="B5" s="209"/>
      <c r="C5" s="218">
        <f ca="1">TRUNC((AfspraakDatum-GebDatum)/365,0)</f>
        <v>1</v>
      </c>
      <c r="D5" s="218">
        <f ca="1">TRUNC(((AfspraakDatum-GebDatum)-365*TRUNC((AfspraakDatum-GebDatum)/365,0))/30,0)</f>
        <v>5</v>
      </c>
      <c r="E5" s="218">
        <f>Gewicht/10</f>
        <v>5</v>
      </c>
      <c r="F5" s="218">
        <f>Lengte</f>
        <v>61</v>
      </c>
      <c r="G5" s="218">
        <f>ROUND(POWER(E5,0.425)*POWER(((F5/100)*100),0.725)*0.007184,2)</f>
        <v>0.28000000000000003</v>
      </c>
      <c r="H5" s="64"/>
      <c r="J5" s="232"/>
      <c r="K5" s="232"/>
      <c r="L5" s="176">
        <v>3</v>
      </c>
      <c r="M5" s="176">
        <v>25</v>
      </c>
      <c r="N5" s="176">
        <v>5</v>
      </c>
      <c r="O5" s="176">
        <v>3</v>
      </c>
      <c r="P5" s="176">
        <v>5.7</v>
      </c>
      <c r="Q5" s="176">
        <v>60</v>
      </c>
      <c r="R5" s="176"/>
      <c r="S5" s="176">
        <v>4</v>
      </c>
      <c r="T5" s="176">
        <v>3</v>
      </c>
      <c r="U5" s="176"/>
      <c r="V5" s="176"/>
      <c r="W5" s="231"/>
      <c r="X5" s="231"/>
      <c r="Y5" s="231"/>
    </row>
    <row r="6" spans="2:25 4305:4305" ht="15" customHeight="1" thickBot="1" x14ac:dyDescent="0.45">
      <c r="B6" s="26"/>
      <c r="C6" s="221"/>
      <c r="D6" s="221"/>
      <c r="E6" s="221"/>
      <c r="F6" s="221"/>
      <c r="G6" s="221"/>
      <c r="H6" s="64"/>
      <c r="J6" s="232"/>
      <c r="K6" s="232"/>
      <c r="L6" s="176">
        <v>4</v>
      </c>
      <c r="M6" s="176">
        <v>25</v>
      </c>
      <c r="N6" s="176">
        <v>5</v>
      </c>
      <c r="O6" s="176">
        <v>4</v>
      </c>
      <c r="P6" s="176">
        <v>6.5</v>
      </c>
      <c r="Q6" s="176">
        <v>63</v>
      </c>
      <c r="R6" s="176"/>
      <c r="S6" s="176">
        <v>5</v>
      </c>
      <c r="T6" s="176">
        <v>5</v>
      </c>
      <c r="U6" s="176">
        <v>5</v>
      </c>
      <c r="V6" s="176"/>
      <c r="W6" s="231"/>
      <c r="X6" s="231"/>
      <c r="Y6" s="231"/>
    </row>
    <row r="7" spans="2:25 4305:4305" ht="20.100000000000001" customHeight="1" x14ac:dyDescent="0.4">
      <c r="B7" s="209" t="s">
        <v>836</v>
      </c>
      <c r="C7" s="224" t="s">
        <v>140</v>
      </c>
      <c r="D7" s="225" t="str">
        <f ca="1">"Maat: "&amp;VLOOKUP(C5,L2:N20,3)&amp;", Lengte: "&amp;IF(C5&gt;1,ROUND((C5/2+15)/2,0)*2,IF(C5=0,12,15))&amp;" cm"&amp;" nasaal, "&amp;ROUND((C5/2+12)/2,0)*2&amp;" cm oraal"</f>
        <v>Maat: 4,5, Lengte: 15 cm nasaal, 12 cm oraal</v>
      </c>
      <c r="E7" s="226"/>
      <c r="F7" s="226"/>
      <c r="G7" s="306"/>
      <c r="H7" s="64"/>
      <c r="I7" s="64"/>
      <c r="J7" s="231"/>
      <c r="K7" s="231"/>
      <c r="L7" s="176">
        <v>5</v>
      </c>
      <c r="M7" s="176">
        <v>25</v>
      </c>
      <c r="N7" s="176">
        <v>5.5</v>
      </c>
      <c r="O7" s="176">
        <v>5</v>
      </c>
      <c r="P7" s="176">
        <v>7</v>
      </c>
      <c r="Q7" s="176">
        <v>65</v>
      </c>
      <c r="R7" s="176"/>
      <c r="S7" s="176">
        <v>6</v>
      </c>
      <c r="T7" s="176">
        <v>5</v>
      </c>
      <c r="U7" s="176"/>
      <c r="V7" s="176"/>
      <c r="W7" s="231"/>
      <c r="X7" s="231"/>
      <c r="Y7" s="231"/>
    </row>
    <row r="8" spans="2:25 4305:4305" ht="20.100000000000001" customHeight="1" x14ac:dyDescent="0.4">
      <c r="B8" s="209"/>
      <c r="C8" s="208" t="s">
        <v>141</v>
      </c>
      <c r="D8" s="65" t="str">
        <f>IF(ROUND((E5)*4,0)&gt;150,150,VLOOKUP(ROUND(E5*4,0),S2:T362,2))&amp;" Joules Asynchroon"</f>
        <v>20 Joules Asynchroon</v>
      </c>
      <c r="E8" s="64"/>
      <c r="F8" s="64"/>
      <c r="G8" s="307" t="s">
        <v>18</v>
      </c>
      <c r="H8" s="64"/>
      <c r="I8" s="64"/>
      <c r="J8" s="231"/>
      <c r="K8" s="231"/>
      <c r="L8" s="176">
        <v>6</v>
      </c>
      <c r="M8" s="176">
        <v>20</v>
      </c>
      <c r="N8" s="176">
        <v>5.5</v>
      </c>
      <c r="O8" s="176">
        <v>6</v>
      </c>
      <c r="P8" s="176">
        <v>7.7</v>
      </c>
      <c r="Q8" s="176">
        <v>67</v>
      </c>
      <c r="R8" s="176"/>
      <c r="S8" s="176">
        <v>7</v>
      </c>
      <c r="T8" s="176">
        <v>7</v>
      </c>
      <c r="U8" s="176">
        <v>7</v>
      </c>
      <c r="V8" s="176"/>
      <c r="W8" s="231"/>
      <c r="X8" s="231"/>
      <c r="Y8" s="231"/>
    </row>
    <row r="9" spans="2:25 4305:4305" ht="20.100000000000001" customHeight="1" x14ac:dyDescent="0.4">
      <c r="B9" s="209"/>
      <c r="C9" s="208" t="s">
        <v>332</v>
      </c>
      <c r="D9" s="65" t="str">
        <f ca="1">IF(OR(ROUND(0.01*(E5),2)&gt;1,C5&gt;=18),"1 mg iv",ROUND(0.01*(E5),2)&amp;" mg iv")</f>
        <v>0,05 mg iv</v>
      </c>
      <c r="E9" s="64" t="str">
        <f>"= "&amp;IF(ROUND(0.01*(E5),2)&gt;1,"1 ml van 1mg = 10 ml (1:10.000)",ROUND(0.1*(E5),1)&amp;" ml van 1mg = 10 ml (1:10.000)")</f>
        <v>= 0,5 ml van 1mg = 10 ml (1:10.000)</v>
      </c>
      <c r="F9" s="64"/>
      <c r="G9" s="307" t="s">
        <v>19</v>
      </c>
      <c r="H9" s="64"/>
      <c r="I9" s="64"/>
      <c r="J9" s="231"/>
      <c r="K9" s="231"/>
      <c r="L9" s="176">
        <v>7</v>
      </c>
      <c r="M9" s="176">
        <v>20</v>
      </c>
      <c r="N9" s="176">
        <v>6</v>
      </c>
      <c r="O9" s="176">
        <v>7</v>
      </c>
      <c r="P9" s="176">
        <v>8.1999999999999993</v>
      </c>
      <c r="Q9" s="176">
        <v>69</v>
      </c>
      <c r="R9" s="176"/>
      <c r="S9" s="176">
        <v>8</v>
      </c>
      <c r="T9" s="176">
        <v>7</v>
      </c>
      <c r="U9" s="176"/>
      <c r="V9" s="176"/>
      <c r="W9" s="231"/>
      <c r="X9" s="231"/>
      <c r="Y9" s="231"/>
    </row>
    <row r="10" spans="2:25 4305:4305" ht="20.100000000000001" customHeight="1" x14ac:dyDescent="0.4">
      <c r="B10" s="209"/>
      <c r="C10" s="208" t="s">
        <v>142</v>
      </c>
      <c r="D10" s="65" t="str">
        <f>ROUND(IF(E5&gt;50,50,0.5*E5),0)&amp;" ml iv"</f>
        <v>3 ml iv</v>
      </c>
      <c r="E10" s="64"/>
      <c r="F10" s="64"/>
      <c r="G10" s="307" t="s">
        <v>20</v>
      </c>
      <c r="H10" s="64"/>
      <c r="I10" s="64"/>
      <c r="J10" s="231"/>
      <c r="K10" s="231"/>
      <c r="L10" s="176">
        <v>8</v>
      </c>
      <c r="M10" s="176">
        <v>20</v>
      </c>
      <c r="N10" s="176">
        <v>6</v>
      </c>
      <c r="O10" s="176">
        <v>8</v>
      </c>
      <c r="P10" s="176">
        <v>8.5</v>
      </c>
      <c r="Q10" s="176">
        <v>70</v>
      </c>
      <c r="R10" s="176"/>
      <c r="S10" s="176">
        <v>9</v>
      </c>
      <c r="T10" s="176">
        <v>7</v>
      </c>
      <c r="U10" s="176"/>
      <c r="V10" s="176"/>
      <c r="W10" s="231"/>
      <c r="X10" s="231"/>
      <c r="Y10" s="231"/>
    </row>
    <row r="11" spans="2:25 4305:4305" ht="20.100000000000001" customHeight="1" x14ac:dyDescent="0.4">
      <c r="B11" s="209"/>
      <c r="C11" s="208" t="s">
        <v>529</v>
      </c>
      <c r="D11" s="65" t="str">
        <f>IF(0.2*E5&lt;=25,0.2*E5&amp;" gram iv","25 gram iv")</f>
        <v>1 gram iv</v>
      </c>
      <c r="E11" s="64" t="str">
        <f>"="&amp;" "&amp;IF(2*E5&lt;=250,ROUND(2*E5,0)&amp;" ml glucose 10%","250 ml glucose 10%")</f>
        <v>= 10 ml glucose 10%</v>
      </c>
      <c r="F11" s="64"/>
      <c r="G11" s="307" t="s">
        <v>21</v>
      </c>
      <c r="H11" s="64"/>
      <c r="I11" s="64"/>
      <c r="J11" s="231"/>
      <c r="K11" s="231"/>
      <c r="L11" s="176">
        <v>9</v>
      </c>
      <c r="M11" s="176">
        <v>20</v>
      </c>
      <c r="N11" s="176">
        <v>6.5</v>
      </c>
      <c r="O11" s="176">
        <v>9</v>
      </c>
      <c r="P11" s="176">
        <v>9</v>
      </c>
      <c r="Q11" s="176">
        <v>72</v>
      </c>
      <c r="R11" s="176"/>
      <c r="S11" s="176">
        <v>10</v>
      </c>
      <c r="T11" s="176">
        <v>10</v>
      </c>
      <c r="U11" s="176">
        <v>10</v>
      </c>
      <c r="V11" s="176"/>
      <c r="W11" s="231"/>
      <c r="X11" s="231"/>
      <c r="Y11" s="231"/>
    </row>
    <row r="12" spans="2:25 4305:4305" ht="20.100000000000001" customHeight="1" thickBot="1" x14ac:dyDescent="0.45">
      <c r="B12" s="209"/>
      <c r="C12" s="227" t="s">
        <v>143</v>
      </c>
      <c r="D12" s="228" t="str">
        <f>IF(ROUND(20*E5/10,0)*10&gt;500,500,ROUND(20*E5/10,0)*10)&amp;" ml fysiologisch zout iv per bolus"</f>
        <v>100 ml fysiologisch zout iv per bolus</v>
      </c>
      <c r="E12" s="229"/>
      <c r="F12" s="229"/>
      <c r="G12" s="308" t="s">
        <v>22</v>
      </c>
      <c r="H12" s="64"/>
      <c r="I12" s="64"/>
      <c r="J12" s="231"/>
      <c r="K12" s="231"/>
      <c r="L12" s="176">
        <v>10</v>
      </c>
      <c r="M12" s="176">
        <v>20</v>
      </c>
      <c r="N12" s="176">
        <v>6.5</v>
      </c>
      <c r="O12" s="176">
        <v>10</v>
      </c>
      <c r="P12" s="176">
        <v>9.3000000000000007</v>
      </c>
      <c r="Q12" s="176">
        <v>73</v>
      </c>
      <c r="R12" s="176"/>
      <c r="S12" s="176">
        <v>11</v>
      </c>
      <c r="T12" s="176">
        <v>10</v>
      </c>
      <c r="U12" s="176"/>
      <c r="V12" s="176"/>
      <c r="W12" s="231"/>
      <c r="X12" s="231"/>
      <c r="Y12" s="231"/>
    </row>
    <row r="13" spans="2:25 4305:4305" ht="20.100000000000001" customHeight="1" thickBot="1" x14ac:dyDescent="0.45">
      <c r="B13" s="26"/>
      <c r="C13" s="64"/>
      <c r="D13" s="65"/>
      <c r="E13" s="64"/>
      <c r="F13" s="64"/>
      <c r="G13" s="307"/>
      <c r="H13" s="64"/>
      <c r="I13" s="64"/>
      <c r="J13" s="231"/>
      <c r="K13" s="231"/>
      <c r="L13" s="176">
        <v>11</v>
      </c>
      <c r="M13" s="176">
        <v>20</v>
      </c>
      <c r="N13" s="176">
        <v>7</v>
      </c>
      <c r="O13" s="176">
        <v>11</v>
      </c>
      <c r="P13" s="176">
        <v>9.5</v>
      </c>
      <c r="Q13" s="176">
        <v>74</v>
      </c>
      <c r="R13" s="176"/>
      <c r="S13" s="176">
        <v>12</v>
      </c>
      <c r="T13" s="176">
        <v>10</v>
      </c>
      <c r="U13" s="176"/>
      <c r="V13" s="176"/>
      <c r="W13" s="231"/>
      <c r="X13" s="231"/>
      <c r="Y13" s="231"/>
    </row>
    <row r="14" spans="2:25 4305:4305" ht="20.100000000000001" customHeight="1" x14ac:dyDescent="0.4">
      <c r="B14" s="209" t="s">
        <v>998</v>
      </c>
      <c r="C14" s="224" t="s">
        <v>851</v>
      </c>
      <c r="D14" s="225" t="str">
        <f>IF(0.5*E5&gt;20,"20 mg iv",0.5*E5&amp;" mg iv")</f>
        <v>2,5 mg iv</v>
      </c>
      <c r="E14" s="226" t="str">
        <f>"= "&amp;IF(0.5*E5&gt;20,"10 ml van een 2 mg/ml oplossing",ROUND(0.5*E5*0.5,1)&amp;" ml van een 2 mg/ml oplossing")</f>
        <v>= 1,3 ml van een 2 mg/ml oplossing</v>
      </c>
      <c r="F14" s="226"/>
      <c r="G14" s="306" t="s">
        <v>23</v>
      </c>
      <c r="H14" s="64"/>
      <c r="I14" s="64"/>
      <c r="J14" s="231"/>
      <c r="K14" s="231"/>
      <c r="L14" s="176">
        <v>12</v>
      </c>
      <c r="M14" s="176">
        <v>15</v>
      </c>
      <c r="N14" s="176">
        <v>7</v>
      </c>
      <c r="O14" s="176">
        <v>12</v>
      </c>
      <c r="P14" s="176">
        <v>10</v>
      </c>
      <c r="Q14" s="176">
        <v>76</v>
      </c>
      <c r="R14" s="176"/>
      <c r="S14" s="176">
        <v>13</v>
      </c>
      <c r="T14" s="176">
        <v>10</v>
      </c>
      <c r="U14" s="176"/>
      <c r="V14" s="176"/>
      <c r="W14" s="231"/>
      <c r="X14" s="231"/>
      <c r="Y14" s="231"/>
    </row>
    <row r="15" spans="2:25 4305:4305" ht="20.100000000000001" customHeight="1" x14ac:dyDescent="0.4">
      <c r="B15" s="209"/>
      <c r="C15" s="208" t="s">
        <v>756</v>
      </c>
      <c r="D15" s="65" t="str">
        <f>IF(ROUND(1*(E5),1)&gt;100,"100 mg iv",ROUND(1*(E5),1)&amp;" mg iv")</f>
        <v>5 mg iv</v>
      </c>
      <c r="E15" s="64" t="str">
        <f>"= "&amp;IF(ROUND(1*(E5),1)&gt;100,"10 ml"&amp;" van een 1mg/ml oplossing",ROUND(0.1*(E5),1)&amp;" ml"&amp;" van een 10 mg/ml oplossing")</f>
        <v>= 0,5 ml van een 10 mg/ml oplossing</v>
      </c>
      <c r="F15" s="64"/>
      <c r="G15" s="307" t="s">
        <v>24</v>
      </c>
      <c r="H15" s="64"/>
      <c r="I15" s="64"/>
      <c r="J15" s="231"/>
      <c r="K15" s="231"/>
      <c r="L15" s="176">
        <v>13</v>
      </c>
      <c r="M15" s="176">
        <v>15</v>
      </c>
      <c r="N15" s="176">
        <v>7</v>
      </c>
      <c r="O15" s="176"/>
      <c r="P15" s="176"/>
      <c r="Q15" s="176"/>
      <c r="R15" s="176"/>
      <c r="S15" s="176">
        <v>14</v>
      </c>
      <c r="T15" s="176">
        <v>10</v>
      </c>
      <c r="U15" s="176"/>
      <c r="V15" s="176"/>
      <c r="W15" s="231"/>
      <c r="X15" s="231"/>
      <c r="Y15" s="231"/>
    </row>
    <row r="16" spans="2:25 4305:4305" ht="20.100000000000001" customHeight="1" x14ac:dyDescent="0.4">
      <c r="B16" s="209"/>
      <c r="C16" s="208" t="s">
        <v>852</v>
      </c>
      <c r="D16" s="65" t="str">
        <f>IF(ROUND(0.02*(E5),1)&lt;0.1,"0,1 mg iv",IF(ROUND(0.02*(E5),1)&gt;0.5,"0,5 mg iv",ROUND(0.02*(E5),1)&amp;" mg iv"))</f>
        <v>0,1 mg iv</v>
      </c>
      <c r="E16" s="340" t="str">
        <f>"= "&amp;IF(ROUND(0.02*(E5),1)&lt;0.1,0.1,IF(ROUND(0.02*(E5),1)&gt;0.5,0.5,ROUND(0.02*(E5),1)))*2&amp;" ml van 0,5 mg/ml (min 0,1 mg)"</f>
        <v>= 0,2 ml van 0,5 mg/ml (min 0,1 mg)</v>
      </c>
      <c r="F16" s="340"/>
      <c r="G16" s="307" t="s">
        <v>25</v>
      </c>
      <c r="H16" s="64"/>
      <c r="I16" s="64"/>
      <c r="J16" s="231"/>
      <c r="K16" s="231"/>
      <c r="L16" s="176">
        <v>14</v>
      </c>
      <c r="M16" s="176">
        <v>15</v>
      </c>
      <c r="N16" s="176">
        <v>7</v>
      </c>
      <c r="O16" s="176"/>
      <c r="P16" s="176"/>
      <c r="Q16" s="176"/>
      <c r="R16" s="176"/>
      <c r="S16" s="176">
        <v>15</v>
      </c>
      <c r="T16" s="176">
        <v>10</v>
      </c>
      <c r="U16" s="176"/>
      <c r="V16" s="176"/>
      <c r="W16" s="231"/>
      <c r="X16" s="231"/>
      <c r="Y16" s="231"/>
    </row>
    <row r="17" spans="2:25" ht="20.100000000000001" customHeight="1" thickBot="1" x14ac:dyDescent="0.45">
      <c r="B17" s="209"/>
      <c r="C17" s="227"/>
      <c r="D17" s="228"/>
      <c r="E17" s="341"/>
      <c r="F17" s="341"/>
      <c r="G17" s="308"/>
      <c r="H17" s="64"/>
      <c r="I17" s="64"/>
      <c r="J17" s="231"/>
      <c r="K17" s="231"/>
      <c r="L17" s="176">
        <v>15</v>
      </c>
      <c r="M17" s="176">
        <v>15</v>
      </c>
      <c r="N17" s="176">
        <v>7</v>
      </c>
      <c r="O17" s="176"/>
      <c r="P17" s="176"/>
      <c r="Q17" s="176"/>
      <c r="R17" s="176"/>
      <c r="S17" s="176">
        <v>16</v>
      </c>
      <c r="T17" s="176">
        <v>20</v>
      </c>
      <c r="U17" s="176"/>
      <c r="V17" s="176"/>
      <c r="W17" s="231"/>
      <c r="X17" s="231"/>
      <c r="Y17" s="231"/>
    </row>
    <row r="18" spans="2:25" ht="15.75" customHeight="1" thickBot="1" x14ac:dyDescent="0.45">
      <c r="B18" s="26"/>
      <c r="C18" s="188"/>
      <c r="D18" s="65"/>
      <c r="E18" s="219"/>
      <c r="F18" s="219"/>
      <c r="G18" s="307"/>
      <c r="H18" s="217"/>
      <c r="I18" s="217"/>
      <c r="J18" s="233"/>
      <c r="K18" s="231"/>
      <c r="L18" s="176">
        <v>16</v>
      </c>
      <c r="M18" s="176">
        <v>15</v>
      </c>
      <c r="N18" s="176">
        <v>7</v>
      </c>
      <c r="O18" s="176"/>
      <c r="P18" s="176"/>
      <c r="Q18" s="176"/>
      <c r="R18" s="176"/>
      <c r="S18" s="176">
        <v>17</v>
      </c>
      <c r="T18" s="176">
        <v>20</v>
      </c>
      <c r="U18" s="176"/>
      <c r="V18" s="176"/>
      <c r="W18" s="231"/>
      <c r="X18" s="231"/>
      <c r="Y18" s="231"/>
    </row>
    <row r="19" spans="2:25" ht="20.100000000000001" customHeight="1" x14ac:dyDescent="0.4">
      <c r="B19" s="209" t="s">
        <v>749</v>
      </c>
      <c r="C19" s="224" t="s">
        <v>252</v>
      </c>
      <c r="D19" s="225" t="str">
        <f>IF(0.02*E5&gt;0.3,"0,3 mg iv",0.02*E5&amp;" mg iv")</f>
        <v>0,1 mg iv</v>
      </c>
      <c r="E19" s="226" t="str">
        <f>"= "&amp;IF(0.02*E5&gt;1,"10 ml van anexate 0,1 mg/ml",ROUND((0.02*E5)/0.1,1)&amp;" ml van anexate 0,1 mg/ml")</f>
        <v>= 1 ml van anexate 0,1 mg/ml</v>
      </c>
      <c r="F19" s="226"/>
      <c r="G19" s="306" t="s">
        <v>26</v>
      </c>
      <c r="H19" s="217"/>
      <c r="I19" s="217"/>
      <c r="J19" s="233"/>
      <c r="K19" s="231"/>
      <c r="L19" s="176">
        <v>17</v>
      </c>
      <c r="M19" s="176">
        <v>15</v>
      </c>
      <c r="N19" s="176">
        <v>7</v>
      </c>
      <c r="O19" s="176"/>
      <c r="P19" s="176"/>
      <c r="Q19" s="176"/>
      <c r="R19" s="176"/>
      <c r="S19" s="176">
        <v>18</v>
      </c>
      <c r="T19" s="176">
        <v>20</v>
      </c>
      <c r="U19" s="176"/>
      <c r="V19" s="176"/>
      <c r="W19" s="231"/>
      <c r="X19" s="231"/>
      <c r="Y19" s="231"/>
    </row>
    <row r="20" spans="2:25" ht="20.100000000000001" customHeight="1" x14ac:dyDescent="0.4">
      <c r="B20" s="209"/>
      <c r="C20" s="208" t="s">
        <v>853</v>
      </c>
      <c r="D20" s="65" t="str">
        <f>IF(0.01*E5&gt;0.4,"0,4 mg iv",0.01*E5&amp;" mg iv")</f>
        <v>0,05 mg iv</v>
      </c>
      <c r="E20" s="340" t="str">
        <f>"= "&amp;IF(0.01*E5&gt;0.4,"20 ml van naloxon 20 mcg/ml of "&amp;"1 ml van 0,4 mg/ml",ROUND((0.01*E5)/0.02,1)&amp;" ml van naloxon 20 mcg/ml of "&amp;ROUND((0.01*E5)/0.4,1)&amp;" ml van 0,4 mg/ml")</f>
        <v>= 2,5 ml van naloxon 20 mcg/ml of 0,1 ml van 0,4 mg/ml</v>
      </c>
      <c r="F20" s="340"/>
      <c r="G20" s="307" t="s">
        <v>27</v>
      </c>
      <c r="H20" s="64"/>
      <c r="I20" s="64"/>
      <c r="J20" s="231"/>
      <c r="K20" s="231"/>
      <c r="L20" s="176">
        <v>18</v>
      </c>
      <c r="M20" s="176">
        <v>15</v>
      </c>
      <c r="N20" s="176">
        <v>7</v>
      </c>
      <c r="O20" s="176"/>
      <c r="P20" s="176"/>
      <c r="Q20" s="176"/>
      <c r="R20" s="176"/>
      <c r="S20" s="176">
        <v>19</v>
      </c>
      <c r="T20" s="176">
        <v>20</v>
      </c>
      <c r="U20" s="176"/>
      <c r="V20" s="176"/>
      <c r="W20" s="231"/>
      <c r="X20" s="231"/>
      <c r="Y20" s="231"/>
    </row>
    <row r="21" spans="2:25" ht="20.100000000000001" customHeight="1" thickBot="1" x14ac:dyDescent="0.45">
      <c r="B21" s="209"/>
      <c r="C21" s="227"/>
      <c r="D21" s="228"/>
      <c r="E21" s="341"/>
      <c r="F21" s="341"/>
      <c r="G21" s="308"/>
      <c r="H21" s="64"/>
      <c r="I21" s="64"/>
      <c r="J21" s="231"/>
      <c r="K21" s="231"/>
      <c r="L21" s="176"/>
      <c r="M21" s="176"/>
      <c r="N21" s="176"/>
      <c r="O21" s="176"/>
      <c r="P21" s="176"/>
      <c r="Q21" s="176"/>
      <c r="R21" s="176"/>
      <c r="S21" s="176">
        <v>20</v>
      </c>
      <c r="T21" s="176">
        <v>20</v>
      </c>
      <c r="U21" s="176">
        <v>20</v>
      </c>
      <c r="V21" s="176"/>
      <c r="W21" s="231"/>
      <c r="X21" s="231"/>
      <c r="Y21" s="231"/>
    </row>
    <row r="22" spans="2:25" ht="20.100000000000001" customHeight="1" thickBot="1" x14ac:dyDescent="0.45">
      <c r="B22" s="26"/>
      <c r="C22" s="188"/>
      <c r="D22" s="65"/>
      <c r="E22" s="219"/>
      <c r="F22" s="219"/>
      <c r="G22" s="307"/>
      <c r="H22" s="64"/>
      <c r="I22" s="64"/>
      <c r="J22" s="231"/>
      <c r="K22" s="231"/>
      <c r="L22" s="176"/>
      <c r="M22" s="176"/>
      <c r="N22" s="176"/>
      <c r="O22" s="176"/>
      <c r="P22" s="176"/>
      <c r="Q22" s="176"/>
      <c r="R22" s="176"/>
      <c r="S22" s="176">
        <v>21</v>
      </c>
      <c r="T22" s="176">
        <v>30</v>
      </c>
      <c r="U22" s="176"/>
      <c r="V22" s="176"/>
      <c r="W22" s="231"/>
      <c r="X22" s="231"/>
      <c r="Y22" s="231"/>
    </row>
    <row r="23" spans="2:25" ht="20.100000000000001" customHeight="1" x14ac:dyDescent="0.4">
      <c r="B23" s="209" t="s">
        <v>750</v>
      </c>
      <c r="C23" s="224" t="str">
        <f ca="1">IF(C5=0,"alprostadil (Prostin)","")</f>
        <v/>
      </c>
      <c r="D23" s="225" t="str">
        <f ca="1">IF(C5=0,"0,5 mg in 50 ml FZ","")</f>
        <v/>
      </c>
      <c r="E23" s="226" t="str">
        <f ca="1">IF(C5=0,"1 ml/uur = "&amp;ROUND(1000*(0.5/50)*24/(E5)/1.44,0)&amp;" nanog/kg/min iv","")</f>
        <v/>
      </c>
      <c r="F23" s="226"/>
      <c r="G23" s="306" t="s">
        <v>841</v>
      </c>
      <c r="H23" s="64"/>
      <c r="I23" s="64"/>
      <c r="J23" s="231"/>
      <c r="K23" s="231"/>
      <c r="L23" s="176"/>
      <c r="M23" s="176"/>
      <c r="N23" s="176"/>
      <c r="O23" s="176"/>
      <c r="P23" s="176"/>
      <c r="Q23" s="176"/>
      <c r="R23" s="176"/>
      <c r="S23" s="176">
        <v>22</v>
      </c>
      <c r="T23" s="176">
        <v>30</v>
      </c>
      <c r="U23" s="176"/>
      <c r="V23" s="176"/>
      <c r="W23" s="231"/>
      <c r="X23" s="231"/>
      <c r="Y23" s="231"/>
    </row>
    <row r="24" spans="2:25" ht="20.100000000000001" customHeight="1" x14ac:dyDescent="0.4">
      <c r="B24" s="209"/>
      <c r="C24" s="208" t="s">
        <v>293</v>
      </c>
      <c r="D24" s="65" t="str">
        <f>IF(E5&gt;5,"200 mg in 50 ml FZ",ROUND(((E5)*24*60*(10/1000)/(24/50))/50,0)*50&amp;" mg in 50 ml FZ")</f>
        <v>150 mg in 50 ml FZ</v>
      </c>
      <c r="E24" s="64" t="str">
        <f>"1 ml/uur = "&amp;IF(E5&gt;5,ROUND((200/50/E5/60)*1000,1),ROUND(24*ROUND(((E5)*24*60*(10/1000)/(24/50))/50,0)*50/50/1.44/E5,1))&amp;" mcg/kg/min"</f>
        <v>1 ml/uur = 10 mcg/kg/min</v>
      </c>
      <c r="F24" s="64"/>
      <c r="G24" s="307" t="s">
        <v>882</v>
      </c>
      <c r="H24" s="64"/>
      <c r="I24" s="64"/>
      <c r="J24" s="231"/>
      <c r="K24" s="231"/>
      <c r="L24" s="176"/>
      <c r="M24" s="176"/>
      <c r="N24" s="176"/>
      <c r="O24" s="176"/>
      <c r="P24" s="176"/>
      <c r="Q24" s="176"/>
      <c r="R24" s="176"/>
      <c r="S24" s="176">
        <v>23</v>
      </c>
      <c r="T24" s="176">
        <v>30</v>
      </c>
      <c r="U24" s="176"/>
      <c r="V24" s="176"/>
      <c r="W24" s="231"/>
      <c r="X24" s="231"/>
      <c r="Y24" s="231"/>
    </row>
    <row r="25" spans="2:25" ht="20.100000000000001" customHeight="1" thickBot="1" x14ac:dyDescent="0.45">
      <c r="B25" s="209"/>
      <c r="C25" s="227" t="s">
        <v>294</v>
      </c>
      <c r="D25" s="228" t="str">
        <f>IF(Gewicht/15&gt;5,"10 mg in 50 ml FZ",ROUND((E5)*24*60*(0.1/1000)/(24/50)/5,1)*5&amp;" mg in 50 ml FZ")</f>
        <v>1,5 mg in 50 ml FZ</v>
      </c>
      <c r="E25" s="229" t="str">
        <f>"1 ml/uur = "&amp;IF(E5&gt;5,ROUND((10/50/E5/60)*1000,2),ROUND(24*ROUND((E5)*24*60*(0.1/1000)/(24/50)/5,1)*5/50/1.44/E5,2))&amp;" mcg/kg/min"</f>
        <v>1 ml/uur = 0,1 mcg/kg/min</v>
      </c>
      <c r="F25" s="229"/>
      <c r="G25" s="308" t="s">
        <v>1067</v>
      </c>
      <c r="H25" s="64"/>
      <c r="I25" s="64"/>
      <c r="J25" s="231"/>
      <c r="K25" s="231"/>
      <c r="L25" s="176"/>
      <c r="M25" s="176"/>
      <c r="N25" s="176"/>
      <c r="O25" s="176"/>
      <c r="P25" s="176"/>
      <c r="Q25" s="176"/>
      <c r="R25" s="176"/>
      <c r="S25" s="176">
        <v>24</v>
      </c>
      <c r="T25" s="176">
        <v>30</v>
      </c>
      <c r="U25" s="176"/>
      <c r="V25" s="176"/>
      <c r="W25" s="231"/>
      <c r="X25" s="231"/>
      <c r="Y25" s="231"/>
    </row>
    <row r="26" spans="2:25" ht="20.100000000000001" customHeight="1" thickBot="1" x14ac:dyDescent="0.45">
      <c r="B26" s="26"/>
      <c r="C26" s="64"/>
      <c r="D26" s="65"/>
      <c r="E26" s="64"/>
      <c r="F26" s="64"/>
      <c r="G26" s="307"/>
      <c r="H26" s="64"/>
      <c r="I26" s="64"/>
      <c r="J26" s="231"/>
      <c r="K26" s="231"/>
      <c r="L26" s="176"/>
      <c r="M26" s="176"/>
      <c r="N26" s="176"/>
      <c r="O26" s="176"/>
      <c r="P26" s="176"/>
      <c r="Q26" s="176"/>
      <c r="R26" s="176"/>
      <c r="S26" s="176">
        <v>25</v>
      </c>
      <c r="T26" s="176">
        <v>30</v>
      </c>
      <c r="U26" s="176"/>
      <c r="V26" s="176"/>
      <c r="W26" s="231"/>
      <c r="X26" s="231"/>
      <c r="Y26" s="231"/>
    </row>
    <row r="27" spans="2:25" ht="20.100000000000001" customHeight="1" x14ac:dyDescent="0.4">
      <c r="B27" s="338" t="s">
        <v>751</v>
      </c>
      <c r="C27" s="224" t="s">
        <v>1159</v>
      </c>
      <c r="D27" s="225" t="str">
        <f>IF(ROUND(E5/2,0)*2&gt;50,"300 mg iv",ROUND(E5*5,0)&amp;" mg iv")</f>
        <v>25 mg iv</v>
      </c>
      <c r="E27" s="226" t="str">
        <f>IF(ROUND(E5/2,0)*2&gt;50,"6 ml van amiodarone 50 mg/ml iv",ROUND(E5*0.1,1)&amp;" ml van amiodarone 50 mg/ml iv")</f>
        <v>0,5 ml van amiodarone 50 mg/ml iv</v>
      </c>
      <c r="F27" s="226"/>
      <c r="G27" s="306" t="s">
        <v>28</v>
      </c>
      <c r="H27" s="64"/>
      <c r="I27" s="64"/>
      <c r="J27" s="231"/>
      <c r="K27" s="231"/>
      <c r="L27" s="176"/>
      <c r="M27" s="176"/>
      <c r="N27" s="176"/>
      <c r="O27" s="176"/>
      <c r="P27" s="176"/>
      <c r="Q27" s="176"/>
      <c r="R27" s="176"/>
      <c r="S27" s="176">
        <v>26</v>
      </c>
      <c r="T27" s="176">
        <v>30</v>
      </c>
      <c r="U27" s="176"/>
      <c r="V27" s="176"/>
      <c r="W27" s="231"/>
      <c r="X27" s="231"/>
      <c r="Y27" s="231"/>
    </row>
    <row r="28" spans="2:25" ht="20.100000000000001" customHeight="1" thickBot="1" x14ac:dyDescent="0.45">
      <c r="B28" s="339"/>
      <c r="C28" s="227" t="s">
        <v>835</v>
      </c>
      <c r="D28" s="228" t="str">
        <f>IF(E5/10&gt;10,"10 ml iv",E5/10 &amp;" ml iv")</f>
        <v>0,5 ml iv</v>
      </c>
      <c r="E28" s="229" t="s">
        <v>603</v>
      </c>
      <c r="F28" s="229"/>
      <c r="G28" s="308" t="s">
        <v>29</v>
      </c>
      <c r="H28" s="64"/>
      <c r="I28" s="64"/>
      <c r="J28" s="231"/>
      <c r="K28" s="231"/>
      <c r="L28" s="176"/>
      <c r="M28" s="176"/>
      <c r="N28" s="176"/>
      <c r="O28" s="176"/>
      <c r="P28" s="176"/>
      <c r="Q28" s="176"/>
      <c r="R28" s="176"/>
      <c r="S28" s="176">
        <v>27</v>
      </c>
      <c r="T28" s="176">
        <v>30</v>
      </c>
      <c r="U28" s="176"/>
      <c r="V28" s="176"/>
      <c r="W28" s="231"/>
      <c r="X28" s="231"/>
      <c r="Y28" s="231"/>
    </row>
    <row r="29" spans="2:25" ht="20.100000000000001" customHeight="1" thickBot="1" x14ac:dyDescent="0.45">
      <c r="B29" s="26"/>
      <c r="C29" s="64"/>
      <c r="D29" s="65"/>
      <c r="E29" s="64"/>
      <c r="F29" s="64"/>
      <c r="G29" s="307"/>
      <c r="H29" s="64"/>
      <c r="I29" s="64"/>
      <c r="J29" s="231"/>
      <c r="K29" s="231"/>
      <c r="L29" s="176"/>
      <c r="M29" s="176"/>
      <c r="N29" s="176"/>
      <c r="O29" s="176"/>
      <c r="P29" s="176"/>
      <c r="Q29" s="176"/>
      <c r="R29" s="176"/>
      <c r="S29" s="176">
        <v>28</v>
      </c>
      <c r="T29" s="176">
        <v>30</v>
      </c>
      <c r="U29" s="176"/>
      <c r="V29" s="176"/>
      <c r="W29" s="231"/>
      <c r="X29" s="231"/>
      <c r="Y29" s="231"/>
    </row>
    <row r="30" spans="2:25" ht="20.100000000000001" customHeight="1" x14ac:dyDescent="0.4">
      <c r="B30" s="337" t="s">
        <v>246</v>
      </c>
      <c r="C30" s="224" t="s">
        <v>295</v>
      </c>
      <c r="D30" s="225" t="str">
        <f>IF((0.5*E5)&gt;10,"10 mg rect",(0.5*E5)&amp;" mg rect")</f>
        <v>2,5 mg rect</v>
      </c>
      <c r="E30" s="226" t="str">
        <f>"= "&amp;IF((0.5*E5)&gt;10,"5 ml van diazepam 2 mg/ml",ROUND((0.5*E5)/2,1)&amp;" ml van diazepam 2 mg/ml")</f>
        <v>= 1,3 ml van diazepam 2 mg/ml</v>
      </c>
      <c r="F30" s="226"/>
      <c r="G30" s="306" t="s">
        <v>30</v>
      </c>
      <c r="H30" s="64"/>
      <c r="I30" s="64"/>
      <c r="J30" s="231"/>
      <c r="K30" s="231"/>
      <c r="L30" s="176"/>
      <c r="M30" s="176"/>
      <c r="N30" s="176"/>
      <c r="O30" s="176"/>
      <c r="P30" s="176"/>
      <c r="Q30" s="176"/>
      <c r="R30" s="176"/>
      <c r="S30" s="176">
        <v>29</v>
      </c>
      <c r="T30" s="176">
        <v>30</v>
      </c>
      <c r="U30" s="176"/>
      <c r="V30" s="176"/>
      <c r="W30" s="231"/>
      <c r="X30" s="231"/>
      <c r="Y30" s="231"/>
    </row>
    <row r="31" spans="2:25" ht="20.100000000000001" customHeight="1" x14ac:dyDescent="0.4">
      <c r="B31" s="337"/>
      <c r="C31" s="208" t="s">
        <v>755</v>
      </c>
      <c r="D31" s="65" t="str">
        <f>IF((20*E5)&gt;1500,"1500 mg iv",20*E5&amp;" mg iv")</f>
        <v>100 mg iv</v>
      </c>
      <c r="E31" s="340" t="str">
        <f>"= "&amp;IF((20*E5)&gt;750,"15 ml van fenytoine 50 mg/ml in 20 ml FZ langzaam iv",ROUND((15*E5)/50,1)&amp;" ml van fenytoine 50 mg/ml in 20 ml FZ langzaam iv")</f>
        <v>= 1,5 ml van fenytoine 50 mg/ml in 20 ml FZ langzaam iv</v>
      </c>
      <c r="F31" s="340"/>
      <c r="G31" s="309" t="s">
        <v>76</v>
      </c>
      <c r="H31" s="64"/>
      <c r="I31" s="64"/>
      <c r="J31" s="231"/>
      <c r="L31" s="176"/>
      <c r="M31" s="176"/>
      <c r="N31" s="176"/>
      <c r="O31" s="176"/>
      <c r="P31" s="176"/>
      <c r="Q31" s="176"/>
      <c r="R31" s="176"/>
      <c r="S31" s="176">
        <v>30</v>
      </c>
      <c r="T31" s="176">
        <v>30</v>
      </c>
      <c r="U31" s="176">
        <v>30</v>
      </c>
      <c r="V31" s="176"/>
      <c r="W31" s="231"/>
      <c r="X31" s="231"/>
      <c r="Y31" s="231"/>
    </row>
    <row r="32" spans="2:25" ht="20.100000000000001" customHeight="1" x14ac:dyDescent="0.4">
      <c r="B32" s="209"/>
      <c r="C32" s="208"/>
      <c r="D32" s="65"/>
      <c r="E32" s="340"/>
      <c r="F32" s="340"/>
      <c r="G32" s="307"/>
      <c r="H32" s="64"/>
      <c r="I32" s="64"/>
      <c r="L32" s="176"/>
      <c r="M32" s="176"/>
      <c r="N32" s="176"/>
      <c r="O32" s="176"/>
      <c r="P32" s="176"/>
      <c r="Q32" s="176"/>
      <c r="R32" s="176"/>
      <c r="S32" s="176">
        <v>31</v>
      </c>
      <c r="T32" s="176">
        <v>50</v>
      </c>
      <c r="U32" s="176"/>
      <c r="V32" s="176"/>
      <c r="W32" s="231"/>
      <c r="X32" s="231"/>
      <c r="Y32" s="231"/>
    </row>
    <row r="33" spans="2:25" ht="12.75" customHeight="1" thickBot="1" x14ac:dyDescent="0.45">
      <c r="B33" s="209"/>
      <c r="C33" s="227" t="s">
        <v>944</v>
      </c>
      <c r="D33" s="228" t="str">
        <f>IF((0.1*E5)&gt;10,"10 mg iv",0.1*E5&amp;" mg iv")</f>
        <v>0,5 mg iv</v>
      </c>
      <c r="E33" s="229" t="str">
        <f>"= "&amp;IF((0.1*E5)&gt;15,10,ROUND((0.1*E5),1))&amp;" ml van dormicum 1 mg/ml iv"</f>
        <v>= 0,5 ml van dormicum 1 mg/ml iv</v>
      </c>
      <c r="F33" s="229"/>
      <c r="G33" s="310" t="s">
        <v>31</v>
      </c>
      <c r="H33" s="64"/>
      <c r="I33" s="64"/>
      <c r="L33" s="176"/>
      <c r="M33" s="176"/>
      <c r="N33" s="176"/>
      <c r="O33" s="176"/>
      <c r="P33" s="176"/>
      <c r="Q33" s="176"/>
      <c r="R33" s="176"/>
      <c r="S33" s="176">
        <v>32</v>
      </c>
      <c r="T33" s="176">
        <v>50</v>
      </c>
      <c r="U33" s="176"/>
      <c r="V33" s="176"/>
      <c r="W33" s="231"/>
      <c r="X33" s="231"/>
      <c r="Y33" s="231"/>
    </row>
    <row r="34" spans="2:25" ht="13.5" customHeight="1" thickBot="1" x14ac:dyDescent="0.45">
      <c r="B34" s="26"/>
      <c r="C34" s="64"/>
      <c r="D34" s="65"/>
      <c r="E34" s="64"/>
      <c r="F34" s="64"/>
      <c r="G34" s="311"/>
      <c r="H34" s="64"/>
      <c r="I34" s="64"/>
      <c r="L34" s="176"/>
      <c r="M34" s="176"/>
      <c r="N34" s="176"/>
      <c r="O34" s="176"/>
      <c r="P34" s="176"/>
      <c r="Q34" s="176"/>
      <c r="R34" s="176"/>
      <c r="S34" s="176">
        <v>33</v>
      </c>
      <c r="T34" s="176">
        <v>50</v>
      </c>
      <c r="U34" s="176"/>
      <c r="V34" s="176"/>
      <c r="W34" s="231"/>
      <c r="X34" s="231"/>
      <c r="Y34" s="231"/>
    </row>
    <row r="35" spans="2:25" ht="19.55" customHeight="1" x14ac:dyDescent="0.4">
      <c r="B35" s="209" t="s">
        <v>247</v>
      </c>
      <c r="C35" s="224" t="s">
        <v>1111</v>
      </c>
      <c r="D35" s="225" t="str">
        <f>IF(1*(E5&gt;25),"25 mg iv",1*(E5)&amp;" mg iv")</f>
        <v>5 mg iv</v>
      </c>
      <c r="E35" s="226"/>
      <c r="F35" s="226"/>
      <c r="G35" s="306" t="s">
        <v>32</v>
      </c>
      <c r="H35" s="64"/>
      <c r="I35" s="64"/>
      <c r="L35" s="176"/>
      <c r="M35" s="176"/>
      <c r="N35" s="176"/>
      <c r="O35" s="176"/>
      <c r="P35" s="176"/>
      <c r="Q35" s="176"/>
      <c r="R35" s="176"/>
      <c r="S35" s="176">
        <v>34</v>
      </c>
      <c r="T35" s="176">
        <v>50</v>
      </c>
      <c r="U35" s="176"/>
      <c r="V35" s="176"/>
      <c r="W35" s="231"/>
      <c r="X35" s="231"/>
      <c r="Y35" s="231"/>
    </row>
    <row r="36" spans="2:25" ht="19.55" customHeight="1" thickBot="1" x14ac:dyDescent="0.45">
      <c r="B36" s="209"/>
      <c r="C36" s="227" t="s">
        <v>296</v>
      </c>
      <c r="D36" s="228" t="str">
        <f>IF(ROUND((0.5*E5),1)&gt;50,"50 gram iv",ROUND((0.5*E5),1)&amp;" gram iv")</f>
        <v>2,5 gram iv</v>
      </c>
      <c r="E36" s="229" t="str">
        <f>"= "&amp;IF(ROUND((0.5*E5),1)&gt;50,ROUND(50/0.15,0),ROUND((0.5*E5)/0.15,0))&amp;" ml van mannitol 15% in 30 min iv"</f>
        <v>= 17 ml van mannitol 15% in 30 min iv</v>
      </c>
      <c r="F36" s="229"/>
      <c r="G36" s="308" t="s">
        <v>33</v>
      </c>
      <c r="H36" s="64"/>
      <c r="I36" s="64"/>
      <c r="L36" s="176"/>
      <c r="M36" s="176"/>
      <c r="N36" s="176"/>
      <c r="O36" s="176"/>
      <c r="P36" s="176"/>
      <c r="Q36" s="176"/>
      <c r="R36" s="176"/>
      <c r="S36" s="176">
        <v>35</v>
      </c>
      <c r="T36" s="176">
        <v>50</v>
      </c>
      <c r="U36" s="176"/>
      <c r="V36" s="176"/>
      <c r="W36" s="231"/>
      <c r="X36" s="231"/>
      <c r="Y36" s="231"/>
    </row>
    <row r="37" spans="2:25" ht="25.55" customHeight="1" thickBot="1" x14ac:dyDescent="0.45">
      <c r="B37" s="26"/>
      <c r="C37" s="64"/>
      <c r="D37" s="65"/>
      <c r="E37" s="64"/>
      <c r="F37" s="64"/>
      <c r="G37" s="312"/>
      <c r="H37" s="64"/>
      <c r="I37" s="64"/>
      <c r="L37" s="176"/>
      <c r="M37" s="176"/>
      <c r="N37" s="176"/>
      <c r="O37" s="176"/>
      <c r="P37" s="176"/>
      <c r="Q37" s="176"/>
      <c r="R37" s="176"/>
      <c r="S37" s="176">
        <v>36</v>
      </c>
      <c r="T37" s="176">
        <v>50</v>
      </c>
      <c r="U37" s="176"/>
      <c r="V37" s="176"/>
      <c r="W37" s="231"/>
      <c r="X37" s="231"/>
      <c r="Y37" s="231"/>
    </row>
    <row r="38" spans="2:25" ht="19.55" customHeight="1" x14ac:dyDescent="0.4">
      <c r="B38" s="209" t="s">
        <v>297</v>
      </c>
      <c r="C38" s="305" t="s">
        <v>810</v>
      </c>
      <c r="D38" s="225" t="str">
        <f ca="1">"AMV "&amp;ROUND(E5*8*VLOOKUP(C5,L2:M20,2)/1000,1)&amp;" L/min"</f>
        <v>AMV 1,2 L/min</v>
      </c>
      <c r="E38" s="226"/>
      <c r="F38" s="225" t="s">
        <v>298</v>
      </c>
      <c r="G38" s="226"/>
      <c r="H38" s="64"/>
      <c r="I38" s="64"/>
      <c r="L38" s="176"/>
      <c r="M38" s="176"/>
      <c r="N38" s="176"/>
      <c r="O38" s="176"/>
      <c r="P38" s="176"/>
      <c r="Q38" s="176"/>
      <c r="R38" s="176"/>
      <c r="S38" s="176"/>
      <c r="T38" s="176"/>
      <c r="U38" s="176"/>
      <c r="V38" s="176"/>
      <c r="W38" s="231"/>
      <c r="X38" s="231"/>
      <c r="Y38" s="231"/>
    </row>
    <row r="39" spans="2:25" ht="19.55" customHeight="1" x14ac:dyDescent="0.4">
      <c r="B39" s="209"/>
      <c r="C39" s="67"/>
      <c r="D39" s="65" t="str">
        <f ca="1">"frequentie "&amp;VLOOKUP(C5,L2:M20,2)&amp;"/min"</f>
        <v>frequentie 30/min</v>
      </c>
      <c r="E39" s="64"/>
      <c r="F39" s="65" t="s">
        <v>299</v>
      </c>
      <c r="G39" s="64"/>
      <c r="H39" s="64"/>
      <c r="I39" s="64"/>
      <c r="L39" s="176"/>
      <c r="M39" s="176"/>
      <c r="N39" s="176"/>
      <c r="O39" s="176"/>
      <c r="P39" s="176"/>
      <c r="Q39" s="176"/>
      <c r="R39" s="176"/>
      <c r="S39" s="176">
        <v>37</v>
      </c>
      <c r="T39" s="176">
        <v>50</v>
      </c>
      <c r="U39" s="176"/>
      <c r="V39" s="176"/>
      <c r="W39" s="231"/>
      <c r="X39" s="231"/>
      <c r="Y39" s="231"/>
    </row>
    <row r="40" spans="2:25" ht="19.55" customHeight="1" x14ac:dyDescent="0.4">
      <c r="B40" s="209"/>
      <c r="C40" s="67"/>
      <c r="D40" s="65" t="s">
        <v>1160</v>
      </c>
      <c r="E40" s="64"/>
      <c r="F40" s="65" t="s">
        <v>1140</v>
      </c>
      <c r="G40" s="64"/>
      <c r="H40" s="64"/>
      <c r="I40" s="64"/>
      <c r="L40" s="176"/>
      <c r="M40" s="176"/>
      <c r="N40" s="176"/>
      <c r="O40" s="176"/>
      <c r="P40" s="176"/>
      <c r="Q40" s="176"/>
      <c r="R40" s="176"/>
      <c r="S40" s="176">
        <v>38</v>
      </c>
      <c r="T40" s="176">
        <v>50</v>
      </c>
      <c r="U40" s="176"/>
      <c r="V40" s="176"/>
      <c r="W40" s="231"/>
      <c r="X40" s="231"/>
      <c r="Y40" s="231"/>
    </row>
    <row r="41" spans="2:25" ht="19.55" customHeight="1" x14ac:dyDescent="0.4">
      <c r="B41" s="209"/>
      <c r="C41" s="67"/>
      <c r="D41" s="65" t="s">
        <v>1141</v>
      </c>
      <c r="E41" s="64"/>
      <c r="F41" s="65"/>
      <c r="G41" s="64"/>
      <c r="H41" s="64"/>
      <c r="I41" s="64"/>
      <c r="L41" s="176"/>
      <c r="M41" s="176"/>
      <c r="N41" s="176"/>
      <c r="O41" s="176"/>
      <c r="P41" s="176"/>
      <c r="Q41" s="176"/>
      <c r="R41" s="176"/>
      <c r="S41" s="176">
        <v>39</v>
      </c>
      <c r="T41" s="176">
        <v>50</v>
      </c>
      <c r="U41" s="176"/>
      <c r="V41" s="176"/>
      <c r="W41" s="231"/>
      <c r="X41" s="231"/>
      <c r="Y41" s="231"/>
    </row>
    <row r="42" spans="2:25" ht="19.55" customHeight="1" thickBot="1" x14ac:dyDescent="0.45">
      <c r="B42" s="209"/>
      <c r="C42" s="230"/>
      <c r="D42" s="228"/>
      <c r="E42" s="229"/>
      <c r="F42" s="228"/>
      <c r="G42" s="229"/>
      <c r="H42" s="64"/>
      <c r="I42" s="64"/>
      <c r="L42" s="176"/>
      <c r="M42" s="176"/>
      <c r="N42" s="176"/>
      <c r="O42" s="176"/>
      <c r="P42" s="176"/>
      <c r="Q42" s="176"/>
      <c r="R42" s="176"/>
      <c r="S42" s="176">
        <v>40</v>
      </c>
      <c r="T42" s="176">
        <v>50</v>
      </c>
      <c r="U42" s="176"/>
      <c r="V42" s="176"/>
      <c r="W42" s="231"/>
      <c r="X42" s="231"/>
      <c r="Y42" s="231"/>
    </row>
    <row r="43" spans="2:25" ht="19.55" customHeight="1" x14ac:dyDescent="0.35">
      <c r="B43" s="25"/>
      <c r="C43" s="64"/>
      <c r="D43" s="64"/>
      <c r="E43" s="64"/>
      <c r="F43" s="64"/>
      <c r="G43" s="64"/>
      <c r="H43" s="64"/>
      <c r="I43" s="64"/>
      <c r="L43" s="176"/>
      <c r="M43" s="176"/>
      <c r="N43" s="176"/>
      <c r="O43" s="176"/>
      <c r="P43" s="176"/>
      <c r="Q43" s="176"/>
      <c r="R43" s="176"/>
      <c r="S43" s="176">
        <v>41</v>
      </c>
      <c r="T43" s="176">
        <v>50</v>
      </c>
      <c r="U43" s="176"/>
      <c r="V43" s="176"/>
      <c r="W43" s="231"/>
      <c r="X43" s="231"/>
      <c r="Y43" s="231"/>
    </row>
    <row r="44" spans="2:25" ht="19.55" customHeight="1" x14ac:dyDescent="0.35">
      <c r="B44" s="185" t="s">
        <v>238</v>
      </c>
      <c r="C44" s="66"/>
      <c r="D44" s="64"/>
      <c r="E44" s="64"/>
      <c r="F44" s="64"/>
      <c r="G44" s="64"/>
      <c r="H44" s="64"/>
      <c r="I44" s="64"/>
      <c r="L44" s="176"/>
      <c r="M44" s="176"/>
      <c r="N44" s="176"/>
      <c r="O44" s="176"/>
      <c r="P44" s="176"/>
      <c r="Q44" s="176"/>
      <c r="R44" s="176"/>
      <c r="S44" s="176">
        <v>42</v>
      </c>
      <c r="T44" s="176">
        <v>50</v>
      </c>
      <c r="U44" s="176"/>
      <c r="V44" s="176"/>
      <c r="W44" s="231"/>
      <c r="X44" s="231"/>
      <c r="Y44" s="231"/>
    </row>
    <row r="45" spans="2:25" ht="19.55" customHeight="1" x14ac:dyDescent="0.35">
      <c r="B45" s="81"/>
      <c r="C45" s="64"/>
      <c r="D45" s="64"/>
      <c r="E45" s="64"/>
      <c r="F45" s="64"/>
      <c r="G45" s="64"/>
      <c r="H45" s="64"/>
      <c r="I45" s="64"/>
      <c r="L45" s="176"/>
      <c r="M45" s="176"/>
      <c r="N45" s="176"/>
      <c r="O45" s="176"/>
      <c r="P45" s="176"/>
      <c r="Q45" s="176"/>
      <c r="R45" s="176"/>
      <c r="S45" s="176">
        <v>43</v>
      </c>
      <c r="T45" s="176">
        <v>50</v>
      </c>
      <c r="U45" s="176"/>
      <c r="V45" s="176"/>
      <c r="W45" s="231"/>
      <c r="X45" s="231"/>
      <c r="Y45" s="231"/>
    </row>
    <row r="46" spans="2:25" ht="19.55" customHeight="1" x14ac:dyDescent="0.35">
      <c r="B46" s="81"/>
      <c r="C46" s="64"/>
      <c r="D46" s="64"/>
      <c r="E46" s="64"/>
      <c r="F46" s="64"/>
      <c r="G46" s="64"/>
      <c r="H46" s="64"/>
      <c r="I46" s="64"/>
      <c r="L46" s="176"/>
      <c r="M46" s="176"/>
      <c r="N46" s="176"/>
      <c r="O46" s="176"/>
      <c r="P46" s="176"/>
      <c r="Q46" s="176"/>
      <c r="R46" s="176"/>
      <c r="S46" s="176">
        <v>44</v>
      </c>
      <c r="T46" s="176">
        <v>50</v>
      </c>
      <c r="U46" s="176"/>
      <c r="V46" s="176"/>
      <c r="W46" s="231"/>
      <c r="X46" s="231"/>
      <c r="Y46" s="231"/>
    </row>
    <row r="47" spans="2:25" x14ac:dyDescent="0.35">
      <c r="B47" s="81"/>
      <c r="C47" s="64"/>
      <c r="D47" s="64"/>
      <c r="E47" s="64"/>
      <c r="F47" s="64"/>
      <c r="G47" s="64"/>
      <c r="H47" s="64"/>
      <c r="I47" s="64"/>
      <c r="L47" s="176"/>
      <c r="M47" s="176"/>
      <c r="N47" s="176"/>
      <c r="O47" s="176"/>
      <c r="P47" s="176"/>
      <c r="Q47" s="176"/>
      <c r="R47" s="176"/>
      <c r="S47" s="176">
        <v>45</v>
      </c>
      <c r="T47" s="176">
        <v>50</v>
      </c>
      <c r="U47" s="176"/>
      <c r="V47" s="176"/>
      <c r="W47" s="231"/>
      <c r="X47" s="231"/>
      <c r="Y47" s="231"/>
    </row>
    <row r="48" spans="2:25" x14ac:dyDescent="0.35">
      <c r="B48" s="81"/>
      <c r="C48" s="64"/>
      <c r="D48" s="64"/>
      <c r="E48" s="64"/>
      <c r="F48" s="64"/>
      <c r="G48" s="64"/>
      <c r="H48" s="64"/>
      <c r="I48" s="64"/>
      <c r="L48" s="176"/>
      <c r="M48" s="176"/>
      <c r="N48" s="176"/>
      <c r="O48" s="176"/>
      <c r="P48" s="176"/>
      <c r="Q48" s="176"/>
      <c r="R48" s="176"/>
      <c r="S48" s="176">
        <v>46</v>
      </c>
      <c r="T48" s="176">
        <v>50</v>
      </c>
      <c r="U48" s="176"/>
      <c r="V48" s="176"/>
      <c r="W48" s="231"/>
      <c r="X48" s="231"/>
      <c r="Y48" s="231"/>
    </row>
    <row r="49" spans="2:25" x14ac:dyDescent="0.35">
      <c r="B49" s="81"/>
      <c r="C49" s="64"/>
      <c r="D49" s="64"/>
      <c r="E49" s="64"/>
      <c r="F49" s="64"/>
      <c r="G49" s="64"/>
      <c r="H49" s="64"/>
      <c r="I49" s="64"/>
      <c r="L49" s="176"/>
      <c r="M49" s="176"/>
      <c r="N49" s="176"/>
      <c r="O49" s="176"/>
      <c r="P49" s="176"/>
      <c r="Q49" s="176"/>
      <c r="R49" s="176"/>
      <c r="S49" s="176">
        <v>47</v>
      </c>
      <c r="T49" s="176">
        <v>50</v>
      </c>
      <c r="U49" s="176"/>
      <c r="V49" s="176"/>
      <c r="W49" s="231"/>
      <c r="X49" s="231"/>
      <c r="Y49" s="231"/>
    </row>
    <row r="50" spans="2:25" x14ac:dyDescent="0.35">
      <c r="B50" s="81"/>
      <c r="C50" s="64"/>
      <c r="D50" s="64"/>
      <c r="E50" s="64"/>
      <c r="F50" s="64"/>
      <c r="G50" s="64"/>
      <c r="H50" s="64"/>
      <c r="I50" s="64"/>
      <c r="L50" s="176"/>
      <c r="M50" s="176"/>
      <c r="N50" s="176"/>
      <c r="O50" s="176"/>
      <c r="P50" s="176"/>
      <c r="Q50" s="176"/>
      <c r="R50" s="176"/>
      <c r="S50" s="176">
        <v>48</v>
      </c>
      <c r="T50" s="176">
        <v>50</v>
      </c>
      <c r="U50" s="176"/>
      <c r="V50" s="176"/>
      <c r="W50" s="231"/>
      <c r="X50" s="231"/>
      <c r="Y50" s="231"/>
    </row>
    <row r="51" spans="2:25" x14ac:dyDescent="0.35">
      <c r="B51" s="81"/>
      <c r="C51" s="64"/>
      <c r="D51" s="64"/>
      <c r="E51" s="64"/>
      <c r="F51" s="64"/>
      <c r="G51" s="64"/>
      <c r="H51" s="64"/>
      <c r="I51" s="64"/>
      <c r="L51" s="176"/>
      <c r="M51" s="176"/>
      <c r="N51" s="176"/>
      <c r="O51" s="176"/>
      <c r="P51" s="176"/>
      <c r="Q51" s="176"/>
      <c r="R51" s="176"/>
      <c r="S51" s="176">
        <v>49</v>
      </c>
      <c r="T51" s="176">
        <v>50</v>
      </c>
      <c r="U51" s="176"/>
      <c r="V51" s="176"/>
      <c r="W51" s="231"/>
      <c r="X51" s="231"/>
      <c r="Y51" s="231"/>
    </row>
    <row r="52" spans="2:25" x14ac:dyDescent="0.35">
      <c r="B52" s="81"/>
      <c r="C52" s="64"/>
      <c r="D52" s="64"/>
      <c r="E52" s="64"/>
      <c r="F52" s="64"/>
      <c r="G52" s="64"/>
      <c r="H52" s="64"/>
      <c r="I52" s="64"/>
      <c r="L52" s="176"/>
      <c r="M52" s="176"/>
      <c r="N52" s="176"/>
      <c r="O52" s="176"/>
      <c r="P52" s="176"/>
      <c r="Q52" s="176"/>
      <c r="R52" s="176"/>
      <c r="S52" s="176">
        <v>50</v>
      </c>
      <c r="T52" s="176">
        <v>50</v>
      </c>
      <c r="U52" s="176">
        <v>50</v>
      </c>
      <c r="V52" s="176"/>
      <c r="W52" s="231"/>
      <c r="X52" s="231"/>
      <c r="Y52" s="231"/>
    </row>
    <row r="53" spans="2:25" x14ac:dyDescent="0.35">
      <c r="B53" s="81"/>
      <c r="C53" s="64"/>
      <c r="D53" s="64"/>
      <c r="E53" s="64"/>
      <c r="F53" s="64"/>
      <c r="G53" s="64"/>
      <c r="H53" s="64"/>
      <c r="I53" s="64"/>
      <c r="L53" s="176"/>
      <c r="M53" s="176"/>
      <c r="N53" s="176"/>
      <c r="O53" s="176"/>
      <c r="P53" s="176"/>
      <c r="Q53" s="176"/>
      <c r="R53" s="176"/>
      <c r="S53" s="176">
        <v>51</v>
      </c>
      <c r="T53" s="176">
        <v>70</v>
      </c>
      <c r="U53" s="176"/>
      <c r="V53" s="176"/>
      <c r="W53" s="231"/>
      <c r="X53" s="231"/>
      <c r="Y53" s="231"/>
    </row>
    <row r="54" spans="2:25" x14ac:dyDescent="0.35">
      <c r="B54" s="81"/>
      <c r="C54" s="64"/>
      <c r="D54" s="64"/>
      <c r="E54" s="64"/>
      <c r="F54" s="64"/>
      <c r="G54" s="64"/>
      <c r="H54" s="64"/>
      <c r="I54" s="64"/>
      <c r="L54" s="176"/>
      <c r="M54" s="176"/>
      <c r="N54" s="176"/>
      <c r="O54" s="176"/>
      <c r="P54" s="176"/>
      <c r="Q54" s="176"/>
      <c r="R54" s="176"/>
      <c r="S54" s="176">
        <v>52</v>
      </c>
      <c r="T54" s="176">
        <v>70</v>
      </c>
      <c r="U54" s="176"/>
      <c r="V54" s="176"/>
      <c r="W54" s="231"/>
      <c r="X54" s="231"/>
      <c r="Y54" s="231"/>
    </row>
    <row r="55" spans="2:25" x14ac:dyDescent="0.35">
      <c r="B55" s="81"/>
      <c r="C55" s="64"/>
      <c r="D55" s="64"/>
      <c r="E55" s="64"/>
      <c r="F55" s="64"/>
      <c r="G55" s="64"/>
      <c r="H55" s="64"/>
      <c r="I55" s="64"/>
      <c r="L55" s="176"/>
      <c r="M55" s="176"/>
      <c r="N55" s="176"/>
      <c r="O55" s="176"/>
      <c r="P55" s="176"/>
      <c r="Q55" s="176"/>
      <c r="R55" s="176"/>
      <c r="S55" s="176">
        <v>53</v>
      </c>
      <c r="T55" s="176">
        <v>70</v>
      </c>
      <c r="U55" s="176"/>
      <c r="V55" s="176"/>
      <c r="W55" s="231"/>
      <c r="X55" s="231"/>
      <c r="Y55" s="231"/>
    </row>
    <row r="56" spans="2:25" x14ac:dyDescent="0.35">
      <c r="B56" s="81"/>
      <c r="C56" s="64"/>
      <c r="D56" s="64"/>
      <c r="E56" s="64"/>
      <c r="F56" s="64"/>
      <c r="G56" s="64"/>
      <c r="H56" s="64"/>
      <c r="I56" s="64"/>
      <c r="L56" s="176"/>
      <c r="M56" s="176"/>
      <c r="N56" s="176"/>
      <c r="O56" s="176"/>
      <c r="P56" s="176"/>
      <c r="Q56" s="176"/>
      <c r="R56" s="176"/>
      <c r="S56" s="176">
        <v>54</v>
      </c>
      <c r="T56" s="176">
        <v>70</v>
      </c>
      <c r="U56" s="176"/>
      <c r="V56" s="176"/>
      <c r="W56" s="231"/>
      <c r="X56" s="231"/>
      <c r="Y56" s="231"/>
    </row>
    <row r="57" spans="2:25" x14ac:dyDescent="0.35">
      <c r="B57" s="81"/>
      <c r="C57" s="64"/>
      <c r="D57" s="64"/>
      <c r="E57" s="64"/>
      <c r="F57" s="64"/>
      <c r="G57" s="64"/>
      <c r="H57" s="64"/>
      <c r="I57" s="64"/>
      <c r="L57" s="176"/>
      <c r="M57" s="176"/>
      <c r="N57" s="176"/>
      <c r="O57" s="176"/>
      <c r="P57" s="176"/>
      <c r="Q57" s="176"/>
      <c r="R57" s="176"/>
      <c r="S57" s="176">
        <v>55</v>
      </c>
      <c r="T57" s="176">
        <v>70</v>
      </c>
      <c r="U57" s="176"/>
      <c r="V57" s="176"/>
      <c r="W57" s="231"/>
      <c r="X57" s="231"/>
      <c r="Y57" s="231"/>
    </row>
    <row r="58" spans="2:25" x14ac:dyDescent="0.35">
      <c r="B58" s="81"/>
      <c r="C58" s="64"/>
      <c r="D58" s="64"/>
      <c r="E58" s="64"/>
      <c r="F58" s="64"/>
      <c r="G58" s="64"/>
      <c r="H58" s="64"/>
      <c r="I58" s="64"/>
      <c r="L58" s="176"/>
      <c r="M58" s="176"/>
      <c r="N58" s="176"/>
      <c r="O58" s="176"/>
      <c r="P58" s="176"/>
      <c r="Q58" s="176"/>
      <c r="R58" s="176"/>
      <c r="S58" s="176">
        <v>56</v>
      </c>
      <c r="T58" s="176">
        <v>70</v>
      </c>
      <c r="U58" s="176"/>
      <c r="V58" s="176"/>
      <c r="W58" s="231"/>
      <c r="X58" s="231"/>
      <c r="Y58" s="231"/>
    </row>
    <row r="59" spans="2:25" x14ac:dyDescent="0.35">
      <c r="B59" s="81"/>
      <c r="C59" s="64"/>
      <c r="D59" s="64"/>
      <c r="E59" s="64"/>
      <c r="F59" s="64"/>
      <c r="G59" s="64"/>
      <c r="H59" s="64"/>
      <c r="I59" s="64"/>
      <c r="L59" s="176"/>
      <c r="M59" s="176"/>
      <c r="N59" s="176"/>
      <c r="O59" s="176"/>
      <c r="P59" s="176"/>
      <c r="Q59" s="176"/>
      <c r="R59" s="176"/>
      <c r="S59" s="176">
        <v>57</v>
      </c>
      <c r="T59" s="176">
        <v>70</v>
      </c>
      <c r="U59" s="176"/>
      <c r="V59" s="176"/>
      <c r="W59" s="231"/>
      <c r="X59" s="231"/>
      <c r="Y59" s="231"/>
    </row>
    <row r="60" spans="2:25" x14ac:dyDescent="0.35">
      <c r="B60" s="81"/>
      <c r="C60" s="64"/>
      <c r="D60" s="64"/>
      <c r="E60" s="64"/>
      <c r="F60" s="64"/>
      <c r="G60" s="64"/>
      <c r="H60" s="64"/>
      <c r="I60" s="64"/>
      <c r="L60" s="176"/>
      <c r="M60" s="176"/>
      <c r="N60" s="176"/>
      <c r="O60" s="176"/>
      <c r="P60" s="176"/>
      <c r="Q60" s="176"/>
      <c r="R60" s="176"/>
      <c r="S60" s="176">
        <v>58</v>
      </c>
      <c r="T60" s="176">
        <v>70</v>
      </c>
      <c r="U60" s="176"/>
      <c r="V60" s="176"/>
      <c r="W60" s="231"/>
      <c r="X60" s="231"/>
      <c r="Y60" s="231"/>
    </row>
    <row r="61" spans="2:25" x14ac:dyDescent="0.35">
      <c r="B61" s="81"/>
      <c r="C61" s="64"/>
      <c r="D61" s="64"/>
      <c r="E61" s="64"/>
      <c r="F61" s="64"/>
      <c r="G61" s="64"/>
      <c r="H61" s="64"/>
      <c r="I61" s="64"/>
      <c r="L61" s="176"/>
      <c r="M61" s="176"/>
      <c r="N61" s="176"/>
      <c r="O61" s="176"/>
      <c r="P61" s="176"/>
      <c r="Q61" s="176"/>
      <c r="R61" s="176"/>
      <c r="S61" s="176">
        <v>59</v>
      </c>
      <c r="T61" s="176">
        <v>70</v>
      </c>
      <c r="U61" s="176"/>
      <c r="V61" s="176"/>
      <c r="W61" s="231"/>
      <c r="X61" s="231"/>
      <c r="Y61" s="231"/>
    </row>
    <row r="62" spans="2:25" x14ac:dyDescent="0.35">
      <c r="B62" s="81"/>
      <c r="C62" s="64"/>
      <c r="D62" s="64"/>
      <c r="E62" s="64"/>
      <c r="F62" s="64"/>
      <c r="G62" s="64"/>
      <c r="H62" s="64"/>
      <c r="I62" s="64"/>
      <c r="L62" s="176"/>
      <c r="M62" s="176"/>
      <c r="N62" s="176"/>
      <c r="O62" s="176"/>
      <c r="P62" s="176"/>
      <c r="Q62" s="176"/>
      <c r="R62" s="176"/>
      <c r="S62" s="176">
        <v>60</v>
      </c>
      <c r="T62" s="176">
        <v>70</v>
      </c>
      <c r="U62" s="176"/>
      <c r="V62" s="176"/>
      <c r="W62" s="231"/>
      <c r="X62" s="231"/>
      <c r="Y62" s="231"/>
    </row>
    <row r="63" spans="2:25" x14ac:dyDescent="0.35">
      <c r="B63" s="81"/>
      <c r="C63" s="64"/>
      <c r="D63" s="64"/>
      <c r="E63" s="64"/>
      <c r="F63" s="64"/>
      <c r="G63" s="64"/>
      <c r="H63" s="64"/>
      <c r="I63" s="64"/>
      <c r="L63" s="176"/>
      <c r="M63" s="176"/>
      <c r="N63" s="176"/>
      <c r="O63" s="176"/>
      <c r="P63" s="176"/>
      <c r="Q63" s="176"/>
      <c r="R63" s="176"/>
      <c r="S63" s="176">
        <v>61</v>
      </c>
      <c r="T63" s="176">
        <v>70</v>
      </c>
      <c r="U63" s="176"/>
      <c r="V63" s="176"/>
      <c r="W63" s="231"/>
      <c r="X63" s="231"/>
      <c r="Y63" s="231"/>
    </row>
    <row r="64" spans="2:25" x14ac:dyDescent="0.35">
      <c r="B64" s="81"/>
      <c r="C64" s="64"/>
      <c r="D64" s="64"/>
      <c r="E64" s="64"/>
      <c r="F64" s="64"/>
      <c r="G64" s="64"/>
      <c r="H64" s="64"/>
      <c r="I64" s="64"/>
      <c r="L64" s="176"/>
      <c r="M64" s="176"/>
      <c r="N64" s="176"/>
      <c r="O64" s="176"/>
      <c r="P64" s="176"/>
      <c r="Q64" s="176"/>
      <c r="R64" s="176"/>
      <c r="S64" s="176">
        <v>62</v>
      </c>
      <c r="T64" s="176">
        <v>70</v>
      </c>
      <c r="U64" s="176"/>
      <c r="V64" s="176"/>
      <c r="W64" s="231"/>
      <c r="X64" s="231"/>
      <c r="Y64" s="231"/>
    </row>
    <row r="65" spans="2:25" x14ac:dyDescent="0.35">
      <c r="B65" s="81"/>
      <c r="C65" s="64"/>
      <c r="D65" s="64"/>
      <c r="E65" s="64"/>
      <c r="F65" s="64"/>
      <c r="G65" s="64"/>
      <c r="H65" s="64"/>
      <c r="I65" s="64"/>
      <c r="L65" s="176"/>
      <c r="M65" s="176"/>
      <c r="N65" s="176"/>
      <c r="O65" s="176"/>
      <c r="P65" s="176"/>
      <c r="Q65" s="176"/>
      <c r="R65" s="176"/>
      <c r="S65" s="176">
        <v>63</v>
      </c>
      <c r="T65" s="176">
        <v>70</v>
      </c>
      <c r="U65" s="176"/>
      <c r="V65" s="176"/>
      <c r="W65" s="231"/>
      <c r="X65" s="231"/>
      <c r="Y65" s="231"/>
    </row>
    <row r="66" spans="2:25" x14ac:dyDescent="0.35">
      <c r="B66" s="81"/>
      <c r="C66" s="64"/>
      <c r="D66" s="64"/>
      <c r="E66" s="64"/>
      <c r="F66" s="64"/>
      <c r="G66" s="64"/>
      <c r="H66" s="64"/>
      <c r="I66" s="64"/>
      <c r="L66" s="176"/>
      <c r="M66" s="176"/>
      <c r="N66" s="176"/>
      <c r="O66" s="176"/>
      <c r="P66" s="176"/>
      <c r="Q66" s="176"/>
      <c r="R66" s="176"/>
      <c r="S66" s="176">
        <v>64</v>
      </c>
      <c r="T66" s="176">
        <v>70</v>
      </c>
      <c r="U66" s="176"/>
      <c r="V66" s="176"/>
      <c r="W66" s="231"/>
      <c r="X66" s="231"/>
      <c r="Y66" s="231"/>
    </row>
    <row r="67" spans="2:25" x14ac:dyDescent="0.35">
      <c r="B67" s="81"/>
      <c r="C67" s="64"/>
      <c r="D67" s="64"/>
      <c r="E67" s="64"/>
      <c r="F67" s="64"/>
      <c r="G67" s="64"/>
      <c r="H67" s="64"/>
      <c r="I67" s="64"/>
      <c r="L67" s="176"/>
      <c r="M67" s="176"/>
      <c r="N67" s="176"/>
      <c r="O67" s="176"/>
      <c r="P67" s="176"/>
      <c r="Q67" s="176"/>
      <c r="R67" s="176"/>
      <c r="S67" s="176">
        <v>65</v>
      </c>
      <c r="T67" s="176">
        <v>70</v>
      </c>
      <c r="U67" s="176"/>
      <c r="V67" s="176"/>
      <c r="W67" s="231"/>
      <c r="X67" s="231"/>
      <c r="Y67" s="231"/>
    </row>
    <row r="68" spans="2:25" x14ac:dyDescent="0.35">
      <c r="B68" s="81"/>
      <c r="C68" s="64"/>
      <c r="D68" s="64"/>
      <c r="E68" s="64"/>
      <c r="F68" s="64"/>
      <c r="G68" s="64"/>
      <c r="H68" s="64"/>
      <c r="I68" s="64"/>
      <c r="L68" s="176"/>
      <c r="M68" s="176"/>
      <c r="N68" s="176"/>
      <c r="O68" s="176"/>
      <c r="P68" s="176"/>
      <c r="Q68" s="176"/>
      <c r="R68" s="176"/>
      <c r="S68" s="176">
        <v>66</v>
      </c>
      <c r="T68" s="176">
        <v>70</v>
      </c>
      <c r="U68" s="176"/>
      <c r="V68" s="176"/>
      <c r="W68" s="231"/>
      <c r="X68" s="231"/>
      <c r="Y68" s="231"/>
    </row>
    <row r="69" spans="2:25" x14ac:dyDescent="0.35">
      <c r="B69" s="81"/>
      <c r="C69" s="64"/>
      <c r="D69" s="64"/>
      <c r="E69" s="64"/>
      <c r="F69" s="64"/>
      <c r="G69" s="64"/>
      <c r="H69" s="64"/>
      <c r="I69" s="64"/>
      <c r="L69" s="176"/>
      <c r="M69" s="176"/>
      <c r="N69" s="176"/>
      <c r="O69" s="176"/>
      <c r="P69" s="176"/>
      <c r="Q69" s="176"/>
      <c r="R69" s="176"/>
      <c r="S69" s="176">
        <v>67</v>
      </c>
      <c r="T69" s="176">
        <v>70</v>
      </c>
      <c r="U69" s="176"/>
      <c r="V69" s="176"/>
      <c r="W69" s="231"/>
      <c r="X69" s="231"/>
      <c r="Y69" s="231"/>
    </row>
    <row r="70" spans="2:25" x14ac:dyDescent="0.35">
      <c r="B70" s="81"/>
      <c r="C70" s="64"/>
      <c r="D70" s="64"/>
      <c r="E70" s="64"/>
      <c r="F70" s="64"/>
      <c r="G70" s="64"/>
      <c r="H70" s="64"/>
      <c r="I70" s="64"/>
      <c r="L70" s="176"/>
      <c r="M70" s="176"/>
      <c r="N70" s="176"/>
      <c r="O70" s="176"/>
      <c r="P70" s="176"/>
      <c r="Q70" s="176"/>
      <c r="R70" s="176"/>
      <c r="S70" s="176">
        <v>68</v>
      </c>
      <c r="T70" s="176">
        <v>70</v>
      </c>
      <c r="U70" s="176"/>
      <c r="V70" s="176"/>
      <c r="W70" s="231"/>
      <c r="X70" s="231"/>
      <c r="Y70" s="231"/>
    </row>
    <row r="71" spans="2:25" x14ac:dyDescent="0.35">
      <c r="B71" s="81"/>
      <c r="C71" s="64"/>
      <c r="D71" s="64"/>
      <c r="E71" s="64"/>
      <c r="F71" s="64"/>
      <c r="G71" s="64"/>
      <c r="H71" s="64"/>
      <c r="I71" s="64"/>
      <c r="L71" s="176"/>
      <c r="M71" s="176"/>
      <c r="N71" s="176"/>
      <c r="O71" s="176"/>
      <c r="P71" s="176"/>
      <c r="Q71" s="176"/>
      <c r="R71" s="176"/>
      <c r="S71" s="176">
        <v>69</v>
      </c>
      <c r="T71" s="176">
        <v>70</v>
      </c>
      <c r="U71" s="176"/>
      <c r="V71" s="176"/>
      <c r="W71" s="231"/>
      <c r="X71" s="231"/>
      <c r="Y71" s="231"/>
    </row>
    <row r="72" spans="2:25" x14ac:dyDescent="0.35">
      <c r="B72" s="81"/>
      <c r="C72" s="64"/>
      <c r="D72" s="64"/>
      <c r="E72" s="64"/>
      <c r="F72" s="64"/>
      <c r="G72" s="64"/>
      <c r="H72" s="64"/>
      <c r="I72" s="64"/>
      <c r="L72" s="176"/>
      <c r="M72" s="176"/>
      <c r="N72" s="176"/>
      <c r="O72" s="176"/>
      <c r="P72" s="176"/>
      <c r="Q72" s="176"/>
      <c r="R72" s="176"/>
      <c r="S72" s="176">
        <v>70</v>
      </c>
      <c r="T72" s="176">
        <v>70</v>
      </c>
      <c r="U72" s="176">
        <v>70</v>
      </c>
      <c r="V72" s="176"/>
      <c r="W72" s="231"/>
      <c r="X72" s="231"/>
      <c r="Y72" s="231"/>
    </row>
    <row r="73" spans="2:25" x14ac:dyDescent="0.35">
      <c r="B73" s="81"/>
      <c r="C73" s="64"/>
      <c r="D73" s="64"/>
      <c r="E73" s="64"/>
      <c r="F73" s="64"/>
      <c r="G73" s="64"/>
      <c r="H73" s="64"/>
      <c r="I73" s="64"/>
      <c r="L73" s="176"/>
      <c r="M73" s="176"/>
      <c r="N73" s="176"/>
      <c r="O73" s="176"/>
      <c r="P73" s="176"/>
      <c r="Q73" s="176"/>
      <c r="R73" s="176"/>
      <c r="S73" s="176">
        <v>71</v>
      </c>
      <c r="T73" s="176">
        <v>100</v>
      </c>
      <c r="U73" s="176"/>
      <c r="V73" s="176"/>
      <c r="W73" s="231"/>
      <c r="X73" s="231"/>
      <c r="Y73" s="231"/>
    </row>
    <row r="74" spans="2:25" x14ac:dyDescent="0.35">
      <c r="B74" s="81"/>
      <c r="C74" s="64"/>
      <c r="D74" s="64"/>
      <c r="E74" s="64"/>
      <c r="F74" s="64"/>
      <c r="G74" s="64"/>
      <c r="H74" s="64"/>
      <c r="I74" s="64"/>
      <c r="L74" s="176"/>
      <c r="M74" s="176"/>
      <c r="N74" s="176"/>
      <c r="O74" s="176"/>
      <c r="P74" s="176"/>
      <c r="Q74" s="176"/>
      <c r="R74" s="176"/>
      <c r="S74" s="176">
        <v>72</v>
      </c>
      <c r="T74" s="176">
        <v>100</v>
      </c>
      <c r="U74" s="176"/>
      <c r="V74" s="176"/>
      <c r="W74" s="231"/>
      <c r="X74" s="231"/>
      <c r="Y74" s="231"/>
    </row>
    <row r="75" spans="2:25" x14ac:dyDescent="0.35">
      <c r="B75" s="81"/>
      <c r="C75" s="64"/>
      <c r="D75" s="64"/>
      <c r="E75" s="64"/>
      <c r="F75" s="64"/>
      <c r="G75" s="64"/>
      <c r="H75" s="64"/>
      <c r="I75" s="64"/>
      <c r="L75" s="176"/>
      <c r="M75" s="176"/>
      <c r="N75" s="176"/>
      <c r="O75" s="176"/>
      <c r="P75" s="176"/>
      <c r="Q75" s="176"/>
      <c r="R75" s="176"/>
      <c r="S75" s="176">
        <v>73</v>
      </c>
      <c r="T75" s="176">
        <v>100</v>
      </c>
      <c r="U75" s="176"/>
      <c r="V75" s="176"/>
      <c r="W75" s="231"/>
      <c r="X75" s="231"/>
      <c r="Y75" s="231"/>
    </row>
    <row r="76" spans="2:25" x14ac:dyDescent="0.35">
      <c r="B76" s="81"/>
      <c r="C76" s="64"/>
      <c r="D76" s="64"/>
      <c r="E76" s="64"/>
      <c r="F76" s="64"/>
      <c r="G76" s="64"/>
      <c r="H76" s="64"/>
      <c r="I76" s="64"/>
      <c r="L76" s="176"/>
      <c r="M76" s="176"/>
      <c r="N76" s="176"/>
      <c r="O76" s="176"/>
      <c r="P76" s="176"/>
      <c r="Q76" s="176"/>
      <c r="R76" s="176"/>
      <c r="S76" s="176">
        <v>74</v>
      </c>
      <c r="T76" s="176">
        <v>100</v>
      </c>
      <c r="U76" s="176"/>
      <c r="V76" s="176"/>
      <c r="W76" s="231"/>
      <c r="X76" s="231"/>
      <c r="Y76" s="231"/>
    </row>
    <row r="77" spans="2:25" x14ac:dyDescent="0.35">
      <c r="H77" s="64"/>
      <c r="I77" s="64"/>
      <c r="L77" s="176"/>
      <c r="M77" s="176"/>
      <c r="N77" s="176"/>
      <c r="O77" s="176"/>
      <c r="P77" s="176"/>
      <c r="Q77" s="176"/>
      <c r="R77" s="176"/>
      <c r="S77" s="176">
        <v>75</v>
      </c>
      <c r="T77" s="176">
        <v>100</v>
      </c>
      <c r="U77" s="176"/>
      <c r="V77" s="176"/>
      <c r="W77" s="231"/>
      <c r="X77" s="231"/>
      <c r="Y77" s="231"/>
    </row>
    <row r="78" spans="2:25" x14ac:dyDescent="0.35">
      <c r="L78" s="176"/>
      <c r="M78" s="176"/>
      <c r="N78" s="176"/>
      <c r="O78" s="176"/>
      <c r="P78" s="176"/>
      <c r="Q78" s="176"/>
      <c r="R78" s="176"/>
      <c r="S78" s="176">
        <v>76</v>
      </c>
      <c r="T78" s="176">
        <v>100</v>
      </c>
      <c r="U78" s="176"/>
      <c r="V78" s="176"/>
      <c r="W78" s="231"/>
      <c r="X78" s="231"/>
      <c r="Y78" s="231"/>
    </row>
    <row r="79" spans="2:25" x14ac:dyDescent="0.35">
      <c r="L79" s="176"/>
      <c r="M79" s="176"/>
      <c r="N79" s="176"/>
      <c r="O79" s="176"/>
      <c r="P79" s="176"/>
      <c r="Q79" s="176"/>
      <c r="R79" s="176"/>
      <c r="S79" s="176">
        <v>77</v>
      </c>
      <c r="T79" s="176">
        <v>100</v>
      </c>
      <c r="U79" s="176"/>
      <c r="V79" s="176"/>
      <c r="W79" s="231"/>
      <c r="X79" s="231"/>
      <c r="Y79" s="231"/>
    </row>
    <row r="80" spans="2:25" x14ac:dyDescent="0.35">
      <c r="L80" s="176"/>
      <c r="M80" s="176"/>
      <c r="N80" s="176"/>
      <c r="O80" s="176"/>
      <c r="P80" s="176"/>
      <c r="Q80" s="176"/>
      <c r="R80" s="176"/>
      <c r="S80" s="176">
        <v>78</v>
      </c>
      <c r="T80" s="176">
        <v>100</v>
      </c>
      <c r="U80" s="176"/>
      <c r="V80" s="176"/>
      <c r="W80" s="231"/>
      <c r="X80" s="231"/>
      <c r="Y80" s="231"/>
    </row>
    <row r="81" spans="12:25" x14ac:dyDescent="0.35">
      <c r="L81" s="176"/>
      <c r="M81" s="176"/>
      <c r="N81" s="176"/>
      <c r="O81" s="176"/>
      <c r="P81" s="176"/>
      <c r="Q81" s="176"/>
      <c r="R81" s="176"/>
      <c r="S81" s="176">
        <v>79</v>
      </c>
      <c r="T81" s="176">
        <v>100</v>
      </c>
      <c r="U81" s="176"/>
      <c r="V81" s="176"/>
      <c r="W81" s="231"/>
      <c r="X81" s="231"/>
      <c r="Y81" s="231"/>
    </row>
    <row r="82" spans="12:25" x14ac:dyDescent="0.35">
      <c r="L82" s="176"/>
      <c r="M82" s="176"/>
      <c r="N82" s="176"/>
      <c r="O82" s="176"/>
      <c r="P82" s="176"/>
      <c r="Q82" s="176"/>
      <c r="R82" s="176"/>
      <c r="S82" s="176">
        <v>80</v>
      </c>
      <c r="T82" s="176">
        <v>100</v>
      </c>
      <c r="U82" s="176"/>
      <c r="V82" s="176"/>
      <c r="W82" s="231"/>
      <c r="X82" s="231"/>
      <c r="Y82" s="231"/>
    </row>
    <row r="83" spans="12:25" x14ac:dyDescent="0.35">
      <c r="L83" s="176"/>
      <c r="M83" s="176"/>
      <c r="N83" s="176"/>
      <c r="O83" s="176"/>
      <c r="P83" s="176"/>
      <c r="Q83" s="176"/>
      <c r="R83" s="176"/>
      <c r="S83" s="176">
        <v>81</v>
      </c>
      <c r="T83" s="176">
        <v>100</v>
      </c>
      <c r="U83" s="176"/>
      <c r="V83" s="176"/>
      <c r="W83" s="231"/>
      <c r="X83" s="231"/>
      <c r="Y83" s="231"/>
    </row>
    <row r="84" spans="12:25" x14ac:dyDescent="0.35">
      <c r="L84" s="176"/>
      <c r="M84" s="176"/>
      <c r="N84" s="176"/>
      <c r="O84" s="176"/>
      <c r="P84" s="176"/>
      <c r="Q84" s="176"/>
      <c r="R84" s="176"/>
      <c r="S84" s="176">
        <v>82</v>
      </c>
      <c r="T84" s="176">
        <v>100</v>
      </c>
      <c r="U84" s="176"/>
      <c r="V84" s="176"/>
      <c r="W84" s="231"/>
      <c r="X84" s="231"/>
      <c r="Y84" s="231"/>
    </row>
    <row r="85" spans="12:25" x14ac:dyDescent="0.35">
      <c r="L85" s="176"/>
      <c r="M85" s="176"/>
      <c r="N85" s="176"/>
      <c r="O85" s="176"/>
      <c r="P85" s="176"/>
      <c r="Q85" s="176"/>
      <c r="R85" s="176"/>
      <c r="S85" s="176">
        <v>83</v>
      </c>
      <c r="T85" s="176">
        <v>100</v>
      </c>
      <c r="U85" s="176"/>
      <c r="V85" s="176"/>
      <c r="W85" s="231"/>
      <c r="X85" s="231"/>
      <c r="Y85" s="231"/>
    </row>
    <row r="86" spans="12:25" x14ac:dyDescent="0.35">
      <c r="L86" s="176"/>
      <c r="M86" s="176"/>
      <c r="N86" s="176"/>
      <c r="O86" s="176"/>
      <c r="P86" s="176"/>
      <c r="Q86" s="176"/>
      <c r="R86" s="176"/>
      <c r="S86" s="176">
        <v>84</v>
      </c>
      <c r="T86" s="176">
        <v>100</v>
      </c>
      <c r="U86" s="176"/>
      <c r="V86" s="176"/>
      <c r="W86" s="231"/>
      <c r="X86" s="231"/>
      <c r="Y86" s="231"/>
    </row>
    <row r="87" spans="12:25" x14ac:dyDescent="0.35">
      <c r="L87" s="176"/>
      <c r="M87" s="176"/>
      <c r="N87" s="176"/>
      <c r="O87" s="176"/>
      <c r="P87" s="176"/>
      <c r="Q87" s="176"/>
      <c r="R87" s="176"/>
      <c r="S87" s="176">
        <v>85</v>
      </c>
      <c r="T87" s="176">
        <v>100</v>
      </c>
      <c r="U87" s="176"/>
      <c r="V87" s="176"/>
      <c r="W87" s="231"/>
      <c r="X87" s="231"/>
      <c r="Y87" s="231"/>
    </row>
    <row r="88" spans="12:25" x14ac:dyDescent="0.35">
      <c r="L88" s="176"/>
      <c r="M88" s="176"/>
      <c r="N88" s="176"/>
      <c r="O88" s="176"/>
      <c r="P88" s="176"/>
      <c r="Q88" s="176"/>
      <c r="R88" s="176"/>
      <c r="S88" s="176">
        <v>86</v>
      </c>
      <c r="T88" s="176">
        <v>100</v>
      </c>
      <c r="U88" s="176"/>
      <c r="V88" s="176"/>
      <c r="W88" s="231"/>
      <c r="X88" s="231"/>
      <c r="Y88" s="231"/>
    </row>
    <row r="89" spans="12:25" x14ac:dyDescent="0.35">
      <c r="L89" s="176"/>
      <c r="M89" s="176"/>
      <c r="N89" s="176"/>
      <c r="O89" s="176"/>
      <c r="P89" s="176"/>
      <c r="Q89" s="176"/>
      <c r="R89" s="176"/>
      <c r="S89" s="176">
        <v>87</v>
      </c>
      <c r="T89" s="176">
        <v>100</v>
      </c>
      <c r="U89" s="176"/>
      <c r="V89" s="176"/>
      <c r="W89" s="231"/>
      <c r="X89" s="231"/>
      <c r="Y89" s="231"/>
    </row>
    <row r="90" spans="12:25" x14ac:dyDescent="0.35">
      <c r="L90" s="176"/>
      <c r="M90" s="176"/>
      <c r="N90" s="176"/>
      <c r="O90" s="176"/>
      <c r="P90" s="176"/>
      <c r="Q90" s="176"/>
      <c r="R90" s="176"/>
      <c r="S90" s="176">
        <v>88</v>
      </c>
      <c r="T90" s="176">
        <v>100</v>
      </c>
      <c r="U90" s="176"/>
      <c r="V90" s="176"/>
      <c r="W90" s="231"/>
      <c r="X90" s="231"/>
      <c r="Y90" s="231"/>
    </row>
    <row r="91" spans="12:25" x14ac:dyDescent="0.35">
      <c r="L91" s="176"/>
      <c r="M91" s="176"/>
      <c r="N91" s="176"/>
      <c r="O91" s="176"/>
      <c r="P91" s="176"/>
      <c r="Q91" s="176"/>
      <c r="R91" s="176"/>
      <c r="S91" s="176">
        <v>89</v>
      </c>
      <c r="T91" s="176">
        <v>100</v>
      </c>
      <c r="U91" s="176"/>
      <c r="V91" s="176"/>
      <c r="W91" s="231"/>
      <c r="X91" s="231"/>
      <c r="Y91" s="231"/>
    </row>
    <row r="92" spans="12:25" x14ac:dyDescent="0.35">
      <c r="L92" s="176"/>
      <c r="M92" s="176"/>
      <c r="N92" s="176"/>
      <c r="O92" s="176"/>
      <c r="P92" s="176"/>
      <c r="Q92" s="176"/>
      <c r="R92" s="176"/>
      <c r="S92" s="176">
        <v>90</v>
      </c>
      <c r="T92" s="176">
        <v>100</v>
      </c>
      <c r="U92" s="176"/>
      <c r="V92" s="176"/>
      <c r="W92" s="231"/>
      <c r="X92" s="231"/>
      <c r="Y92" s="231"/>
    </row>
    <row r="93" spans="12:25" x14ac:dyDescent="0.35">
      <c r="L93" s="176"/>
      <c r="M93" s="176"/>
      <c r="N93" s="176"/>
      <c r="O93" s="176"/>
      <c r="P93" s="176"/>
      <c r="Q93" s="176"/>
      <c r="R93" s="176"/>
      <c r="S93" s="176">
        <v>91</v>
      </c>
      <c r="T93" s="176">
        <v>100</v>
      </c>
      <c r="U93" s="176"/>
      <c r="V93" s="176"/>
      <c r="W93" s="231"/>
      <c r="X93" s="231"/>
      <c r="Y93" s="231"/>
    </row>
    <row r="94" spans="12:25" x14ac:dyDescent="0.35">
      <c r="L94" s="176"/>
      <c r="M94" s="176"/>
      <c r="N94" s="176"/>
      <c r="O94" s="176"/>
      <c r="P94" s="176"/>
      <c r="Q94" s="176"/>
      <c r="R94" s="176"/>
      <c r="S94" s="176">
        <v>92</v>
      </c>
      <c r="T94" s="176">
        <v>100</v>
      </c>
      <c r="U94" s="176"/>
      <c r="V94" s="176"/>
      <c r="W94" s="231"/>
      <c r="X94" s="231"/>
      <c r="Y94" s="231"/>
    </row>
    <row r="95" spans="12:25" x14ac:dyDescent="0.35">
      <c r="L95" s="176"/>
      <c r="M95" s="176"/>
      <c r="N95" s="176"/>
      <c r="O95" s="176"/>
      <c r="P95" s="176"/>
      <c r="Q95" s="176"/>
      <c r="R95" s="176"/>
      <c r="S95" s="176">
        <v>93</v>
      </c>
      <c r="T95" s="176">
        <v>100</v>
      </c>
      <c r="U95" s="176"/>
      <c r="V95" s="176"/>
      <c r="W95" s="231"/>
      <c r="X95" s="231"/>
      <c r="Y95" s="231"/>
    </row>
    <row r="96" spans="12:25" x14ac:dyDescent="0.35">
      <c r="L96" s="176"/>
      <c r="M96" s="176"/>
      <c r="N96" s="176"/>
      <c r="O96" s="176"/>
      <c r="P96" s="176"/>
      <c r="Q96" s="176"/>
      <c r="R96" s="176"/>
      <c r="S96" s="176">
        <v>94</v>
      </c>
      <c r="T96" s="176">
        <v>100</v>
      </c>
      <c r="U96" s="176"/>
      <c r="V96" s="176"/>
      <c r="W96" s="231"/>
      <c r="X96" s="231"/>
      <c r="Y96" s="231"/>
    </row>
    <row r="97" spans="12:25" x14ac:dyDescent="0.35">
      <c r="L97" s="176"/>
      <c r="M97" s="176"/>
      <c r="N97" s="176"/>
      <c r="O97" s="176"/>
      <c r="P97" s="176"/>
      <c r="Q97" s="176"/>
      <c r="R97" s="176"/>
      <c r="S97" s="176">
        <v>95</v>
      </c>
      <c r="T97" s="176">
        <v>100</v>
      </c>
      <c r="U97" s="176"/>
      <c r="V97" s="176"/>
      <c r="W97" s="231"/>
      <c r="X97" s="231"/>
      <c r="Y97" s="231"/>
    </row>
    <row r="98" spans="12:25" x14ac:dyDescent="0.35">
      <c r="L98" s="176"/>
      <c r="M98" s="176"/>
      <c r="N98" s="176"/>
      <c r="O98" s="176"/>
      <c r="P98" s="176"/>
      <c r="Q98" s="176"/>
      <c r="R98" s="176"/>
      <c r="S98" s="176">
        <v>96</v>
      </c>
      <c r="T98" s="176">
        <v>100</v>
      </c>
      <c r="U98" s="176"/>
      <c r="V98" s="176"/>
      <c r="W98" s="231"/>
      <c r="X98" s="231"/>
      <c r="Y98" s="231"/>
    </row>
    <row r="99" spans="12:25" x14ac:dyDescent="0.35">
      <c r="L99" s="176"/>
      <c r="M99" s="176"/>
      <c r="N99" s="176"/>
      <c r="O99" s="176"/>
      <c r="P99" s="176"/>
      <c r="Q99" s="176"/>
      <c r="R99" s="176"/>
      <c r="S99" s="176">
        <v>97</v>
      </c>
      <c r="T99" s="176">
        <v>100</v>
      </c>
      <c r="U99" s="176"/>
      <c r="V99" s="176"/>
      <c r="W99" s="231"/>
      <c r="X99" s="231"/>
      <c r="Y99" s="231"/>
    </row>
    <row r="100" spans="12:25" x14ac:dyDescent="0.35">
      <c r="L100" s="176"/>
      <c r="M100" s="176"/>
      <c r="N100" s="176"/>
      <c r="O100" s="176"/>
      <c r="P100" s="176"/>
      <c r="Q100" s="176"/>
      <c r="R100" s="176"/>
      <c r="S100" s="176">
        <v>98</v>
      </c>
      <c r="T100" s="176">
        <v>100</v>
      </c>
      <c r="U100" s="176"/>
      <c r="V100" s="176"/>
      <c r="W100" s="231"/>
      <c r="X100" s="231"/>
      <c r="Y100" s="231"/>
    </row>
    <row r="101" spans="12:25" x14ac:dyDescent="0.35">
      <c r="L101" s="176"/>
      <c r="M101" s="176"/>
      <c r="N101" s="176"/>
      <c r="O101" s="176"/>
      <c r="P101" s="176"/>
      <c r="Q101" s="176"/>
      <c r="R101" s="176"/>
      <c r="S101" s="176">
        <v>99</v>
      </c>
      <c r="T101" s="176">
        <v>100</v>
      </c>
      <c r="U101" s="176"/>
      <c r="V101" s="176"/>
      <c r="W101" s="231"/>
      <c r="X101" s="231"/>
      <c r="Y101" s="231"/>
    </row>
    <row r="102" spans="12:25" x14ac:dyDescent="0.35">
      <c r="L102" s="176"/>
      <c r="M102" s="176"/>
      <c r="N102" s="176"/>
      <c r="O102" s="176"/>
      <c r="P102" s="176"/>
      <c r="Q102" s="176"/>
      <c r="R102" s="176"/>
      <c r="S102" s="176">
        <v>100</v>
      </c>
      <c r="T102" s="176">
        <v>100</v>
      </c>
      <c r="U102" s="176">
        <v>100</v>
      </c>
      <c r="V102" s="176"/>
      <c r="W102" s="231"/>
      <c r="X102" s="231"/>
      <c r="Y102" s="231"/>
    </row>
    <row r="103" spans="12:25" x14ac:dyDescent="0.35">
      <c r="L103" s="176"/>
      <c r="M103" s="176"/>
      <c r="N103" s="176"/>
      <c r="O103" s="176"/>
      <c r="P103" s="176"/>
      <c r="Q103" s="176"/>
      <c r="R103" s="176"/>
      <c r="S103" s="176">
        <v>101</v>
      </c>
      <c r="T103" s="176">
        <v>150</v>
      </c>
      <c r="U103" s="176"/>
      <c r="V103" s="176"/>
      <c r="W103" s="231"/>
      <c r="X103" s="231"/>
      <c r="Y103" s="231"/>
    </row>
    <row r="104" spans="12:25" x14ac:dyDescent="0.35">
      <c r="L104" s="176"/>
      <c r="M104" s="176"/>
      <c r="N104" s="176"/>
      <c r="O104" s="176"/>
      <c r="P104" s="176"/>
      <c r="Q104" s="176"/>
      <c r="R104" s="176"/>
      <c r="S104" s="176">
        <v>102</v>
      </c>
      <c r="T104" s="176">
        <v>150</v>
      </c>
      <c r="U104" s="176"/>
      <c r="V104" s="176"/>
      <c r="W104" s="231"/>
      <c r="X104" s="231"/>
      <c r="Y104" s="231"/>
    </row>
    <row r="105" spans="12:25" x14ac:dyDescent="0.35">
      <c r="L105" s="176"/>
      <c r="M105" s="176"/>
      <c r="N105" s="176"/>
      <c r="O105" s="176"/>
      <c r="P105" s="176"/>
      <c r="Q105" s="176"/>
      <c r="R105" s="176"/>
      <c r="S105" s="176">
        <v>103</v>
      </c>
      <c r="T105" s="176">
        <v>150</v>
      </c>
      <c r="U105" s="176"/>
      <c r="V105" s="176"/>
      <c r="W105" s="231"/>
      <c r="X105" s="231"/>
      <c r="Y105" s="231"/>
    </row>
    <row r="106" spans="12:25" x14ac:dyDescent="0.35">
      <c r="L106" s="176"/>
      <c r="M106" s="176"/>
      <c r="N106" s="176"/>
      <c r="O106" s="176"/>
      <c r="P106" s="176"/>
      <c r="Q106" s="176"/>
      <c r="R106" s="176"/>
      <c r="S106" s="176">
        <v>104</v>
      </c>
      <c r="T106" s="176">
        <v>150</v>
      </c>
      <c r="U106" s="176"/>
      <c r="V106" s="176"/>
      <c r="W106" s="231"/>
      <c r="X106" s="231"/>
      <c r="Y106" s="231"/>
    </row>
    <row r="107" spans="12:25" x14ac:dyDescent="0.35">
      <c r="L107" s="176"/>
      <c r="M107" s="176"/>
      <c r="N107" s="176"/>
      <c r="O107" s="176"/>
      <c r="P107" s="176"/>
      <c r="Q107" s="176"/>
      <c r="R107" s="176"/>
      <c r="S107" s="176">
        <v>105</v>
      </c>
      <c r="T107" s="176">
        <v>150</v>
      </c>
      <c r="U107" s="176"/>
      <c r="V107" s="176"/>
      <c r="W107" s="231"/>
      <c r="X107" s="231"/>
      <c r="Y107" s="231"/>
    </row>
    <row r="108" spans="12:25" x14ac:dyDescent="0.35">
      <c r="L108" s="176"/>
      <c r="M108" s="176"/>
      <c r="N108" s="176"/>
      <c r="O108" s="176"/>
      <c r="P108" s="176"/>
      <c r="Q108" s="176"/>
      <c r="R108" s="176"/>
      <c r="S108" s="176">
        <v>106</v>
      </c>
      <c r="T108" s="176">
        <v>150</v>
      </c>
      <c r="U108" s="176"/>
      <c r="V108" s="176"/>
      <c r="W108" s="231"/>
      <c r="X108" s="231"/>
      <c r="Y108" s="231"/>
    </row>
    <row r="109" spans="12:25" x14ac:dyDescent="0.35">
      <c r="L109" s="176"/>
      <c r="M109" s="176"/>
      <c r="N109" s="176"/>
      <c r="O109" s="176"/>
      <c r="P109" s="176"/>
      <c r="Q109" s="176"/>
      <c r="R109" s="176"/>
      <c r="S109" s="176">
        <v>107</v>
      </c>
      <c r="T109" s="176">
        <v>150</v>
      </c>
      <c r="U109" s="176"/>
      <c r="V109" s="176"/>
      <c r="W109" s="231"/>
      <c r="X109" s="231"/>
      <c r="Y109" s="231"/>
    </row>
    <row r="110" spans="12:25" x14ac:dyDescent="0.35">
      <c r="L110" s="176"/>
      <c r="M110" s="176"/>
      <c r="N110" s="176"/>
      <c r="O110" s="176"/>
      <c r="P110" s="176"/>
      <c r="Q110" s="176"/>
      <c r="R110" s="176"/>
      <c r="S110" s="176">
        <v>108</v>
      </c>
      <c r="T110" s="176">
        <v>150</v>
      </c>
      <c r="U110" s="176"/>
      <c r="V110" s="176"/>
      <c r="W110" s="231"/>
      <c r="X110" s="231"/>
      <c r="Y110" s="231"/>
    </row>
    <row r="111" spans="12:25" x14ac:dyDescent="0.35">
      <c r="L111" s="176"/>
      <c r="M111" s="176"/>
      <c r="N111" s="176"/>
      <c r="O111" s="176"/>
      <c r="P111" s="176"/>
      <c r="Q111" s="176"/>
      <c r="R111" s="176"/>
      <c r="S111" s="176">
        <v>109</v>
      </c>
      <c r="T111" s="176">
        <v>150</v>
      </c>
      <c r="U111" s="176"/>
      <c r="V111" s="176"/>
      <c r="W111" s="231"/>
      <c r="X111" s="231"/>
      <c r="Y111" s="231"/>
    </row>
    <row r="112" spans="12:25" x14ac:dyDescent="0.35">
      <c r="L112" s="176"/>
      <c r="M112" s="176"/>
      <c r="N112" s="176"/>
      <c r="O112" s="176"/>
      <c r="P112" s="176"/>
      <c r="Q112" s="176"/>
      <c r="R112" s="176"/>
      <c r="S112" s="176">
        <v>110</v>
      </c>
      <c r="T112" s="176">
        <v>150</v>
      </c>
      <c r="U112" s="176"/>
      <c r="V112" s="176"/>
      <c r="W112" s="231"/>
      <c r="X112" s="231"/>
      <c r="Y112" s="231"/>
    </row>
    <row r="113" spans="12:25" x14ac:dyDescent="0.35">
      <c r="L113" s="176"/>
      <c r="M113" s="176"/>
      <c r="N113" s="176"/>
      <c r="O113" s="176"/>
      <c r="P113" s="176"/>
      <c r="Q113" s="176"/>
      <c r="R113" s="176"/>
      <c r="S113" s="176">
        <v>111</v>
      </c>
      <c r="T113" s="176">
        <v>150</v>
      </c>
      <c r="U113" s="176"/>
      <c r="V113" s="176"/>
      <c r="W113" s="231"/>
      <c r="X113" s="231"/>
      <c r="Y113" s="231"/>
    </row>
    <row r="114" spans="12:25" x14ac:dyDescent="0.35">
      <c r="L114" s="176"/>
      <c r="M114" s="176"/>
      <c r="N114" s="176"/>
      <c r="O114" s="176"/>
      <c r="P114" s="176"/>
      <c r="Q114" s="176"/>
      <c r="R114" s="176"/>
      <c r="S114" s="176">
        <v>112</v>
      </c>
      <c r="T114" s="176">
        <v>150</v>
      </c>
      <c r="U114" s="176"/>
      <c r="V114" s="176"/>
      <c r="W114" s="231"/>
      <c r="X114" s="231"/>
      <c r="Y114" s="231"/>
    </row>
    <row r="115" spans="12:25" x14ac:dyDescent="0.35">
      <c r="L115" s="176"/>
      <c r="M115" s="176"/>
      <c r="N115" s="176"/>
      <c r="O115" s="176"/>
      <c r="P115" s="176"/>
      <c r="Q115" s="176"/>
      <c r="R115" s="176"/>
      <c r="S115" s="176">
        <v>113</v>
      </c>
      <c r="T115" s="176">
        <v>150</v>
      </c>
      <c r="U115" s="176"/>
      <c r="V115" s="176"/>
      <c r="W115" s="231"/>
      <c r="X115" s="231"/>
      <c r="Y115" s="231"/>
    </row>
    <row r="116" spans="12:25" x14ac:dyDescent="0.35">
      <c r="L116" s="176"/>
      <c r="M116" s="176"/>
      <c r="N116" s="176"/>
      <c r="O116" s="176"/>
      <c r="P116" s="176"/>
      <c r="Q116" s="176"/>
      <c r="R116" s="176"/>
      <c r="S116" s="176">
        <v>114</v>
      </c>
      <c r="T116" s="176">
        <v>150</v>
      </c>
      <c r="U116" s="176"/>
      <c r="V116" s="176"/>
      <c r="W116" s="231"/>
      <c r="X116" s="231"/>
      <c r="Y116" s="231"/>
    </row>
    <row r="117" spans="12:25" x14ac:dyDescent="0.35">
      <c r="L117" s="176"/>
      <c r="M117" s="176"/>
      <c r="N117" s="176"/>
      <c r="O117" s="176"/>
      <c r="P117" s="176"/>
      <c r="Q117" s="176"/>
      <c r="R117" s="176"/>
      <c r="S117" s="176">
        <v>115</v>
      </c>
      <c r="T117" s="176">
        <v>150</v>
      </c>
      <c r="U117" s="176"/>
      <c r="V117" s="176"/>
      <c r="W117" s="231"/>
      <c r="X117" s="231"/>
      <c r="Y117" s="231"/>
    </row>
    <row r="118" spans="12:25" x14ac:dyDescent="0.35">
      <c r="L118" s="176"/>
      <c r="M118" s="176"/>
      <c r="N118" s="176"/>
      <c r="O118" s="176"/>
      <c r="P118" s="176"/>
      <c r="Q118" s="176"/>
      <c r="R118" s="176"/>
      <c r="S118" s="176">
        <v>116</v>
      </c>
      <c r="T118" s="176">
        <v>150</v>
      </c>
      <c r="U118" s="176"/>
      <c r="V118" s="176"/>
      <c r="W118" s="231"/>
      <c r="X118" s="231"/>
      <c r="Y118" s="231"/>
    </row>
    <row r="119" spans="12:25" x14ac:dyDescent="0.35">
      <c r="L119" s="176"/>
      <c r="M119" s="176"/>
      <c r="N119" s="176"/>
      <c r="O119" s="176"/>
      <c r="P119" s="176"/>
      <c r="Q119" s="176"/>
      <c r="R119" s="176"/>
      <c r="S119" s="176">
        <v>117</v>
      </c>
      <c r="T119" s="176">
        <v>150</v>
      </c>
      <c r="U119" s="176"/>
      <c r="V119" s="176"/>
      <c r="W119" s="231"/>
      <c r="X119" s="231"/>
      <c r="Y119" s="231"/>
    </row>
    <row r="120" spans="12:25" x14ac:dyDescent="0.35">
      <c r="L120" s="176"/>
      <c r="M120" s="176"/>
      <c r="N120" s="176"/>
      <c r="O120" s="176"/>
      <c r="P120" s="176"/>
      <c r="Q120" s="176"/>
      <c r="R120" s="176"/>
      <c r="S120" s="176">
        <v>118</v>
      </c>
      <c r="T120" s="176">
        <v>150</v>
      </c>
      <c r="U120" s="176"/>
      <c r="V120" s="176"/>
      <c r="W120" s="231"/>
      <c r="X120" s="231"/>
      <c r="Y120" s="231"/>
    </row>
    <row r="121" spans="12:25" x14ac:dyDescent="0.35">
      <c r="L121" s="176"/>
      <c r="M121" s="176"/>
      <c r="N121" s="176"/>
      <c r="O121" s="176"/>
      <c r="P121" s="176"/>
      <c r="Q121" s="176"/>
      <c r="R121" s="176"/>
      <c r="S121" s="176">
        <v>119</v>
      </c>
      <c r="T121" s="176">
        <v>150</v>
      </c>
      <c r="U121" s="176"/>
      <c r="V121" s="176"/>
      <c r="W121" s="231"/>
      <c r="X121" s="231"/>
      <c r="Y121" s="231"/>
    </row>
    <row r="122" spans="12:25" x14ac:dyDescent="0.35">
      <c r="L122" s="176"/>
      <c r="M122" s="176"/>
      <c r="N122" s="176"/>
      <c r="O122" s="176"/>
      <c r="P122" s="176"/>
      <c r="Q122" s="176"/>
      <c r="R122" s="176"/>
      <c r="S122" s="176">
        <v>120</v>
      </c>
      <c r="T122" s="176">
        <v>150</v>
      </c>
      <c r="U122" s="176"/>
      <c r="V122" s="176"/>
      <c r="W122" s="231"/>
      <c r="X122" s="231"/>
      <c r="Y122" s="231"/>
    </row>
    <row r="123" spans="12:25" x14ac:dyDescent="0.35">
      <c r="L123" s="176"/>
      <c r="M123" s="176"/>
      <c r="N123" s="176"/>
      <c r="O123" s="176"/>
      <c r="P123" s="176"/>
      <c r="Q123" s="176"/>
      <c r="R123" s="176"/>
      <c r="S123" s="176">
        <v>121</v>
      </c>
      <c r="T123" s="176">
        <v>150</v>
      </c>
      <c r="U123" s="176"/>
      <c r="V123" s="176"/>
      <c r="W123" s="231"/>
      <c r="X123" s="231"/>
      <c r="Y123" s="231"/>
    </row>
    <row r="124" spans="12:25" x14ac:dyDescent="0.35">
      <c r="L124" s="176"/>
      <c r="M124" s="176"/>
      <c r="N124" s="176"/>
      <c r="O124" s="176"/>
      <c r="P124" s="176"/>
      <c r="Q124" s="176"/>
      <c r="R124" s="176"/>
      <c r="S124" s="176">
        <v>122</v>
      </c>
      <c r="T124" s="176">
        <v>150</v>
      </c>
      <c r="U124" s="176"/>
      <c r="V124" s="176"/>
      <c r="W124" s="231"/>
      <c r="X124" s="231"/>
      <c r="Y124" s="231"/>
    </row>
    <row r="125" spans="12:25" x14ac:dyDescent="0.35">
      <c r="L125" s="176"/>
      <c r="M125" s="176"/>
      <c r="N125" s="176"/>
      <c r="O125" s="176"/>
      <c r="P125" s="176"/>
      <c r="Q125" s="176"/>
      <c r="R125" s="176"/>
      <c r="S125" s="176">
        <v>123</v>
      </c>
      <c r="T125" s="176">
        <v>150</v>
      </c>
      <c r="U125" s="176"/>
      <c r="V125" s="176"/>
      <c r="W125" s="231"/>
      <c r="X125" s="231"/>
      <c r="Y125" s="231"/>
    </row>
    <row r="126" spans="12:25" x14ac:dyDescent="0.35">
      <c r="L126" s="176"/>
      <c r="M126" s="176"/>
      <c r="N126" s="176"/>
      <c r="O126" s="176"/>
      <c r="P126" s="176"/>
      <c r="Q126" s="176"/>
      <c r="R126" s="176"/>
      <c r="S126" s="176">
        <v>124</v>
      </c>
      <c r="T126" s="176">
        <v>150</v>
      </c>
      <c r="U126" s="176"/>
      <c r="V126" s="176"/>
      <c r="W126" s="231"/>
      <c r="X126" s="231"/>
      <c r="Y126" s="231"/>
    </row>
    <row r="127" spans="12:25" x14ac:dyDescent="0.35">
      <c r="L127" s="176"/>
      <c r="M127" s="176"/>
      <c r="N127" s="176"/>
      <c r="O127" s="176"/>
      <c r="P127" s="176"/>
      <c r="Q127" s="176"/>
      <c r="R127" s="176"/>
      <c r="S127" s="176">
        <v>125</v>
      </c>
      <c r="T127" s="176">
        <v>150</v>
      </c>
      <c r="U127" s="176"/>
      <c r="V127" s="176"/>
      <c r="W127" s="231"/>
      <c r="X127" s="231"/>
      <c r="Y127" s="231"/>
    </row>
    <row r="128" spans="12:25" x14ac:dyDescent="0.35">
      <c r="L128" s="176"/>
      <c r="M128" s="176"/>
      <c r="N128" s="176"/>
      <c r="O128" s="176"/>
      <c r="P128" s="176"/>
      <c r="Q128" s="176"/>
      <c r="R128" s="176"/>
      <c r="S128" s="176">
        <v>126</v>
      </c>
      <c r="T128" s="176">
        <v>150</v>
      </c>
      <c r="U128" s="176"/>
      <c r="V128" s="176"/>
      <c r="W128" s="231"/>
      <c r="X128" s="231"/>
      <c r="Y128" s="231"/>
    </row>
    <row r="129" spans="12:25" x14ac:dyDescent="0.35">
      <c r="L129" s="176"/>
      <c r="M129" s="176"/>
      <c r="N129" s="176"/>
      <c r="O129" s="176"/>
      <c r="P129" s="176"/>
      <c r="Q129" s="176"/>
      <c r="R129" s="176"/>
      <c r="S129" s="176">
        <v>127</v>
      </c>
      <c r="T129" s="176">
        <v>150</v>
      </c>
      <c r="U129" s="176"/>
      <c r="V129" s="176"/>
      <c r="W129" s="231"/>
      <c r="X129" s="231"/>
      <c r="Y129" s="231"/>
    </row>
    <row r="130" spans="12:25" x14ac:dyDescent="0.35">
      <c r="L130" s="176"/>
      <c r="M130" s="176"/>
      <c r="N130" s="176"/>
      <c r="O130" s="176"/>
      <c r="P130" s="176"/>
      <c r="Q130" s="176"/>
      <c r="R130" s="176"/>
      <c r="S130" s="176">
        <v>128</v>
      </c>
      <c r="T130" s="176">
        <v>150</v>
      </c>
      <c r="U130" s="176"/>
      <c r="V130" s="176"/>
      <c r="W130" s="231"/>
      <c r="X130" s="231"/>
      <c r="Y130" s="231"/>
    </row>
    <row r="131" spans="12:25" x14ac:dyDescent="0.35">
      <c r="L131" s="176"/>
      <c r="M131" s="176"/>
      <c r="N131" s="176"/>
      <c r="O131" s="176"/>
      <c r="P131" s="176"/>
      <c r="Q131" s="176"/>
      <c r="R131" s="176"/>
      <c r="S131" s="176">
        <v>129</v>
      </c>
      <c r="T131" s="176">
        <v>150</v>
      </c>
      <c r="U131" s="176"/>
      <c r="V131" s="176"/>
      <c r="W131" s="231"/>
      <c r="X131" s="231"/>
      <c r="Y131" s="231"/>
    </row>
    <row r="132" spans="12:25" x14ac:dyDescent="0.35">
      <c r="L132" s="176"/>
      <c r="M132" s="176"/>
      <c r="N132" s="176"/>
      <c r="O132" s="176"/>
      <c r="P132" s="176"/>
      <c r="Q132" s="176"/>
      <c r="R132" s="176"/>
      <c r="S132" s="176">
        <v>130</v>
      </c>
      <c r="T132" s="176">
        <v>150</v>
      </c>
      <c r="U132" s="176"/>
      <c r="V132" s="176"/>
      <c r="W132" s="231"/>
      <c r="X132" s="231"/>
      <c r="Y132" s="231"/>
    </row>
    <row r="133" spans="12:25" x14ac:dyDescent="0.35">
      <c r="L133" s="176"/>
      <c r="M133" s="176"/>
      <c r="N133" s="176"/>
      <c r="O133" s="176"/>
      <c r="P133" s="176"/>
      <c r="Q133" s="176"/>
      <c r="R133" s="176"/>
      <c r="S133" s="176">
        <v>131</v>
      </c>
      <c r="T133" s="176">
        <v>150</v>
      </c>
      <c r="U133" s="176"/>
      <c r="V133" s="176"/>
      <c r="W133" s="231"/>
      <c r="X133" s="231"/>
      <c r="Y133" s="231"/>
    </row>
    <row r="134" spans="12:25" x14ac:dyDescent="0.35">
      <c r="L134" s="176"/>
      <c r="M134" s="176"/>
      <c r="N134" s="176"/>
      <c r="O134" s="176"/>
      <c r="P134" s="176"/>
      <c r="Q134" s="176"/>
      <c r="R134" s="176"/>
      <c r="S134" s="176">
        <v>132</v>
      </c>
      <c r="T134" s="176">
        <v>150</v>
      </c>
      <c r="U134" s="176"/>
      <c r="V134" s="176"/>
      <c r="W134" s="231"/>
      <c r="X134" s="231"/>
      <c r="Y134" s="231"/>
    </row>
    <row r="135" spans="12:25" x14ac:dyDescent="0.35">
      <c r="L135" s="176"/>
      <c r="M135" s="176"/>
      <c r="N135" s="176"/>
      <c r="O135" s="176"/>
      <c r="P135" s="176"/>
      <c r="Q135" s="176"/>
      <c r="R135" s="176"/>
      <c r="S135" s="176">
        <v>133</v>
      </c>
      <c r="T135" s="176">
        <v>150</v>
      </c>
      <c r="U135" s="176"/>
      <c r="V135" s="176"/>
      <c r="W135" s="231"/>
      <c r="X135" s="231"/>
      <c r="Y135" s="231"/>
    </row>
    <row r="136" spans="12:25" x14ac:dyDescent="0.35">
      <c r="L136" s="176"/>
      <c r="M136" s="176"/>
      <c r="N136" s="176"/>
      <c r="O136" s="176"/>
      <c r="P136" s="176"/>
      <c r="Q136" s="176"/>
      <c r="R136" s="176"/>
      <c r="S136" s="176">
        <v>134</v>
      </c>
      <c r="T136" s="176">
        <v>150</v>
      </c>
      <c r="U136" s="176"/>
      <c r="V136" s="176"/>
      <c r="W136" s="231"/>
      <c r="X136" s="231"/>
      <c r="Y136" s="231"/>
    </row>
    <row r="137" spans="12:25" x14ac:dyDescent="0.35">
      <c r="L137" s="176"/>
      <c r="M137" s="176"/>
      <c r="N137" s="176"/>
      <c r="O137" s="176"/>
      <c r="P137" s="176"/>
      <c r="Q137" s="176"/>
      <c r="R137" s="176"/>
      <c r="S137" s="176">
        <v>135</v>
      </c>
      <c r="T137" s="176">
        <v>150</v>
      </c>
      <c r="U137" s="176"/>
      <c r="V137" s="176"/>
      <c r="W137" s="231"/>
      <c r="X137" s="231"/>
      <c r="Y137" s="231"/>
    </row>
    <row r="138" spans="12:25" x14ac:dyDescent="0.35">
      <c r="L138" s="176"/>
      <c r="M138" s="176"/>
      <c r="N138" s="176"/>
      <c r="O138" s="176"/>
      <c r="P138" s="176"/>
      <c r="Q138" s="176"/>
      <c r="R138" s="176"/>
      <c r="S138" s="176">
        <v>136</v>
      </c>
      <c r="T138" s="176">
        <v>150</v>
      </c>
      <c r="U138" s="176"/>
      <c r="V138" s="176"/>
      <c r="W138" s="231"/>
      <c r="X138" s="231"/>
      <c r="Y138" s="231"/>
    </row>
    <row r="139" spans="12:25" x14ac:dyDescent="0.35">
      <c r="L139" s="176"/>
      <c r="M139" s="176"/>
      <c r="N139" s="176"/>
      <c r="O139" s="176"/>
      <c r="P139" s="176"/>
      <c r="Q139" s="176"/>
      <c r="R139" s="176"/>
      <c r="S139" s="176">
        <v>137</v>
      </c>
      <c r="T139" s="176">
        <v>150</v>
      </c>
      <c r="U139" s="176"/>
      <c r="V139" s="176"/>
      <c r="W139" s="231"/>
      <c r="X139" s="231"/>
      <c r="Y139" s="231"/>
    </row>
    <row r="140" spans="12:25" x14ac:dyDescent="0.35">
      <c r="L140" s="176"/>
      <c r="M140" s="176"/>
      <c r="N140" s="176"/>
      <c r="O140" s="176"/>
      <c r="P140" s="176"/>
      <c r="Q140" s="176"/>
      <c r="R140" s="176"/>
      <c r="S140" s="176">
        <v>138</v>
      </c>
      <c r="T140" s="176">
        <v>150</v>
      </c>
      <c r="U140" s="176"/>
      <c r="V140" s="176"/>
      <c r="W140" s="231"/>
      <c r="X140" s="231"/>
      <c r="Y140" s="231"/>
    </row>
    <row r="141" spans="12:25" x14ac:dyDescent="0.35">
      <c r="L141" s="176"/>
      <c r="M141" s="176"/>
      <c r="N141" s="176"/>
      <c r="O141" s="176"/>
      <c r="P141" s="176"/>
      <c r="Q141" s="176"/>
      <c r="R141" s="176"/>
      <c r="S141" s="176">
        <v>139</v>
      </c>
      <c r="T141" s="176">
        <v>150</v>
      </c>
      <c r="U141" s="176"/>
      <c r="V141" s="176"/>
      <c r="W141" s="231"/>
      <c r="X141" s="231"/>
      <c r="Y141" s="231"/>
    </row>
    <row r="142" spans="12:25" x14ac:dyDescent="0.35">
      <c r="L142" s="176"/>
      <c r="M142" s="176"/>
      <c r="N142" s="176"/>
      <c r="O142" s="176"/>
      <c r="P142" s="176"/>
      <c r="Q142" s="176"/>
      <c r="R142" s="176"/>
      <c r="S142" s="176">
        <v>140</v>
      </c>
      <c r="T142" s="176">
        <v>150</v>
      </c>
      <c r="U142" s="176"/>
      <c r="V142" s="176"/>
      <c r="W142" s="231"/>
      <c r="X142" s="231"/>
      <c r="Y142" s="231"/>
    </row>
    <row r="143" spans="12:25" x14ac:dyDescent="0.35">
      <c r="L143" s="176"/>
      <c r="M143" s="176"/>
      <c r="N143" s="176"/>
      <c r="O143" s="176"/>
      <c r="P143" s="176"/>
      <c r="Q143" s="176"/>
      <c r="R143" s="176"/>
      <c r="S143" s="176">
        <v>141</v>
      </c>
      <c r="T143" s="176">
        <v>150</v>
      </c>
      <c r="U143" s="176"/>
      <c r="V143" s="176"/>
      <c r="W143" s="231"/>
      <c r="X143" s="231"/>
      <c r="Y143" s="231"/>
    </row>
    <row r="144" spans="12:25" x14ac:dyDescent="0.35">
      <c r="L144" s="176"/>
      <c r="M144" s="176"/>
      <c r="N144" s="176"/>
      <c r="O144" s="176"/>
      <c r="P144" s="176"/>
      <c r="Q144" s="176"/>
      <c r="R144" s="176"/>
      <c r="S144" s="176">
        <v>142</v>
      </c>
      <c r="T144" s="176">
        <v>150</v>
      </c>
      <c r="U144" s="176"/>
      <c r="V144" s="176"/>
      <c r="W144" s="231"/>
      <c r="X144" s="231"/>
      <c r="Y144" s="231"/>
    </row>
    <row r="145" spans="12:25" x14ac:dyDescent="0.35">
      <c r="L145" s="176"/>
      <c r="M145" s="176"/>
      <c r="N145" s="176"/>
      <c r="O145" s="176"/>
      <c r="P145" s="176"/>
      <c r="Q145" s="176"/>
      <c r="R145" s="176"/>
      <c r="S145" s="176">
        <v>143</v>
      </c>
      <c r="T145" s="176">
        <v>150</v>
      </c>
      <c r="U145" s="176"/>
      <c r="V145" s="176"/>
      <c r="W145" s="231"/>
      <c r="X145" s="231"/>
      <c r="Y145" s="231"/>
    </row>
    <row r="146" spans="12:25" x14ac:dyDescent="0.35">
      <c r="L146" s="176"/>
      <c r="M146" s="176"/>
      <c r="N146" s="176"/>
      <c r="O146" s="176"/>
      <c r="P146" s="176"/>
      <c r="Q146" s="176"/>
      <c r="R146" s="176"/>
      <c r="S146" s="176">
        <v>144</v>
      </c>
      <c r="T146" s="176">
        <v>150</v>
      </c>
      <c r="U146" s="176"/>
      <c r="V146" s="176"/>
      <c r="W146" s="231"/>
      <c r="X146" s="231"/>
      <c r="Y146" s="231"/>
    </row>
    <row r="147" spans="12:25" x14ac:dyDescent="0.35">
      <c r="L147" s="176"/>
      <c r="M147" s="176"/>
      <c r="N147" s="176"/>
      <c r="O147" s="176"/>
      <c r="P147" s="176"/>
      <c r="Q147" s="176"/>
      <c r="R147" s="176"/>
      <c r="S147" s="176">
        <v>145</v>
      </c>
      <c r="T147" s="176">
        <v>150</v>
      </c>
      <c r="U147" s="176"/>
      <c r="V147" s="176"/>
      <c r="W147" s="231"/>
      <c r="X147" s="231"/>
      <c r="Y147" s="231"/>
    </row>
    <row r="148" spans="12:25" x14ac:dyDescent="0.35">
      <c r="L148" s="176"/>
      <c r="M148" s="176"/>
      <c r="N148" s="176"/>
      <c r="O148" s="176"/>
      <c r="P148" s="176"/>
      <c r="Q148" s="176"/>
      <c r="R148" s="176"/>
      <c r="S148" s="176">
        <v>146</v>
      </c>
      <c r="T148" s="176">
        <v>150</v>
      </c>
      <c r="U148" s="176"/>
      <c r="V148" s="176"/>
      <c r="W148" s="231"/>
      <c r="X148" s="231"/>
      <c r="Y148" s="231"/>
    </row>
    <row r="149" spans="12:25" x14ac:dyDescent="0.35">
      <c r="L149" s="176"/>
      <c r="M149" s="176"/>
      <c r="N149" s="176"/>
      <c r="O149" s="176"/>
      <c r="P149" s="176"/>
      <c r="Q149" s="176"/>
      <c r="R149" s="176"/>
      <c r="S149" s="176">
        <v>147</v>
      </c>
      <c r="T149" s="176">
        <v>150</v>
      </c>
      <c r="U149" s="176"/>
      <c r="V149" s="176"/>
      <c r="W149" s="231"/>
      <c r="X149" s="231"/>
      <c r="Y149" s="231"/>
    </row>
    <row r="150" spans="12:25" x14ac:dyDescent="0.35">
      <c r="L150" s="176"/>
      <c r="M150" s="176"/>
      <c r="N150" s="176"/>
      <c r="O150" s="176"/>
      <c r="P150" s="176"/>
      <c r="Q150" s="176"/>
      <c r="R150" s="176"/>
      <c r="S150" s="176">
        <v>148</v>
      </c>
      <c r="T150" s="176">
        <v>150</v>
      </c>
      <c r="U150" s="176"/>
      <c r="V150" s="176"/>
      <c r="W150" s="231"/>
      <c r="X150" s="231"/>
      <c r="Y150" s="231"/>
    </row>
    <row r="151" spans="12:25" x14ac:dyDescent="0.35">
      <c r="L151" s="176"/>
      <c r="M151" s="176"/>
      <c r="N151" s="176"/>
      <c r="O151" s="176"/>
      <c r="P151" s="176"/>
      <c r="Q151" s="176"/>
      <c r="R151" s="176"/>
      <c r="S151" s="176">
        <v>149</v>
      </c>
      <c r="T151" s="176">
        <v>150</v>
      </c>
      <c r="U151" s="176"/>
      <c r="V151" s="176"/>
      <c r="W151" s="231"/>
      <c r="X151" s="231"/>
      <c r="Y151" s="231"/>
    </row>
    <row r="152" spans="12:25" x14ac:dyDescent="0.35">
      <c r="L152" s="176"/>
      <c r="M152" s="176"/>
      <c r="N152" s="176"/>
      <c r="O152" s="176"/>
      <c r="P152" s="176"/>
      <c r="Q152" s="176"/>
      <c r="R152" s="176"/>
      <c r="S152" s="176">
        <v>150</v>
      </c>
      <c r="T152" s="176">
        <v>150</v>
      </c>
      <c r="U152" s="176">
        <v>150</v>
      </c>
      <c r="V152" s="176"/>
      <c r="W152" s="231"/>
      <c r="X152" s="231"/>
      <c r="Y152" s="231"/>
    </row>
    <row r="153" spans="12:25" x14ac:dyDescent="0.35">
      <c r="L153" s="176"/>
      <c r="M153" s="176"/>
      <c r="N153" s="176"/>
      <c r="O153" s="176"/>
      <c r="P153" s="176"/>
      <c r="Q153" s="176"/>
      <c r="R153" s="176"/>
      <c r="S153" s="176">
        <v>151</v>
      </c>
      <c r="T153" s="176">
        <v>150</v>
      </c>
      <c r="U153" s="176"/>
      <c r="V153" s="176"/>
      <c r="W153" s="231"/>
      <c r="X153" s="231"/>
      <c r="Y153" s="231"/>
    </row>
    <row r="154" spans="12:25" x14ac:dyDescent="0.35">
      <c r="L154" s="176"/>
      <c r="M154" s="176"/>
      <c r="N154" s="176"/>
      <c r="O154" s="176"/>
      <c r="P154" s="176"/>
      <c r="Q154" s="176"/>
      <c r="R154" s="176"/>
      <c r="S154" s="176">
        <v>152</v>
      </c>
      <c r="T154" s="176">
        <v>150</v>
      </c>
      <c r="U154" s="176"/>
      <c r="V154" s="176"/>
      <c r="W154" s="231"/>
      <c r="X154" s="231"/>
      <c r="Y154" s="231"/>
    </row>
    <row r="155" spans="12:25" x14ac:dyDescent="0.35">
      <c r="L155" s="176"/>
      <c r="M155" s="176"/>
      <c r="N155" s="176"/>
      <c r="O155" s="176"/>
      <c r="P155" s="176"/>
      <c r="Q155" s="176"/>
      <c r="R155" s="176"/>
      <c r="S155" s="176">
        <v>153</v>
      </c>
      <c r="T155" s="176">
        <v>150</v>
      </c>
      <c r="U155" s="176"/>
      <c r="V155" s="176"/>
      <c r="W155" s="231"/>
      <c r="X155" s="231"/>
      <c r="Y155" s="231"/>
    </row>
    <row r="156" spans="12:25" x14ac:dyDescent="0.35">
      <c r="L156" s="176"/>
      <c r="M156" s="176"/>
      <c r="N156" s="176"/>
      <c r="O156" s="176"/>
      <c r="P156" s="176"/>
      <c r="Q156" s="176"/>
      <c r="R156" s="176"/>
      <c r="S156" s="176">
        <v>154</v>
      </c>
      <c r="T156" s="176">
        <v>150</v>
      </c>
      <c r="U156" s="176"/>
      <c r="V156" s="176"/>
      <c r="W156" s="231"/>
      <c r="X156" s="231"/>
      <c r="Y156" s="231"/>
    </row>
    <row r="157" spans="12:25" x14ac:dyDescent="0.35">
      <c r="L157" s="176"/>
      <c r="M157" s="176"/>
      <c r="N157" s="176"/>
      <c r="O157" s="176"/>
      <c r="P157" s="176"/>
      <c r="Q157" s="176"/>
      <c r="R157" s="176"/>
      <c r="S157" s="176">
        <v>155</v>
      </c>
      <c r="T157" s="176">
        <v>150</v>
      </c>
      <c r="U157" s="176"/>
      <c r="V157" s="176"/>
      <c r="W157" s="231"/>
      <c r="X157" s="231"/>
      <c r="Y157" s="231"/>
    </row>
    <row r="158" spans="12:25" x14ac:dyDescent="0.35">
      <c r="L158" s="176"/>
      <c r="M158" s="176"/>
      <c r="N158" s="176"/>
      <c r="O158" s="176"/>
      <c r="P158" s="176"/>
      <c r="Q158" s="176"/>
      <c r="R158" s="176"/>
      <c r="S158" s="176">
        <v>156</v>
      </c>
      <c r="T158" s="176">
        <v>150</v>
      </c>
      <c r="U158" s="176"/>
      <c r="V158" s="176"/>
      <c r="W158" s="231"/>
      <c r="X158" s="231"/>
      <c r="Y158" s="231"/>
    </row>
    <row r="159" spans="12:25" x14ac:dyDescent="0.35">
      <c r="L159" s="176"/>
      <c r="M159" s="176"/>
      <c r="N159" s="176"/>
      <c r="O159" s="176"/>
      <c r="P159" s="176"/>
      <c r="Q159" s="176"/>
      <c r="R159" s="176"/>
      <c r="S159" s="176">
        <v>157</v>
      </c>
      <c r="T159" s="176">
        <v>150</v>
      </c>
      <c r="U159" s="176"/>
      <c r="V159" s="176"/>
      <c r="W159" s="231"/>
      <c r="X159" s="231"/>
      <c r="Y159" s="231"/>
    </row>
    <row r="160" spans="12:25" x14ac:dyDescent="0.35">
      <c r="L160" s="176"/>
      <c r="M160" s="176"/>
      <c r="N160" s="176"/>
      <c r="O160" s="176"/>
      <c r="P160" s="176"/>
      <c r="Q160" s="176"/>
      <c r="R160" s="176"/>
      <c r="S160" s="176">
        <v>158</v>
      </c>
      <c r="T160" s="176">
        <v>150</v>
      </c>
      <c r="U160" s="176"/>
      <c r="V160" s="176"/>
      <c r="W160" s="231"/>
      <c r="X160" s="231"/>
      <c r="Y160" s="231"/>
    </row>
    <row r="161" spans="12:25" x14ac:dyDescent="0.35">
      <c r="L161" s="176"/>
      <c r="M161" s="176"/>
      <c r="N161" s="176"/>
      <c r="O161" s="176"/>
      <c r="P161" s="176"/>
      <c r="Q161" s="176"/>
      <c r="R161" s="176"/>
      <c r="S161" s="176">
        <v>159</v>
      </c>
      <c r="T161" s="176">
        <v>150</v>
      </c>
      <c r="U161" s="176"/>
      <c r="V161" s="176"/>
      <c r="W161" s="231"/>
      <c r="X161" s="231"/>
      <c r="Y161" s="231"/>
    </row>
    <row r="162" spans="12:25" x14ac:dyDescent="0.35">
      <c r="L162" s="176"/>
      <c r="M162" s="176"/>
      <c r="N162" s="176"/>
      <c r="O162" s="176"/>
      <c r="P162" s="176"/>
      <c r="Q162" s="176"/>
      <c r="R162" s="176"/>
      <c r="S162" s="176">
        <v>160</v>
      </c>
      <c r="T162" s="176">
        <v>150</v>
      </c>
      <c r="U162" s="176"/>
      <c r="V162" s="176"/>
      <c r="W162" s="231"/>
      <c r="X162" s="231"/>
      <c r="Y162" s="231"/>
    </row>
    <row r="163" spans="12:25" x14ac:dyDescent="0.35">
      <c r="L163" s="176"/>
      <c r="M163" s="176"/>
      <c r="N163" s="176"/>
      <c r="O163" s="176"/>
      <c r="P163" s="176"/>
      <c r="Q163" s="176"/>
      <c r="R163" s="176"/>
      <c r="S163" s="176">
        <v>161</v>
      </c>
      <c r="T163" s="176">
        <v>150</v>
      </c>
      <c r="U163" s="176"/>
      <c r="V163" s="176"/>
      <c r="W163" s="231"/>
      <c r="X163" s="231"/>
      <c r="Y163" s="231"/>
    </row>
    <row r="164" spans="12:25" x14ac:dyDescent="0.35">
      <c r="L164" s="176"/>
      <c r="M164" s="176"/>
      <c r="N164" s="176"/>
      <c r="O164" s="176"/>
      <c r="P164" s="176"/>
      <c r="Q164" s="176"/>
      <c r="R164" s="176"/>
      <c r="S164" s="176">
        <v>162</v>
      </c>
      <c r="T164" s="176">
        <v>150</v>
      </c>
      <c r="U164" s="176"/>
      <c r="V164" s="176"/>
      <c r="W164" s="231"/>
      <c r="X164" s="231"/>
      <c r="Y164" s="231"/>
    </row>
    <row r="165" spans="12:25" x14ac:dyDescent="0.35">
      <c r="L165" s="176"/>
      <c r="M165" s="176"/>
      <c r="N165" s="176"/>
      <c r="O165" s="176"/>
      <c r="P165" s="176"/>
      <c r="Q165" s="176"/>
      <c r="R165" s="176"/>
      <c r="S165" s="176">
        <v>163</v>
      </c>
      <c r="T165" s="176">
        <v>150</v>
      </c>
      <c r="U165" s="176"/>
      <c r="V165" s="176"/>
      <c r="W165" s="231"/>
      <c r="X165" s="231"/>
      <c r="Y165" s="231"/>
    </row>
    <row r="166" spans="12:25" x14ac:dyDescent="0.35">
      <c r="L166" s="176"/>
      <c r="M166" s="176"/>
      <c r="N166" s="176"/>
      <c r="O166" s="176"/>
      <c r="P166" s="176"/>
      <c r="Q166" s="176"/>
      <c r="R166" s="176"/>
      <c r="S166" s="176">
        <v>164</v>
      </c>
      <c r="T166" s="176">
        <v>150</v>
      </c>
      <c r="U166" s="176"/>
      <c r="V166" s="176"/>
      <c r="W166" s="231"/>
      <c r="X166" s="231"/>
      <c r="Y166" s="231"/>
    </row>
    <row r="167" spans="12:25" x14ac:dyDescent="0.35">
      <c r="L167" s="176"/>
      <c r="M167" s="176"/>
      <c r="N167" s="176"/>
      <c r="O167" s="176"/>
      <c r="P167" s="176"/>
      <c r="Q167" s="176"/>
      <c r="R167" s="176"/>
      <c r="S167" s="176">
        <v>165</v>
      </c>
      <c r="T167" s="176">
        <v>150</v>
      </c>
      <c r="U167" s="176"/>
      <c r="V167" s="176"/>
      <c r="W167" s="231"/>
      <c r="X167" s="231"/>
      <c r="Y167" s="231"/>
    </row>
    <row r="168" spans="12:25" x14ac:dyDescent="0.35">
      <c r="L168" s="176"/>
      <c r="M168" s="176"/>
      <c r="N168" s="176"/>
      <c r="O168" s="176"/>
      <c r="P168" s="176"/>
      <c r="Q168" s="176"/>
      <c r="R168" s="176"/>
      <c r="S168" s="176">
        <v>166</v>
      </c>
      <c r="T168" s="176">
        <v>150</v>
      </c>
      <c r="U168" s="176"/>
      <c r="V168" s="176"/>
      <c r="W168" s="231"/>
      <c r="X168" s="231"/>
      <c r="Y168" s="231"/>
    </row>
    <row r="169" spans="12:25" x14ac:dyDescent="0.35">
      <c r="L169" s="176"/>
      <c r="M169" s="176"/>
      <c r="N169" s="176"/>
      <c r="O169" s="176"/>
      <c r="P169" s="176"/>
      <c r="Q169" s="176"/>
      <c r="R169" s="176"/>
      <c r="S169" s="176">
        <v>167</v>
      </c>
      <c r="T169" s="176">
        <v>150</v>
      </c>
      <c r="U169" s="176"/>
      <c r="V169" s="176"/>
      <c r="W169" s="231"/>
      <c r="X169" s="231"/>
      <c r="Y169" s="231"/>
    </row>
    <row r="170" spans="12:25" x14ac:dyDescent="0.35">
      <c r="L170" s="176"/>
      <c r="M170" s="176"/>
      <c r="N170" s="176"/>
      <c r="O170" s="176"/>
      <c r="P170" s="176"/>
      <c r="Q170" s="176"/>
      <c r="R170" s="176"/>
      <c r="S170" s="176">
        <v>168</v>
      </c>
      <c r="T170" s="176">
        <v>150</v>
      </c>
      <c r="U170" s="176"/>
      <c r="V170" s="176"/>
      <c r="W170" s="231"/>
      <c r="X170" s="231"/>
      <c r="Y170" s="231"/>
    </row>
    <row r="171" spans="12:25" x14ac:dyDescent="0.35">
      <c r="L171" s="176"/>
      <c r="M171" s="176"/>
      <c r="N171" s="176"/>
      <c r="O171" s="176"/>
      <c r="P171" s="176"/>
      <c r="Q171" s="176"/>
      <c r="R171" s="176"/>
      <c r="S171" s="176">
        <v>169</v>
      </c>
      <c r="T171" s="176">
        <v>150</v>
      </c>
      <c r="U171" s="176"/>
      <c r="V171" s="176"/>
      <c r="W171" s="231"/>
      <c r="X171" s="231"/>
      <c r="Y171" s="231"/>
    </row>
    <row r="172" spans="12:25" x14ac:dyDescent="0.35">
      <c r="L172" s="176"/>
      <c r="M172" s="176"/>
      <c r="N172" s="176"/>
      <c r="O172" s="176"/>
      <c r="P172" s="176"/>
      <c r="Q172" s="176"/>
      <c r="R172" s="176"/>
      <c r="S172" s="176">
        <v>170</v>
      </c>
      <c r="T172" s="176">
        <v>150</v>
      </c>
      <c r="U172" s="176"/>
      <c r="V172" s="176"/>
      <c r="W172" s="231"/>
      <c r="X172" s="231"/>
      <c r="Y172" s="231"/>
    </row>
    <row r="173" spans="12:25" x14ac:dyDescent="0.35">
      <c r="L173" s="176"/>
      <c r="M173" s="176"/>
      <c r="N173" s="176"/>
      <c r="O173" s="176"/>
      <c r="P173" s="176"/>
      <c r="Q173" s="176"/>
      <c r="R173" s="176"/>
      <c r="S173" s="176">
        <v>171</v>
      </c>
      <c r="T173" s="176">
        <v>150</v>
      </c>
      <c r="U173" s="176"/>
      <c r="V173" s="176"/>
      <c r="W173" s="231"/>
      <c r="X173" s="231"/>
      <c r="Y173" s="231"/>
    </row>
    <row r="174" spans="12:25" x14ac:dyDescent="0.35">
      <c r="L174" s="176"/>
      <c r="M174" s="176"/>
      <c r="N174" s="176"/>
      <c r="O174" s="176"/>
      <c r="P174" s="176"/>
      <c r="Q174" s="176"/>
      <c r="R174" s="176"/>
      <c r="S174" s="176">
        <v>172</v>
      </c>
      <c r="T174" s="176">
        <v>150</v>
      </c>
      <c r="U174" s="176"/>
      <c r="V174" s="176"/>
      <c r="W174" s="231"/>
      <c r="X174" s="231"/>
      <c r="Y174" s="231"/>
    </row>
    <row r="175" spans="12:25" x14ac:dyDescent="0.35">
      <c r="L175" s="176"/>
      <c r="M175" s="176"/>
      <c r="N175" s="176"/>
      <c r="O175" s="176"/>
      <c r="P175" s="176"/>
      <c r="Q175" s="176"/>
      <c r="R175" s="176"/>
      <c r="S175" s="176">
        <v>173</v>
      </c>
      <c r="T175" s="176">
        <v>150</v>
      </c>
      <c r="U175" s="176"/>
      <c r="V175" s="176"/>
      <c r="W175" s="231"/>
      <c r="X175" s="231"/>
      <c r="Y175" s="231"/>
    </row>
    <row r="176" spans="12:25" x14ac:dyDescent="0.35">
      <c r="L176" s="176"/>
      <c r="M176" s="176"/>
      <c r="N176" s="176"/>
      <c r="O176" s="176"/>
      <c r="P176" s="176"/>
      <c r="Q176" s="176"/>
      <c r="R176" s="176"/>
      <c r="S176" s="176">
        <v>174</v>
      </c>
      <c r="T176" s="176">
        <v>150</v>
      </c>
      <c r="U176" s="176"/>
      <c r="V176" s="176"/>
      <c r="W176" s="231"/>
      <c r="X176" s="231"/>
      <c r="Y176" s="231"/>
    </row>
    <row r="177" spans="12:25" x14ac:dyDescent="0.35">
      <c r="L177" s="176"/>
      <c r="M177" s="176"/>
      <c r="N177" s="176"/>
      <c r="O177" s="176"/>
      <c r="P177" s="176"/>
      <c r="Q177" s="176"/>
      <c r="R177" s="176"/>
      <c r="S177" s="176">
        <v>175</v>
      </c>
      <c r="T177" s="176">
        <v>150</v>
      </c>
      <c r="U177" s="176"/>
      <c r="V177" s="176"/>
      <c r="W177" s="231"/>
      <c r="X177" s="231"/>
      <c r="Y177" s="231"/>
    </row>
    <row r="178" spans="12:25" x14ac:dyDescent="0.35">
      <c r="L178" s="176"/>
      <c r="M178" s="176"/>
      <c r="N178" s="176"/>
      <c r="O178" s="176"/>
      <c r="P178" s="176"/>
      <c r="Q178" s="176"/>
      <c r="R178" s="176"/>
      <c r="S178" s="176">
        <v>176</v>
      </c>
      <c r="T178" s="176">
        <v>150</v>
      </c>
      <c r="U178" s="176"/>
      <c r="V178" s="176"/>
      <c r="W178" s="231"/>
      <c r="X178" s="231"/>
      <c r="Y178" s="231"/>
    </row>
    <row r="179" spans="12:25" x14ac:dyDescent="0.35">
      <c r="L179" s="176"/>
      <c r="M179" s="176"/>
      <c r="N179" s="176"/>
      <c r="O179" s="176"/>
      <c r="P179" s="176"/>
      <c r="Q179" s="176"/>
      <c r="R179" s="176"/>
      <c r="S179" s="176">
        <v>177</v>
      </c>
      <c r="T179" s="176">
        <v>150</v>
      </c>
      <c r="U179" s="176"/>
      <c r="V179" s="176"/>
      <c r="W179" s="231"/>
      <c r="X179" s="231"/>
      <c r="Y179" s="231"/>
    </row>
    <row r="180" spans="12:25" x14ac:dyDescent="0.35">
      <c r="L180" s="176"/>
      <c r="M180" s="176"/>
      <c r="N180" s="176"/>
      <c r="O180" s="176"/>
      <c r="P180" s="176"/>
      <c r="Q180" s="176"/>
      <c r="R180" s="176"/>
      <c r="S180" s="176">
        <v>178</v>
      </c>
      <c r="T180" s="176">
        <v>150</v>
      </c>
      <c r="U180" s="176"/>
      <c r="V180" s="176"/>
      <c r="W180" s="231"/>
      <c r="X180" s="231"/>
      <c r="Y180" s="231"/>
    </row>
    <row r="181" spans="12:25" x14ac:dyDescent="0.35">
      <c r="L181" s="176"/>
      <c r="M181" s="176"/>
      <c r="N181" s="176"/>
      <c r="O181" s="176"/>
      <c r="P181" s="176"/>
      <c r="Q181" s="176"/>
      <c r="R181" s="176"/>
      <c r="S181" s="176">
        <v>179</v>
      </c>
      <c r="T181" s="176">
        <v>150</v>
      </c>
      <c r="U181" s="176"/>
      <c r="V181" s="176"/>
      <c r="W181" s="231"/>
      <c r="X181" s="231"/>
      <c r="Y181" s="231"/>
    </row>
    <row r="182" spans="12:25" x14ac:dyDescent="0.35">
      <c r="L182" s="176"/>
      <c r="M182" s="176"/>
      <c r="N182" s="176"/>
      <c r="O182" s="176"/>
      <c r="P182" s="176"/>
      <c r="Q182" s="176"/>
      <c r="R182" s="176"/>
      <c r="S182" s="176">
        <v>180</v>
      </c>
      <c r="T182" s="176">
        <v>150</v>
      </c>
      <c r="U182" s="176"/>
      <c r="V182" s="176"/>
      <c r="W182" s="231"/>
      <c r="X182" s="231"/>
      <c r="Y182" s="231"/>
    </row>
    <row r="183" spans="12:25" x14ac:dyDescent="0.35">
      <c r="L183" s="176"/>
      <c r="M183" s="176"/>
      <c r="N183" s="176"/>
      <c r="O183" s="176"/>
      <c r="P183" s="176"/>
      <c r="Q183" s="176"/>
      <c r="R183" s="176"/>
      <c r="S183" s="176">
        <v>181</v>
      </c>
      <c r="T183" s="176">
        <v>150</v>
      </c>
      <c r="U183" s="176"/>
      <c r="V183" s="176"/>
      <c r="W183" s="231"/>
      <c r="X183" s="231"/>
      <c r="Y183" s="231"/>
    </row>
    <row r="184" spans="12:25" x14ac:dyDescent="0.35">
      <c r="L184" s="176"/>
      <c r="M184" s="176"/>
      <c r="N184" s="176"/>
      <c r="O184" s="176"/>
      <c r="P184" s="176"/>
      <c r="Q184" s="176"/>
      <c r="R184" s="176"/>
      <c r="S184" s="176">
        <v>182</v>
      </c>
      <c r="T184" s="176">
        <v>150</v>
      </c>
      <c r="U184" s="176"/>
      <c r="V184" s="176"/>
      <c r="W184" s="231"/>
      <c r="X184" s="231"/>
      <c r="Y184" s="231"/>
    </row>
    <row r="185" spans="12:25" x14ac:dyDescent="0.35">
      <c r="L185" s="176"/>
      <c r="M185" s="176"/>
      <c r="N185" s="176"/>
      <c r="O185" s="176"/>
      <c r="P185" s="176"/>
      <c r="Q185" s="176"/>
      <c r="R185" s="176"/>
      <c r="S185" s="176">
        <v>183</v>
      </c>
      <c r="T185" s="176">
        <v>150</v>
      </c>
      <c r="U185" s="176"/>
      <c r="V185" s="176"/>
      <c r="W185" s="231"/>
      <c r="X185" s="231"/>
      <c r="Y185" s="231"/>
    </row>
    <row r="186" spans="12:25" x14ac:dyDescent="0.35">
      <c r="L186" s="176"/>
      <c r="M186" s="176"/>
      <c r="N186" s="176"/>
      <c r="O186" s="176"/>
      <c r="P186" s="176"/>
      <c r="Q186" s="176"/>
      <c r="R186" s="176"/>
      <c r="S186" s="176">
        <v>184</v>
      </c>
      <c r="T186" s="176">
        <v>150</v>
      </c>
      <c r="U186" s="176"/>
      <c r="V186" s="176"/>
      <c r="W186" s="231"/>
      <c r="X186" s="231"/>
      <c r="Y186" s="231"/>
    </row>
    <row r="187" spans="12:25" x14ac:dyDescent="0.35">
      <c r="L187" s="176"/>
      <c r="M187" s="176"/>
      <c r="N187" s="176"/>
      <c r="O187" s="176"/>
      <c r="P187" s="176"/>
      <c r="Q187" s="176"/>
      <c r="R187" s="176"/>
      <c r="S187" s="176">
        <v>185</v>
      </c>
      <c r="T187" s="176">
        <v>150</v>
      </c>
      <c r="U187" s="176"/>
      <c r="V187" s="176"/>
      <c r="W187" s="231"/>
      <c r="X187" s="231"/>
      <c r="Y187" s="231"/>
    </row>
    <row r="188" spans="12:25" x14ac:dyDescent="0.35">
      <c r="L188" s="176"/>
      <c r="M188" s="176"/>
      <c r="N188" s="176"/>
      <c r="O188" s="176"/>
      <c r="P188" s="176"/>
      <c r="Q188" s="176"/>
      <c r="R188" s="176"/>
      <c r="S188" s="176">
        <v>186</v>
      </c>
      <c r="T188" s="176">
        <v>150</v>
      </c>
      <c r="U188" s="176"/>
      <c r="V188" s="176"/>
      <c r="W188" s="231"/>
      <c r="X188" s="231"/>
      <c r="Y188" s="231"/>
    </row>
    <row r="189" spans="12:25" x14ac:dyDescent="0.35">
      <c r="L189" s="176"/>
      <c r="M189" s="176"/>
      <c r="N189" s="176"/>
      <c r="O189" s="176"/>
      <c r="P189" s="176"/>
      <c r="Q189" s="176"/>
      <c r="R189" s="176"/>
      <c r="S189" s="176">
        <v>187</v>
      </c>
      <c r="T189" s="176">
        <v>150</v>
      </c>
      <c r="U189" s="176"/>
      <c r="V189" s="176"/>
      <c r="W189" s="231"/>
      <c r="X189" s="231"/>
      <c r="Y189" s="231"/>
    </row>
    <row r="190" spans="12:25" x14ac:dyDescent="0.35">
      <c r="L190" s="176"/>
      <c r="M190" s="176"/>
      <c r="N190" s="176"/>
      <c r="O190" s="176"/>
      <c r="P190" s="176"/>
      <c r="Q190" s="176"/>
      <c r="R190" s="176"/>
      <c r="S190" s="176">
        <v>188</v>
      </c>
      <c r="T190" s="176">
        <v>150</v>
      </c>
      <c r="U190" s="176"/>
      <c r="V190" s="176"/>
      <c r="W190" s="231"/>
      <c r="X190" s="231"/>
      <c r="Y190" s="231"/>
    </row>
    <row r="191" spans="12:25" x14ac:dyDescent="0.35">
      <c r="L191" s="176"/>
      <c r="M191" s="176"/>
      <c r="N191" s="176"/>
      <c r="O191" s="176"/>
      <c r="P191" s="176"/>
      <c r="Q191" s="176"/>
      <c r="R191" s="176"/>
      <c r="S191" s="176">
        <v>189</v>
      </c>
      <c r="T191" s="176">
        <v>150</v>
      </c>
      <c r="U191" s="176"/>
      <c r="V191" s="176"/>
      <c r="W191" s="231"/>
      <c r="X191" s="231"/>
      <c r="Y191" s="231"/>
    </row>
    <row r="192" spans="12:25" x14ac:dyDescent="0.35">
      <c r="L192" s="176"/>
      <c r="M192" s="176"/>
      <c r="N192" s="176"/>
      <c r="O192" s="176"/>
      <c r="P192" s="176"/>
      <c r="Q192" s="176"/>
      <c r="R192" s="176"/>
      <c r="S192" s="176">
        <v>190</v>
      </c>
      <c r="T192" s="176">
        <v>150</v>
      </c>
      <c r="U192" s="176"/>
      <c r="V192" s="176"/>
      <c r="W192" s="231"/>
      <c r="X192" s="231"/>
      <c r="Y192" s="231"/>
    </row>
    <row r="193" spans="12:25" x14ac:dyDescent="0.35">
      <c r="L193" s="176"/>
      <c r="M193" s="176"/>
      <c r="N193" s="176"/>
      <c r="O193" s="176"/>
      <c r="P193" s="176"/>
      <c r="Q193" s="176"/>
      <c r="R193" s="176"/>
      <c r="S193" s="176">
        <v>191</v>
      </c>
      <c r="T193" s="176">
        <v>150</v>
      </c>
      <c r="U193" s="176"/>
      <c r="V193" s="176"/>
      <c r="W193" s="231"/>
      <c r="X193" s="231"/>
      <c r="Y193" s="231"/>
    </row>
    <row r="194" spans="12:25" x14ac:dyDescent="0.35">
      <c r="L194" s="176"/>
      <c r="M194" s="176"/>
      <c r="N194" s="176"/>
      <c r="O194" s="176"/>
      <c r="P194" s="176"/>
      <c r="Q194" s="176"/>
      <c r="R194" s="176"/>
      <c r="S194" s="176">
        <v>192</v>
      </c>
      <c r="T194" s="176">
        <v>150</v>
      </c>
      <c r="U194" s="176"/>
      <c r="V194" s="176"/>
      <c r="W194" s="231"/>
      <c r="X194" s="231"/>
      <c r="Y194" s="231"/>
    </row>
    <row r="195" spans="12:25" x14ac:dyDescent="0.35">
      <c r="L195" s="176"/>
      <c r="M195" s="176"/>
      <c r="N195" s="176"/>
      <c r="O195" s="176"/>
      <c r="P195" s="176"/>
      <c r="Q195" s="176"/>
      <c r="R195" s="176"/>
      <c r="S195" s="176">
        <v>193</v>
      </c>
      <c r="T195" s="176">
        <v>150</v>
      </c>
      <c r="U195" s="176"/>
      <c r="V195" s="176"/>
      <c r="W195" s="231"/>
      <c r="X195" s="231"/>
      <c r="Y195" s="231"/>
    </row>
    <row r="196" spans="12:25" x14ac:dyDescent="0.35">
      <c r="L196" s="176"/>
      <c r="M196" s="176"/>
      <c r="N196" s="176"/>
      <c r="O196" s="176"/>
      <c r="P196" s="176"/>
      <c r="Q196" s="176"/>
      <c r="R196" s="176"/>
      <c r="S196" s="176">
        <v>194</v>
      </c>
      <c r="T196" s="176">
        <v>150</v>
      </c>
      <c r="U196" s="176"/>
      <c r="V196" s="176"/>
      <c r="W196" s="231"/>
      <c r="X196" s="231"/>
      <c r="Y196" s="231"/>
    </row>
    <row r="197" spans="12:25" x14ac:dyDescent="0.35">
      <c r="L197" s="176"/>
      <c r="M197" s="176"/>
      <c r="N197" s="176"/>
      <c r="O197" s="176"/>
      <c r="P197" s="176"/>
      <c r="Q197" s="176"/>
      <c r="R197" s="176"/>
      <c r="S197" s="176">
        <v>195</v>
      </c>
      <c r="T197" s="176">
        <v>150</v>
      </c>
      <c r="U197" s="176"/>
      <c r="V197" s="176"/>
      <c r="W197" s="231"/>
      <c r="X197" s="231"/>
      <c r="Y197" s="231"/>
    </row>
    <row r="198" spans="12:25" x14ac:dyDescent="0.35">
      <c r="L198" s="176"/>
      <c r="M198" s="176"/>
      <c r="N198" s="176"/>
      <c r="O198" s="176"/>
      <c r="P198" s="176"/>
      <c r="Q198" s="176"/>
      <c r="R198" s="176"/>
      <c r="S198" s="176">
        <v>196</v>
      </c>
      <c r="T198" s="176">
        <v>150</v>
      </c>
      <c r="U198" s="176"/>
      <c r="V198" s="176"/>
      <c r="W198" s="231"/>
      <c r="X198" s="231"/>
      <c r="Y198" s="231"/>
    </row>
    <row r="199" spans="12:25" x14ac:dyDescent="0.35">
      <c r="L199" s="176"/>
      <c r="M199" s="176"/>
      <c r="N199" s="176"/>
      <c r="O199" s="176"/>
      <c r="P199" s="176"/>
      <c r="Q199" s="176"/>
      <c r="R199" s="176"/>
      <c r="S199" s="176">
        <v>197</v>
      </c>
      <c r="T199" s="176">
        <v>150</v>
      </c>
      <c r="U199" s="176"/>
      <c r="V199" s="176"/>
      <c r="W199" s="231"/>
      <c r="X199" s="231"/>
      <c r="Y199" s="231"/>
    </row>
    <row r="200" spans="12:25" x14ac:dyDescent="0.35">
      <c r="L200" s="176"/>
      <c r="M200" s="176"/>
      <c r="N200" s="176"/>
      <c r="O200" s="176"/>
      <c r="P200" s="176"/>
      <c r="Q200" s="176"/>
      <c r="R200" s="176"/>
      <c r="S200" s="176">
        <v>198</v>
      </c>
      <c r="T200" s="176">
        <v>150</v>
      </c>
      <c r="U200" s="176"/>
      <c r="V200" s="176"/>
      <c r="W200" s="231"/>
      <c r="X200" s="231"/>
      <c r="Y200" s="231"/>
    </row>
    <row r="201" spans="12:25" x14ac:dyDescent="0.35">
      <c r="L201" s="176"/>
      <c r="M201" s="176"/>
      <c r="N201" s="176"/>
      <c r="O201" s="176"/>
      <c r="P201" s="176"/>
      <c r="Q201" s="176"/>
      <c r="R201" s="176"/>
      <c r="S201" s="176">
        <v>199</v>
      </c>
      <c r="T201" s="176">
        <v>150</v>
      </c>
      <c r="U201" s="176"/>
      <c r="V201" s="176"/>
      <c r="W201" s="231"/>
      <c r="X201" s="231"/>
      <c r="Y201" s="231"/>
    </row>
    <row r="202" spans="12:25" x14ac:dyDescent="0.35">
      <c r="L202" s="176"/>
      <c r="M202" s="176"/>
      <c r="N202" s="176"/>
      <c r="O202" s="176"/>
      <c r="P202" s="176"/>
      <c r="Q202" s="176"/>
      <c r="R202" s="176"/>
      <c r="S202" s="176">
        <v>200</v>
      </c>
      <c r="T202" s="176">
        <v>150</v>
      </c>
      <c r="U202" s="176">
        <v>200</v>
      </c>
      <c r="V202" s="176"/>
      <c r="W202" s="231"/>
      <c r="X202" s="231"/>
      <c r="Y202" s="231"/>
    </row>
    <row r="203" spans="12:25" x14ac:dyDescent="0.35">
      <c r="L203" s="176"/>
      <c r="M203" s="176"/>
      <c r="N203" s="176"/>
      <c r="O203" s="176"/>
      <c r="P203" s="176"/>
      <c r="Q203" s="176"/>
      <c r="R203" s="176"/>
      <c r="S203" s="176">
        <v>201</v>
      </c>
      <c r="T203" s="176">
        <v>150</v>
      </c>
      <c r="U203" s="176"/>
      <c r="V203" s="176"/>
      <c r="W203" s="231"/>
      <c r="X203" s="231"/>
      <c r="Y203" s="231"/>
    </row>
    <row r="204" spans="12:25" x14ac:dyDescent="0.35">
      <c r="L204" s="176"/>
      <c r="M204" s="176"/>
      <c r="N204" s="176"/>
      <c r="O204" s="176"/>
      <c r="P204" s="176"/>
      <c r="Q204" s="176"/>
      <c r="R204" s="176"/>
      <c r="S204" s="176">
        <v>202</v>
      </c>
      <c r="T204" s="176">
        <v>150</v>
      </c>
      <c r="U204" s="176"/>
      <c r="V204" s="176"/>
      <c r="W204" s="231"/>
      <c r="X204" s="231"/>
      <c r="Y204" s="231"/>
    </row>
    <row r="205" spans="12:25" x14ac:dyDescent="0.35">
      <c r="L205" s="176"/>
      <c r="M205" s="176"/>
      <c r="N205" s="176"/>
      <c r="O205" s="176"/>
      <c r="P205" s="176"/>
      <c r="Q205" s="176"/>
      <c r="R205" s="176"/>
      <c r="S205" s="176">
        <v>203</v>
      </c>
      <c r="T205" s="176">
        <v>150</v>
      </c>
      <c r="U205" s="176"/>
      <c r="V205" s="176"/>
      <c r="W205" s="231"/>
      <c r="X205" s="231"/>
      <c r="Y205" s="231"/>
    </row>
    <row r="206" spans="12:25" x14ac:dyDescent="0.35">
      <c r="L206" s="176"/>
      <c r="M206" s="176"/>
      <c r="N206" s="176"/>
      <c r="O206" s="176"/>
      <c r="P206" s="176"/>
      <c r="Q206" s="176"/>
      <c r="R206" s="176"/>
      <c r="S206" s="176">
        <v>204</v>
      </c>
      <c r="T206" s="176">
        <v>150</v>
      </c>
      <c r="U206" s="176"/>
      <c r="V206" s="176"/>
      <c r="W206" s="231"/>
      <c r="X206" s="231"/>
      <c r="Y206" s="231"/>
    </row>
    <row r="207" spans="12:25" x14ac:dyDescent="0.35">
      <c r="L207" s="176"/>
      <c r="M207" s="176"/>
      <c r="N207" s="176"/>
      <c r="O207" s="176"/>
      <c r="P207" s="176"/>
      <c r="Q207" s="176"/>
      <c r="R207" s="176"/>
      <c r="S207" s="176">
        <v>205</v>
      </c>
      <c r="T207" s="176">
        <v>150</v>
      </c>
      <c r="U207" s="176"/>
      <c r="V207" s="176"/>
      <c r="W207" s="231"/>
      <c r="X207" s="231"/>
      <c r="Y207" s="231"/>
    </row>
    <row r="208" spans="12:25" x14ac:dyDescent="0.35">
      <c r="L208" s="176"/>
      <c r="M208" s="176"/>
      <c r="N208" s="176"/>
      <c r="O208" s="176"/>
      <c r="P208" s="176"/>
      <c r="Q208" s="176"/>
      <c r="R208" s="176"/>
      <c r="S208" s="176">
        <v>206</v>
      </c>
      <c r="T208" s="176">
        <v>150</v>
      </c>
      <c r="U208" s="176"/>
      <c r="V208" s="176"/>
      <c r="W208" s="231"/>
      <c r="X208" s="231"/>
      <c r="Y208" s="231"/>
    </row>
    <row r="209" spans="12:25" x14ac:dyDescent="0.35">
      <c r="L209" s="176"/>
      <c r="M209" s="176"/>
      <c r="N209" s="176"/>
      <c r="O209" s="176"/>
      <c r="P209" s="176"/>
      <c r="Q209" s="176"/>
      <c r="R209" s="176"/>
      <c r="S209" s="176">
        <v>207</v>
      </c>
      <c r="T209" s="176">
        <v>150</v>
      </c>
      <c r="U209" s="176"/>
      <c r="V209" s="176"/>
      <c r="W209" s="231"/>
      <c r="X209" s="231"/>
      <c r="Y209" s="231"/>
    </row>
    <row r="210" spans="12:25" x14ac:dyDescent="0.35">
      <c r="L210" s="176"/>
      <c r="M210" s="176"/>
      <c r="N210" s="176"/>
      <c r="O210" s="176"/>
      <c r="P210" s="176"/>
      <c r="Q210" s="176"/>
      <c r="R210" s="176"/>
      <c r="S210" s="176">
        <v>208</v>
      </c>
      <c r="T210" s="176">
        <v>150</v>
      </c>
      <c r="U210" s="176"/>
      <c r="V210" s="176"/>
      <c r="W210" s="231"/>
      <c r="X210" s="231"/>
      <c r="Y210" s="231"/>
    </row>
    <row r="211" spans="12:25" x14ac:dyDescent="0.35">
      <c r="L211" s="176"/>
      <c r="M211" s="176"/>
      <c r="N211" s="176"/>
      <c r="O211" s="176"/>
      <c r="P211" s="176"/>
      <c r="Q211" s="176"/>
      <c r="R211" s="176"/>
      <c r="S211" s="176">
        <v>209</v>
      </c>
      <c r="T211" s="176">
        <v>150</v>
      </c>
      <c r="U211" s="176"/>
      <c r="V211" s="176"/>
      <c r="W211" s="231"/>
      <c r="X211" s="231"/>
      <c r="Y211" s="231"/>
    </row>
    <row r="212" spans="12:25" x14ac:dyDescent="0.35">
      <c r="L212" s="176"/>
      <c r="M212" s="176"/>
      <c r="N212" s="176"/>
      <c r="O212" s="176"/>
      <c r="P212" s="176"/>
      <c r="Q212" s="176"/>
      <c r="R212" s="176"/>
      <c r="S212" s="176">
        <v>210</v>
      </c>
      <c r="T212" s="176">
        <v>150</v>
      </c>
      <c r="U212" s="176"/>
      <c r="V212" s="176"/>
      <c r="W212" s="231"/>
      <c r="X212" s="231"/>
      <c r="Y212" s="231"/>
    </row>
    <row r="213" spans="12:25" x14ac:dyDescent="0.35">
      <c r="L213" s="176"/>
      <c r="M213" s="176"/>
      <c r="N213" s="176"/>
      <c r="O213" s="176"/>
      <c r="P213" s="176"/>
      <c r="Q213" s="176"/>
      <c r="R213" s="176"/>
      <c r="S213" s="176">
        <v>211</v>
      </c>
      <c r="T213" s="176">
        <v>150</v>
      </c>
      <c r="U213" s="176"/>
      <c r="V213" s="176"/>
      <c r="W213" s="231"/>
      <c r="X213" s="231"/>
      <c r="Y213" s="231"/>
    </row>
    <row r="214" spans="12:25" x14ac:dyDescent="0.35">
      <c r="L214" s="176"/>
      <c r="M214" s="176"/>
      <c r="N214" s="176"/>
      <c r="O214" s="176"/>
      <c r="P214" s="176"/>
      <c r="Q214" s="176"/>
      <c r="R214" s="176"/>
      <c r="S214" s="176">
        <v>212</v>
      </c>
      <c r="T214" s="176">
        <v>150</v>
      </c>
      <c r="U214" s="176"/>
      <c r="V214" s="176"/>
      <c r="W214" s="231"/>
      <c r="X214" s="231"/>
      <c r="Y214" s="231"/>
    </row>
    <row r="215" spans="12:25" x14ac:dyDescent="0.35">
      <c r="L215" s="176"/>
      <c r="M215" s="176"/>
      <c r="N215" s="176"/>
      <c r="O215" s="176"/>
      <c r="P215" s="176"/>
      <c r="Q215" s="176"/>
      <c r="R215" s="176"/>
      <c r="S215" s="176">
        <v>213</v>
      </c>
      <c r="T215" s="176">
        <v>150</v>
      </c>
      <c r="U215" s="176"/>
      <c r="V215" s="176"/>
      <c r="W215" s="231"/>
      <c r="X215" s="231"/>
      <c r="Y215" s="231"/>
    </row>
    <row r="216" spans="12:25" x14ac:dyDescent="0.35">
      <c r="L216" s="176"/>
      <c r="M216" s="176"/>
      <c r="N216" s="176"/>
      <c r="O216" s="176"/>
      <c r="P216" s="176"/>
      <c r="Q216" s="176"/>
      <c r="R216" s="176"/>
      <c r="S216" s="176">
        <v>214</v>
      </c>
      <c r="T216" s="176">
        <v>150</v>
      </c>
      <c r="U216" s="176"/>
      <c r="V216" s="176"/>
      <c r="W216" s="231"/>
      <c r="X216" s="231"/>
      <c r="Y216" s="231"/>
    </row>
    <row r="217" spans="12:25" x14ac:dyDescent="0.35">
      <c r="L217" s="176"/>
      <c r="M217" s="176"/>
      <c r="N217" s="176"/>
      <c r="O217" s="176"/>
      <c r="P217" s="176"/>
      <c r="Q217" s="176"/>
      <c r="R217" s="176"/>
      <c r="S217" s="176">
        <v>215</v>
      </c>
      <c r="T217" s="176">
        <v>150</v>
      </c>
      <c r="U217" s="176"/>
      <c r="V217" s="176"/>
      <c r="W217" s="231"/>
      <c r="X217" s="231"/>
      <c r="Y217" s="231"/>
    </row>
    <row r="218" spans="12:25" x14ac:dyDescent="0.35">
      <c r="L218" s="176"/>
      <c r="M218" s="176"/>
      <c r="N218" s="176"/>
      <c r="O218" s="176"/>
      <c r="P218" s="176"/>
      <c r="Q218" s="176"/>
      <c r="R218" s="176"/>
      <c r="S218" s="176">
        <v>216</v>
      </c>
      <c r="T218" s="176">
        <v>150</v>
      </c>
      <c r="U218" s="176"/>
      <c r="V218" s="176"/>
      <c r="W218" s="231"/>
      <c r="X218" s="231"/>
      <c r="Y218" s="231"/>
    </row>
    <row r="219" spans="12:25" x14ac:dyDescent="0.35">
      <c r="L219" s="176"/>
      <c r="M219" s="176"/>
      <c r="N219" s="176"/>
      <c r="O219" s="176"/>
      <c r="P219" s="176"/>
      <c r="Q219" s="176"/>
      <c r="R219" s="176"/>
      <c r="S219" s="176">
        <v>217</v>
      </c>
      <c r="T219" s="176">
        <v>150</v>
      </c>
      <c r="U219" s="176"/>
      <c r="V219" s="176"/>
      <c r="W219" s="231"/>
      <c r="X219" s="231"/>
      <c r="Y219" s="231"/>
    </row>
    <row r="220" spans="12:25" x14ac:dyDescent="0.35">
      <c r="L220" s="176"/>
      <c r="M220" s="176"/>
      <c r="N220" s="176"/>
      <c r="O220" s="176"/>
      <c r="P220" s="176"/>
      <c r="Q220" s="176"/>
      <c r="R220" s="176"/>
      <c r="S220" s="176">
        <v>218</v>
      </c>
      <c r="T220" s="176">
        <v>150</v>
      </c>
      <c r="U220" s="176"/>
      <c r="V220" s="176"/>
      <c r="W220" s="231"/>
      <c r="X220" s="231"/>
      <c r="Y220" s="231"/>
    </row>
    <row r="221" spans="12:25" x14ac:dyDescent="0.35">
      <c r="L221" s="176"/>
      <c r="M221" s="176"/>
      <c r="N221" s="176"/>
      <c r="O221" s="176"/>
      <c r="P221" s="176"/>
      <c r="Q221" s="176"/>
      <c r="R221" s="176"/>
      <c r="S221" s="176">
        <v>219</v>
      </c>
      <c r="T221" s="176">
        <v>150</v>
      </c>
      <c r="U221" s="176"/>
      <c r="V221" s="176"/>
      <c r="W221" s="231"/>
      <c r="X221" s="231"/>
      <c r="Y221" s="231"/>
    </row>
    <row r="222" spans="12:25" x14ac:dyDescent="0.35">
      <c r="L222" s="176"/>
      <c r="M222" s="176"/>
      <c r="N222" s="176"/>
      <c r="O222" s="176"/>
      <c r="P222" s="176"/>
      <c r="Q222" s="176"/>
      <c r="R222" s="176"/>
      <c r="S222" s="176">
        <v>220</v>
      </c>
      <c r="T222" s="176">
        <v>150</v>
      </c>
      <c r="U222" s="176"/>
      <c r="V222" s="176"/>
      <c r="W222" s="231"/>
      <c r="X222" s="231"/>
      <c r="Y222" s="231"/>
    </row>
    <row r="223" spans="12:25" x14ac:dyDescent="0.35">
      <c r="L223" s="176"/>
      <c r="M223" s="176"/>
      <c r="N223" s="176"/>
      <c r="O223" s="176"/>
      <c r="P223" s="176"/>
      <c r="Q223" s="176"/>
      <c r="R223" s="176"/>
      <c r="S223" s="176">
        <v>221</v>
      </c>
      <c r="T223" s="176">
        <v>150</v>
      </c>
      <c r="U223" s="176"/>
      <c r="V223" s="176"/>
      <c r="W223" s="231"/>
      <c r="X223" s="231"/>
      <c r="Y223" s="231"/>
    </row>
    <row r="224" spans="12:25" x14ac:dyDescent="0.35">
      <c r="L224" s="176"/>
      <c r="M224" s="176"/>
      <c r="N224" s="176"/>
      <c r="O224" s="176"/>
      <c r="P224" s="176"/>
      <c r="Q224" s="176"/>
      <c r="R224" s="176"/>
      <c r="S224" s="176">
        <v>222</v>
      </c>
      <c r="T224" s="176">
        <v>150</v>
      </c>
      <c r="U224" s="176"/>
      <c r="V224" s="176"/>
      <c r="W224" s="231"/>
      <c r="X224" s="231"/>
      <c r="Y224" s="231"/>
    </row>
    <row r="225" spans="12:25" x14ac:dyDescent="0.35">
      <c r="L225" s="176"/>
      <c r="M225" s="176"/>
      <c r="N225" s="176"/>
      <c r="O225" s="176"/>
      <c r="P225" s="176"/>
      <c r="Q225" s="176"/>
      <c r="R225" s="176"/>
      <c r="S225" s="176">
        <v>223</v>
      </c>
      <c r="T225" s="176">
        <v>150</v>
      </c>
      <c r="U225" s="176"/>
      <c r="V225" s="176"/>
      <c r="W225" s="231"/>
      <c r="X225" s="231"/>
      <c r="Y225" s="231"/>
    </row>
    <row r="226" spans="12:25" x14ac:dyDescent="0.35">
      <c r="L226" s="176"/>
      <c r="M226" s="176"/>
      <c r="N226" s="176"/>
      <c r="O226" s="176"/>
      <c r="P226" s="176"/>
      <c r="Q226" s="176"/>
      <c r="R226" s="176"/>
      <c r="S226" s="176">
        <v>224</v>
      </c>
      <c r="T226" s="176">
        <v>150</v>
      </c>
      <c r="U226" s="176"/>
      <c r="V226" s="176"/>
      <c r="W226" s="231"/>
      <c r="X226" s="231"/>
      <c r="Y226" s="231"/>
    </row>
    <row r="227" spans="12:25" x14ac:dyDescent="0.35">
      <c r="L227" s="176"/>
      <c r="M227" s="176"/>
      <c r="N227" s="176"/>
      <c r="O227" s="176"/>
      <c r="P227" s="176"/>
      <c r="Q227" s="176"/>
      <c r="R227" s="176"/>
      <c r="S227" s="176">
        <v>225</v>
      </c>
      <c r="T227" s="176">
        <v>150</v>
      </c>
      <c r="U227" s="176"/>
      <c r="V227" s="176"/>
      <c r="W227" s="231"/>
      <c r="X227" s="231"/>
      <c r="Y227" s="231"/>
    </row>
    <row r="228" spans="12:25" x14ac:dyDescent="0.35">
      <c r="L228" s="176"/>
      <c r="M228" s="176"/>
      <c r="N228" s="176"/>
      <c r="O228" s="176"/>
      <c r="P228" s="176"/>
      <c r="Q228" s="176"/>
      <c r="R228" s="176"/>
      <c r="S228" s="176">
        <v>226</v>
      </c>
      <c r="T228" s="176">
        <v>150</v>
      </c>
      <c r="U228" s="176"/>
      <c r="V228" s="176"/>
      <c r="W228" s="231"/>
      <c r="X228" s="231"/>
      <c r="Y228" s="231"/>
    </row>
    <row r="229" spans="12:25" x14ac:dyDescent="0.35">
      <c r="L229" s="176"/>
      <c r="M229" s="176"/>
      <c r="N229" s="176"/>
      <c r="O229" s="176"/>
      <c r="P229" s="176"/>
      <c r="Q229" s="176"/>
      <c r="R229" s="176"/>
      <c r="S229" s="176">
        <v>227</v>
      </c>
      <c r="T229" s="176">
        <v>150</v>
      </c>
      <c r="U229" s="176"/>
      <c r="V229" s="176"/>
      <c r="W229" s="231"/>
      <c r="X229" s="231"/>
      <c r="Y229" s="231"/>
    </row>
    <row r="230" spans="12:25" x14ac:dyDescent="0.35">
      <c r="L230" s="176"/>
      <c r="M230" s="176"/>
      <c r="N230" s="176"/>
      <c r="O230" s="176"/>
      <c r="P230" s="176"/>
      <c r="Q230" s="176"/>
      <c r="R230" s="176"/>
      <c r="S230" s="176">
        <v>228</v>
      </c>
      <c r="T230" s="176">
        <v>150</v>
      </c>
      <c r="U230" s="176"/>
      <c r="V230" s="176"/>
      <c r="W230" s="231"/>
      <c r="X230" s="231"/>
      <c r="Y230" s="231"/>
    </row>
    <row r="231" spans="12:25" x14ac:dyDescent="0.35">
      <c r="L231" s="176"/>
      <c r="M231" s="176"/>
      <c r="N231" s="176"/>
      <c r="O231" s="176"/>
      <c r="P231" s="176"/>
      <c r="Q231" s="176"/>
      <c r="R231" s="176"/>
      <c r="S231" s="176">
        <v>229</v>
      </c>
      <c r="T231" s="176">
        <v>150</v>
      </c>
      <c r="U231" s="176"/>
      <c r="V231" s="176"/>
      <c r="W231" s="231"/>
      <c r="X231" s="231"/>
      <c r="Y231" s="231"/>
    </row>
    <row r="232" spans="12:25" x14ac:dyDescent="0.35">
      <c r="L232" s="176"/>
      <c r="M232" s="176"/>
      <c r="N232" s="176"/>
      <c r="O232" s="176"/>
      <c r="P232" s="176"/>
      <c r="Q232" s="176"/>
      <c r="R232" s="176"/>
      <c r="S232" s="176">
        <v>230</v>
      </c>
      <c r="T232" s="176">
        <v>150</v>
      </c>
      <c r="U232" s="176"/>
      <c r="V232" s="176"/>
      <c r="W232" s="231"/>
      <c r="X232" s="231"/>
      <c r="Y232" s="231"/>
    </row>
    <row r="233" spans="12:25" x14ac:dyDescent="0.35">
      <c r="L233" s="176"/>
      <c r="M233" s="176"/>
      <c r="N233" s="176"/>
      <c r="O233" s="176"/>
      <c r="P233" s="176"/>
      <c r="Q233" s="176"/>
      <c r="R233" s="176"/>
      <c r="S233" s="176">
        <v>231</v>
      </c>
      <c r="T233" s="176">
        <v>150</v>
      </c>
      <c r="U233" s="176"/>
      <c r="V233" s="176"/>
      <c r="W233" s="231"/>
      <c r="X233" s="231"/>
      <c r="Y233" s="231"/>
    </row>
    <row r="234" spans="12:25" x14ac:dyDescent="0.35">
      <c r="L234" s="176"/>
      <c r="M234" s="176"/>
      <c r="N234" s="176"/>
      <c r="O234" s="176"/>
      <c r="P234" s="176"/>
      <c r="Q234" s="176"/>
      <c r="R234" s="176"/>
      <c r="S234" s="176">
        <v>232</v>
      </c>
      <c r="T234" s="176">
        <v>150</v>
      </c>
      <c r="U234" s="176"/>
      <c r="V234" s="176"/>
      <c r="W234" s="231"/>
      <c r="X234" s="231"/>
      <c r="Y234" s="231"/>
    </row>
    <row r="235" spans="12:25" x14ac:dyDescent="0.35">
      <c r="L235" s="176"/>
      <c r="M235" s="176"/>
      <c r="N235" s="176"/>
      <c r="O235" s="176"/>
      <c r="P235" s="176"/>
      <c r="Q235" s="176"/>
      <c r="R235" s="176"/>
      <c r="S235" s="176">
        <v>233</v>
      </c>
      <c r="T235" s="176">
        <v>150</v>
      </c>
      <c r="U235" s="176"/>
      <c r="V235" s="176"/>
      <c r="W235" s="231"/>
      <c r="X235" s="231"/>
      <c r="Y235" s="231"/>
    </row>
    <row r="236" spans="12:25" x14ac:dyDescent="0.35">
      <c r="L236" s="176"/>
      <c r="M236" s="176"/>
      <c r="N236" s="176"/>
      <c r="O236" s="176"/>
      <c r="P236" s="176"/>
      <c r="Q236" s="176"/>
      <c r="R236" s="176"/>
      <c r="S236" s="176">
        <v>234</v>
      </c>
      <c r="T236" s="176">
        <v>150</v>
      </c>
      <c r="U236" s="176"/>
      <c r="V236" s="176"/>
      <c r="W236" s="231"/>
      <c r="X236" s="231"/>
      <c r="Y236" s="231"/>
    </row>
    <row r="237" spans="12:25" x14ac:dyDescent="0.35">
      <c r="L237" s="176"/>
      <c r="M237" s="176"/>
      <c r="N237" s="176"/>
      <c r="O237" s="176"/>
      <c r="P237" s="176"/>
      <c r="Q237" s="176"/>
      <c r="R237" s="176"/>
      <c r="S237" s="176">
        <v>235</v>
      </c>
      <c r="T237" s="176">
        <v>150</v>
      </c>
      <c r="U237" s="176"/>
      <c r="V237" s="176"/>
      <c r="W237" s="231"/>
      <c r="X237" s="231"/>
      <c r="Y237" s="231"/>
    </row>
    <row r="238" spans="12:25" x14ac:dyDescent="0.35">
      <c r="L238" s="176"/>
      <c r="M238" s="176"/>
      <c r="N238" s="176"/>
      <c r="O238" s="176"/>
      <c r="P238" s="176"/>
      <c r="Q238" s="176"/>
      <c r="R238" s="176"/>
      <c r="S238" s="176">
        <v>236</v>
      </c>
      <c r="T238" s="176">
        <v>150</v>
      </c>
      <c r="U238" s="176"/>
      <c r="V238" s="176"/>
      <c r="W238" s="231"/>
      <c r="X238" s="231"/>
      <c r="Y238" s="231"/>
    </row>
    <row r="239" spans="12:25" x14ac:dyDescent="0.35">
      <c r="L239" s="176"/>
      <c r="M239" s="176"/>
      <c r="N239" s="176"/>
      <c r="O239" s="176"/>
      <c r="P239" s="176"/>
      <c r="Q239" s="176"/>
      <c r="R239" s="176"/>
      <c r="S239" s="176">
        <v>237</v>
      </c>
      <c r="T239" s="176">
        <v>150</v>
      </c>
      <c r="U239" s="176"/>
      <c r="V239" s="176"/>
      <c r="W239" s="231"/>
      <c r="X239" s="231"/>
      <c r="Y239" s="231"/>
    </row>
    <row r="240" spans="12:25" x14ac:dyDescent="0.35">
      <c r="L240" s="176"/>
      <c r="M240" s="176"/>
      <c r="N240" s="176"/>
      <c r="O240" s="176"/>
      <c r="P240" s="176"/>
      <c r="Q240" s="176"/>
      <c r="R240" s="176"/>
      <c r="S240" s="176">
        <v>238</v>
      </c>
      <c r="T240" s="176">
        <v>150</v>
      </c>
      <c r="U240" s="176"/>
      <c r="V240" s="176"/>
      <c r="W240" s="231"/>
      <c r="X240" s="231"/>
      <c r="Y240" s="231"/>
    </row>
    <row r="241" spans="12:25" x14ac:dyDescent="0.35">
      <c r="L241" s="176"/>
      <c r="M241" s="176"/>
      <c r="N241" s="176"/>
      <c r="O241" s="176"/>
      <c r="P241" s="176"/>
      <c r="Q241" s="176"/>
      <c r="R241" s="176"/>
      <c r="S241" s="176">
        <v>239</v>
      </c>
      <c r="T241" s="176">
        <v>150</v>
      </c>
      <c r="U241" s="176"/>
      <c r="V241" s="176"/>
      <c r="W241" s="231"/>
      <c r="X241" s="231"/>
      <c r="Y241" s="231"/>
    </row>
    <row r="242" spans="12:25" x14ac:dyDescent="0.35">
      <c r="L242" s="176"/>
      <c r="M242" s="176"/>
      <c r="N242" s="176"/>
      <c r="O242" s="176"/>
      <c r="P242" s="176"/>
      <c r="Q242" s="176"/>
      <c r="R242" s="176"/>
      <c r="S242" s="176">
        <v>240</v>
      </c>
      <c r="T242" s="176">
        <v>150</v>
      </c>
      <c r="U242" s="176"/>
      <c r="V242" s="176"/>
      <c r="W242" s="231"/>
      <c r="X242" s="231"/>
      <c r="Y242" s="231"/>
    </row>
    <row r="243" spans="12:25" x14ac:dyDescent="0.35">
      <c r="L243" s="176"/>
      <c r="M243" s="176"/>
      <c r="N243" s="176"/>
      <c r="O243" s="176"/>
      <c r="P243" s="176"/>
      <c r="Q243" s="176"/>
      <c r="R243" s="176"/>
      <c r="S243" s="176">
        <v>241</v>
      </c>
      <c r="T243" s="176">
        <v>150</v>
      </c>
      <c r="U243" s="176"/>
      <c r="V243" s="176"/>
      <c r="W243" s="231"/>
      <c r="X243" s="231"/>
      <c r="Y243" s="231"/>
    </row>
    <row r="244" spans="12:25" x14ac:dyDescent="0.35">
      <c r="L244" s="176"/>
      <c r="M244" s="176"/>
      <c r="N244" s="176"/>
      <c r="O244" s="176"/>
      <c r="P244" s="176"/>
      <c r="Q244" s="176"/>
      <c r="R244" s="176"/>
      <c r="S244" s="176">
        <v>242</v>
      </c>
      <c r="T244" s="176">
        <v>150</v>
      </c>
      <c r="U244" s="176"/>
      <c r="V244" s="176"/>
      <c r="W244" s="231"/>
      <c r="X244" s="231"/>
      <c r="Y244" s="231"/>
    </row>
    <row r="245" spans="12:25" x14ac:dyDescent="0.35">
      <c r="L245" s="176"/>
      <c r="M245" s="176"/>
      <c r="N245" s="176"/>
      <c r="O245" s="176"/>
      <c r="P245" s="176"/>
      <c r="Q245" s="176"/>
      <c r="R245" s="176"/>
      <c r="S245" s="176">
        <v>243</v>
      </c>
      <c r="T245" s="176">
        <v>150</v>
      </c>
      <c r="U245" s="176"/>
      <c r="V245" s="176"/>
      <c r="W245" s="231"/>
      <c r="X245" s="231"/>
      <c r="Y245" s="231"/>
    </row>
    <row r="246" spans="12:25" x14ac:dyDescent="0.35">
      <c r="L246" s="176"/>
      <c r="M246" s="176"/>
      <c r="N246" s="176"/>
      <c r="O246" s="176"/>
      <c r="P246" s="176"/>
      <c r="Q246" s="176"/>
      <c r="R246" s="176"/>
      <c r="S246" s="176">
        <v>244</v>
      </c>
      <c r="T246" s="176">
        <v>150</v>
      </c>
      <c r="U246" s="176"/>
      <c r="V246" s="176"/>
      <c r="W246" s="231"/>
      <c r="X246" s="231"/>
      <c r="Y246" s="231"/>
    </row>
    <row r="247" spans="12:25" x14ac:dyDescent="0.35">
      <c r="L247" s="176"/>
      <c r="M247" s="176"/>
      <c r="N247" s="176"/>
      <c r="O247" s="176"/>
      <c r="P247" s="176"/>
      <c r="Q247" s="176"/>
      <c r="R247" s="176"/>
      <c r="S247" s="176">
        <v>245</v>
      </c>
      <c r="T247" s="176">
        <v>150</v>
      </c>
      <c r="U247" s="176"/>
      <c r="V247" s="176"/>
      <c r="W247" s="231"/>
      <c r="X247" s="231"/>
      <c r="Y247" s="231"/>
    </row>
    <row r="248" spans="12:25" x14ac:dyDescent="0.35">
      <c r="L248" s="176"/>
      <c r="M248" s="176"/>
      <c r="N248" s="176"/>
      <c r="O248" s="176"/>
      <c r="P248" s="176"/>
      <c r="Q248" s="176"/>
      <c r="R248" s="176"/>
      <c r="S248" s="176">
        <v>246</v>
      </c>
      <c r="T248" s="176">
        <v>150</v>
      </c>
      <c r="U248" s="176"/>
      <c r="V248" s="176"/>
      <c r="W248" s="231"/>
      <c r="X248" s="231"/>
      <c r="Y248" s="231"/>
    </row>
    <row r="249" spans="12:25" x14ac:dyDescent="0.35">
      <c r="L249" s="176"/>
      <c r="M249" s="176"/>
      <c r="N249" s="176"/>
      <c r="O249" s="176"/>
      <c r="P249" s="176"/>
      <c r="Q249" s="176"/>
      <c r="R249" s="176"/>
      <c r="S249" s="176">
        <v>247</v>
      </c>
      <c r="T249" s="176">
        <v>150</v>
      </c>
      <c r="U249" s="176"/>
      <c r="V249" s="176"/>
      <c r="W249" s="231"/>
      <c r="X249" s="231"/>
      <c r="Y249" s="231"/>
    </row>
    <row r="250" spans="12:25" x14ac:dyDescent="0.35">
      <c r="L250" s="176"/>
      <c r="M250" s="176"/>
      <c r="N250" s="176"/>
      <c r="O250" s="176"/>
      <c r="P250" s="176"/>
      <c r="Q250" s="176"/>
      <c r="R250" s="176"/>
      <c r="S250" s="176">
        <v>248</v>
      </c>
      <c r="T250" s="176">
        <v>150</v>
      </c>
      <c r="U250" s="176"/>
      <c r="V250" s="176"/>
      <c r="W250" s="231"/>
      <c r="X250" s="231"/>
      <c r="Y250" s="231"/>
    </row>
    <row r="251" spans="12:25" x14ac:dyDescent="0.35">
      <c r="L251" s="176"/>
      <c r="M251" s="176"/>
      <c r="N251" s="176"/>
      <c r="O251" s="176"/>
      <c r="P251" s="176"/>
      <c r="Q251" s="176"/>
      <c r="R251" s="176"/>
      <c r="S251" s="176">
        <v>249</v>
      </c>
      <c r="T251" s="176">
        <v>150</v>
      </c>
      <c r="U251" s="176"/>
      <c r="V251" s="176"/>
      <c r="W251" s="231"/>
      <c r="X251" s="231"/>
      <c r="Y251" s="231"/>
    </row>
    <row r="252" spans="12:25" x14ac:dyDescent="0.35">
      <c r="L252" s="176"/>
      <c r="M252" s="176"/>
      <c r="N252" s="176"/>
      <c r="O252" s="176"/>
      <c r="P252" s="176"/>
      <c r="Q252" s="176"/>
      <c r="R252" s="176"/>
      <c r="S252" s="176">
        <v>250</v>
      </c>
      <c r="T252" s="176">
        <v>150</v>
      </c>
      <c r="U252" s="176"/>
      <c r="V252" s="176"/>
      <c r="W252" s="231"/>
      <c r="X252" s="231"/>
      <c r="Y252" s="231"/>
    </row>
    <row r="253" spans="12:25" x14ac:dyDescent="0.35">
      <c r="L253" s="176"/>
      <c r="M253" s="176"/>
      <c r="N253" s="176"/>
      <c r="O253" s="176"/>
      <c r="P253" s="176"/>
      <c r="Q253" s="176"/>
      <c r="R253" s="176"/>
      <c r="S253" s="176">
        <v>251</v>
      </c>
      <c r="T253" s="176">
        <v>150</v>
      </c>
      <c r="U253" s="176"/>
      <c r="V253" s="176"/>
      <c r="W253" s="231"/>
      <c r="X253" s="231"/>
      <c r="Y253" s="231"/>
    </row>
    <row r="254" spans="12:25" x14ac:dyDescent="0.35">
      <c r="L254" s="176"/>
      <c r="M254" s="176"/>
      <c r="N254" s="176"/>
      <c r="O254" s="176"/>
      <c r="P254" s="176"/>
      <c r="Q254" s="176"/>
      <c r="R254" s="176"/>
      <c r="S254" s="176">
        <v>252</v>
      </c>
      <c r="T254" s="176">
        <v>150</v>
      </c>
      <c r="U254" s="176"/>
      <c r="V254" s="176"/>
      <c r="W254" s="231"/>
      <c r="X254" s="231"/>
      <c r="Y254" s="231"/>
    </row>
    <row r="255" spans="12:25" x14ac:dyDescent="0.35">
      <c r="L255" s="176"/>
      <c r="M255" s="176"/>
      <c r="N255" s="176"/>
      <c r="O255" s="176"/>
      <c r="P255" s="176"/>
      <c r="Q255" s="176"/>
      <c r="R255" s="176"/>
      <c r="S255" s="176">
        <v>253</v>
      </c>
      <c r="T255" s="176">
        <v>150</v>
      </c>
      <c r="U255" s="176"/>
      <c r="V255" s="176"/>
      <c r="W255" s="231"/>
      <c r="X255" s="231"/>
      <c r="Y255" s="231"/>
    </row>
    <row r="256" spans="12:25" x14ac:dyDescent="0.35">
      <c r="L256" s="176"/>
      <c r="M256" s="176"/>
      <c r="N256" s="176"/>
      <c r="O256" s="176"/>
      <c r="P256" s="176"/>
      <c r="Q256" s="176"/>
      <c r="R256" s="176"/>
      <c r="S256" s="176">
        <v>254</v>
      </c>
      <c r="T256" s="176">
        <v>150</v>
      </c>
      <c r="U256" s="176"/>
      <c r="V256" s="176"/>
      <c r="W256" s="231"/>
      <c r="X256" s="231"/>
      <c r="Y256" s="231"/>
    </row>
    <row r="257" spans="12:25" x14ac:dyDescent="0.35">
      <c r="L257" s="176"/>
      <c r="M257" s="176"/>
      <c r="N257" s="176"/>
      <c r="O257" s="176"/>
      <c r="P257" s="176"/>
      <c r="Q257" s="176"/>
      <c r="R257" s="176"/>
      <c r="S257" s="176">
        <v>255</v>
      </c>
      <c r="T257" s="176">
        <v>150</v>
      </c>
      <c r="U257" s="176"/>
      <c r="V257" s="176"/>
      <c r="W257" s="231"/>
      <c r="X257" s="231"/>
      <c r="Y257" s="231"/>
    </row>
    <row r="258" spans="12:25" x14ac:dyDescent="0.35">
      <c r="L258" s="176"/>
      <c r="M258" s="176"/>
      <c r="N258" s="176"/>
      <c r="O258" s="176"/>
      <c r="P258" s="176"/>
      <c r="Q258" s="176"/>
      <c r="R258" s="176"/>
      <c r="S258" s="176">
        <v>256</v>
      </c>
      <c r="T258" s="176">
        <v>150</v>
      </c>
      <c r="U258" s="176"/>
      <c r="V258" s="176"/>
      <c r="W258" s="231"/>
      <c r="X258" s="231"/>
      <c r="Y258" s="231"/>
    </row>
    <row r="259" spans="12:25" x14ac:dyDescent="0.35">
      <c r="L259" s="176"/>
      <c r="M259" s="176"/>
      <c r="N259" s="176"/>
      <c r="O259" s="176"/>
      <c r="P259" s="176"/>
      <c r="Q259" s="176"/>
      <c r="R259" s="176"/>
      <c r="S259" s="176">
        <v>257</v>
      </c>
      <c r="T259" s="176">
        <v>150</v>
      </c>
      <c r="U259" s="176"/>
      <c r="V259" s="176"/>
      <c r="W259" s="231"/>
      <c r="X259" s="231"/>
      <c r="Y259" s="231"/>
    </row>
    <row r="260" spans="12:25" x14ac:dyDescent="0.35">
      <c r="L260" s="176"/>
      <c r="M260" s="176"/>
      <c r="N260" s="176"/>
      <c r="O260" s="176"/>
      <c r="P260" s="176"/>
      <c r="Q260" s="176"/>
      <c r="R260" s="176"/>
      <c r="S260" s="176">
        <v>258</v>
      </c>
      <c r="T260" s="176">
        <v>150</v>
      </c>
      <c r="U260" s="176"/>
      <c r="V260" s="176"/>
      <c r="W260" s="231"/>
      <c r="X260" s="231"/>
      <c r="Y260" s="231"/>
    </row>
    <row r="261" spans="12:25" x14ac:dyDescent="0.35">
      <c r="L261" s="176"/>
      <c r="M261" s="176"/>
      <c r="N261" s="176"/>
      <c r="O261" s="176"/>
      <c r="P261" s="176"/>
      <c r="Q261" s="176"/>
      <c r="R261" s="176"/>
      <c r="S261" s="176">
        <v>259</v>
      </c>
      <c r="T261" s="176">
        <v>150</v>
      </c>
      <c r="U261" s="176"/>
      <c r="V261" s="176"/>
      <c r="W261" s="231"/>
      <c r="X261" s="231"/>
      <c r="Y261" s="231"/>
    </row>
    <row r="262" spans="12:25" x14ac:dyDescent="0.35">
      <c r="L262" s="176"/>
      <c r="M262" s="176"/>
      <c r="N262" s="176"/>
      <c r="O262" s="176"/>
      <c r="P262" s="176"/>
      <c r="Q262" s="176"/>
      <c r="R262" s="176"/>
      <c r="S262" s="176">
        <v>260</v>
      </c>
      <c r="T262" s="176">
        <v>150</v>
      </c>
      <c r="U262" s="176"/>
      <c r="V262" s="176"/>
      <c r="W262" s="231"/>
      <c r="X262" s="231"/>
      <c r="Y262" s="231"/>
    </row>
    <row r="263" spans="12:25" x14ac:dyDescent="0.35">
      <c r="L263" s="176"/>
      <c r="M263" s="176"/>
      <c r="N263" s="176"/>
      <c r="O263" s="176"/>
      <c r="P263" s="176"/>
      <c r="Q263" s="176"/>
      <c r="R263" s="176"/>
      <c r="S263" s="176">
        <v>261</v>
      </c>
      <c r="T263" s="176">
        <v>150</v>
      </c>
      <c r="U263" s="176"/>
      <c r="V263" s="176"/>
      <c r="W263" s="231"/>
      <c r="X263" s="231"/>
      <c r="Y263" s="231"/>
    </row>
    <row r="264" spans="12:25" x14ac:dyDescent="0.35">
      <c r="L264" s="176"/>
      <c r="M264" s="176"/>
      <c r="N264" s="176"/>
      <c r="O264" s="176"/>
      <c r="P264" s="176"/>
      <c r="Q264" s="176"/>
      <c r="R264" s="176"/>
      <c r="S264" s="176">
        <v>262</v>
      </c>
      <c r="T264" s="176">
        <v>150</v>
      </c>
      <c r="U264" s="176"/>
      <c r="V264" s="176"/>
      <c r="W264" s="231"/>
      <c r="X264" s="231"/>
      <c r="Y264" s="231"/>
    </row>
    <row r="265" spans="12:25" x14ac:dyDescent="0.35">
      <c r="L265" s="176"/>
      <c r="M265" s="176"/>
      <c r="N265" s="176"/>
      <c r="O265" s="176"/>
      <c r="P265" s="176"/>
      <c r="Q265" s="176"/>
      <c r="R265" s="176"/>
      <c r="S265" s="176">
        <v>263</v>
      </c>
      <c r="T265" s="176">
        <v>150</v>
      </c>
      <c r="U265" s="176"/>
      <c r="V265" s="176"/>
      <c r="W265" s="231"/>
      <c r="X265" s="231"/>
      <c r="Y265" s="231"/>
    </row>
    <row r="266" spans="12:25" x14ac:dyDescent="0.35">
      <c r="L266" s="176"/>
      <c r="M266" s="176"/>
      <c r="N266" s="176"/>
      <c r="O266" s="176"/>
      <c r="P266" s="176"/>
      <c r="Q266" s="176"/>
      <c r="R266" s="176"/>
      <c r="S266" s="176">
        <v>264</v>
      </c>
      <c r="T266" s="176">
        <v>150</v>
      </c>
      <c r="U266" s="176"/>
      <c r="V266" s="176"/>
      <c r="W266" s="231"/>
      <c r="X266" s="231"/>
      <c r="Y266" s="231"/>
    </row>
    <row r="267" spans="12:25" x14ac:dyDescent="0.35">
      <c r="L267" s="176"/>
      <c r="M267" s="176"/>
      <c r="N267" s="176"/>
      <c r="O267" s="176"/>
      <c r="P267" s="176"/>
      <c r="Q267" s="176"/>
      <c r="R267" s="176"/>
      <c r="S267" s="176">
        <v>265</v>
      </c>
      <c r="T267" s="176">
        <v>150</v>
      </c>
      <c r="U267" s="176"/>
      <c r="V267" s="176"/>
      <c r="W267" s="231"/>
      <c r="X267" s="231"/>
      <c r="Y267" s="231"/>
    </row>
    <row r="268" spans="12:25" x14ac:dyDescent="0.35">
      <c r="L268" s="176"/>
      <c r="M268" s="176"/>
      <c r="N268" s="176"/>
      <c r="O268" s="176"/>
      <c r="P268" s="176"/>
      <c r="Q268" s="176"/>
      <c r="R268" s="176"/>
      <c r="S268" s="176">
        <v>266</v>
      </c>
      <c r="T268" s="176">
        <v>150</v>
      </c>
      <c r="U268" s="176"/>
      <c r="V268" s="176"/>
      <c r="W268" s="231"/>
      <c r="X268" s="231"/>
      <c r="Y268" s="231"/>
    </row>
    <row r="269" spans="12:25" x14ac:dyDescent="0.35">
      <c r="L269" s="176"/>
      <c r="M269" s="176"/>
      <c r="N269" s="176"/>
      <c r="O269" s="176"/>
      <c r="P269" s="176"/>
      <c r="Q269" s="176"/>
      <c r="R269" s="176"/>
      <c r="S269" s="176">
        <v>267</v>
      </c>
      <c r="T269" s="176">
        <v>150</v>
      </c>
      <c r="U269" s="176"/>
      <c r="V269" s="176"/>
      <c r="W269" s="231"/>
      <c r="X269" s="231"/>
      <c r="Y269" s="231"/>
    </row>
    <row r="270" spans="12:25" x14ac:dyDescent="0.35">
      <c r="L270" s="176"/>
      <c r="M270" s="176"/>
      <c r="N270" s="176"/>
      <c r="O270" s="176"/>
      <c r="P270" s="176"/>
      <c r="Q270" s="176"/>
      <c r="R270" s="176"/>
      <c r="S270" s="176">
        <v>268</v>
      </c>
      <c r="T270" s="176">
        <v>150</v>
      </c>
      <c r="U270" s="176"/>
      <c r="V270" s="176"/>
      <c r="W270" s="231"/>
      <c r="X270" s="231"/>
      <c r="Y270" s="231"/>
    </row>
    <row r="271" spans="12:25" x14ac:dyDescent="0.35">
      <c r="L271" s="176"/>
      <c r="M271" s="176"/>
      <c r="N271" s="176"/>
      <c r="O271" s="176"/>
      <c r="P271" s="176"/>
      <c r="Q271" s="176"/>
      <c r="R271" s="176"/>
      <c r="S271" s="176">
        <v>269</v>
      </c>
      <c r="T271" s="176">
        <v>150</v>
      </c>
      <c r="U271" s="176"/>
      <c r="V271" s="176"/>
      <c r="W271" s="231"/>
      <c r="X271" s="231"/>
      <c r="Y271" s="231"/>
    </row>
    <row r="272" spans="12:25" x14ac:dyDescent="0.35">
      <c r="L272" s="176"/>
      <c r="M272" s="176"/>
      <c r="N272" s="176"/>
      <c r="O272" s="176"/>
      <c r="P272" s="176"/>
      <c r="Q272" s="176"/>
      <c r="R272" s="176"/>
      <c r="S272" s="176">
        <v>270</v>
      </c>
      <c r="T272" s="176">
        <v>150</v>
      </c>
      <c r="U272" s="176"/>
      <c r="V272" s="176"/>
      <c r="W272" s="231"/>
      <c r="X272" s="231"/>
      <c r="Y272" s="231"/>
    </row>
    <row r="273" spans="12:25" x14ac:dyDescent="0.35">
      <c r="L273" s="176"/>
      <c r="M273" s="176"/>
      <c r="N273" s="176"/>
      <c r="O273" s="176"/>
      <c r="P273" s="176"/>
      <c r="Q273" s="176"/>
      <c r="R273" s="176"/>
      <c r="S273" s="176">
        <v>271</v>
      </c>
      <c r="T273" s="176">
        <v>150</v>
      </c>
      <c r="U273" s="176"/>
      <c r="V273" s="176"/>
      <c r="W273" s="231"/>
      <c r="X273" s="231"/>
      <c r="Y273" s="231"/>
    </row>
    <row r="274" spans="12:25" x14ac:dyDescent="0.35">
      <c r="L274" s="176"/>
      <c r="M274" s="176"/>
      <c r="N274" s="176"/>
      <c r="O274" s="176"/>
      <c r="P274" s="176"/>
      <c r="Q274" s="176"/>
      <c r="R274" s="176"/>
      <c r="S274" s="176">
        <v>272</v>
      </c>
      <c r="T274" s="176">
        <v>150</v>
      </c>
      <c r="U274" s="176"/>
      <c r="V274" s="176"/>
      <c r="W274" s="231"/>
      <c r="X274" s="231"/>
      <c r="Y274" s="231"/>
    </row>
    <row r="275" spans="12:25" x14ac:dyDescent="0.35">
      <c r="L275" s="176"/>
      <c r="M275" s="176"/>
      <c r="N275" s="176"/>
      <c r="O275" s="176"/>
      <c r="P275" s="176"/>
      <c r="Q275" s="176"/>
      <c r="R275" s="176"/>
      <c r="S275" s="176">
        <v>273</v>
      </c>
      <c r="T275" s="176">
        <v>150</v>
      </c>
      <c r="U275" s="176"/>
      <c r="V275" s="176"/>
      <c r="W275" s="231"/>
      <c r="X275" s="231"/>
      <c r="Y275" s="231"/>
    </row>
    <row r="276" spans="12:25" x14ac:dyDescent="0.35">
      <c r="L276" s="176"/>
      <c r="M276" s="176"/>
      <c r="N276" s="176"/>
      <c r="O276" s="176"/>
      <c r="P276" s="176"/>
      <c r="Q276" s="176"/>
      <c r="R276" s="176"/>
      <c r="S276" s="176">
        <v>274</v>
      </c>
      <c r="T276" s="176">
        <v>150</v>
      </c>
      <c r="U276" s="176"/>
      <c r="V276" s="176"/>
      <c r="W276" s="231"/>
      <c r="X276" s="231"/>
      <c r="Y276" s="231"/>
    </row>
    <row r="277" spans="12:25" x14ac:dyDescent="0.35">
      <c r="L277" s="176"/>
      <c r="M277" s="176"/>
      <c r="N277" s="176"/>
      <c r="O277" s="176"/>
      <c r="P277" s="176"/>
      <c r="Q277" s="176"/>
      <c r="R277" s="176"/>
      <c r="S277" s="176">
        <v>275</v>
      </c>
      <c r="T277" s="176">
        <v>150</v>
      </c>
      <c r="U277" s="176"/>
      <c r="V277" s="176"/>
      <c r="W277" s="231"/>
      <c r="X277" s="231"/>
      <c r="Y277" s="231"/>
    </row>
    <row r="278" spans="12:25" x14ac:dyDescent="0.35">
      <c r="L278" s="176"/>
      <c r="M278" s="176"/>
      <c r="N278" s="176"/>
      <c r="O278" s="176"/>
      <c r="P278" s="176"/>
      <c r="Q278" s="176"/>
      <c r="R278" s="176"/>
      <c r="S278" s="176">
        <v>276</v>
      </c>
      <c r="T278" s="176">
        <v>150</v>
      </c>
      <c r="U278" s="176"/>
      <c r="V278" s="176"/>
      <c r="W278" s="231"/>
      <c r="X278" s="231"/>
      <c r="Y278" s="231"/>
    </row>
    <row r="279" spans="12:25" x14ac:dyDescent="0.35">
      <c r="L279" s="176"/>
      <c r="M279" s="176"/>
      <c r="N279" s="176"/>
      <c r="O279" s="176"/>
      <c r="P279" s="176"/>
      <c r="Q279" s="176"/>
      <c r="R279" s="176"/>
      <c r="S279" s="176">
        <v>277</v>
      </c>
      <c r="T279" s="176">
        <v>150</v>
      </c>
      <c r="U279" s="176"/>
      <c r="V279" s="176"/>
      <c r="W279" s="231"/>
      <c r="X279" s="231"/>
      <c r="Y279" s="231"/>
    </row>
    <row r="280" spans="12:25" x14ac:dyDescent="0.35">
      <c r="L280" s="176"/>
      <c r="M280" s="176"/>
      <c r="N280" s="176"/>
      <c r="O280" s="176"/>
      <c r="P280" s="176"/>
      <c r="Q280" s="176"/>
      <c r="R280" s="176"/>
      <c r="S280" s="176">
        <v>278</v>
      </c>
      <c r="T280" s="176">
        <v>150</v>
      </c>
      <c r="U280" s="176"/>
      <c r="V280" s="176"/>
      <c r="W280" s="231"/>
      <c r="X280" s="231"/>
      <c r="Y280" s="231"/>
    </row>
    <row r="281" spans="12:25" x14ac:dyDescent="0.35">
      <c r="L281" s="176"/>
      <c r="M281" s="176"/>
      <c r="N281" s="176"/>
      <c r="O281" s="176"/>
      <c r="P281" s="176"/>
      <c r="Q281" s="176"/>
      <c r="R281" s="176"/>
      <c r="S281" s="176">
        <v>279</v>
      </c>
      <c r="T281" s="176">
        <v>150</v>
      </c>
      <c r="U281" s="176"/>
      <c r="V281" s="176"/>
      <c r="W281" s="231"/>
      <c r="X281" s="231"/>
      <c r="Y281" s="231"/>
    </row>
    <row r="282" spans="12:25" x14ac:dyDescent="0.35">
      <c r="L282" s="176"/>
      <c r="M282" s="176"/>
      <c r="N282" s="176"/>
      <c r="O282" s="176"/>
      <c r="P282" s="176"/>
      <c r="Q282" s="176"/>
      <c r="R282" s="176"/>
      <c r="S282" s="176">
        <v>280</v>
      </c>
      <c r="T282" s="176">
        <v>150</v>
      </c>
      <c r="U282" s="176"/>
      <c r="V282" s="176"/>
      <c r="W282" s="231"/>
      <c r="X282" s="231"/>
      <c r="Y282" s="231"/>
    </row>
    <row r="283" spans="12:25" x14ac:dyDescent="0.35">
      <c r="L283" s="176"/>
      <c r="M283" s="176"/>
      <c r="N283" s="176"/>
      <c r="O283" s="176"/>
      <c r="P283" s="176"/>
      <c r="Q283" s="176"/>
      <c r="R283" s="176"/>
      <c r="S283" s="176">
        <v>281</v>
      </c>
      <c r="T283" s="176">
        <v>150</v>
      </c>
      <c r="U283" s="176"/>
      <c r="V283" s="176"/>
      <c r="W283" s="231"/>
      <c r="X283" s="231"/>
      <c r="Y283" s="231"/>
    </row>
    <row r="284" spans="12:25" x14ac:dyDescent="0.35">
      <c r="L284" s="176"/>
      <c r="M284" s="176"/>
      <c r="N284" s="176"/>
      <c r="O284" s="176"/>
      <c r="P284" s="176"/>
      <c r="Q284" s="176"/>
      <c r="R284" s="176"/>
      <c r="S284" s="176">
        <v>282</v>
      </c>
      <c r="T284" s="176">
        <v>150</v>
      </c>
      <c r="U284" s="176"/>
      <c r="V284" s="176"/>
      <c r="W284" s="231"/>
      <c r="X284" s="231"/>
      <c r="Y284" s="231"/>
    </row>
    <row r="285" spans="12:25" x14ac:dyDescent="0.35">
      <c r="L285" s="176"/>
      <c r="M285" s="176"/>
      <c r="N285" s="176"/>
      <c r="O285" s="176"/>
      <c r="P285" s="176"/>
      <c r="Q285" s="176"/>
      <c r="R285" s="176"/>
      <c r="S285" s="176">
        <v>283</v>
      </c>
      <c r="T285" s="176">
        <v>150</v>
      </c>
      <c r="U285" s="176"/>
      <c r="V285" s="176"/>
      <c r="W285" s="231"/>
      <c r="X285" s="231"/>
      <c r="Y285" s="231"/>
    </row>
    <row r="286" spans="12:25" x14ac:dyDescent="0.35">
      <c r="L286" s="176"/>
      <c r="M286" s="176"/>
      <c r="N286" s="176"/>
      <c r="O286" s="176"/>
      <c r="P286" s="176"/>
      <c r="Q286" s="176"/>
      <c r="R286" s="176"/>
      <c r="S286" s="176">
        <v>284</v>
      </c>
      <c r="T286" s="176">
        <v>150</v>
      </c>
      <c r="U286" s="176"/>
      <c r="V286" s="176"/>
      <c r="W286" s="231"/>
      <c r="X286" s="231"/>
      <c r="Y286" s="231"/>
    </row>
    <row r="287" spans="12:25" x14ac:dyDescent="0.35">
      <c r="L287" s="176"/>
      <c r="M287" s="176"/>
      <c r="N287" s="176"/>
      <c r="O287" s="176"/>
      <c r="P287" s="176"/>
      <c r="Q287" s="176"/>
      <c r="R287" s="176"/>
      <c r="S287" s="176">
        <v>285</v>
      </c>
      <c r="T287" s="176">
        <v>150</v>
      </c>
      <c r="U287" s="176"/>
      <c r="V287" s="176"/>
      <c r="W287" s="231"/>
      <c r="X287" s="231"/>
      <c r="Y287" s="231"/>
    </row>
    <row r="288" spans="12:25" x14ac:dyDescent="0.35">
      <c r="L288" s="176"/>
      <c r="M288" s="176"/>
      <c r="N288" s="176"/>
      <c r="O288" s="176"/>
      <c r="P288" s="176"/>
      <c r="Q288" s="176"/>
      <c r="R288" s="176"/>
      <c r="S288" s="176">
        <v>286</v>
      </c>
      <c r="T288" s="176">
        <v>150</v>
      </c>
      <c r="U288" s="176"/>
      <c r="V288" s="176"/>
      <c r="W288" s="231"/>
      <c r="X288" s="231"/>
      <c r="Y288" s="231"/>
    </row>
    <row r="289" spans="12:25" x14ac:dyDescent="0.35">
      <c r="L289" s="176"/>
      <c r="M289" s="176"/>
      <c r="N289" s="176"/>
      <c r="O289" s="176"/>
      <c r="P289" s="176"/>
      <c r="Q289" s="176"/>
      <c r="R289" s="176"/>
      <c r="S289" s="176">
        <v>287</v>
      </c>
      <c r="T289" s="176">
        <v>150</v>
      </c>
      <c r="U289" s="176"/>
      <c r="V289" s="176"/>
      <c r="W289" s="231"/>
      <c r="X289" s="231"/>
      <c r="Y289" s="231"/>
    </row>
    <row r="290" spans="12:25" x14ac:dyDescent="0.35">
      <c r="L290" s="176"/>
      <c r="M290" s="176"/>
      <c r="N290" s="176"/>
      <c r="O290" s="176"/>
      <c r="P290" s="176"/>
      <c r="Q290" s="176"/>
      <c r="R290" s="176"/>
      <c r="S290" s="176">
        <v>288</v>
      </c>
      <c r="T290" s="176">
        <v>150</v>
      </c>
      <c r="U290" s="176"/>
      <c r="V290" s="176"/>
      <c r="W290" s="231"/>
      <c r="X290" s="231"/>
      <c r="Y290" s="231"/>
    </row>
    <row r="291" spans="12:25" x14ac:dyDescent="0.35">
      <c r="L291" s="176"/>
      <c r="M291" s="176"/>
      <c r="N291" s="176"/>
      <c r="O291" s="176"/>
      <c r="P291" s="176"/>
      <c r="Q291" s="176"/>
      <c r="R291" s="176"/>
      <c r="S291" s="176">
        <v>289</v>
      </c>
      <c r="T291" s="176">
        <v>150</v>
      </c>
      <c r="U291" s="176"/>
      <c r="V291" s="176"/>
      <c r="W291" s="231"/>
      <c r="X291" s="231"/>
      <c r="Y291" s="231"/>
    </row>
    <row r="292" spans="12:25" x14ac:dyDescent="0.35">
      <c r="L292" s="176"/>
      <c r="M292" s="176"/>
      <c r="N292" s="176"/>
      <c r="O292" s="176"/>
      <c r="P292" s="176"/>
      <c r="Q292" s="176"/>
      <c r="R292" s="176"/>
      <c r="S292" s="176">
        <v>290</v>
      </c>
      <c r="T292" s="176">
        <v>150</v>
      </c>
      <c r="U292" s="176"/>
      <c r="V292" s="176"/>
      <c r="W292" s="231"/>
      <c r="X292" s="231"/>
      <c r="Y292" s="231"/>
    </row>
    <row r="293" spans="12:25" x14ac:dyDescent="0.35">
      <c r="L293" s="176"/>
      <c r="M293" s="176"/>
      <c r="N293" s="176"/>
      <c r="O293" s="176"/>
      <c r="P293" s="176"/>
      <c r="Q293" s="176"/>
      <c r="R293" s="176"/>
      <c r="S293" s="176">
        <v>291</v>
      </c>
      <c r="T293" s="176">
        <v>150</v>
      </c>
      <c r="U293" s="176"/>
      <c r="V293" s="176"/>
      <c r="W293" s="231"/>
      <c r="X293" s="231"/>
      <c r="Y293" s="231"/>
    </row>
    <row r="294" spans="12:25" x14ac:dyDescent="0.35">
      <c r="L294" s="176"/>
      <c r="M294" s="176"/>
      <c r="N294" s="176"/>
      <c r="O294" s="176"/>
      <c r="P294" s="176"/>
      <c r="Q294" s="176"/>
      <c r="R294" s="176"/>
      <c r="S294" s="176">
        <v>292</v>
      </c>
      <c r="T294" s="176">
        <v>150</v>
      </c>
      <c r="U294" s="176"/>
      <c r="V294" s="176"/>
      <c r="W294" s="231"/>
      <c r="X294" s="231"/>
      <c r="Y294" s="231"/>
    </row>
    <row r="295" spans="12:25" x14ac:dyDescent="0.35">
      <c r="L295" s="176"/>
      <c r="M295" s="176"/>
      <c r="N295" s="176"/>
      <c r="O295" s="176"/>
      <c r="P295" s="176"/>
      <c r="Q295" s="176"/>
      <c r="R295" s="176"/>
      <c r="S295" s="176">
        <v>293</v>
      </c>
      <c r="T295" s="176">
        <v>150</v>
      </c>
      <c r="U295" s="176"/>
      <c r="V295" s="176"/>
      <c r="W295" s="231"/>
      <c r="X295" s="231"/>
      <c r="Y295" s="231"/>
    </row>
    <row r="296" spans="12:25" x14ac:dyDescent="0.35">
      <c r="L296" s="176"/>
      <c r="M296" s="176"/>
      <c r="N296" s="176"/>
      <c r="O296" s="176"/>
      <c r="P296" s="176"/>
      <c r="Q296" s="176"/>
      <c r="R296" s="176"/>
      <c r="S296" s="176">
        <v>294</v>
      </c>
      <c r="T296" s="176">
        <v>150</v>
      </c>
      <c r="U296" s="176"/>
      <c r="V296" s="176"/>
      <c r="W296" s="231"/>
      <c r="X296" s="231"/>
      <c r="Y296" s="231"/>
    </row>
    <row r="297" spans="12:25" x14ac:dyDescent="0.35">
      <c r="L297" s="176"/>
      <c r="M297" s="176"/>
      <c r="N297" s="176"/>
      <c r="O297" s="176"/>
      <c r="P297" s="176"/>
      <c r="Q297" s="176"/>
      <c r="R297" s="176"/>
      <c r="S297" s="176">
        <v>295</v>
      </c>
      <c r="T297" s="176">
        <v>150</v>
      </c>
      <c r="U297" s="176"/>
      <c r="V297" s="176"/>
      <c r="W297" s="231"/>
      <c r="X297" s="231"/>
      <c r="Y297" s="231"/>
    </row>
    <row r="298" spans="12:25" x14ac:dyDescent="0.35">
      <c r="L298" s="176"/>
      <c r="M298" s="176"/>
      <c r="N298" s="176"/>
      <c r="O298" s="176"/>
      <c r="P298" s="176"/>
      <c r="Q298" s="176"/>
      <c r="R298" s="176"/>
      <c r="S298" s="176">
        <v>296</v>
      </c>
      <c r="T298" s="176">
        <v>150</v>
      </c>
      <c r="U298" s="176"/>
      <c r="V298" s="176"/>
      <c r="W298" s="231"/>
      <c r="X298" s="231"/>
      <c r="Y298" s="231"/>
    </row>
    <row r="299" spans="12:25" x14ac:dyDescent="0.35">
      <c r="L299" s="176"/>
      <c r="M299" s="176"/>
      <c r="N299" s="176"/>
      <c r="O299" s="176"/>
      <c r="P299" s="176"/>
      <c r="Q299" s="176"/>
      <c r="R299" s="176"/>
      <c r="S299" s="176">
        <v>297</v>
      </c>
      <c r="T299" s="176">
        <v>150</v>
      </c>
      <c r="U299" s="176"/>
      <c r="V299" s="176"/>
      <c r="W299" s="231"/>
      <c r="X299" s="231"/>
      <c r="Y299" s="231"/>
    </row>
    <row r="300" spans="12:25" x14ac:dyDescent="0.35">
      <c r="L300" s="176"/>
      <c r="M300" s="176"/>
      <c r="N300" s="176"/>
      <c r="O300" s="176"/>
      <c r="P300" s="176"/>
      <c r="Q300" s="176"/>
      <c r="R300" s="176"/>
      <c r="S300" s="176">
        <v>298</v>
      </c>
      <c r="T300" s="176">
        <v>150</v>
      </c>
      <c r="U300" s="176"/>
      <c r="V300" s="176"/>
      <c r="W300" s="231"/>
      <c r="X300" s="231"/>
      <c r="Y300" s="231"/>
    </row>
    <row r="301" spans="12:25" x14ac:dyDescent="0.35">
      <c r="L301" s="176"/>
      <c r="M301" s="176"/>
      <c r="N301" s="176"/>
      <c r="O301" s="176"/>
      <c r="P301" s="176"/>
      <c r="Q301" s="176"/>
      <c r="R301" s="176"/>
      <c r="S301" s="176">
        <v>299</v>
      </c>
      <c r="T301" s="176">
        <v>150</v>
      </c>
      <c r="U301" s="176"/>
      <c r="V301" s="176"/>
      <c r="W301" s="231"/>
      <c r="X301" s="231"/>
      <c r="Y301" s="231"/>
    </row>
    <row r="302" spans="12:25" x14ac:dyDescent="0.35">
      <c r="L302" s="176"/>
      <c r="M302" s="176"/>
      <c r="N302" s="176"/>
      <c r="O302" s="176"/>
      <c r="P302" s="176"/>
      <c r="Q302" s="176"/>
      <c r="R302" s="176"/>
      <c r="S302" s="176">
        <v>300</v>
      </c>
      <c r="T302" s="176">
        <v>150</v>
      </c>
      <c r="U302" s="176">
        <v>300</v>
      </c>
      <c r="V302" s="176"/>
      <c r="W302" s="231"/>
      <c r="X302" s="231"/>
      <c r="Y302" s="231"/>
    </row>
    <row r="303" spans="12:25" x14ac:dyDescent="0.35">
      <c r="L303" s="176"/>
      <c r="M303" s="176"/>
      <c r="N303" s="176"/>
      <c r="O303" s="176"/>
      <c r="P303" s="176"/>
      <c r="Q303" s="176"/>
      <c r="R303" s="176"/>
      <c r="S303" s="176">
        <v>301</v>
      </c>
      <c r="T303" s="176">
        <v>150</v>
      </c>
      <c r="U303" s="176"/>
      <c r="V303" s="176"/>
      <c r="W303" s="231"/>
      <c r="X303" s="231"/>
      <c r="Y303" s="231"/>
    </row>
    <row r="304" spans="12:25" x14ac:dyDescent="0.35">
      <c r="L304" s="176"/>
      <c r="M304" s="176"/>
      <c r="N304" s="176"/>
      <c r="O304" s="176"/>
      <c r="P304" s="176"/>
      <c r="Q304" s="176"/>
      <c r="R304" s="176"/>
      <c r="S304" s="176">
        <v>302</v>
      </c>
      <c r="T304" s="176">
        <v>150</v>
      </c>
      <c r="U304" s="176"/>
      <c r="V304" s="176"/>
      <c r="W304" s="231"/>
      <c r="X304" s="231"/>
      <c r="Y304" s="231"/>
    </row>
    <row r="305" spans="12:25" x14ac:dyDescent="0.35">
      <c r="L305" s="176"/>
      <c r="M305" s="176"/>
      <c r="N305" s="176"/>
      <c r="O305" s="176"/>
      <c r="P305" s="176"/>
      <c r="Q305" s="176"/>
      <c r="R305" s="176"/>
      <c r="S305" s="176">
        <v>303</v>
      </c>
      <c r="T305" s="176">
        <v>150</v>
      </c>
      <c r="U305" s="176"/>
      <c r="V305" s="176"/>
      <c r="W305" s="231"/>
      <c r="X305" s="231"/>
      <c r="Y305" s="231"/>
    </row>
    <row r="306" spans="12:25" x14ac:dyDescent="0.35">
      <c r="L306" s="176"/>
      <c r="M306" s="176"/>
      <c r="N306" s="176"/>
      <c r="O306" s="176"/>
      <c r="P306" s="176"/>
      <c r="Q306" s="176"/>
      <c r="R306" s="176"/>
      <c r="S306" s="176">
        <v>304</v>
      </c>
      <c r="T306" s="176">
        <v>150</v>
      </c>
      <c r="U306" s="176"/>
      <c r="V306" s="176"/>
      <c r="W306" s="231"/>
      <c r="X306" s="231"/>
      <c r="Y306" s="231"/>
    </row>
    <row r="307" spans="12:25" x14ac:dyDescent="0.35">
      <c r="L307" s="176"/>
      <c r="M307" s="176"/>
      <c r="N307" s="176"/>
      <c r="O307" s="176"/>
      <c r="P307" s="176"/>
      <c r="Q307" s="176"/>
      <c r="R307" s="176"/>
      <c r="S307" s="176">
        <v>305</v>
      </c>
      <c r="T307" s="176">
        <v>150</v>
      </c>
      <c r="U307" s="176"/>
      <c r="V307" s="176"/>
      <c r="W307" s="231"/>
      <c r="X307" s="231"/>
      <c r="Y307" s="231"/>
    </row>
    <row r="308" spans="12:25" x14ac:dyDescent="0.35">
      <c r="L308" s="176"/>
      <c r="M308" s="176"/>
      <c r="N308" s="176"/>
      <c r="O308" s="176"/>
      <c r="P308" s="176"/>
      <c r="Q308" s="176"/>
      <c r="R308" s="176"/>
      <c r="S308" s="176">
        <v>306</v>
      </c>
      <c r="T308" s="176">
        <v>150</v>
      </c>
      <c r="U308" s="176"/>
      <c r="V308" s="176"/>
      <c r="W308" s="231"/>
      <c r="X308" s="231"/>
      <c r="Y308" s="231"/>
    </row>
    <row r="309" spans="12:25" x14ac:dyDescent="0.35">
      <c r="L309" s="176"/>
      <c r="M309" s="176"/>
      <c r="N309" s="176"/>
      <c r="O309" s="176"/>
      <c r="P309" s="176"/>
      <c r="Q309" s="176"/>
      <c r="R309" s="176"/>
      <c r="S309" s="176">
        <v>307</v>
      </c>
      <c r="T309" s="176">
        <v>150</v>
      </c>
      <c r="U309" s="176"/>
      <c r="V309" s="176"/>
      <c r="W309" s="231"/>
      <c r="X309" s="231"/>
      <c r="Y309" s="231"/>
    </row>
    <row r="310" spans="12:25" x14ac:dyDescent="0.35">
      <c r="L310" s="176"/>
      <c r="M310" s="176"/>
      <c r="N310" s="176"/>
      <c r="O310" s="176"/>
      <c r="P310" s="176"/>
      <c r="Q310" s="176"/>
      <c r="R310" s="176"/>
      <c r="S310" s="176">
        <v>308</v>
      </c>
      <c r="T310" s="176">
        <v>150</v>
      </c>
      <c r="U310" s="176"/>
      <c r="V310" s="176"/>
      <c r="W310" s="231"/>
      <c r="X310" s="231"/>
      <c r="Y310" s="231"/>
    </row>
    <row r="311" spans="12:25" x14ac:dyDescent="0.35">
      <c r="L311" s="176"/>
      <c r="M311" s="176"/>
      <c r="N311" s="176"/>
      <c r="O311" s="176"/>
      <c r="P311" s="176"/>
      <c r="Q311" s="176"/>
      <c r="R311" s="176"/>
      <c r="S311" s="176">
        <v>309</v>
      </c>
      <c r="T311" s="176">
        <v>150</v>
      </c>
      <c r="U311" s="176"/>
      <c r="V311" s="176"/>
      <c r="W311" s="231"/>
      <c r="X311" s="231"/>
      <c r="Y311" s="231"/>
    </row>
    <row r="312" spans="12:25" x14ac:dyDescent="0.35">
      <c r="L312" s="176"/>
      <c r="M312" s="176"/>
      <c r="N312" s="176"/>
      <c r="O312" s="176"/>
      <c r="P312" s="176"/>
      <c r="Q312" s="176"/>
      <c r="R312" s="176"/>
      <c r="S312" s="176">
        <v>310</v>
      </c>
      <c r="T312" s="176">
        <v>150</v>
      </c>
      <c r="U312" s="176"/>
      <c r="V312" s="176"/>
      <c r="W312" s="231"/>
      <c r="X312" s="231"/>
      <c r="Y312" s="231"/>
    </row>
    <row r="313" spans="12:25" x14ac:dyDescent="0.35">
      <c r="L313" s="176"/>
      <c r="M313" s="176"/>
      <c r="N313" s="176"/>
      <c r="O313" s="176"/>
      <c r="P313" s="176"/>
      <c r="Q313" s="176"/>
      <c r="R313" s="176"/>
      <c r="S313" s="176">
        <v>311</v>
      </c>
      <c r="T313" s="176">
        <v>150</v>
      </c>
      <c r="U313" s="176"/>
      <c r="V313" s="176"/>
      <c r="W313" s="231"/>
      <c r="X313" s="231"/>
      <c r="Y313" s="231"/>
    </row>
    <row r="314" spans="12:25" x14ac:dyDescent="0.35">
      <c r="L314" s="176"/>
      <c r="M314" s="176"/>
      <c r="N314" s="176"/>
      <c r="O314" s="176"/>
      <c r="P314" s="176"/>
      <c r="Q314" s="176"/>
      <c r="R314" s="176"/>
      <c r="S314" s="176">
        <v>312</v>
      </c>
      <c r="T314" s="176">
        <v>150</v>
      </c>
      <c r="U314" s="176"/>
      <c r="V314" s="176"/>
      <c r="W314" s="231"/>
      <c r="X314" s="231"/>
      <c r="Y314" s="231"/>
    </row>
    <row r="315" spans="12:25" x14ac:dyDescent="0.35">
      <c r="L315" s="176"/>
      <c r="M315" s="176"/>
      <c r="N315" s="176"/>
      <c r="O315" s="176"/>
      <c r="P315" s="176"/>
      <c r="Q315" s="176"/>
      <c r="R315" s="176"/>
      <c r="S315" s="176">
        <v>313</v>
      </c>
      <c r="T315" s="176">
        <v>150</v>
      </c>
      <c r="U315" s="176"/>
      <c r="V315" s="176"/>
      <c r="W315" s="231"/>
      <c r="X315" s="231"/>
      <c r="Y315" s="231"/>
    </row>
    <row r="316" spans="12:25" x14ac:dyDescent="0.35">
      <c r="L316" s="176"/>
      <c r="M316" s="176"/>
      <c r="N316" s="176"/>
      <c r="O316" s="176"/>
      <c r="P316" s="176"/>
      <c r="Q316" s="176"/>
      <c r="R316" s="176"/>
      <c r="S316" s="176">
        <v>314</v>
      </c>
      <c r="T316" s="176">
        <v>150</v>
      </c>
      <c r="U316" s="176"/>
      <c r="V316" s="176"/>
      <c r="W316" s="231"/>
      <c r="X316" s="231"/>
      <c r="Y316" s="231"/>
    </row>
    <row r="317" spans="12:25" x14ac:dyDescent="0.35">
      <c r="L317" s="176"/>
      <c r="M317" s="176"/>
      <c r="N317" s="176"/>
      <c r="O317" s="176"/>
      <c r="P317" s="176"/>
      <c r="Q317" s="176"/>
      <c r="R317" s="176"/>
      <c r="S317" s="176">
        <v>315</v>
      </c>
      <c r="T317" s="176">
        <v>150</v>
      </c>
      <c r="U317" s="176"/>
      <c r="V317" s="176"/>
      <c r="W317" s="231"/>
      <c r="X317" s="231"/>
      <c r="Y317" s="231"/>
    </row>
    <row r="318" spans="12:25" x14ac:dyDescent="0.35">
      <c r="L318" s="176"/>
      <c r="M318" s="176"/>
      <c r="N318" s="176"/>
      <c r="O318" s="176"/>
      <c r="P318" s="176"/>
      <c r="Q318" s="176"/>
      <c r="R318" s="176"/>
      <c r="S318" s="176">
        <v>316</v>
      </c>
      <c r="T318" s="176">
        <v>150</v>
      </c>
      <c r="U318" s="176"/>
      <c r="V318" s="176"/>
      <c r="W318" s="231"/>
      <c r="X318" s="231"/>
      <c r="Y318" s="231"/>
    </row>
    <row r="319" spans="12:25" x14ac:dyDescent="0.35">
      <c r="L319" s="176"/>
      <c r="M319" s="176"/>
      <c r="N319" s="176"/>
      <c r="O319" s="176"/>
      <c r="P319" s="176"/>
      <c r="Q319" s="176"/>
      <c r="R319" s="176"/>
      <c r="S319" s="176">
        <v>317</v>
      </c>
      <c r="T319" s="176">
        <v>150</v>
      </c>
      <c r="U319" s="176"/>
      <c r="V319" s="176"/>
      <c r="W319" s="231"/>
      <c r="X319" s="231"/>
      <c r="Y319" s="231"/>
    </row>
    <row r="320" spans="12:25" x14ac:dyDescent="0.35">
      <c r="L320" s="176"/>
      <c r="M320" s="176"/>
      <c r="N320" s="176"/>
      <c r="O320" s="176"/>
      <c r="P320" s="176"/>
      <c r="Q320" s="176"/>
      <c r="R320" s="176"/>
      <c r="S320" s="176">
        <v>318</v>
      </c>
      <c r="T320" s="176">
        <v>150</v>
      </c>
      <c r="U320" s="176"/>
      <c r="V320" s="176"/>
      <c r="W320" s="231"/>
      <c r="X320" s="231"/>
      <c r="Y320" s="231"/>
    </row>
    <row r="321" spans="12:25" x14ac:dyDescent="0.35">
      <c r="L321" s="176"/>
      <c r="M321" s="176"/>
      <c r="N321" s="176"/>
      <c r="O321" s="176"/>
      <c r="P321" s="176"/>
      <c r="Q321" s="176"/>
      <c r="R321" s="176"/>
      <c r="S321" s="176">
        <v>319</v>
      </c>
      <c r="T321" s="176">
        <v>150</v>
      </c>
      <c r="U321" s="176"/>
      <c r="V321" s="176"/>
      <c r="W321" s="231"/>
      <c r="X321" s="231"/>
      <c r="Y321" s="231"/>
    </row>
    <row r="322" spans="12:25" x14ac:dyDescent="0.35">
      <c r="L322" s="176"/>
      <c r="M322" s="176"/>
      <c r="N322" s="176"/>
      <c r="O322" s="176"/>
      <c r="P322" s="176"/>
      <c r="Q322" s="176"/>
      <c r="R322" s="176"/>
      <c r="S322" s="176">
        <v>320</v>
      </c>
      <c r="T322" s="176">
        <v>150</v>
      </c>
      <c r="U322" s="176"/>
      <c r="V322" s="176"/>
      <c r="W322" s="231"/>
      <c r="X322" s="231"/>
      <c r="Y322" s="231"/>
    </row>
    <row r="323" spans="12:25" x14ac:dyDescent="0.35">
      <c r="L323" s="176"/>
      <c r="M323" s="176"/>
      <c r="N323" s="176"/>
      <c r="O323" s="176"/>
      <c r="P323" s="176"/>
      <c r="Q323" s="176"/>
      <c r="R323" s="176"/>
      <c r="S323" s="176">
        <v>321</v>
      </c>
      <c r="T323" s="176">
        <v>150</v>
      </c>
      <c r="U323" s="176"/>
      <c r="V323" s="176"/>
      <c r="W323" s="231"/>
      <c r="X323" s="231"/>
      <c r="Y323" s="231"/>
    </row>
    <row r="324" spans="12:25" x14ac:dyDescent="0.35">
      <c r="L324" s="176"/>
      <c r="M324" s="176"/>
      <c r="N324" s="176"/>
      <c r="O324" s="176"/>
      <c r="P324" s="176"/>
      <c r="Q324" s="176"/>
      <c r="R324" s="176"/>
      <c r="S324" s="176">
        <v>322</v>
      </c>
      <c r="T324" s="176">
        <v>150</v>
      </c>
      <c r="U324" s="176"/>
      <c r="V324" s="176"/>
      <c r="W324" s="231"/>
      <c r="X324" s="231"/>
      <c r="Y324" s="231"/>
    </row>
    <row r="325" spans="12:25" x14ac:dyDescent="0.35">
      <c r="L325" s="176"/>
      <c r="M325" s="176"/>
      <c r="N325" s="176"/>
      <c r="O325" s="176"/>
      <c r="P325" s="176"/>
      <c r="Q325" s="176"/>
      <c r="R325" s="176"/>
      <c r="S325" s="176">
        <v>323</v>
      </c>
      <c r="T325" s="176">
        <v>150</v>
      </c>
      <c r="U325" s="176"/>
      <c r="V325" s="176"/>
      <c r="W325" s="231"/>
      <c r="X325" s="231"/>
      <c r="Y325" s="231"/>
    </row>
    <row r="326" spans="12:25" x14ac:dyDescent="0.35">
      <c r="L326" s="176"/>
      <c r="M326" s="176"/>
      <c r="N326" s="176"/>
      <c r="O326" s="176"/>
      <c r="P326" s="176"/>
      <c r="Q326" s="176"/>
      <c r="R326" s="176"/>
      <c r="S326" s="176">
        <v>324</v>
      </c>
      <c r="T326" s="176">
        <v>150</v>
      </c>
      <c r="U326" s="176"/>
      <c r="V326" s="176"/>
      <c r="W326" s="231"/>
      <c r="X326" s="231"/>
      <c r="Y326" s="231"/>
    </row>
    <row r="327" spans="12:25" x14ac:dyDescent="0.35">
      <c r="L327" s="176"/>
      <c r="M327" s="176"/>
      <c r="N327" s="176"/>
      <c r="O327" s="176"/>
      <c r="P327" s="176"/>
      <c r="Q327" s="176"/>
      <c r="R327" s="176"/>
      <c r="S327" s="176">
        <v>325</v>
      </c>
      <c r="T327" s="176">
        <v>150</v>
      </c>
      <c r="U327" s="176"/>
      <c r="V327" s="176"/>
      <c r="W327" s="231"/>
      <c r="X327" s="231"/>
      <c r="Y327" s="231"/>
    </row>
    <row r="328" spans="12:25" x14ac:dyDescent="0.35">
      <c r="L328" s="176"/>
      <c r="M328" s="176"/>
      <c r="N328" s="176"/>
      <c r="O328" s="176"/>
      <c r="P328" s="176"/>
      <c r="Q328" s="176"/>
      <c r="R328" s="176"/>
      <c r="S328" s="176">
        <v>326</v>
      </c>
      <c r="T328" s="176">
        <v>150</v>
      </c>
      <c r="U328" s="176"/>
      <c r="V328" s="176"/>
      <c r="W328" s="231"/>
      <c r="X328" s="231"/>
      <c r="Y328" s="231"/>
    </row>
    <row r="329" spans="12:25" x14ac:dyDescent="0.35">
      <c r="L329" s="176"/>
      <c r="M329" s="176"/>
      <c r="N329" s="176"/>
      <c r="O329" s="176"/>
      <c r="P329" s="176"/>
      <c r="Q329" s="176"/>
      <c r="R329" s="176"/>
      <c r="S329" s="176">
        <v>327</v>
      </c>
      <c r="T329" s="176">
        <v>150</v>
      </c>
      <c r="U329" s="176"/>
      <c r="V329" s="176"/>
      <c r="W329" s="231"/>
      <c r="X329" s="231"/>
      <c r="Y329" s="231"/>
    </row>
    <row r="330" spans="12:25" x14ac:dyDescent="0.35">
      <c r="L330" s="176"/>
      <c r="M330" s="176"/>
      <c r="N330" s="176"/>
      <c r="O330" s="176"/>
      <c r="P330" s="176"/>
      <c r="Q330" s="176"/>
      <c r="R330" s="176"/>
      <c r="S330" s="176">
        <v>328</v>
      </c>
      <c r="T330" s="176">
        <v>150</v>
      </c>
      <c r="U330" s="176"/>
      <c r="V330" s="176"/>
      <c r="W330" s="231"/>
      <c r="X330" s="231"/>
      <c r="Y330" s="231"/>
    </row>
    <row r="331" spans="12:25" x14ac:dyDescent="0.35">
      <c r="L331" s="176"/>
      <c r="M331" s="176"/>
      <c r="N331" s="176"/>
      <c r="O331" s="176"/>
      <c r="P331" s="176"/>
      <c r="Q331" s="176"/>
      <c r="R331" s="176"/>
      <c r="S331" s="176">
        <v>329</v>
      </c>
      <c r="T331" s="176">
        <v>150</v>
      </c>
      <c r="U331" s="176"/>
      <c r="V331" s="176"/>
      <c r="W331" s="231"/>
      <c r="X331" s="231"/>
      <c r="Y331" s="231"/>
    </row>
    <row r="332" spans="12:25" x14ac:dyDescent="0.35">
      <c r="L332" s="176"/>
      <c r="M332" s="176"/>
      <c r="N332" s="176"/>
      <c r="O332" s="176"/>
      <c r="P332" s="176"/>
      <c r="Q332" s="176"/>
      <c r="R332" s="176"/>
      <c r="S332" s="176">
        <v>330</v>
      </c>
      <c r="T332" s="176">
        <v>150</v>
      </c>
      <c r="U332" s="176"/>
      <c r="V332" s="176"/>
      <c r="W332" s="231"/>
      <c r="X332" s="231"/>
      <c r="Y332" s="231"/>
    </row>
    <row r="333" spans="12:25" x14ac:dyDescent="0.35">
      <c r="L333" s="176"/>
      <c r="M333" s="176"/>
      <c r="N333" s="176"/>
      <c r="O333" s="176"/>
      <c r="P333" s="176"/>
      <c r="Q333" s="176"/>
      <c r="R333" s="176"/>
      <c r="S333" s="176">
        <v>331</v>
      </c>
      <c r="T333" s="176">
        <v>150</v>
      </c>
      <c r="U333" s="176"/>
      <c r="V333" s="176"/>
      <c r="W333" s="231"/>
      <c r="X333" s="231"/>
      <c r="Y333" s="231"/>
    </row>
    <row r="334" spans="12:25" x14ac:dyDescent="0.35">
      <c r="L334" s="176"/>
      <c r="M334" s="176"/>
      <c r="N334" s="176"/>
      <c r="O334" s="176"/>
      <c r="P334" s="176"/>
      <c r="Q334" s="176"/>
      <c r="R334" s="176"/>
      <c r="S334" s="176">
        <v>332</v>
      </c>
      <c r="T334" s="176">
        <v>150</v>
      </c>
      <c r="U334" s="176"/>
      <c r="V334" s="176"/>
      <c r="W334" s="231"/>
      <c r="X334" s="231"/>
      <c r="Y334" s="231"/>
    </row>
    <row r="335" spans="12:25" x14ac:dyDescent="0.35">
      <c r="L335" s="176"/>
      <c r="M335" s="176"/>
      <c r="N335" s="176"/>
      <c r="O335" s="176"/>
      <c r="P335" s="176"/>
      <c r="Q335" s="176"/>
      <c r="R335" s="176"/>
      <c r="S335" s="176">
        <v>333</v>
      </c>
      <c r="T335" s="176">
        <v>150</v>
      </c>
      <c r="U335" s="176"/>
      <c r="V335" s="176"/>
      <c r="W335" s="231"/>
      <c r="X335" s="231"/>
      <c r="Y335" s="231"/>
    </row>
    <row r="336" spans="12:25" x14ac:dyDescent="0.35">
      <c r="L336" s="176"/>
      <c r="M336" s="176"/>
      <c r="N336" s="176"/>
      <c r="O336" s="176"/>
      <c r="P336" s="176"/>
      <c r="Q336" s="176"/>
      <c r="R336" s="176"/>
      <c r="S336" s="176">
        <v>334</v>
      </c>
      <c r="T336" s="176">
        <v>150</v>
      </c>
      <c r="U336" s="176"/>
      <c r="V336" s="176"/>
      <c r="W336" s="231"/>
      <c r="X336" s="231"/>
      <c r="Y336" s="231"/>
    </row>
    <row r="337" spans="12:25" x14ac:dyDescent="0.35">
      <c r="L337" s="176"/>
      <c r="M337" s="176"/>
      <c r="N337" s="176"/>
      <c r="O337" s="176"/>
      <c r="P337" s="176"/>
      <c r="Q337" s="176"/>
      <c r="R337" s="176"/>
      <c r="S337" s="176">
        <v>335</v>
      </c>
      <c r="T337" s="176">
        <v>150</v>
      </c>
      <c r="U337" s="176"/>
      <c r="V337" s="176"/>
      <c r="W337" s="231"/>
      <c r="X337" s="231"/>
      <c r="Y337" s="231"/>
    </row>
    <row r="338" spans="12:25" x14ac:dyDescent="0.35">
      <c r="L338" s="176"/>
      <c r="M338" s="176"/>
      <c r="N338" s="176"/>
      <c r="O338" s="176"/>
      <c r="P338" s="176"/>
      <c r="Q338" s="176"/>
      <c r="R338" s="176"/>
      <c r="S338" s="176">
        <v>336</v>
      </c>
      <c r="T338" s="176">
        <v>150</v>
      </c>
      <c r="U338" s="176"/>
      <c r="V338" s="176"/>
      <c r="W338" s="231"/>
      <c r="X338" s="231"/>
      <c r="Y338" s="231"/>
    </row>
    <row r="339" spans="12:25" x14ac:dyDescent="0.35">
      <c r="L339" s="176"/>
      <c r="M339" s="176"/>
      <c r="N339" s="176"/>
      <c r="O339" s="176"/>
      <c r="P339" s="176"/>
      <c r="Q339" s="176"/>
      <c r="R339" s="176"/>
      <c r="S339" s="176">
        <v>337</v>
      </c>
      <c r="T339" s="176">
        <v>150</v>
      </c>
      <c r="U339" s="176"/>
      <c r="V339" s="176"/>
      <c r="W339" s="231"/>
      <c r="X339" s="231"/>
      <c r="Y339" s="231"/>
    </row>
    <row r="340" spans="12:25" x14ac:dyDescent="0.35">
      <c r="L340" s="176"/>
      <c r="M340" s="176"/>
      <c r="N340" s="176"/>
      <c r="O340" s="176"/>
      <c r="P340" s="176"/>
      <c r="Q340" s="176"/>
      <c r="R340" s="176"/>
      <c r="S340" s="176">
        <v>338</v>
      </c>
      <c r="T340" s="176">
        <v>150</v>
      </c>
      <c r="U340" s="176"/>
      <c r="V340" s="176"/>
      <c r="W340" s="231"/>
      <c r="X340" s="231"/>
      <c r="Y340" s="231"/>
    </row>
    <row r="341" spans="12:25" x14ac:dyDescent="0.35">
      <c r="L341" s="176"/>
      <c r="M341" s="176"/>
      <c r="N341" s="176"/>
      <c r="O341" s="176"/>
      <c r="P341" s="176"/>
      <c r="Q341" s="176"/>
      <c r="R341" s="176"/>
      <c r="S341" s="176">
        <v>339</v>
      </c>
      <c r="T341" s="176">
        <v>150</v>
      </c>
      <c r="U341" s="176"/>
      <c r="V341" s="176"/>
      <c r="W341" s="231"/>
      <c r="X341" s="231"/>
      <c r="Y341" s="231"/>
    </row>
    <row r="342" spans="12:25" x14ac:dyDescent="0.35">
      <c r="L342" s="176"/>
      <c r="M342" s="176"/>
      <c r="N342" s="176"/>
      <c r="O342" s="176"/>
      <c r="P342" s="176"/>
      <c r="Q342" s="176"/>
      <c r="R342" s="176"/>
      <c r="S342" s="176">
        <v>340</v>
      </c>
      <c r="T342" s="176">
        <v>150</v>
      </c>
      <c r="U342" s="176"/>
      <c r="V342" s="176"/>
      <c r="W342" s="231"/>
      <c r="X342" s="231"/>
      <c r="Y342" s="231"/>
    </row>
    <row r="343" spans="12:25" x14ac:dyDescent="0.35">
      <c r="L343" s="176"/>
      <c r="M343" s="176"/>
      <c r="N343" s="176"/>
      <c r="O343" s="176"/>
      <c r="P343" s="176"/>
      <c r="Q343" s="176"/>
      <c r="R343" s="176"/>
      <c r="S343" s="176">
        <v>341</v>
      </c>
      <c r="T343" s="176">
        <v>150</v>
      </c>
      <c r="U343" s="176"/>
      <c r="V343" s="176"/>
      <c r="W343" s="231"/>
      <c r="X343" s="231"/>
      <c r="Y343" s="231"/>
    </row>
    <row r="344" spans="12:25" x14ac:dyDescent="0.35">
      <c r="L344" s="176"/>
      <c r="M344" s="176"/>
      <c r="N344" s="176"/>
      <c r="O344" s="176"/>
      <c r="P344" s="176"/>
      <c r="Q344" s="176"/>
      <c r="R344" s="176"/>
      <c r="S344" s="176">
        <v>342</v>
      </c>
      <c r="T344" s="176">
        <v>150</v>
      </c>
      <c r="U344" s="176"/>
      <c r="V344" s="176"/>
      <c r="W344" s="231"/>
      <c r="X344" s="231"/>
      <c r="Y344" s="231"/>
    </row>
    <row r="345" spans="12:25" x14ac:dyDescent="0.35">
      <c r="L345" s="176"/>
      <c r="M345" s="176"/>
      <c r="N345" s="176"/>
      <c r="O345" s="176"/>
      <c r="P345" s="176"/>
      <c r="Q345" s="176"/>
      <c r="R345" s="176"/>
      <c r="S345" s="176">
        <v>343</v>
      </c>
      <c r="T345" s="176">
        <v>150</v>
      </c>
      <c r="U345" s="176"/>
      <c r="V345" s="176"/>
      <c r="W345" s="231"/>
      <c r="X345" s="231"/>
      <c r="Y345" s="231"/>
    </row>
    <row r="346" spans="12:25" x14ac:dyDescent="0.35">
      <c r="L346" s="176"/>
      <c r="M346" s="176"/>
      <c r="N346" s="176"/>
      <c r="O346" s="176"/>
      <c r="P346" s="176"/>
      <c r="Q346" s="176"/>
      <c r="R346" s="176"/>
      <c r="S346" s="176">
        <v>344</v>
      </c>
      <c r="T346" s="176">
        <v>150</v>
      </c>
      <c r="U346" s="176"/>
      <c r="V346" s="176"/>
      <c r="W346" s="231"/>
      <c r="X346" s="231"/>
      <c r="Y346" s="231"/>
    </row>
    <row r="347" spans="12:25" x14ac:dyDescent="0.35">
      <c r="L347" s="176"/>
      <c r="M347" s="176"/>
      <c r="N347" s="176"/>
      <c r="O347" s="176"/>
      <c r="P347" s="176"/>
      <c r="Q347" s="176"/>
      <c r="R347" s="176"/>
      <c r="S347" s="176">
        <v>345</v>
      </c>
      <c r="T347" s="176">
        <v>150</v>
      </c>
      <c r="U347" s="176"/>
      <c r="V347" s="176"/>
      <c r="W347" s="231"/>
      <c r="X347" s="231"/>
      <c r="Y347" s="231"/>
    </row>
    <row r="348" spans="12:25" x14ac:dyDescent="0.35">
      <c r="L348" s="176"/>
      <c r="M348" s="176"/>
      <c r="N348" s="176"/>
      <c r="O348" s="176"/>
      <c r="P348" s="176"/>
      <c r="Q348" s="176"/>
      <c r="R348" s="176"/>
      <c r="S348" s="176">
        <v>346</v>
      </c>
      <c r="T348" s="176">
        <v>150</v>
      </c>
      <c r="U348" s="176"/>
      <c r="V348" s="176"/>
      <c r="W348" s="231"/>
      <c r="X348" s="231"/>
      <c r="Y348" s="231"/>
    </row>
    <row r="349" spans="12:25" x14ac:dyDescent="0.35">
      <c r="L349" s="176"/>
      <c r="M349" s="176"/>
      <c r="N349" s="176"/>
      <c r="O349" s="176"/>
      <c r="P349" s="176"/>
      <c r="Q349" s="176"/>
      <c r="R349" s="176"/>
      <c r="S349" s="176">
        <v>347</v>
      </c>
      <c r="T349" s="176">
        <v>150</v>
      </c>
      <c r="U349" s="176"/>
      <c r="V349" s="176"/>
      <c r="W349" s="231"/>
      <c r="X349" s="231"/>
      <c r="Y349" s="231"/>
    </row>
    <row r="350" spans="12:25" x14ac:dyDescent="0.35">
      <c r="L350" s="176"/>
      <c r="M350" s="176"/>
      <c r="N350" s="176"/>
      <c r="O350" s="176"/>
      <c r="P350" s="176"/>
      <c r="Q350" s="176"/>
      <c r="R350" s="176"/>
      <c r="S350" s="176">
        <v>348</v>
      </c>
      <c r="T350" s="176">
        <v>150</v>
      </c>
      <c r="U350" s="176"/>
      <c r="V350" s="176"/>
      <c r="W350" s="231"/>
      <c r="X350" s="231"/>
      <c r="Y350" s="231"/>
    </row>
    <row r="351" spans="12:25" x14ac:dyDescent="0.35">
      <c r="L351" s="176"/>
      <c r="M351" s="176"/>
      <c r="N351" s="176"/>
      <c r="O351" s="176"/>
      <c r="P351" s="176"/>
      <c r="Q351" s="176"/>
      <c r="R351" s="176"/>
      <c r="S351" s="176">
        <v>349</v>
      </c>
      <c r="T351" s="176">
        <v>150</v>
      </c>
      <c r="U351" s="176"/>
      <c r="V351" s="176"/>
      <c r="W351" s="231"/>
      <c r="X351" s="231"/>
      <c r="Y351" s="231"/>
    </row>
    <row r="352" spans="12:25" x14ac:dyDescent="0.35">
      <c r="L352" s="176"/>
      <c r="M352" s="176"/>
      <c r="N352" s="176"/>
      <c r="O352" s="176"/>
      <c r="P352" s="176"/>
      <c r="Q352" s="176"/>
      <c r="R352" s="176"/>
      <c r="S352" s="176">
        <v>350</v>
      </c>
      <c r="T352" s="176">
        <v>150</v>
      </c>
      <c r="U352" s="176"/>
      <c r="V352" s="176"/>
      <c r="W352" s="231"/>
      <c r="X352" s="231"/>
      <c r="Y352" s="231"/>
    </row>
    <row r="353" spans="12:25" x14ac:dyDescent="0.35">
      <c r="L353" s="176"/>
      <c r="M353" s="176"/>
      <c r="N353" s="176"/>
      <c r="O353" s="176"/>
      <c r="P353" s="176"/>
      <c r="Q353" s="176"/>
      <c r="R353" s="176"/>
      <c r="S353" s="176">
        <v>351</v>
      </c>
      <c r="T353" s="176">
        <v>150</v>
      </c>
      <c r="U353" s="176"/>
      <c r="V353" s="176"/>
      <c r="W353" s="231"/>
      <c r="X353" s="231"/>
      <c r="Y353" s="231"/>
    </row>
    <row r="354" spans="12:25" x14ac:dyDescent="0.35">
      <c r="L354" s="176"/>
      <c r="M354" s="176"/>
      <c r="N354" s="176"/>
      <c r="O354" s="176"/>
      <c r="P354" s="176"/>
      <c r="Q354" s="176"/>
      <c r="R354" s="176"/>
      <c r="S354" s="176">
        <v>352</v>
      </c>
      <c r="T354" s="176">
        <v>150</v>
      </c>
      <c r="U354" s="176"/>
      <c r="V354" s="176"/>
      <c r="W354" s="231"/>
      <c r="X354" s="231"/>
      <c r="Y354" s="231"/>
    </row>
    <row r="355" spans="12:25" x14ac:dyDescent="0.35">
      <c r="L355" s="176"/>
      <c r="M355" s="176"/>
      <c r="N355" s="176"/>
      <c r="O355" s="176"/>
      <c r="P355" s="176"/>
      <c r="Q355" s="176"/>
      <c r="R355" s="176"/>
      <c r="S355" s="176">
        <v>353</v>
      </c>
      <c r="T355" s="176">
        <v>150</v>
      </c>
      <c r="U355" s="176"/>
      <c r="V355" s="176"/>
      <c r="W355" s="231"/>
      <c r="X355" s="231"/>
      <c r="Y355" s="231"/>
    </row>
    <row r="356" spans="12:25" x14ac:dyDescent="0.35">
      <c r="L356" s="176"/>
      <c r="M356" s="176"/>
      <c r="N356" s="176"/>
      <c r="O356" s="176"/>
      <c r="P356" s="176"/>
      <c r="Q356" s="176"/>
      <c r="R356" s="176"/>
      <c r="S356" s="176">
        <v>354</v>
      </c>
      <c r="T356" s="176">
        <v>150</v>
      </c>
      <c r="U356" s="176"/>
      <c r="V356" s="176"/>
      <c r="W356" s="231"/>
      <c r="X356" s="231"/>
      <c r="Y356" s="231"/>
    </row>
    <row r="357" spans="12:25" x14ac:dyDescent="0.35">
      <c r="L357" s="176"/>
      <c r="M357" s="176"/>
      <c r="N357" s="176"/>
      <c r="O357" s="176"/>
      <c r="P357" s="176"/>
      <c r="Q357" s="176"/>
      <c r="R357" s="176"/>
      <c r="S357" s="176">
        <v>355</v>
      </c>
      <c r="T357" s="176">
        <v>150</v>
      </c>
      <c r="U357" s="176"/>
      <c r="V357" s="176"/>
      <c r="W357" s="231"/>
      <c r="X357" s="231"/>
      <c r="Y357" s="231"/>
    </row>
    <row r="358" spans="12:25" x14ac:dyDescent="0.35">
      <c r="L358" s="176"/>
      <c r="M358" s="176"/>
      <c r="N358" s="176"/>
      <c r="O358" s="176"/>
      <c r="P358" s="176"/>
      <c r="Q358" s="176"/>
      <c r="R358" s="176"/>
      <c r="S358" s="176">
        <v>356</v>
      </c>
      <c r="T358" s="176">
        <v>150</v>
      </c>
      <c r="U358" s="176"/>
      <c r="V358" s="176"/>
      <c r="W358" s="231"/>
      <c r="X358" s="231"/>
      <c r="Y358" s="231"/>
    </row>
    <row r="359" spans="12:25" x14ac:dyDescent="0.35">
      <c r="L359" s="176"/>
      <c r="M359" s="176"/>
      <c r="N359" s="176"/>
      <c r="O359" s="176"/>
      <c r="P359" s="176"/>
      <c r="Q359" s="176"/>
      <c r="R359" s="176"/>
      <c r="S359" s="176">
        <v>357</v>
      </c>
      <c r="T359" s="176">
        <v>150</v>
      </c>
      <c r="U359" s="176"/>
      <c r="V359" s="176"/>
      <c r="W359" s="231"/>
      <c r="X359" s="231"/>
      <c r="Y359" s="231"/>
    </row>
    <row r="360" spans="12:25" x14ac:dyDescent="0.35">
      <c r="L360" s="176"/>
      <c r="M360" s="176"/>
      <c r="N360" s="176"/>
      <c r="O360" s="176"/>
      <c r="P360" s="176"/>
      <c r="Q360" s="176"/>
      <c r="R360" s="176"/>
      <c r="S360" s="176">
        <v>358</v>
      </c>
      <c r="T360" s="176">
        <v>150</v>
      </c>
      <c r="U360" s="176"/>
      <c r="V360" s="176"/>
      <c r="W360" s="231"/>
      <c r="X360" s="231"/>
      <c r="Y360" s="231"/>
    </row>
    <row r="361" spans="12:25" x14ac:dyDescent="0.35">
      <c r="L361" s="176"/>
      <c r="M361" s="176"/>
      <c r="N361" s="176"/>
      <c r="O361" s="176"/>
      <c r="P361" s="176"/>
      <c r="Q361" s="176"/>
      <c r="R361" s="176"/>
      <c r="S361" s="176">
        <v>359</v>
      </c>
      <c r="T361" s="176">
        <v>150</v>
      </c>
      <c r="U361" s="176"/>
      <c r="V361" s="176"/>
      <c r="W361" s="231"/>
      <c r="X361" s="231"/>
      <c r="Y361" s="231"/>
    </row>
    <row r="362" spans="12:25" x14ac:dyDescent="0.35">
      <c r="L362" s="176"/>
      <c r="M362" s="176"/>
      <c r="N362" s="176"/>
      <c r="O362" s="176"/>
      <c r="P362" s="176"/>
      <c r="Q362" s="176"/>
      <c r="R362" s="176"/>
      <c r="S362" s="176">
        <v>360</v>
      </c>
      <c r="T362" s="176">
        <v>150</v>
      </c>
      <c r="U362" s="176">
        <v>360</v>
      </c>
      <c r="V362" s="176"/>
      <c r="W362" s="231"/>
      <c r="X362" s="231"/>
      <c r="Y362" s="231"/>
    </row>
    <row r="363" spans="12:25" x14ac:dyDescent="0.35">
      <c r="L363" s="176"/>
      <c r="M363" s="176"/>
      <c r="N363" s="176"/>
      <c r="O363" s="176"/>
      <c r="P363" s="176"/>
      <c r="Q363" s="176"/>
      <c r="R363" s="176"/>
      <c r="S363" s="176"/>
      <c r="T363" s="176"/>
      <c r="U363" s="176"/>
      <c r="V363" s="176"/>
      <c r="W363" s="231"/>
      <c r="X363" s="231"/>
      <c r="Y363" s="231"/>
    </row>
    <row r="364" spans="12:25" x14ac:dyDescent="0.35">
      <c r="L364" s="176"/>
      <c r="M364" s="176"/>
      <c r="N364" s="176"/>
      <c r="O364" s="176"/>
      <c r="P364" s="176"/>
      <c r="Q364" s="176"/>
      <c r="R364" s="176"/>
      <c r="S364" s="176"/>
      <c r="T364" s="176"/>
      <c r="U364" s="176"/>
      <c r="V364" s="176"/>
      <c r="W364" s="231"/>
      <c r="X364" s="231"/>
      <c r="Y364" s="231"/>
    </row>
    <row r="365" spans="12:25" x14ac:dyDescent="0.35">
      <c r="L365" s="176"/>
      <c r="M365" s="176"/>
      <c r="N365" s="176"/>
      <c r="O365" s="176"/>
      <c r="P365" s="176"/>
      <c r="Q365" s="176"/>
      <c r="R365" s="176"/>
      <c r="S365" s="176"/>
      <c r="T365" s="176"/>
      <c r="U365" s="176"/>
      <c r="V365" s="176"/>
      <c r="W365" s="231"/>
      <c r="X365" s="231"/>
      <c r="Y365" s="231"/>
    </row>
    <row r="366" spans="12:25" x14ac:dyDescent="0.35">
      <c r="L366" s="176"/>
      <c r="M366" s="176"/>
      <c r="N366" s="176"/>
      <c r="O366" s="176"/>
      <c r="P366" s="176"/>
      <c r="Q366" s="176"/>
      <c r="R366" s="176"/>
      <c r="S366" s="176"/>
      <c r="T366" s="176"/>
      <c r="U366" s="176"/>
      <c r="V366" s="176"/>
      <c r="W366" s="231"/>
      <c r="X366" s="231"/>
      <c r="Y366" s="231"/>
    </row>
    <row r="367" spans="12:25" x14ac:dyDescent="0.35">
      <c r="L367" s="176"/>
      <c r="M367" s="176"/>
      <c r="N367" s="176"/>
      <c r="O367" s="176"/>
      <c r="P367" s="176"/>
      <c r="Q367" s="176"/>
      <c r="R367" s="176"/>
      <c r="S367" s="176"/>
      <c r="T367" s="176"/>
      <c r="U367" s="176"/>
      <c r="V367" s="176"/>
      <c r="W367" s="231"/>
      <c r="X367" s="231"/>
      <c r="Y367" s="231"/>
    </row>
    <row r="368" spans="12:25" x14ac:dyDescent="0.35">
      <c r="L368" s="176"/>
      <c r="M368" s="176"/>
      <c r="N368" s="176"/>
      <c r="O368" s="176"/>
      <c r="P368" s="176"/>
      <c r="Q368" s="176"/>
      <c r="R368" s="176"/>
      <c r="S368" s="176"/>
      <c r="T368" s="176"/>
      <c r="U368" s="176"/>
      <c r="V368" s="176"/>
      <c r="W368" s="231"/>
      <c r="X368" s="231"/>
      <c r="Y368" s="231"/>
    </row>
    <row r="369" spans="12:25" x14ac:dyDescent="0.35">
      <c r="L369" s="176"/>
      <c r="M369" s="176"/>
      <c r="N369" s="176"/>
      <c r="O369" s="176"/>
      <c r="P369" s="176"/>
      <c r="Q369" s="176"/>
      <c r="R369" s="176"/>
      <c r="S369" s="176"/>
      <c r="T369" s="176"/>
      <c r="U369" s="176"/>
      <c r="V369" s="176"/>
      <c r="W369" s="231"/>
      <c r="X369" s="231"/>
      <c r="Y369" s="231"/>
    </row>
    <row r="370" spans="12:25" x14ac:dyDescent="0.35">
      <c r="L370" s="176"/>
      <c r="M370" s="176"/>
      <c r="N370" s="176"/>
      <c r="O370" s="176"/>
      <c r="P370" s="176"/>
      <c r="Q370" s="176"/>
      <c r="R370" s="176"/>
      <c r="S370" s="176"/>
      <c r="T370" s="176"/>
      <c r="U370" s="176"/>
      <c r="V370" s="176"/>
      <c r="W370" s="231"/>
      <c r="X370" s="231"/>
      <c r="Y370" s="231"/>
    </row>
    <row r="371" spans="12:25" x14ac:dyDescent="0.35">
      <c r="L371" s="176"/>
      <c r="M371" s="176"/>
      <c r="N371" s="176"/>
      <c r="O371" s="176"/>
      <c r="P371" s="176"/>
      <c r="Q371" s="176"/>
      <c r="R371" s="176"/>
      <c r="S371" s="176"/>
      <c r="T371" s="176"/>
      <c r="U371" s="176"/>
      <c r="V371" s="176"/>
      <c r="W371" s="231"/>
      <c r="X371" s="231"/>
      <c r="Y371" s="231"/>
    </row>
    <row r="372" spans="12:25" x14ac:dyDescent="0.35">
      <c r="L372" s="176"/>
      <c r="M372" s="176"/>
      <c r="N372" s="176"/>
      <c r="O372" s="176"/>
      <c r="P372" s="176"/>
      <c r="Q372" s="176"/>
      <c r="R372" s="176"/>
      <c r="S372" s="176"/>
      <c r="T372" s="176"/>
      <c r="U372" s="176"/>
      <c r="V372" s="176"/>
      <c r="W372" s="231"/>
      <c r="X372" s="231"/>
      <c r="Y372" s="231"/>
    </row>
    <row r="373" spans="12:25" x14ac:dyDescent="0.35"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231"/>
      <c r="X373" s="231"/>
      <c r="Y373" s="231"/>
    </row>
    <row r="374" spans="12:25" x14ac:dyDescent="0.35">
      <c r="L374" s="176"/>
      <c r="M374" s="176"/>
      <c r="N374" s="176"/>
      <c r="O374" s="176"/>
      <c r="P374" s="176"/>
      <c r="Q374" s="176"/>
      <c r="R374" s="176"/>
      <c r="S374" s="176"/>
      <c r="T374" s="176"/>
      <c r="U374" s="176"/>
      <c r="V374" s="176"/>
      <c r="W374" s="231"/>
      <c r="X374" s="231"/>
      <c r="Y374" s="231"/>
    </row>
    <row r="375" spans="12:25" x14ac:dyDescent="0.35"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231"/>
      <c r="X375" s="231"/>
      <c r="Y375" s="231"/>
    </row>
    <row r="376" spans="12:25" x14ac:dyDescent="0.35">
      <c r="L376" s="176"/>
      <c r="M376" s="176"/>
      <c r="N376" s="176"/>
      <c r="O376" s="176"/>
      <c r="P376" s="176"/>
      <c r="Q376" s="176"/>
      <c r="R376" s="176"/>
      <c r="S376" s="176"/>
      <c r="T376" s="176"/>
      <c r="U376" s="176"/>
      <c r="V376" s="176"/>
      <c r="W376" s="231"/>
      <c r="X376" s="231"/>
      <c r="Y376" s="231"/>
    </row>
    <row r="377" spans="12:25" x14ac:dyDescent="0.35">
      <c r="L377" s="176"/>
      <c r="M377" s="176"/>
      <c r="N377" s="176"/>
      <c r="O377" s="176"/>
      <c r="P377" s="176"/>
      <c r="Q377" s="176"/>
      <c r="R377" s="176"/>
      <c r="S377" s="176"/>
      <c r="T377" s="176"/>
      <c r="U377" s="176"/>
      <c r="V377" s="176"/>
      <c r="W377" s="231"/>
      <c r="X377" s="231"/>
      <c r="Y377" s="231"/>
    </row>
    <row r="378" spans="12:25" x14ac:dyDescent="0.35">
      <c r="L378" s="176"/>
      <c r="M378" s="176"/>
      <c r="N378" s="176"/>
      <c r="O378" s="176"/>
      <c r="P378" s="176"/>
      <c r="Q378" s="176"/>
      <c r="R378" s="176"/>
      <c r="S378" s="176"/>
      <c r="T378" s="176"/>
      <c r="U378" s="176"/>
      <c r="V378" s="176"/>
      <c r="W378" s="231"/>
      <c r="X378" s="231"/>
      <c r="Y378" s="231"/>
    </row>
    <row r="379" spans="12:25" x14ac:dyDescent="0.35">
      <c r="L379" s="176"/>
      <c r="M379" s="176"/>
      <c r="N379" s="176"/>
      <c r="O379" s="176"/>
      <c r="P379" s="176"/>
      <c r="Q379" s="176"/>
      <c r="R379" s="176"/>
      <c r="S379" s="176"/>
      <c r="T379" s="176"/>
      <c r="U379" s="176"/>
      <c r="V379" s="176"/>
      <c r="W379" s="231"/>
      <c r="X379" s="231"/>
      <c r="Y379" s="231"/>
    </row>
    <row r="380" spans="12:25" x14ac:dyDescent="0.35">
      <c r="L380" s="176"/>
      <c r="M380" s="176"/>
      <c r="N380" s="176"/>
      <c r="O380" s="176"/>
      <c r="P380" s="176"/>
      <c r="Q380" s="176"/>
      <c r="R380" s="176"/>
      <c r="S380" s="176"/>
      <c r="T380" s="176"/>
      <c r="U380" s="176"/>
      <c r="V380" s="176"/>
      <c r="W380" s="231"/>
      <c r="X380" s="231"/>
      <c r="Y380" s="231"/>
    </row>
    <row r="381" spans="12:25" x14ac:dyDescent="0.35">
      <c r="L381" s="176"/>
      <c r="M381" s="176"/>
      <c r="N381" s="176"/>
      <c r="O381" s="176"/>
      <c r="P381" s="176"/>
      <c r="Q381" s="176"/>
      <c r="R381" s="176"/>
      <c r="S381" s="176"/>
      <c r="T381" s="176"/>
      <c r="U381" s="176"/>
      <c r="V381" s="176"/>
      <c r="W381" s="231"/>
      <c r="X381" s="231"/>
      <c r="Y381" s="231"/>
    </row>
    <row r="382" spans="12:25" x14ac:dyDescent="0.35">
      <c r="L382" s="176"/>
      <c r="M382" s="176"/>
      <c r="N382" s="176"/>
      <c r="O382" s="176"/>
      <c r="P382" s="176"/>
      <c r="Q382" s="176"/>
      <c r="R382" s="176"/>
      <c r="S382" s="176"/>
      <c r="T382" s="176"/>
      <c r="U382" s="176"/>
      <c r="V382" s="176"/>
      <c r="W382" s="231"/>
      <c r="X382" s="231"/>
      <c r="Y382" s="231"/>
    </row>
    <row r="383" spans="12:25" x14ac:dyDescent="0.35">
      <c r="L383" s="176"/>
      <c r="M383" s="176"/>
      <c r="N383" s="176"/>
      <c r="O383" s="176"/>
      <c r="P383" s="176"/>
      <c r="Q383" s="176"/>
      <c r="R383" s="176"/>
      <c r="S383" s="176"/>
      <c r="T383" s="176"/>
      <c r="U383" s="176"/>
      <c r="V383" s="176"/>
      <c r="W383" s="231"/>
      <c r="X383" s="231"/>
      <c r="Y383" s="231"/>
    </row>
    <row r="384" spans="12:25" x14ac:dyDescent="0.35"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231"/>
      <c r="X384" s="231"/>
      <c r="Y384" s="231"/>
    </row>
    <row r="385" spans="12:25" x14ac:dyDescent="0.35">
      <c r="L385" s="176"/>
      <c r="M385" s="176"/>
      <c r="N385" s="176"/>
      <c r="O385" s="176"/>
      <c r="P385" s="176"/>
      <c r="Q385" s="176"/>
      <c r="R385" s="176"/>
      <c r="S385" s="176"/>
      <c r="T385" s="176"/>
      <c r="U385" s="176"/>
      <c r="V385" s="176"/>
      <c r="W385" s="231"/>
      <c r="X385" s="231"/>
      <c r="Y385" s="231"/>
    </row>
    <row r="386" spans="12:25" x14ac:dyDescent="0.35">
      <c r="L386" s="176"/>
      <c r="M386" s="176"/>
      <c r="N386" s="176"/>
      <c r="O386" s="176"/>
      <c r="P386" s="176"/>
      <c r="Q386" s="176"/>
      <c r="R386" s="176"/>
      <c r="S386" s="176"/>
      <c r="T386" s="176"/>
      <c r="U386" s="176"/>
      <c r="V386" s="176"/>
      <c r="W386" s="231"/>
      <c r="X386" s="231"/>
      <c r="Y386" s="231"/>
    </row>
    <row r="387" spans="12:25" x14ac:dyDescent="0.35">
      <c r="L387" s="176"/>
      <c r="M387" s="176"/>
      <c r="N387" s="176"/>
      <c r="O387" s="176"/>
      <c r="P387" s="176"/>
      <c r="Q387" s="176"/>
      <c r="R387" s="176"/>
      <c r="S387" s="176"/>
      <c r="T387" s="176"/>
      <c r="U387" s="176"/>
      <c r="V387" s="176"/>
      <c r="W387" s="231"/>
      <c r="X387" s="231"/>
      <c r="Y387" s="231"/>
    </row>
    <row r="388" spans="12:25" x14ac:dyDescent="0.35">
      <c r="L388" s="176"/>
      <c r="M388" s="176"/>
      <c r="N388" s="176"/>
      <c r="O388" s="176"/>
      <c r="P388" s="176"/>
      <c r="Q388" s="176"/>
      <c r="R388" s="176"/>
      <c r="S388" s="176"/>
      <c r="T388" s="176"/>
      <c r="U388" s="176"/>
      <c r="V388" s="176"/>
      <c r="W388" s="231"/>
      <c r="X388" s="231"/>
      <c r="Y388" s="231"/>
    </row>
    <row r="389" spans="12:25" x14ac:dyDescent="0.35">
      <c r="L389" s="176"/>
      <c r="M389" s="176"/>
      <c r="N389" s="176"/>
      <c r="O389" s="176"/>
      <c r="P389" s="176"/>
      <c r="Q389" s="176"/>
      <c r="R389" s="176"/>
      <c r="S389" s="176"/>
      <c r="T389" s="176"/>
      <c r="U389" s="176"/>
      <c r="V389" s="176"/>
      <c r="W389" s="231"/>
      <c r="X389" s="231"/>
      <c r="Y389" s="231"/>
    </row>
    <row r="390" spans="12:25" x14ac:dyDescent="0.35">
      <c r="L390" s="231"/>
      <c r="M390" s="231"/>
      <c r="N390" s="231"/>
      <c r="O390" s="231"/>
      <c r="P390" s="231"/>
      <c r="Q390" s="231"/>
      <c r="R390" s="231"/>
      <c r="S390" s="231"/>
      <c r="T390" s="231"/>
      <c r="U390" s="231"/>
      <c r="V390" s="231"/>
      <c r="W390" s="231"/>
      <c r="X390" s="231"/>
      <c r="Y390" s="231"/>
    </row>
    <row r="391" spans="12:25" x14ac:dyDescent="0.35">
      <c r="L391" s="231"/>
      <c r="M391" s="231"/>
      <c r="N391" s="231"/>
      <c r="O391" s="231"/>
      <c r="P391" s="231"/>
      <c r="Q391" s="231"/>
      <c r="R391" s="231"/>
      <c r="S391" s="231"/>
      <c r="T391" s="231"/>
      <c r="U391" s="231"/>
      <c r="V391" s="231"/>
      <c r="W391" s="231"/>
      <c r="X391" s="231"/>
      <c r="Y391" s="231"/>
    </row>
    <row r="392" spans="12:25" x14ac:dyDescent="0.35">
      <c r="L392" s="231"/>
      <c r="M392" s="231"/>
      <c r="N392" s="231"/>
      <c r="O392" s="231"/>
      <c r="P392" s="231"/>
      <c r="Q392" s="231"/>
      <c r="R392" s="231"/>
      <c r="S392" s="231"/>
      <c r="T392" s="231"/>
      <c r="U392" s="231"/>
      <c r="V392" s="231"/>
      <c r="W392" s="231"/>
      <c r="X392" s="231"/>
      <c r="Y392" s="231"/>
    </row>
    <row r="393" spans="12:25" x14ac:dyDescent="0.35">
      <c r="L393" s="231"/>
      <c r="M393" s="231"/>
      <c r="N393" s="231"/>
      <c r="O393" s="231"/>
      <c r="P393" s="231"/>
      <c r="Q393" s="231"/>
      <c r="R393" s="231"/>
      <c r="S393" s="231"/>
      <c r="T393" s="231"/>
      <c r="U393" s="231"/>
      <c r="V393" s="231"/>
      <c r="W393" s="231"/>
      <c r="X393" s="231"/>
      <c r="Y393" s="231"/>
    </row>
    <row r="394" spans="12:25" x14ac:dyDescent="0.35">
      <c r="L394" s="231"/>
      <c r="M394" s="231"/>
      <c r="N394" s="231"/>
      <c r="O394" s="231"/>
      <c r="P394" s="231"/>
      <c r="Q394" s="231"/>
      <c r="R394" s="231"/>
      <c r="S394" s="231"/>
      <c r="T394" s="231"/>
      <c r="U394" s="231"/>
      <c r="V394" s="231"/>
      <c r="W394" s="231"/>
      <c r="X394" s="231"/>
      <c r="Y394" s="231"/>
    </row>
    <row r="395" spans="12:25" x14ac:dyDescent="0.35">
      <c r="L395" s="231"/>
      <c r="M395" s="231"/>
      <c r="N395" s="231"/>
      <c r="O395" s="231"/>
      <c r="P395" s="231"/>
      <c r="Q395" s="231"/>
      <c r="R395" s="231"/>
      <c r="S395" s="231"/>
      <c r="T395" s="231"/>
      <c r="U395" s="231"/>
      <c r="V395" s="231"/>
      <c r="W395" s="231"/>
      <c r="X395" s="231"/>
      <c r="Y395" s="231"/>
    </row>
    <row r="396" spans="12:25" x14ac:dyDescent="0.35">
      <c r="L396" s="231"/>
      <c r="M396" s="231"/>
      <c r="N396" s="231"/>
      <c r="O396" s="231"/>
      <c r="P396" s="231"/>
      <c r="Q396" s="231"/>
      <c r="R396" s="231"/>
      <c r="S396" s="231"/>
      <c r="T396" s="231"/>
      <c r="U396" s="231"/>
      <c r="V396" s="231"/>
      <c r="W396" s="231"/>
      <c r="X396" s="231"/>
      <c r="Y396" s="231"/>
    </row>
    <row r="397" spans="12:25" x14ac:dyDescent="0.35">
      <c r="L397" s="231"/>
      <c r="M397" s="231"/>
      <c r="N397" s="231"/>
      <c r="O397" s="231"/>
      <c r="P397" s="231"/>
      <c r="Q397" s="231"/>
      <c r="R397" s="231"/>
      <c r="S397" s="231"/>
      <c r="T397" s="231"/>
      <c r="U397" s="231"/>
      <c r="V397" s="231"/>
      <c r="W397" s="231"/>
      <c r="X397" s="231"/>
      <c r="Y397" s="231"/>
    </row>
    <row r="398" spans="12:25" x14ac:dyDescent="0.35">
      <c r="L398" s="231"/>
      <c r="M398" s="231"/>
      <c r="N398" s="231"/>
      <c r="O398" s="231"/>
      <c r="P398" s="231"/>
      <c r="Q398" s="231"/>
      <c r="R398" s="231"/>
      <c r="S398" s="231"/>
      <c r="T398" s="231"/>
      <c r="U398" s="231"/>
      <c r="V398" s="231"/>
      <c r="W398" s="231"/>
      <c r="X398" s="231"/>
      <c r="Y398" s="231"/>
    </row>
    <row r="399" spans="12:25" x14ac:dyDescent="0.35">
      <c r="L399" s="231"/>
      <c r="M399" s="231"/>
      <c r="N399" s="231"/>
      <c r="O399" s="231"/>
      <c r="P399" s="231"/>
      <c r="Q399" s="231"/>
      <c r="R399" s="231"/>
      <c r="S399" s="231"/>
      <c r="T399" s="231"/>
      <c r="U399" s="231"/>
      <c r="V399" s="231"/>
      <c r="W399" s="231"/>
      <c r="X399" s="231"/>
      <c r="Y399" s="231"/>
    </row>
    <row r="400" spans="12:25" x14ac:dyDescent="0.35">
      <c r="L400" s="231"/>
      <c r="M400" s="231"/>
      <c r="N400" s="231"/>
      <c r="O400" s="231"/>
      <c r="P400" s="231"/>
      <c r="Q400" s="231"/>
      <c r="R400" s="231"/>
      <c r="S400" s="231"/>
      <c r="T400" s="231"/>
      <c r="U400" s="231"/>
      <c r="V400" s="231"/>
      <c r="W400" s="231"/>
      <c r="X400" s="231"/>
      <c r="Y400" s="231"/>
    </row>
    <row r="401" spans="12:25" x14ac:dyDescent="0.35">
      <c r="L401" s="231"/>
      <c r="M401" s="231"/>
      <c r="N401" s="231"/>
      <c r="O401" s="231"/>
      <c r="P401" s="231"/>
      <c r="Q401" s="231"/>
      <c r="R401" s="231"/>
      <c r="S401" s="231"/>
      <c r="T401" s="231"/>
      <c r="U401" s="231"/>
      <c r="V401" s="231"/>
      <c r="W401" s="231"/>
      <c r="X401" s="231"/>
      <c r="Y401" s="231"/>
    </row>
    <row r="402" spans="12:25" x14ac:dyDescent="0.35">
      <c r="L402" s="231"/>
      <c r="M402" s="231"/>
      <c r="N402" s="231"/>
      <c r="O402" s="231"/>
      <c r="P402" s="231"/>
      <c r="Q402" s="231"/>
      <c r="R402" s="231"/>
      <c r="S402" s="231"/>
      <c r="T402" s="231"/>
      <c r="U402" s="231"/>
      <c r="V402" s="231"/>
      <c r="W402" s="231"/>
      <c r="X402" s="231"/>
      <c r="Y402" s="231"/>
    </row>
    <row r="403" spans="12:25" x14ac:dyDescent="0.35">
      <c r="L403" s="231"/>
      <c r="M403" s="231"/>
      <c r="N403" s="231"/>
      <c r="O403" s="231"/>
      <c r="P403" s="231"/>
      <c r="Q403" s="231"/>
      <c r="R403" s="231"/>
      <c r="S403" s="231"/>
      <c r="T403" s="231"/>
      <c r="U403" s="231"/>
      <c r="V403" s="231"/>
      <c r="W403" s="231"/>
      <c r="X403" s="231"/>
      <c r="Y403" s="231"/>
    </row>
    <row r="404" spans="12:25" x14ac:dyDescent="0.35">
      <c r="L404" s="231"/>
      <c r="M404" s="231"/>
      <c r="N404" s="231"/>
      <c r="O404" s="231"/>
      <c r="P404" s="231"/>
      <c r="Q404" s="231"/>
      <c r="R404" s="231"/>
      <c r="S404" s="231"/>
      <c r="T404" s="231"/>
      <c r="U404" s="231"/>
      <c r="V404" s="231"/>
      <c r="W404" s="231"/>
      <c r="X404" s="231"/>
      <c r="Y404" s="231"/>
    </row>
    <row r="405" spans="12:25" x14ac:dyDescent="0.35">
      <c r="L405" s="231"/>
      <c r="M405" s="231"/>
      <c r="N405" s="231"/>
      <c r="O405" s="231"/>
      <c r="P405" s="231"/>
      <c r="Q405" s="231"/>
      <c r="R405" s="231"/>
      <c r="S405" s="231"/>
      <c r="T405" s="231"/>
      <c r="U405" s="231"/>
      <c r="V405" s="231"/>
      <c r="W405" s="231"/>
      <c r="X405" s="231"/>
      <c r="Y405" s="231"/>
    </row>
    <row r="406" spans="12:25" x14ac:dyDescent="0.35">
      <c r="L406" s="231"/>
      <c r="M406" s="231"/>
      <c r="N406" s="231"/>
      <c r="O406" s="231"/>
      <c r="P406" s="231"/>
      <c r="Q406" s="231"/>
      <c r="R406" s="231"/>
      <c r="S406" s="231"/>
      <c r="T406" s="231"/>
      <c r="U406" s="231"/>
      <c r="V406" s="231"/>
      <c r="W406" s="231"/>
      <c r="X406" s="231"/>
      <c r="Y406" s="231"/>
    </row>
    <row r="407" spans="12:25" x14ac:dyDescent="0.35">
      <c r="L407" s="231"/>
      <c r="M407" s="231"/>
      <c r="N407" s="231"/>
      <c r="O407" s="231"/>
      <c r="P407" s="231"/>
      <c r="Q407" s="231"/>
      <c r="R407" s="231"/>
      <c r="S407" s="231"/>
      <c r="T407" s="231"/>
      <c r="U407" s="231"/>
      <c r="V407" s="231"/>
      <c r="W407" s="231"/>
      <c r="X407" s="231"/>
      <c r="Y407" s="231"/>
    </row>
    <row r="408" spans="12:25" x14ac:dyDescent="0.35">
      <c r="L408" s="231"/>
      <c r="M408" s="231"/>
      <c r="N408" s="231"/>
      <c r="O408" s="231"/>
      <c r="P408" s="231"/>
      <c r="Q408" s="231"/>
      <c r="R408" s="231"/>
      <c r="S408" s="231"/>
      <c r="T408" s="231"/>
      <c r="U408" s="231"/>
      <c r="V408" s="231"/>
      <c r="W408" s="231"/>
      <c r="X408" s="231"/>
      <c r="Y408" s="231"/>
    </row>
    <row r="409" spans="12:25" x14ac:dyDescent="0.35">
      <c r="L409" s="231"/>
      <c r="M409" s="231"/>
      <c r="N409" s="231"/>
      <c r="O409" s="231"/>
      <c r="P409" s="231"/>
      <c r="Q409" s="231"/>
      <c r="R409" s="231"/>
      <c r="S409" s="231"/>
      <c r="T409" s="231"/>
      <c r="U409" s="231"/>
      <c r="V409" s="231"/>
      <c r="W409" s="231"/>
      <c r="X409" s="231"/>
      <c r="Y409" s="231"/>
    </row>
    <row r="410" spans="12:25" x14ac:dyDescent="0.35">
      <c r="L410" s="231"/>
      <c r="M410" s="231"/>
      <c r="N410" s="231"/>
      <c r="O410" s="231"/>
      <c r="P410" s="231"/>
      <c r="Q410" s="231"/>
      <c r="R410" s="231"/>
      <c r="S410" s="231"/>
      <c r="T410" s="231"/>
      <c r="U410" s="231"/>
      <c r="V410" s="231"/>
      <c r="W410" s="231"/>
      <c r="X410" s="231"/>
      <c r="Y410" s="231"/>
    </row>
    <row r="411" spans="12:25" x14ac:dyDescent="0.35">
      <c r="L411" s="231"/>
      <c r="M411" s="231"/>
      <c r="N411" s="231"/>
      <c r="O411" s="231"/>
      <c r="P411" s="231"/>
      <c r="Q411" s="231"/>
      <c r="R411" s="231"/>
      <c r="S411" s="231"/>
      <c r="T411" s="231"/>
      <c r="U411" s="231"/>
      <c r="V411" s="231"/>
      <c r="W411" s="231"/>
      <c r="X411" s="231"/>
      <c r="Y411" s="231"/>
    </row>
    <row r="412" spans="12:25" x14ac:dyDescent="0.35">
      <c r="L412" s="231"/>
      <c r="M412" s="231"/>
      <c r="N412" s="231"/>
      <c r="O412" s="231"/>
      <c r="P412" s="231"/>
      <c r="Q412" s="231"/>
      <c r="R412" s="231"/>
      <c r="S412" s="231"/>
      <c r="T412" s="231"/>
      <c r="U412" s="231"/>
      <c r="V412" s="231"/>
      <c r="W412" s="231"/>
      <c r="X412" s="231"/>
      <c r="Y412" s="231"/>
    </row>
    <row r="413" spans="12:25" x14ac:dyDescent="0.35">
      <c r="L413" s="231"/>
      <c r="M413" s="231"/>
      <c r="N413" s="231"/>
      <c r="O413" s="231"/>
      <c r="P413" s="231"/>
      <c r="Q413" s="231"/>
      <c r="R413" s="231"/>
      <c r="S413" s="231"/>
      <c r="T413" s="231"/>
      <c r="U413" s="231"/>
      <c r="V413" s="231"/>
      <c r="W413" s="231"/>
      <c r="X413" s="231"/>
      <c r="Y413" s="231"/>
    </row>
    <row r="414" spans="12:25" x14ac:dyDescent="0.35">
      <c r="L414" s="231"/>
      <c r="M414" s="231"/>
      <c r="N414" s="231"/>
      <c r="O414" s="231"/>
      <c r="P414" s="231"/>
      <c r="Q414" s="231"/>
      <c r="R414" s="231"/>
      <c r="S414" s="231"/>
      <c r="T414" s="231"/>
      <c r="U414" s="231"/>
      <c r="V414" s="231"/>
      <c r="W414" s="231"/>
      <c r="X414" s="231"/>
      <c r="Y414" s="231"/>
    </row>
    <row r="415" spans="12:25" x14ac:dyDescent="0.35">
      <c r="L415" s="231"/>
      <c r="M415" s="231"/>
      <c r="N415" s="231"/>
      <c r="O415" s="231"/>
      <c r="P415" s="231"/>
      <c r="Q415" s="231"/>
      <c r="R415" s="231"/>
      <c r="S415" s="231"/>
      <c r="T415" s="231"/>
      <c r="U415" s="231"/>
      <c r="V415" s="231"/>
      <c r="W415" s="231"/>
      <c r="X415" s="231"/>
      <c r="Y415" s="231"/>
    </row>
    <row r="416" spans="12:25" x14ac:dyDescent="0.35">
      <c r="L416" s="231"/>
      <c r="M416" s="231"/>
      <c r="N416" s="231"/>
      <c r="O416" s="231"/>
      <c r="P416" s="231"/>
      <c r="Q416" s="231"/>
      <c r="R416" s="231"/>
      <c r="S416" s="231"/>
      <c r="T416" s="231"/>
      <c r="U416" s="231"/>
      <c r="V416" s="231"/>
      <c r="W416" s="231"/>
      <c r="X416" s="231"/>
      <c r="Y416" s="231"/>
    </row>
    <row r="417" spans="12:25" x14ac:dyDescent="0.35">
      <c r="L417" s="231"/>
      <c r="M417" s="231"/>
      <c r="N417" s="231"/>
      <c r="O417" s="231"/>
      <c r="P417" s="231"/>
      <c r="Q417" s="231"/>
      <c r="R417" s="231"/>
      <c r="S417" s="231"/>
      <c r="T417" s="231"/>
      <c r="U417" s="231"/>
      <c r="V417" s="231"/>
      <c r="W417" s="231"/>
      <c r="X417" s="231"/>
      <c r="Y417" s="231"/>
    </row>
    <row r="418" spans="12:25" x14ac:dyDescent="0.35">
      <c r="L418" s="231"/>
      <c r="M418" s="231"/>
      <c r="N418" s="231"/>
      <c r="O418" s="231"/>
      <c r="P418" s="231"/>
      <c r="Q418" s="231"/>
      <c r="R418" s="231"/>
      <c r="S418" s="231"/>
      <c r="T418" s="231"/>
      <c r="U418" s="231"/>
      <c r="V418" s="231"/>
      <c r="W418" s="231"/>
      <c r="X418" s="231"/>
      <c r="Y418" s="231"/>
    </row>
    <row r="419" spans="12:25" x14ac:dyDescent="0.35">
      <c r="L419" s="231"/>
      <c r="M419" s="231"/>
      <c r="N419" s="231"/>
      <c r="O419" s="231"/>
      <c r="P419" s="231"/>
      <c r="Q419" s="231"/>
      <c r="R419" s="231"/>
      <c r="S419" s="231"/>
      <c r="T419" s="231"/>
      <c r="U419" s="231"/>
      <c r="V419" s="231"/>
      <c r="W419" s="231"/>
      <c r="X419" s="231"/>
      <c r="Y419" s="231"/>
    </row>
    <row r="420" spans="12:25" x14ac:dyDescent="0.35">
      <c r="L420" s="231"/>
      <c r="M420" s="231"/>
      <c r="N420" s="231"/>
      <c r="O420" s="231"/>
      <c r="P420" s="231"/>
      <c r="Q420" s="231"/>
      <c r="R420" s="231"/>
      <c r="S420" s="231"/>
      <c r="T420" s="231"/>
      <c r="U420" s="231"/>
      <c r="V420" s="231"/>
      <c r="W420" s="231"/>
      <c r="X420" s="231"/>
      <c r="Y420" s="231"/>
    </row>
    <row r="421" spans="12:25" x14ac:dyDescent="0.35">
      <c r="L421" s="231"/>
      <c r="M421" s="231"/>
      <c r="N421" s="231"/>
      <c r="O421" s="231"/>
      <c r="P421" s="231"/>
      <c r="Q421" s="231"/>
      <c r="R421" s="231"/>
      <c r="S421" s="231"/>
      <c r="T421" s="231"/>
      <c r="U421" s="231"/>
      <c r="V421" s="231"/>
      <c r="W421" s="231"/>
      <c r="X421" s="231"/>
      <c r="Y421" s="231"/>
    </row>
    <row r="422" spans="12:25" x14ac:dyDescent="0.35">
      <c r="L422" s="231"/>
      <c r="M422" s="231"/>
      <c r="N422" s="231"/>
      <c r="O422" s="231"/>
      <c r="P422" s="231"/>
      <c r="Q422" s="231"/>
      <c r="R422" s="231"/>
      <c r="S422" s="231"/>
      <c r="T422" s="231"/>
      <c r="U422" s="231"/>
      <c r="V422" s="231"/>
      <c r="W422" s="231"/>
      <c r="X422" s="231"/>
      <c r="Y422" s="231"/>
    </row>
    <row r="423" spans="12:25" x14ac:dyDescent="0.35">
      <c r="L423" s="231"/>
      <c r="M423" s="231"/>
      <c r="N423" s="231"/>
      <c r="O423" s="231"/>
      <c r="P423" s="231"/>
      <c r="Q423" s="231"/>
      <c r="R423" s="231"/>
      <c r="S423" s="231"/>
      <c r="T423" s="231"/>
      <c r="U423" s="231"/>
      <c r="V423" s="231"/>
      <c r="W423" s="231"/>
      <c r="X423" s="231"/>
      <c r="Y423" s="231"/>
    </row>
    <row r="424" spans="12:25" x14ac:dyDescent="0.35">
      <c r="L424" s="231"/>
      <c r="M424" s="231"/>
      <c r="N424" s="231"/>
      <c r="O424" s="231"/>
      <c r="P424" s="231"/>
      <c r="Q424" s="231"/>
      <c r="R424" s="231"/>
      <c r="S424" s="231"/>
      <c r="T424" s="231"/>
      <c r="U424" s="231"/>
      <c r="V424" s="231"/>
      <c r="W424" s="231"/>
      <c r="X424" s="231"/>
      <c r="Y424" s="231"/>
    </row>
    <row r="425" spans="12:25" x14ac:dyDescent="0.35">
      <c r="L425" s="231"/>
      <c r="M425" s="231"/>
      <c r="N425" s="231"/>
      <c r="O425" s="231"/>
      <c r="P425" s="231"/>
      <c r="Q425" s="231"/>
      <c r="R425" s="231"/>
      <c r="S425" s="231"/>
      <c r="T425" s="231"/>
      <c r="U425" s="231"/>
      <c r="V425" s="231"/>
      <c r="W425" s="231"/>
      <c r="X425" s="231"/>
      <c r="Y425" s="231"/>
    </row>
    <row r="426" spans="12:25" x14ac:dyDescent="0.35">
      <c r="L426" s="231"/>
      <c r="M426" s="231"/>
      <c r="N426" s="231"/>
      <c r="O426" s="231"/>
      <c r="P426" s="231"/>
      <c r="Q426" s="231"/>
      <c r="R426" s="231"/>
      <c r="S426" s="231"/>
      <c r="T426" s="231"/>
      <c r="U426" s="231"/>
      <c r="V426" s="231"/>
      <c r="W426" s="231"/>
      <c r="X426" s="231"/>
      <c r="Y426" s="231"/>
    </row>
    <row r="427" spans="12:25" x14ac:dyDescent="0.35">
      <c r="L427" s="231"/>
      <c r="M427" s="231"/>
      <c r="N427" s="231"/>
      <c r="O427" s="231"/>
      <c r="P427" s="231"/>
      <c r="Q427" s="231"/>
      <c r="R427" s="231"/>
      <c r="S427" s="231"/>
      <c r="T427" s="231"/>
      <c r="U427" s="231"/>
      <c r="V427" s="231"/>
      <c r="W427" s="231"/>
      <c r="X427" s="231"/>
      <c r="Y427" s="231"/>
    </row>
    <row r="428" spans="12:25" x14ac:dyDescent="0.35">
      <c r="L428" s="231"/>
      <c r="M428" s="231"/>
      <c r="N428" s="231"/>
      <c r="O428" s="231"/>
      <c r="P428" s="231"/>
      <c r="Q428" s="231"/>
      <c r="R428" s="231"/>
      <c r="S428" s="231"/>
      <c r="T428" s="231"/>
      <c r="U428" s="231"/>
      <c r="V428" s="231"/>
      <c r="W428" s="231"/>
      <c r="X428" s="231"/>
      <c r="Y428" s="231"/>
    </row>
    <row r="429" spans="12:25" x14ac:dyDescent="0.35">
      <c r="L429" s="231"/>
      <c r="M429" s="231"/>
      <c r="N429" s="231"/>
      <c r="O429" s="231"/>
      <c r="P429" s="231"/>
      <c r="Q429" s="231"/>
      <c r="R429" s="231"/>
      <c r="S429" s="231"/>
      <c r="T429" s="231"/>
      <c r="U429" s="231"/>
      <c r="V429" s="231"/>
      <c r="W429" s="231"/>
      <c r="X429" s="231"/>
      <c r="Y429" s="231"/>
    </row>
    <row r="430" spans="12:25" x14ac:dyDescent="0.35">
      <c r="L430" s="231"/>
      <c r="M430" s="231"/>
      <c r="N430" s="231"/>
      <c r="O430" s="231"/>
      <c r="P430" s="231"/>
      <c r="Q430" s="231"/>
      <c r="R430" s="231"/>
      <c r="S430" s="231"/>
      <c r="T430" s="231"/>
      <c r="U430" s="231"/>
      <c r="V430" s="231"/>
      <c r="W430" s="231"/>
      <c r="X430" s="231"/>
      <c r="Y430" s="231"/>
    </row>
    <row r="431" spans="12:25" x14ac:dyDescent="0.35">
      <c r="L431" s="231"/>
      <c r="M431" s="231"/>
      <c r="N431" s="231"/>
      <c r="O431" s="231"/>
      <c r="P431" s="231"/>
      <c r="Q431" s="231"/>
      <c r="R431" s="231"/>
      <c r="S431" s="231"/>
      <c r="T431" s="231"/>
      <c r="U431" s="231"/>
      <c r="V431" s="231"/>
      <c r="W431" s="231"/>
      <c r="X431" s="231"/>
      <c r="Y431" s="231"/>
    </row>
    <row r="432" spans="12:25" x14ac:dyDescent="0.35">
      <c r="L432" s="231"/>
      <c r="M432" s="231"/>
      <c r="N432" s="231"/>
      <c r="O432" s="231"/>
      <c r="P432" s="231"/>
      <c r="Q432" s="231"/>
      <c r="R432" s="231"/>
      <c r="S432" s="231"/>
      <c r="T432" s="231"/>
      <c r="U432" s="231"/>
      <c r="V432" s="231"/>
      <c r="W432" s="231"/>
      <c r="X432" s="231"/>
      <c r="Y432" s="231"/>
    </row>
    <row r="433" spans="12:25" x14ac:dyDescent="0.35">
      <c r="L433" s="231"/>
      <c r="M433" s="231"/>
      <c r="N433" s="231"/>
      <c r="O433" s="231"/>
      <c r="P433" s="231"/>
      <c r="Q433" s="231"/>
      <c r="R433" s="231"/>
      <c r="S433" s="231"/>
      <c r="T433" s="231"/>
      <c r="U433" s="231"/>
      <c r="V433" s="231"/>
      <c r="W433" s="231"/>
      <c r="X433" s="231"/>
      <c r="Y433" s="231"/>
    </row>
    <row r="434" spans="12:25" x14ac:dyDescent="0.35">
      <c r="L434" s="231"/>
      <c r="M434" s="231"/>
      <c r="N434" s="231"/>
      <c r="O434" s="231"/>
      <c r="P434" s="231"/>
      <c r="Q434" s="231"/>
      <c r="R434" s="231"/>
      <c r="S434" s="231"/>
      <c r="T434" s="231"/>
      <c r="U434" s="231"/>
      <c r="V434" s="231"/>
      <c r="W434" s="231"/>
      <c r="X434" s="231"/>
      <c r="Y434" s="231"/>
    </row>
    <row r="435" spans="12:25" x14ac:dyDescent="0.35">
      <c r="L435" s="231"/>
      <c r="M435" s="231"/>
      <c r="N435" s="231"/>
      <c r="O435" s="231"/>
      <c r="P435" s="231"/>
      <c r="Q435" s="231"/>
      <c r="R435" s="231"/>
      <c r="S435" s="231"/>
      <c r="T435" s="231"/>
      <c r="U435" s="231"/>
      <c r="V435" s="231"/>
      <c r="W435" s="231"/>
      <c r="X435" s="231"/>
      <c r="Y435" s="231"/>
    </row>
    <row r="436" spans="12:25" x14ac:dyDescent="0.35">
      <c r="L436" s="231"/>
      <c r="M436" s="231"/>
      <c r="N436" s="231"/>
      <c r="O436" s="231"/>
      <c r="P436" s="231"/>
      <c r="Q436" s="231"/>
      <c r="R436" s="231"/>
      <c r="S436" s="231"/>
      <c r="T436" s="231"/>
      <c r="U436" s="231"/>
      <c r="V436" s="231"/>
      <c r="W436" s="231"/>
      <c r="X436" s="231"/>
      <c r="Y436" s="231"/>
    </row>
    <row r="437" spans="12:25" x14ac:dyDescent="0.35">
      <c r="L437" s="231"/>
      <c r="M437" s="231"/>
      <c r="N437" s="231"/>
      <c r="O437" s="231"/>
      <c r="P437" s="231"/>
      <c r="Q437" s="231"/>
      <c r="R437" s="231"/>
      <c r="S437" s="231"/>
      <c r="T437" s="231"/>
      <c r="U437" s="231"/>
      <c r="V437" s="231"/>
      <c r="W437" s="231"/>
      <c r="X437" s="231"/>
      <c r="Y437" s="231"/>
    </row>
    <row r="438" spans="12:25" x14ac:dyDescent="0.35">
      <c r="L438" s="231"/>
      <c r="M438" s="231"/>
      <c r="N438" s="231"/>
      <c r="O438" s="231"/>
      <c r="P438" s="231"/>
      <c r="Q438" s="231"/>
      <c r="R438" s="231"/>
      <c r="S438" s="231"/>
      <c r="T438" s="231"/>
      <c r="U438" s="231"/>
      <c r="V438" s="231"/>
      <c r="W438" s="231"/>
      <c r="X438" s="231"/>
      <c r="Y438" s="231"/>
    </row>
    <row r="439" spans="12:25" x14ac:dyDescent="0.35">
      <c r="L439" s="231"/>
      <c r="M439" s="231"/>
      <c r="N439" s="231"/>
      <c r="O439" s="231"/>
      <c r="P439" s="231"/>
      <c r="Q439" s="231"/>
      <c r="R439" s="231"/>
      <c r="S439" s="231"/>
      <c r="T439" s="231"/>
      <c r="U439" s="231"/>
      <c r="V439" s="231"/>
      <c r="W439" s="231"/>
      <c r="X439" s="231"/>
      <c r="Y439" s="231"/>
    </row>
    <row r="440" spans="12:25" x14ac:dyDescent="0.35">
      <c r="L440" s="231"/>
      <c r="M440" s="231"/>
      <c r="N440" s="231"/>
      <c r="O440" s="231"/>
      <c r="P440" s="231"/>
      <c r="Q440" s="231"/>
      <c r="R440" s="231"/>
      <c r="S440" s="231"/>
      <c r="T440" s="231"/>
      <c r="U440" s="231"/>
      <c r="V440" s="231"/>
      <c r="W440" s="231"/>
      <c r="X440" s="231"/>
      <c r="Y440" s="231"/>
    </row>
    <row r="441" spans="12:25" x14ac:dyDescent="0.35">
      <c r="L441" s="231"/>
      <c r="M441" s="231"/>
      <c r="N441" s="231"/>
      <c r="O441" s="231"/>
      <c r="P441" s="231"/>
      <c r="Q441" s="231"/>
      <c r="R441" s="231"/>
      <c r="S441" s="231"/>
      <c r="T441" s="231"/>
      <c r="U441" s="231"/>
      <c r="V441" s="231"/>
      <c r="W441" s="231"/>
      <c r="X441" s="231"/>
      <c r="Y441" s="231"/>
    </row>
    <row r="442" spans="12:25" x14ac:dyDescent="0.35">
      <c r="L442" s="231"/>
      <c r="M442" s="231"/>
      <c r="N442" s="231"/>
      <c r="O442" s="231"/>
      <c r="P442" s="231"/>
      <c r="Q442" s="231"/>
      <c r="R442" s="231"/>
      <c r="S442" s="231"/>
      <c r="T442" s="231"/>
      <c r="U442" s="231"/>
      <c r="V442" s="231"/>
      <c r="W442" s="231"/>
      <c r="X442" s="231"/>
      <c r="Y442" s="231"/>
    </row>
    <row r="443" spans="12:25" x14ac:dyDescent="0.35">
      <c r="L443" s="231"/>
      <c r="M443" s="231"/>
      <c r="N443" s="231"/>
      <c r="O443" s="231"/>
      <c r="P443" s="231"/>
      <c r="Q443" s="231"/>
      <c r="R443" s="231"/>
      <c r="S443" s="231"/>
      <c r="T443" s="231"/>
      <c r="U443" s="231"/>
      <c r="V443" s="231"/>
      <c r="W443" s="231"/>
      <c r="X443" s="231"/>
      <c r="Y443" s="231"/>
    </row>
    <row r="444" spans="12:25" x14ac:dyDescent="0.35">
      <c r="L444" s="231"/>
      <c r="M444" s="231"/>
      <c r="N444" s="231"/>
      <c r="O444" s="231"/>
      <c r="P444" s="231"/>
      <c r="Q444" s="231"/>
      <c r="R444" s="231"/>
      <c r="S444" s="231"/>
      <c r="T444" s="231"/>
      <c r="U444" s="231"/>
      <c r="V444" s="231"/>
      <c r="W444" s="231"/>
      <c r="X444" s="231"/>
      <c r="Y444" s="231"/>
    </row>
    <row r="445" spans="12:25" x14ac:dyDescent="0.35">
      <c r="L445" s="231"/>
      <c r="M445" s="231"/>
      <c r="N445" s="231"/>
      <c r="O445" s="231"/>
      <c r="P445" s="231"/>
      <c r="Q445" s="231"/>
      <c r="R445" s="231"/>
      <c r="S445" s="231"/>
      <c r="T445" s="231"/>
      <c r="U445" s="231"/>
      <c r="V445" s="231"/>
      <c r="W445" s="231"/>
      <c r="X445" s="231"/>
      <c r="Y445" s="231"/>
    </row>
    <row r="446" spans="12:25" x14ac:dyDescent="0.35">
      <c r="L446" s="231"/>
      <c r="M446" s="231"/>
      <c r="N446" s="231"/>
      <c r="O446" s="231"/>
      <c r="P446" s="231"/>
      <c r="Q446" s="231"/>
      <c r="R446" s="231"/>
      <c r="S446" s="231"/>
      <c r="T446" s="231"/>
      <c r="U446" s="231"/>
      <c r="V446" s="231"/>
      <c r="W446" s="231"/>
      <c r="X446" s="231"/>
      <c r="Y446" s="231"/>
    </row>
    <row r="447" spans="12:25" x14ac:dyDescent="0.35">
      <c r="L447" s="231"/>
      <c r="M447" s="231"/>
      <c r="N447" s="231"/>
      <c r="O447" s="231"/>
      <c r="P447" s="231"/>
      <c r="Q447" s="231"/>
      <c r="R447" s="231"/>
      <c r="S447" s="231"/>
      <c r="T447" s="231"/>
      <c r="U447" s="231"/>
      <c r="V447" s="231"/>
      <c r="W447" s="231"/>
      <c r="X447" s="231"/>
      <c r="Y447" s="231"/>
    </row>
    <row r="448" spans="12:25" x14ac:dyDescent="0.35">
      <c r="L448" s="231"/>
      <c r="M448" s="231"/>
      <c r="N448" s="231"/>
      <c r="O448" s="231"/>
      <c r="P448" s="231"/>
      <c r="Q448" s="231"/>
      <c r="R448" s="231"/>
      <c r="S448" s="231"/>
      <c r="T448" s="231"/>
      <c r="U448" s="231"/>
      <c r="V448" s="231"/>
      <c r="W448" s="231"/>
      <c r="X448" s="231"/>
      <c r="Y448" s="231"/>
    </row>
    <row r="449" spans="12:25" x14ac:dyDescent="0.35">
      <c r="L449" s="231"/>
      <c r="M449" s="231"/>
      <c r="N449" s="231"/>
      <c r="O449" s="231"/>
      <c r="P449" s="231"/>
      <c r="Q449" s="231"/>
      <c r="R449" s="231"/>
      <c r="S449" s="231"/>
      <c r="T449" s="231"/>
      <c r="U449" s="231"/>
      <c r="V449" s="231"/>
      <c r="W449" s="231"/>
      <c r="X449" s="231"/>
      <c r="Y449" s="231"/>
    </row>
    <row r="450" spans="12:25" x14ac:dyDescent="0.35">
      <c r="L450" s="231"/>
      <c r="M450" s="231"/>
      <c r="N450" s="231"/>
      <c r="O450" s="231"/>
      <c r="P450" s="231"/>
      <c r="Q450" s="231"/>
      <c r="R450" s="231"/>
      <c r="S450" s="231"/>
      <c r="T450" s="231"/>
      <c r="U450" s="231"/>
      <c r="V450" s="231"/>
      <c r="W450" s="231"/>
      <c r="X450" s="231"/>
      <c r="Y450" s="231"/>
    </row>
    <row r="451" spans="12:25" x14ac:dyDescent="0.35">
      <c r="Y451" s="231"/>
    </row>
    <row r="452" spans="12:25" x14ac:dyDescent="0.35">
      <c r="Y452" s="231"/>
    </row>
  </sheetData>
  <sheetProtection algorithmName="SHA-512" hashValue="F5AQv2qgcdTg3cHn7E13tIA0Eq53TjmXp9HoVmKLuiQ41/9Vf07kCmWPbTQtg/kxEf3snHhUR9IRQMwzoYvkTA==" saltValue="bq7xRIEfvhsReVCdhQYWBQ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2" sqref="C2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630</v>
      </c>
      <c r="B1" t="s">
        <v>242</v>
      </c>
      <c r="C1" t="s">
        <v>631</v>
      </c>
    </row>
    <row r="2" spans="1:3" x14ac:dyDescent="0.35">
      <c r="A2" t="s">
        <v>632</v>
      </c>
      <c r="B2" t="s">
        <v>297</v>
      </c>
    </row>
    <row r="3" spans="1:3" x14ac:dyDescent="0.35">
      <c r="A3" t="s">
        <v>632</v>
      </c>
      <c r="B3" t="s">
        <v>304</v>
      </c>
    </row>
    <row r="4" spans="1:3" x14ac:dyDescent="0.35">
      <c r="A4" t="s">
        <v>632</v>
      </c>
      <c r="B4" t="s">
        <v>163</v>
      </c>
    </row>
    <row r="5" spans="1:3" x14ac:dyDescent="0.35">
      <c r="A5" t="s">
        <v>632</v>
      </c>
      <c r="B5" t="s">
        <v>164</v>
      </c>
    </row>
    <row r="6" spans="1:3" x14ac:dyDescent="0.35">
      <c r="A6" t="s">
        <v>632</v>
      </c>
      <c r="B6" t="s">
        <v>165</v>
      </c>
    </row>
    <row r="7" spans="1:3" x14ac:dyDescent="0.35">
      <c r="A7" t="s">
        <v>632</v>
      </c>
      <c r="B7" t="s">
        <v>166</v>
      </c>
    </row>
    <row r="8" spans="1:3" x14ac:dyDescent="0.35">
      <c r="A8" t="s">
        <v>632</v>
      </c>
      <c r="B8" t="s">
        <v>167</v>
      </c>
    </row>
    <row r="9" spans="1:3" x14ac:dyDescent="0.35">
      <c r="A9" t="s">
        <v>632</v>
      </c>
      <c r="B9" t="s">
        <v>168</v>
      </c>
    </row>
    <row r="10" spans="1:3" x14ac:dyDescent="0.35">
      <c r="A10" t="s">
        <v>632</v>
      </c>
      <c r="B10" t="s">
        <v>327</v>
      </c>
      <c r="C10" s="27"/>
    </row>
    <row r="11" spans="1:3" x14ac:dyDescent="0.35">
      <c r="A11" t="s">
        <v>632</v>
      </c>
      <c r="B11" t="s">
        <v>397</v>
      </c>
      <c r="C11" s="27"/>
    </row>
    <row r="12" spans="1:3" x14ac:dyDescent="0.35">
      <c r="A12" t="s">
        <v>632</v>
      </c>
      <c r="B12" t="s">
        <v>398</v>
      </c>
    </row>
    <row r="13" spans="1:3" x14ac:dyDescent="0.35">
      <c r="A13" t="s">
        <v>632</v>
      </c>
      <c r="B13" t="s">
        <v>399</v>
      </c>
    </row>
    <row r="14" spans="1:3" x14ac:dyDescent="0.35">
      <c r="A14" t="s">
        <v>632</v>
      </c>
      <c r="B14" t="s">
        <v>400</v>
      </c>
    </row>
    <row r="15" spans="1:3" x14ac:dyDescent="0.35">
      <c r="A15" t="s">
        <v>632</v>
      </c>
      <c r="B15" t="s">
        <v>401</v>
      </c>
    </row>
    <row r="16" spans="1:3" x14ac:dyDescent="0.35">
      <c r="A16" t="s">
        <v>312</v>
      </c>
      <c r="B16" t="s">
        <v>313</v>
      </c>
    </row>
    <row r="17" spans="1:2" x14ac:dyDescent="0.35">
      <c r="A17" t="s">
        <v>312</v>
      </c>
      <c r="B17" t="s">
        <v>313</v>
      </c>
    </row>
    <row r="18" spans="1:2" x14ac:dyDescent="0.35">
      <c r="A18" t="s">
        <v>312</v>
      </c>
      <c r="B18" t="s">
        <v>313</v>
      </c>
    </row>
    <row r="19" spans="1:2" x14ac:dyDescent="0.35">
      <c r="A19" t="s">
        <v>312</v>
      </c>
      <c r="B19" t="s">
        <v>313</v>
      </c>
    </row>
    <row r="20" spans="1:2" x14ac:dyDescent="0.35">
      <c r="A20" t="s">
        <v>312</v>
      </c>
      <c r="B20" t="s">
        <v>313</v>
      </c>
    </row>
    <row r="21" spans="1:2" x14ac:dyDescent="0.35">
      <c r="A21" t="s">
        <v>312</v>
      </c>
      <c r="B21" t="s">
        <v>313</v>
      </c>
    </row>
    <row r="22" spans="1:2" x14ac:dyDescent="0.35">
      <c r="A22" t="s">
        <v>312</v>
      </c>
      <c r="B22" t="s">
        <v>313</v>
      </c>
    </row>
    <row r="23" spans="1:2" x14ac:dyDescent="0.35">
      <c r="A23" t="s">
        <v>312</v>
      </c>
      <c r="B23" t="s">
        <v>313</v>
      </c>
    </row>
    <row r="24" spans="1:2" x14ac:dyDescent="0.35">
      <c r="A24" t="s">
        <v>312</v>
      </c>
      <c r="B24" t="s">
        <v>313</v>
      </c>
    </row>
    <row r="25" spans="1:2" x14ac:dyDescent="0.35">
      <c r="A25" t="s">
        <v>312</v>
      </c>
      <c r="B25" t="s">
        <v>313</v>
      </c>
    </row>
    <row r="26" spans="1:2" x14ac:dyDescent="0.35">
      <c r="A26" t="s">
        <v>312</v>
      </c>
      <c r="B26" t="s">
        <v>313</v>
      </c>
    </row>
    <row r="27" spans="1:2" x14ac:dyDescent="0.35">
      <c r="A27" t="s">
        <v>312</v>
      </c>
      <c r="B27" t="s">
        <v>313</v>
      </c>
    </row>
    <row r="28" spans="1:2" x14ac:dyDescent="0.35">
      <c r="A28" t="s">
        <v>312</v>
      </c>
      <c r="B28" t="s">
        <v>313</v>
      </c>
    </row>
    <row r="29" spans="1:2" x14ac:dyDescent="0.35">
      <c r="A29" t="s">
        <v>312</v>
      </c>
      <c r="B29" t="s">
        <v>313</v>
      </c>
    </row>
    <row r="30" spans="1:2" x14ac:dyDescent="0.35">
      <c r="A30" t="s">
        <v>312</v>
      </c>
      <c r="B30" t="s">
        <v>313</v>
      </c>
    </row>
    <row r="31" spans="1:2" x14ac:dyDescent="0.35">
      <c r="A31" t="s">
        <v>312</v>
      </c>
      <c r="B31" t="s">
        <v>313</v>
      </c>
    </row>
    <row r="32" spans="1:2" x14ac:dyDescent="0.35">
      <c r="A32" t="s">
        <v>312</v>
      </c>
      <c r="B32" t="s">
        <v>313</v>
      </c>
    </row>
    <row r="33" spans="1:2" x14ac:dyDescent="0.35">
      <c r="A33" t="s">
        <v>312</v>
      </c>
      <c r="B33" t="s">
        <v>313</v>
      </c>
    </row>
    <row r="34" spans="1:2" x14ac:dyDescent="0.35">
      <c r="A34" t="s">
        <v>312</v>
      </c>
      <c r="B34" t="s">
        <v>313</v>
      </c>
    </row>
    <row r="35" spans="1:2" x14ac:dyDescent="0.35">
      <c r="A35" t="s">
        <v>312</v>
      </c>
      <c r="B35" t="s">
        <v>313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outlinePr showOutlineSymbols="0"/>
    <pageSetUpPr autoPageBreaks="0"/>
  </sheetPr>
  <dimension ref="A2:M208"/>
  <sheetViews>
    <sheetView showGridLines="0" showRowColHeaders="0" showZeros="0" showOutlineSymbols="0" zoomScaleNormal="100" workbookViewId="0">
      <selection activeCell="E6" sqref="E6"/>
    </sheetView>
  </sheetViews>
  <sheetFormatPr defaultColWidth="10.73046875" defaultRowHeight="12.65" customHeight="1" x14ac:dyDescent="0.35"/>
  <cols>
    <col min="1" max="1" width="2.73046875" style="48" customWidth="1"/>
    <col min="2" max="2" width="2.59765625" style="51" customWidth="1"/>
    <col min="3" max="3" width="14" style="48" customWidth="1"/>
    <col min="4" max="4" width="11.265625" style="48" customWidth="1"/>
    <col min="5" max="5" width="12.73046875" style="48" customWidth="1"/>
    <col min="6" max="6" width="10.73046875" style="48" customWidth="1"/>
    <col min="7" max="10" width="11.265625" style="48" customWidth="1"/>
    <col min="11" max="11" width="10.73046875" style="48" customWidth="1"/>
    <col min="12" max="12" width="10.73046875" style="88" customWidth="1"/>
    <col min="13" max="16384" width="10.73046875" style="48"/>
  </cols>
  <sheetData>
    <row r="2" spans="1:12" ht="12.65" customHeight="1" x14ac:dyDescent="0.35">
      <c r="B2" s="69"/>
      <c r="C2" s="70" t="s">
        <v>1194</v>
      </c>
      <c r="D2" s="46">
        <f ca="1">TODAY()</f>
        <v>42251</v>
      </c>
      <c r="E2" s="70" t="s">
        <v>1195</v>
      </c>
      <c r="F2" s="347" t="str">
        <f>_AchterNaam&amp;", "&amp;_VoorNaam</f>
        <v>Achternaam, Voornaam</v>
      </c>
      <c r="G2" s="347"/>
      <c r="H2" s="71" t="s">
        <v>759</v>
      </c>
      <c r="I2" s="48" t="str">
        <f>Gewicht/10&amp;" kg"</f>
        <v>5 kg</v>
      </c>
      <c r="J2" s="47"/>
      <c r="L2" s="87"/>
    </row>
    <row r="3" spans="1:12" ht="12.65" customHeight="1" x14ac:dyDescent="0.35">
      <c r="B3" s="69"/>
      <c r="C3" s="70" t="s">
        <v>543</v>
      </c>
      <c r="D3" s="49">
        <f ca="1">AfspraakDatum-OpnDatum+1</f>
        <v>889</v>
      </c>
      <c r="E3" s="70" t="s">
        <v>1193</v>
      </c>
      <c r="F3" s="50">
        <f>GebDatum</f>
        <v>41732</v>
      </c>
      <c r="G3" s="47"/>
      <c r="H3" s="71" t="s">
        <v>351</v>
      </c>
      <c r="I3" s="48" t="str">
        <f>Lengte&amp;" cm"</f>
        <v>61 cm</v>
      </c>
      <c r="J3" s="47"/>
      <c r="L3" s="87"/>
    </row>
    <row r="4" spans="1:12" ht="12" customHeight="1" x14ac:dyDescent="0.35">
      <c r="D4" s="47"/>
      <c r="F4" s="47"/>
      <c r="H4" s="71" t="s">
        <v>352</v>
      </c>
      <c r="I4" s="48" t="str">
        <f>ROUND(POWER(Gewicht/10,0.425)*POWER(((Lengte/100)*100),0.725)*0.007184,2)&amp;" m2"</f>
        <v>0,28 m2</v>
      </c>
      <c r="L4" s="87"/>
    </row>
    <row r="5" spans="1:12" ht="14.15" customHeight="1" x14ac:dyDescent="0.35">
      <c r="A5" s="55"/>
      <c r="B5" s="60" t="str">
        <f>Intake!C7</f>
        <v>Voeding</v>
      </c>
      <c r="C5" s="55"/>
      <c r="D5" s="55"/>
      <c r="E5" s="55"/>
      <c r="F5" s="55"/>
      <c r="G5" s="55"/>
      <c r="H5" s="55"/>
      <c r="I5" s="55"/>
      <c r="J5" s="55"/>
      <c r="K5" s="51"/>
      <c r="L5" s="87"/>
    </row>
    <row r="6" spans="1:12" ht="14.15" customHeight="1" x14ac:dyDescent="0.35">
      <c r="B6" s="69"/>
      <c r="C6" s="71" t="s">
        <v>614</v>
      </c>
      <c r="D6" s="71"/>
      <c r="E6" s="48" t="e">
        <f>INDEX(tblSonde,ber_PO!#REF!,1)</f>
        <v>#REF!</v>
      </c>
      <c r="K6" s="51"/>
      <c r="L6" s="87"/>
    </row>
    <row r="7" spans="1:12" ht="14.15" customHeight="1" x14ac:dyDescent="0.35">
      <c r="C7" s="48" t="e">
        <f>IF(E7&lt;&gt;"",INDEX(tblVoedingPO,KeuzePO_1,1),)</f>
        <v>#REF!</v>
      </c>
      <c r="D7" s="48" t="str">
        <f>Intake!G8</f>
        <v/>
      </c>
      <c r="E7" s="48" t="str">
        <f>Intake!C8&amp;" "&amp;Intake!D8</f>
        <v xml:space="preserve"> </v>
      </c>
      <c r="F7" s="54" t="str">
        <f>IF(KeuzePO_2&gt;1,"met "&amp;Intake!C9&amp;" "&amp;Intake!D9&amp;" "&amp;INDEX(ber_PO!#REF!,KeuzePO_2,1),"")</f>
        <v/>
      </c>
      <c r="I7" s="48" t="str">
        <f>Intake!I9</f>
        <v/>
      </c>
      <c r="K7" s="51"/>
      <c r="L7" s="87"/>
    </row>
    <row r="8" spans="1:12" ht="12.65" customHeight="1" x14ac:dyDescent="0.35">
      <c r="B8" s="69"/>
      <c r="C8" s="71"/>
      <c r="D8" s="71"/>
      <c r="F8" s="54" t="str">
        <f>IF(ber_PO!O4&gt;1,"met "&amp;Intake!C10&amp;" "&amp;Intake!D10&amp;" "&amp;INDEX(ber_PO!#REF!,KeuzePO_3,1),"")</f>
        <v/>
      </c>
      <c r="I8" s="48" t="str">
        <f>Intake!I10</f>
        <v/>
      </c>
      <c r="K8" s="51"/>
      <c r="L8" s="87"/>
    </row>
    <row r="9" spans="1:12" ht="12.65" customHeight="1" x14ac:dyDescent="0.35">
      <c r="B9" s="69"/>
      <c r="C9" s="71"/>
      <c r="D9" s="71"/>
      <c r="F9" s="54" t="str">
        <f>IF(ber_PO!O5&gt;1,"met "&amp;Intake!C11&amp;" "&amp;Intake!D11&amp;" "&amp;INDEX(ber_PO!#REF!,KeuzePO_4,1),"")</f>
        <v/>
      </c>
      <c r="I9" s="48" t="str">
        <f>Intake!I11</f>
        <v/>
      </c>
      <c r="K9" s="53"/>
      <c r="L9" s="87"/>
    </row>
    <row r="10" spans="1:12" ht="12.65" customHeight="1" x14ac:dyDescent="0.35">
      <c r="K10" s="53"/>
      <c r="L10" s="87"/>
    </row>
    <row r="11" spans="1:12" ht="12.65" customHeight="1" x14ac:dyDescent="0.35">
      <c r="A11" s="55"/>
      <c r="B11" s="72"/>
      <c r="C11" s="73" t="s">
        <v>791</v>
      </c>
      <c r="D11" s="350">
        <f>ber_Opm!C15</f>
        <v>0</v>
      </c>
      <c r="E11" s="351"/>
      <c r="F11" s="351"/>
      <c r="G11" s="351"/>
      <c r="H11" s="351"/>
      <c r="I11" s="351"/>
      <c r="J11" s="351"/>
      <c r="K11" s="53"/>
      <c r="L11" s="87"/>
    </row>
    <row r="12" spans="1:12" ht="12.65" customHeight="1" x14ac:dyDescent="0.35">
      <c r="L12" s="87"/>
    </row>
    <row r="13" spans="1:12" ht="12.65" customHeight="1" x14ac:dyDescent="0.35">
      <c r="A13" s="55"/>
      <c r="B13" s="60" t="s">
        <v>327</v>
      </c>
      <c r="C13" s="55"/>
      <c r="D13" s="55"/>
      <c r="E13" s="55"/>
      <c r="F13" s="55"/>
      <c r="G13" s="55"/>
      <c r="H13" s="55"/>
      <c r="I13" s="55"/>
      <c r="J13" s="55"/>
      <c r="L13" s="87"/>
    </row>
    <row r="14" spans="1:12" ht="12.65" customHeight="1" x14ac:dyDescent="0.35">
      <c r="B14" s="71"/>
      <c r="C14" s="71" t="s">
        <v>996</v>
      </c>
      <c r="D14" s="354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55"/>
      <c r="F14" s="355"/>
      <c r="G14" s="355"/>
      <c r="H14" s="355"/>
      <c r="I14" s="355"/>
      <c r="J14" s="355"/>
      <c r="L14" s="87"/>
    </row>
    <row r="15" spans="1:12" ht="12.65" customHeight="1" x14ac:dyDescent="0.35">
      <c r="B15" s="71"/>
      <c r="C15" s="71" t="s">
        <v>1183</v>
      </c>
      <c r="D15" s="348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49"/>
      <c r="F15" s="349"/>
      <c r="G15" s="349"/>
      <c r="H15" s="349"/>
      <c r="I15" s="349"/>
      <c r="J15" s="349"/>
      <c r="L15" s="87"/>
    </row>
    <row r="16" spans="1:12" ht="12.65" customHeight="1" x14ac:dyDescent="0.35">
      <c r="B16" s="71"/>
      <c r="C16" s="71" t="s">
        <v>1184</v>
      </c>
      <c r="D16" s="348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56"/>
      <c r="F16" s="356"/>
      <c r="G16" s="356"/>
      <c r="H16" s="356"/>
      <c r="I16" s="356"/>
      <c r="J16" s="356"/>
      <c r="L16" s="87"/>
    </row>
    <row r="17" spans="1:12" ht="12.65" customHeight="1" x14ac:dyDescent="0.35">
      <c r="B17" s="71"/>
      <c r="C17" s="71" t="s">
        <v>387</v>
      </c>
      <c r="D17" s="348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56"/>
      <c r="F17" s="356"/>
      <c r="G17" s="356"/>
      <c r="H17" s="356"/>
      <c r="I17" s="356"/>
      <c r="J17" s="356"/>
      <c r="L17" s="87"/>
    </row>
    <row r="18" spans="1:12" ht="12.65" customHeight="1" x14ac:dyDescent="0.35">
      <c r="B18" s="71"/>
      <c r="C18" s="76" t="s">
        <v>46</v>
      </c>
      <c r="D18" s="348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57"/>
      <c r="F18" s="357"/>
      <c r="G18" s="357"/>
      <c r="H18" s="357"/>
      <c r="I18" s="357"/>
      <c r="J18" s="357"/>
      <c r="L18" s="87"/>
    </row>
    <row r="19" spans="1:12" ht="12.65" customHeight="1" x14ac:dyDescent="0.35">
      <c r="B19" s="71"/>
      <c r="C19" s="76" t="s">
        <v>791</v>
      </c>
      <c r="D19" s="342">
        <f>ber_Opm!C10</f>
        <v>0</v>
      </c>
      <c r="E19" s="343"/>
      <c r="F19" s="343"/>
      <c r="G19" s="343"/>
      <c r="H19" s="343"/>
      <c r="I19" s="343"/>
      <c r="J19" s="343"/>
      <c r="L19" s="87"/>
    </row>
    <row r="20" spans="1:12" ht="12.65" customHeight="1" x14ac:dyDescent="0.35">
      <c r="A20" s="55"/>
      <c r="B20" s="73"/>
      <c r="C20" s="75"/>
      <c r="D20" s="344"/>
      <c r="E20" s="344"/>
      <c r="F20" s="344"/>
      <c r="G20" s="344"/>
      <c r="H20" s="344"/>
      <c r="I20" s="344"/>
      <c r="J20" s="344"/>
      <c r="L20" s="87"/>
    </row>
    <row r="21" spans="1:12" ht="12.65" customHeight="1" x14ac:dyDescent="0.35">
      <c r="L21" s="87"/>
    </row>
    <row r="22" spans="1:12" ht="12.65" customHeight="1" x14ac:dyDescent="0.35">
      <c r="A22" s="55"/>
      <c r="B22" s="60" t="s">
        <v>177</v>
      </c>
      <c r="C22" s="57"/>
      <c r="D22" s="55"/>
      <c r="E22" s="55"/>
      <c r="F22" s="55"/>
      <c r="G22" s="55"/>
      <c r="H22" s="55"/>
      <c r="I22" s="55"/>
      <c r="J22" s="55"/>
      <c r="L22" s="87"/>
    </row>
    <row r="23" spans="1:12" ht="12.65" customHeight="1" x14ac:dyDescent="0.35">
      <c r="B23" s="51" t="s">
        <v>771</v>
      </c>
      <c r="C23" s="48">
        <f>INDEX(tblAanvAfspr,ber_Infusen!M1,1)</f>
        <v>0</v>
      </c>
      <c r="L23" s="87"/>
    </row>
    <row r="24" spans="1:12" ht="12.65" customHeight="1" x14ac:dyDescent="0.35">
      <c r="B24" s="51" t="s">
        <v>772</v>
      </c>
      <c r="C24" s="48">
        <f>INDEX(tblAanvAfspr,ber_Infusen!M2,1)</f>
        <v>0</v>
      </c>
      <c r="L24" s="87"/>
    </row>
    <row r="25" spans="1:12" ht="12.65" customHeight="1" x14ac:dyDescent="0.35">
      <c r="B25" s="51" t="s">
        <v>773</v>
      </c>
      <c r="C25" s="48">
        <f>INDEX(tblAanvAfspr,ber_Infusen!M3,1)</f>
        <v>0</v>
      </c>
      <c r="L25" s="87"/>
    </row>
    <row r="26" spans="1:12" ht="12.65" customHeight="1" x14ac:dyDescent="0.35">
      <c r="B26" s="51" t="s">
        <v>774</v>
      </c>
      <c r="C26" s="48">
        <f>INDEX(tblAanvAfspr,ber_Infusen!M4,1)</f>
        <v>0</v>
      </c>
      <c r="L26" s="87"/>
    </row>
    <row r="27" spans="1:12" ht="12.65" customHeight="1" x14ac:dyDescent="0.35">
      <c r="B27" s="51" t="s">
        <v>775</v>
      </c>
      <c r="C27" s="4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 xml:space="preserve">cuff bloeddruk: om de 8 uur, maagretentie: om de 3 uur, </v>
      </c>
      <c r="L27" s="87"/>
    </row>
    <row r="28" spans="1:12" ht="12.65" customHeight="1" x14ac:dyDescent="0.35">
      <c r="B28" s="51" t="s">
        <v>178</v>
      </c>
      <c r="C28" s="346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46"/>
      <c r="E28" s="346"/>
      <c r="F28" s="346"/>
      <c r="G28" s="346"/>
      <c r="H28" s="346"/>
      <c r="I28" s="346"/>
      <c r="J28" s="346"/>
      <c r="L28" s="87"/>
    </row>
    <row r="29" spans="1:12" ht="12.65" customHeight="1" x14ac:dyDescent="0.35">
      <c r="C29" s="346"/>
      <c r="D29" s="346"/>
      <c r="E29" s="346"/>
      <c r="F29" s="346"/>
      <c r="G29" s="346"/>
      <c r="H29" s="346"/>
      <c r="I29" s="346"/>
      <c r="J29" s="346"/>
      <c r="L29" s="87"/>
    </row>
    <row r="30" spans="1:12" ht="12.65" customHeight="1" x14ac:dyDescent="0.35">
      <c r="B30" s="51" t="s">
        <v>179</v>
      </c>
      <c r="C30" s="352">
        <f>ber_Opm!C11</f>
        <v>0</v>
      </c>
      <c r="D30" s="352"/>
      <c r="E30" s="352"/>
      <c r="F30" s="352"/>
      <c r="G30" s="352"/>
      <c r="H30" s="352"/>
      <c r="I30" s="352"/>
      <c r="J30" s="352"/>
      <c r="L30" s="87"/>
    </row>
    <row r="31" spans="1:12" ht="7" customHeight="1" x14ac:dyDescent="0.35">
      <c r="C31" s="353"/>
      <c r="D31" s="353"/>
      <c r="E31" s="353"/>
      <c r="F31" s="353"/>
      <c r="G31" s="353"/>
      <c r="H31" s="353"/>
      <c r="I31" s="353"/>
      <c r="J31" s="353"/>
      <c r="L31" s="87"/>
    </row>
    <row r="32" spans="1:12" ht="7" customHeight="1" x14ac:dyDescent="0.35">
      <c r="C32" s="353"/>
      <c r="D32" s="353"/>
      <c r="E32" s="353"/>
      <c r="F32" s="353"/>
      <c r="G32" s="353"/>
      <c r="H32" s="353"/>
      <c r="I32" s="353"/>
      <c r="J32" s="353"/>
      <c r="L32" s="87"/>
    </row>
    <row r="33" spans="1:12" ht="7" customHeight="1" x14ac:dyDescent="0.35">
      <c r="C33" s="353"/>
      <c r="D33" s="353"/>
      <c r="E33" s="353"/>
      <c r="F33" s="353"/>
      <c r="G33" s="353"/>
      <c r="H33" s="353"/>
      <c r="I33" s="353"/>
      <c r="J33" s="353"/>
      <c r="L33" s="87"/>
    </row>
    <row r="34" spans="1:12" ht="12.65" customHeight="1" x14ac:dyDescent="0.35">
      <c r="B34" s="51">
        <v>8</v>
      </c>
      <c r="C34" s="292" t="s">
        <v>174</v>
      </c>
      <c r="D34" s="291"/>
      <c r="E34" s="291"/>
      <c r="F34" s="291"/>
      <c r="G34" s="291"/>
      <c r="H34" s="291"/>
      <c r="I34" s="291"/>
      <c r="J34" s="291"/>
      <c r="L34" s="87"/>
    </row>
    <row r="35" spans="1:12" ht="12.65" customHeight="1" x14ac:dyDescent="0.35">
      <c r="C35" s="292"/>
      <c r="D35" s="291"/>
      <c r="E35" s="291"/>
      <c r="F35" s="291"/>
      <c r="G35" s="291"/>
      <c r="H35" s="291"/>
      <c r="I35" s="291"/>
      <c r="J35" s="291"/>
      <c r="L35" s="87"/>
    </row>
    <row r="36" spans="1:12" ht="12.65" customHeight="1" x14ac:dyDescent="0.35">
      <c r="C36" s="292"/>
      <c r="D36" s="291"/>
      <c r="E36" s="291"/>
      <c r="F36" s="291"/>
      <c r="G36" s="291"/>
      <c r="H36" s="291"/>
      <c r="I36" s="291"/>
      <c r="J36" s="291"/>
      <c r="L36" s="87"/>
    </row>
    <row r="37" spans="1:12" ht="12.65" customHeight="1" x14ac:dyDescent="0.35">
      <c r="C37" s="292"/>
      <c r="D37" s="291"/>
      <c r="E37" s="291"/>
      <c r="F37" s="291"/>
      <c r="G37" s="291"/>
      <c r="H37" s="291"/>
      <c r="I37" s="291"/>
      <c r="J37" s="291"/>
      <c r="L37" s="87"/>
    </row>
    <row r="38" spans="1:12" ht="12.65" customHeight="1" x14ac:dyDescent="0.35">
      <c r="C38" s="292"/>
      <c r="D38" s="291"/>
      <c r="E38" s="291"/>
      <c r="F38" s="291"/>
      <c r="G38" s="291"/>
      <c r="H38" s="291"/>
      <c r="I38" s="291"/>
      <c r="J38" s="291"/>
      <c r="L38" s="87"/>
    </row>
    <row r="39" spans="1:12" ht="12.65" customHeight="1" x14ac:dyDescent="0.35">
      <c r="B39" s="61" t="s">
        <v>238</v>
      </c>
      <c r="C39" s="55"/>
      <c r="D39" s="55"/>
      <c r="F39" s="55" t="s">
        <v>1181</v>
      </c>
      <c r="G39" s="55"/>
      <c r="H39" s="55"/>
      <c r="I39" s="55"/>
      <c r="L39" s="87"/>
    </row>
    <row r="40" spans="1:12" ht="12.65" customHeight="1" x14ac:dyDescent="0.35">
      <c r="L40" s="87"/>
    </row>
    <row r="41" spans="1:12" ht="12.65" customHeight="1" x14ac:dyDescent="0.35">
      <c r="B41" s="69"/>
      <c r="C41" s="70" t="s">
        <v>1194</v>
      </c>
      <c r="D41" s="46">
        <f ca="1">TODAY()</f>
        <v>42251</v>
      </c>
      <c r="E41" s="70" t="s">
        <v>1195</v>
      </c>
      <c r="F41" s="347" t="str">
        <f>_AchterNaam&amp;", "&amp;_VoorNaam</f>
        <v>Achternaam, Voornaam</v>
      </c>
      <c r="G41" s="347"/>
      <c r="H41" s="71" t="s">
        <v>759</v>
      </c>
      <c r="I41" s="48" t="str">
        <f>Gewicht/10&amp;" kg"</f>
        <v>5 kg</v>
      </c>
      <c r="J41" s="315"/>
      <c r="L41" s="87"/>
    </row>
    <row r="42" spans="1:12" ht="12.65" customHeight="1" x14ac:dyDescent="0.35">
      <c r="B42" s="69"/>
      <c r="C42" s="70" t="s">
        <v>543</v>
      </c>
      <c r="D42" s="49">
        <f ca="1">AfspraakDatum-OpnDatum+1</f>
        <v>889</v>
      </c>
      <c r="E42" s="70" t="s">
        <v>1193</v>
      </c>
      <c r="F42" s="50">
        <f>GebDatum</f>
        <v>41732</v>
      </c>
      <c r="G42" s="315"/>
      <c r="H42" s="71" t="s">
        <v>351</v>
      </c>
      <c r="I42" s="48" t="str">
        <f>Lengte&amp;" cm"</f>
        <v>61 cm</v>
      </c>
      <c r="J42" s="315"/>
      <c r="L42" s="87"/>
    </row>
    <row r="43" spans="1:12" ht="12.65" customHeight="1" x14ac:dyDescent="0.35">
      <c r="D43" s="315"/>
      <c r="F43" s="315"/>
      <c r="H43" s="71" t="s">
        <v>352</v>
      </c>
      <c r="I43" s="48" t="str">
        <f>ROUND(POWER(Gewicht/10,0.425)*POWER(((Lengte/100)*100),0.725)*0.007184,2)&amp;" m2"</f>
        <v>0,28 m2</v>
      </c>
      <c r="L43" s="87"/>
    </row>
    <row r="44" spans="1:12" ht="12.65" customHeight="1" x14ac:dyDescent="0.35">
      <c r="D44" s="47"/>
      <c r="F44" s="47"/>
      <c r="L44" s="87"/>
    </row>
    <row r="45" spans="1:12" ht="12.65" customHeight="1" x14ac:dyDescent="0.35">
      <c r="A45" s="55"/>
      <c r="B45" s="60" t="s">
        <v>68</v>
      </c>
      <c r="C45" s="57"/>
      <c r="D45" s="55"/>
      <c r="E45" s="55"/>
      <c r="F45" s="55"/>
      <c r="G45" s="55"/>
      <c r="H45" s="58"/>
      <c r="I45" s="58"/>
      <c r="J45" s="58"/>
      <c r="L45" s="87"/>
    </row>
    <row r="46" spans="1:12" ht="12.65" customHeight="1" x14ac:dyDescent="0.35">
      <c r="B46" s="51">
        <v>1</v>
      </c>
      <c r="C46" s="48">
        <f>INDEX(tblInfusen,ber_Infusen!E2,1)</f>
        <v>0</v>
      </c>
      <c r="H46" s="52"/>
      <c r="I46" s="52"/>
      <c r="J46" s="52"/>
      <c r="L46" s="87" t="str">
        <f t="shared" ref="L46:L51" si="0">IF(C46=0,"D","")</f>
        <v>D</v>
      </c>
    </row>
    <row r="47" spans="1:12" ht="12.65" customHeight="1" x14ac:dyDescent="0.35">
      <c r="B47" s="51">
        <v>2</v>
      </c>
      <c r="C47" s="48" t="str">
        <f>INDEX(tblInfusen,ber_Infusen!E3,1)</f>
        <v>CVL lijn lumen II: meting + (&gt; 5 kg) flush 1E heparine via drukzak FZ: 3 ml/uur</v>
      </c>
      <c r="H47" s="52"/>
      <c r="I47" s="52"/>
      <c r="J47" s="52"/>
      <c r="L47" s="87" t="str">
        <f t="shared" si="0"/>
        <v/>
      </c>
    </row>
    <row r="48" spans="1:12" ht="12.65" customHeight="1" x14ac:dyDescent="0.35">
      <c r="B48" s="51">
        <v>3</v>
      </c>
      <c r="C48" s="48" t="str">
        <f>INDEX(tblInfusen,ber_Infusen!E4,1)</f>
        <v>CVL lijn lumen II: medicatie</v>
      </c>
      <c r="H48" s="52"/>
      <c r="I48" s="52"/>
      <c r="J48" s="52"/>
      <c r="L48" s="87" t="str">
        <f t="shared" si="0"/>
        <v/>
      </c>
    </row>
    <row r="49" spans="1:12" ht="12.65" customHeight="1" x14ac:dyDescent="0.35">
      <c r="B49" s="51">
        <v>4</v>
      </c>
      <c r="C49" s="48">
        <f>INDEX(tblInfusen,ber_Infusen!E5,1)</f>
        <v>0</v>
      </c>
      <c r="H49" s="52"/>
      <c r="I49" s="52"/>
      <c r="J49" s="52"/>
      <c r="L49" s="87" t="str">
        <f t="shared" si="0"/>
        <v>D</v>
      </c>
    </row>
    <row r="50" spans="1:12" ht="12.65" customHeight="1" x14ac:dyDescent="0.35">
      <c r="B50" s="51">
        <v>5</v>
      </c>
      <c r="C50" s="48">
        <f>INDEX(tblInfusen,ber_Infusen!E6,1)</f>
        <v>0</v>
      </c>
      <c r="H50" s="52"/>
      <c r="I50" s="52"/>
      <c r="J50" s="52"/>
      <c r="L50" s="87" t="str">
        <f t="shared" si="0"/>
        <v>D</v>
      </c>
    </row>
    <row r="51" spans="1:12" ht="12.65" customHeight="1" x14ac:dyDescent="0.35">
      <c r="B51" s="51">
        <v>6</v>
      </c>
      <c r="C51" s="48">
        <f>INDEX(tblInfusen,ber_Infusen!E7,1)</f>
        <v>0</v>
      </c>
      <c r="H51" s="52"/>
      <c r="I51" s="52"/>
      <c r="J51" s="52"/>
      <c r="L51" s="87" t="str">
        <f t="shared" si="0"/>
        <v>D</v>
      </c>
    </row>
    <row r="52" spans="1:12" ht="12.65" customHeight="1" x14ac:dyDescent="0.35">
      <c r="H52" s="52"/>
      <c r="I52" s="52"/>
      <c r="J52" s="52"/>
      <c r="L52" s="87"/>
    </row>
    <row r="53" spans="1:12" ht="12.65" customHeight="1" x14ac:dyDescent="0.35">
      <c r="A53" s="55"/>
      <c r="B53" s="72"/>
      <c r="C53" s="73" t="s">
        <v>791</v>
      </c>
      <c r="D53" s="350">
        <f>ber_Opm!C3</f>
        <v>0</v>
      </c>
      <c r="E53" s="351"/>
      <c r="F53" s="351"/>
      <c r="G53" s="351"/>
      <c r="H53" s="351"/>
      <c r="I53" s="351"/>
      <c r="J53" s="351"/>
      <c r="L53" s="87"/>
    </row>
    <row r="54" spans="1:12" ht="12.65" customHeight="1" x14ac:dyDescent="0.35">
      <c r="L54" s="87"/>
    </row>
    <row r="55" spans="1:12" ht="12.65" customHeight="1" x14ac:dyDescent="0.35">
      <c r="L55" s="87"/>
    </row>
    <row r="56" spans="1:12" ht="12.65" customHeight="1" x14ac:dyDescent="0.35">
      <c r="A56" s="55"/>
      <c r="B56" s="60" t="s">
        <v>792</v>
      </c>
      <c r="C56" s="55"/>
      <c r="D56" s="55"/>
      <c r="E56" s="55"/>
      <c r="F56" s="55"/>
      <c r="G56" s="55"/>
      <c r="H56" s="55"/>
      <c r="I56" s="55"/>
      <c r="J56" s="55"/>
      <c r="L56" s="87"/>
    </row>
    <row r="57" spans="1:12" ht="12.65" customHeight="1" x14ac:dyDescent="0.35">
      <c r="B57" s="69"/>
      <c r="C57" s="71" t="s">
        <v>812</v>
      </c>
      <c r="D57" s="71"/>
      <c r="E57" s="71" t="s">
        <v>249</v>
      </c>
      <c r="F57" s="71"/>
      <c r="G57" s="71" t="s">
        <v>813</v>
      </c>
      <c r="H57" s="71"/>
      <c r="I57" s="71"/>
      <c r="J57" s="71" t="s">
        <v>521</v>
      </c>
      <c r="L57" s="87"/>
    </row>
    <row r="58" spans="1:12" ht="12.65" customHeight="1" x14ac:dyDescent="0.35">
      <c r="B58" s="51">
        <v>1</v>
      </c>
      <c r="C58" s="48" t="str">
        <f>MedicatieIV!C8</f>
        <v>fenylefrine</v>
      </c>
      <c r="E58" s="48" t="e">
        <f>IF(C58&lt;&gt;0,MedicatieIV!D8&amp;" in "&amp;MedicatieIV!E8&amp;IF(AND(ber_IVmed!#REF!&lt;&gt;4,MedicatieIV!F8&lt;&gt;0)," "&amp;MedicatieIV!F8,""),"")</f>
        <v>#REF!</v>
      </c>
      <c r="G58" s="48" t="str">
        <f>IF(C58&lt;&gt;0,MedicatieIV!G8&amp;" (="&amp;MedicatieIV!H8&amp;")","")</f>
        <v>0,1 ml/uur (=0,0033 mcg/kg/min)</v>
      </c>
      <c r="J58" s="48" t="str">
        <f>MedicatieIV!I8</f>
        <v>2,4 ml</v>
      </c>
      <c r="L58" s="87" t="str">
        <f t="shared" ref="L58:L72" si="1">IF(C58=0,"D","")</f>
        <v/>
      </c>
    </row>
    <row r="59" spans="1:12" ht="12.65" customHeight="1" x14ac:dyDescent="0.35">
      <c r="B59" s="51">
        <v>2</v>
      </c>
      <c r="C59" s="48" t="str">
        <f>MedicatieIV!C9</f>
        <v>heparine</v>
      </c>
      <c r="E59" s="48" t="e">
        <f>IF(C59&lt;&gt;0,MedicatieIV!D9&amp;" in "&amp;MedicatieIV!E9&amp;IF(AND(ber_IVmed!#REF!&lt;&gt;4,MedicatieIV!F9&lt;&gt;0)," "&amp;MedicatieIV!F9,""),"")</f>
        <v>#REF!</v>
      </c>
      <c r="G59" s="48" t="str">
        <f>IF(C59&lt;&gt;0,MedicatieIV!G9&amp;" (="&amp;MedicatieIV!H9&amp;")","")</f>
        <v>0,7 ml/uur (=14 IE/kg/uur)</v>
      </c>
      <c r="J59" s="48" t="str">
        <f>MedicatieIV!I9</f>
        <v>16,8 ml</v>
      </c>
      <c r="L59" s="87" t="str">
        <f t="shared" si="1"/>
        <v/>
      </c>
    </row>
    <row r="60" spans="1:12" ht="12.65" customHeight="1" x14ac:dyDescent="0.35">
      <c r="B60" s="51">
        <v>3</v>
      </c>
      <c r="C60" s="48" t="str">
        <f>MedicatieIV!C10</f>
        <v>clonidine</v>
      </c>
      <c r="E60" s="48" t="e">
        <f>IF(C60&lt;&gt;0,MedicatieIV!D10&amp;" in "&amp;MedicatieIV!E10&amp;IF(AND(ber_IVmed!#REF!&lt;&gt;4,MedicatieIV!F10&lt;&gt;0)," "&amp;MedicatieIV!F10,""),"")</f>
        <v>#REF!</v>
      </c>
      <c r="G60" s="48" t="str">
        <f>IF(C60&lt;&gt;0,MedicatieIV!G10&amp;" (="&amp;MedicatieIV!H10&amp;")","")</f>
        <v>0 ml/uur (=0 mcg/kg/uur)</v>
      </c>
      <c r="J60" s="48" t="str">
        <f>MedicatieIV!I10</f>
        <v>0 ml</v>
      </c>
      <c r="L60" s="87" t="str">
        <f t="shared" si="1"/>
        <v/>
      </c>
    </row>
    <row r="61" spans="1:12" ht="12.65" customHeight="1" x14ac:dyDescent="0.35">
      <c r="B61" s="51">
        <v>4</v>
      </c>
      <c r="C61" s="48">
        <f>MedicatieIV!C11</f>
        <v>0</v>
      </c>
      <c r="E61" s="48" t="str">
        <f>IF(C61&lt;&gt;0,MedicatieIV!D11&amp;" in "&amp;MedicatieIV!E11&amp;IF(AND(ber_IVmed!#REF!&lt;&gt;4,MedicatieIV!F11&lt;&gt;0)," "&amp;MedicatieIV!F11,""),"")</f>
        <v/>
      </c>
      <c r="G61" s="48" t="str">
        <f>IF(C61&lt;&gt;0,MedicatieIV!G11&amp;" (="&amp;MedicatieIV!H11&amp;")","")</f>
        <v/>
      </c>
      <c r="J61" s="48" t="str">
        <f>MedicatieIV!I11</f>
        <v/>
      </c>
      <c r="L61" s="87" t="str">
        <f t="shared" si="1"/>
        <v>D</v>
      </c>
    </row>
    <row r="62" spans="1:12" ht="12.65" customHeight="1" x14ac:dyDescent="0.35">
      <c r="B62" s="51">
        <v>5</v>
      </c>
      <c r="C62" s="48">
        <f>MedicatieIV!C12</f>
        <v>0</v>
      </c>
      <c r="E62" s="48" t="str">
        <f>IF(C62&lt;&gt;0,MedicatieIV!D12&amp;" in "&amp;MedicatieIV!E12&amp;IF(AND(ber_IVmed!#REF!&lt;&gt;4,MedicatieIV!F12&lt;&gt;0)," "&amp;MedicatieIV!F12,""),"")</f>
        <v/>
      </c>
      <c r="G62" s="48" t="str">
        <f>IF(C62&lt;&gt;0,MedicatieIV!G12&amp;" (="&amp;MedicatieIV!H12&amp;")","")</f>
        <v/>
      </c>
      <c r="J62" s="48" t="str">
        <f>MedicatieIV!I12</f>
        <v/>
      </c>
      <c r="L62" s="87" t="str">
        <f t="shared" si="1"/>
        <v>D</v>
      </c>
    </row>
    <row r="63" spans="1:12" ht="12.65" customHeight="1" x14ac:dyDescent="0.35">
      <c r="B63" s="51">
        <v>6</v>
      </c>
      <c r="C63" s="48">
        <f>MedicatieIV!C13</f>
        <v>0</v>
      </c>
      <c r="E63" s="48" t="str">
        <f>IF(C63&lt;&gt;0,MedicatieIV!D13&amp;" in "&amp;MedicatieIV!E13&amp;IF(AND(ber_IVmed!#REF!&lt;&gt;4,MedicatieIV!F13&lt;&gt;0)," "&amp;MedicatieIV!F13,""),"")</f>
        <v/>
      </c>
      <c r="G63" s="48" t="str">
        <f>IF(C63&lt;&gt;0,MedicatieIV!G13&amp;" (="&amp;MedicatieIV!H13&amp;")","")</f>
        <v/>
      </c>
      <c r="J63" s="48" t="str">
        <f>MedicatieIV!I13</f>
        <v/>
      </c>
      <c r="L63" s="87" t="str">
        <f t="shared" si="1"/>
        <v>D</v>
      </c>
    </row>
    <row r="64" spans="1:12" ht="12.65" customHeight="1" x14ac:dyDescent="0.35">
      <c r="B64" s="51">
        <v>7</v>
      </c>
      <c r="C64" s="48">
        <f>MedicatieIV!C14</f>
        <v>0</v>
      </c>
      <c r="E64" s="48" t="str">
        <f>IF(C64&lt;&gt;0,MedicatieIV!D14&amp;" in "&amp;MedicatieIV!E14&amp;IF(AND(ber_IVmed!#REF!&lt;&gt;4,MedicatieIV!F14&lt;&gt;0)," "&amp;MedicatieIV!F14,""),"")</f>
        <v/>
      </c>
      <c r="G64" s="48" t="str">
        <f>IF(C64&lt;&gt;0,MedicatieIV!G14&amp;" (="&amp;MedicatieIV!H14&amp;")","")</f>
        <v/>
      </c>
      <c r="J64" s="48" t="str">
        <f>MedicatieIV!I14</f>
        <v/>
      </c>
      <c r="L64" s="87" t="str">
        <f t="shared" si="1"/>
        <v>D</v>
      </c>
    </row>
    <row r="65" spans="1:12" ht="12.65" customHeight="1" x14ac:dyDescent="0.35">
      <c r="B65" s="51">
        <v>8</v>
      </c>
      <c r="C65" s="48">
        <f>MedicatieIV!C15</f>
        <v>0</v>
      </c>
      <c r="E65" s="48" t="str">
        <f>IF(C65&lt;&gt;0,MedicatieIV!D15&amp;" in "&amp;MedicatieIV!E15&amp;IF(AND(ber_IVmed!#REF!&lt;&gt;4,MedicatieIV!F15&lt;&gt;0)," "&amp;MedicatieIV!F15,""),"")</f>
        <v/>
      </c>
      <c r="G65" s="48" t="str">
        <f>IF(C65&lt;&gt;0,MedicatieIV!G15&amp;" (="&amp;MedicatieIV!H15&amp;")","")</f>
        <v/>
      </c>
      <c r="J65" s="48" t="str">
        <f>MedicatieIV!I15</f>
        <v/>
      </c>
      <c r="L65" s="87" t="str">
        <f t="shared" si="1"/>
        <v>D</v>
      </c>
    </row>
    <row r="66" spans="1:12" ht="12.65" customHeight="1" x14ac:dyDescent="0.35">
      <c r="B66" s="51">
        <v>9</v>
      </c>
      <c r="C66" s="48">
        <f>MedicatieIV!C16</f>
        <v>0</v>
      </c>
      <c r="E66" s="48" t="str">
        <f>IF(C66&lt;&gt;0,MedicatieIV!D16&amp;" in "&amp;MedicatieIV!E16&amp;IF(AND(ber_IVmed!#REF!&lt;&gt;4,MedicatieIV!F16&lt;&gt;0)," "&amp;MedicatieIV!F16,""),"")</f>
        <v/>
      </c>
      <c r="G66" s="48" t="str">
        <f>IF(C66&lt;&gt;0,MedicatieIV!G16&amp;" (="&amp;MedicatieIV!H16&amp;")","")</f>
        <v/>
      </c>
      <c r="J66" s="48" t="str">
        <f>MedicatieIV!I16</f>
        <v/>
      </c>
      <c r="L66" s="87" t="str">
        <f t="shared" si="1"/>
        <v>D</v>
      </c>
    </row>
    <row r="67" spans="1:12" ht="12.65" customHeight="1" x14ac:dyDescent="0.35">
      <c r="B67" s="51">
        <v>10</v>
      </c>
      <c r="C67" s="48">
        <f>MedicatieIV!C17</f>
        <v>0</v>
      </c>
      <c r="E67" s="48" t="str">
        <f>IF(C67&lt;&gt;0,MedicatieIV!D17&amp;" in "&amp;MedicatieIV!E17&amp;IF(AND(ber_IVmed!#REF!&lt;&gt;4,MedicatieIV!F17&lt;&gt;0)," "&amp;MedicatieIV!F17,""),"")</f>
        <v/>
      </c>
      <c r="G67" s="48" t="str">
        <f>IF(C67&lt;&gt;0,MedicatieIV!G17&amp;" (="&amp;MedicatieIV!H17&amp;")","")</f>
        <v/>
      </c>
      <c r="J67" s="48" t="str">
        <f>MedicatieIV!I17</f>
        <v/>
      </c>
      <c r="L67" s="87" t="str">
        <f t="shared" si="1"/>
        <v>D</v>
      </c>
    </row>
    <row r="68" spans="1:12" ht="12.65" customHeight="1" x14ac:dyDescent="0.35">
      <c r="B68" s="51">
        <v>11</v>
      </c>
      <c r="C68" s="48">
        <f>MedicatieIV!C19</f>
        <v>0</v>
      </c>
      <c r="E68" s="48" t="str">
        <f>IF(C68&lt;&gt;0,MedicatieIV!D19&amp;" in "&amp;MedicatieIV!E19&amp;IF(AND(ber_IVmed!#REF!&lt;&gt;4,MedicatieIV!F19&lt;&gt;0)," "&amp;MedicatieIV!F19,""),"")</f>
        <v/>
      </c>
      <c r="G68" s="48" t="str">
        <f>MedicatieIV!G19</f>
        <v>1 ml/uur</v>
      </c>
      <c r="J68" s="48" t="str">
        <f>MedicatieIV!I19</f>
        <v>24 ml</v>
      </c>
      <c r="L68" s="87" t="str">
        <f t="shared" si="1"/>
        <v>D</v>
      </c>
    </row>
    <row r="69" spans="1:12" ht="12.65" customHeight="1" x14ac:dyDescent="0.35">
      <c r="B69" s="51">
        <v>12</v>
      </c>
      <c r="C69" s="48">
        <f>MedicatieIV!C20</f>
        <v>0</v>
      </c>
      <c r="E69" s="48" t="str">
        <f>IF(C69&lt;&gt;0,MedicatieIV!D20&amp;" in "&amp;MedicatieIV!E20&amp;IF(AND(ber_IVmed!#REF!&lt;&gt;4,MedicatieIV!F20&lt;&gt;0)," "&amp;MedicatieIV!F20,""),"")</f>
        <v/>
      </c>
      <c r="G69" s="48">
        <f>MedicatieIV!G20</f>
        <v>0</v>
      </c>
      <c r="J69" s="48" t="str">
        <f>MedicatieIV!I20</f>
        <v/>
      </c>
      <c r="L69" s="87" t="str">
        <f t="shared" si="1"/>
        <v>D</v>
      </c>
    </row>
    <row r="70" spans="1:12" ht="12.65" customHeight="1" x14ac:dyDescent="0.35">
      <c r="B70" s="51">
        <v>13</v>
      </c>
      <c r="C70" s="48">
        <f>MedicatieIV!C21</f>
        <v>0</v>
      </c>
      <c r="E70" s="48" t="str">
        <f>IF(C70&lt;&gt;0,MedicatieIV!D21&amp;" in "&amp;MedicatieIV!E21&amp;IF(AND(ber_IVmed!#REF!&lt;&gt;4,MedicatieIV!F21&lt;&gt;0)," "&amp;MedicatieIV!F21,""),"")</f>
        <v/>
      </c>
      <c r="G70" s="48">
        <f>MedicatieIV!G21</f>
        <v>0</v>
      </c>
      <c r="J70" s="48" t="str">
        <f>MedicatieIV!I21</f>
        <v/>
      </c>
      <c r="L70" s="87" t="str">
        <f t="shared" si="1"/>
        <v>D</v>
      </c>
    </row>
    <row r="71" spans="1:12" ht="12.65" customHeight="1" x14ac:dyDescent="0.35">
      <c r="B71" s="51">
        <v>14</v>
      </c>
      <c r="C71" s="48">
        <f>MedicatieIV!C22</f>
        <v>0</v>
      </c>
      <c r="E71" s="48" t="str">
        <f>IF(C71&lt;&gt;0,MedicatieIV!D22&amp;" in "&amp;MedicatieIV!E22&amp;IF(AND(ber_IVmed!F1&lt;&gt;4,MedicatieIV!F22&lt;&gt;0)," "&amp;MedicatieIV!F22,""),"")</f>
        <v/>
      </c>
      <c r="G71" s="48">
        <f>MedicatieIV!G22</f>
        <v>0</v>
      </c>
      <c r="J71" s="48" t="str">
        <f>MedicatieIV!I22</f>
        <v/>
      </c>
      <c r="L71" s="87" t="str">
        <f t="shared" si="1"/>
        <v>D</v>
      </c>
    </row>
    <row r="72" spans="1:12" ht="12.65" customHeight="1" x14ac:dyDescent="0.35">
      <c r="B72" s="51">
        <v>15</v>
      </c>
      <c r="C72" s="48">
        <f>MedicatieIV!C23</f>
        <v>0</v>
      </c>
      <c r="E72" s="48" t="str">
        <f>IF(C72&lt;&gt;0,MedicatieIV!D23&amp;" in "&amp;MedicatieIV!E23&amp;IF(AND(ber_IVmed!F3&lt;&gt;4,MedicatieIV!F23&lt;&gt;0)," "&amp;MedicatieIV!F23,""),"")</f>
        <v/>
      </c>
      <c r="G72" s="48">
        <f>MedicatieIV!G23</f>
        <v>0</v>
      </c>
      <c r="J72" s="48" t="str">
        <f>MedicatieIV!I23</f>
        <v/>
      </c>
      <c r="L72" s="87" t="str">
        <f t="shared" si="1"/>
        <v>D</v>
      </c>
    </row>
    <row r="73" spans="1:12" ht="12.65" customHeight="1" x14ac:dyDescent="0.35">
      <c r="L73" s="87"/>
    </row>
    <row r="74" spans="1:12" ht="12.65" customHeight="1" x14ac:dyDescent="0.35">
      <c r="B74" s="69"/>
      <c r="C74" s="71" t="s">
        <v>791</v>
      </c>
      <c r="D74" s="342">
        <f>ber_Opm!C4</f>
        <v>0</v>
      </c>
      <c r="E74" s="342"/>
      <c r="F74" s="342"/>
      <c r="G74" s="342"/>
      <c r="H74" s="342"/>
      <c r="I74" s="342"/>
      <c r="J74" s="342"/>
      <c r="L74" s="87"/>
    </row>
    <row r="75" spans="1:12" ht="12.65" customHeight="1" x14ac:dyDescent="0.35">
      <c r="D75" s="345"/>
      <c r="E75" s="345"/>
      <c r="F75" s="345"/>
      <c r="G75" s="345"/>
      <c r="H75" s="345"/>
      <c r="I75" s="345"/>
      <c r="J75" s="345"/>
      <c r="L75" s="87"/>
    </row>
    <row r="76" spans="1:12" ht="12.65" customHeight="1" x14ac:dyDescent="0.35">
      <c r="A76" s="55"/>
      <c r="B76" s="60" t="str">
        <f>Intake!C14</f>
        <v>Infuus</v>
      </c>
      <c r="C76" s="57"/>
      <c r="D76" s="55"/>
      <c r="E76" s="55"/>
      <c r="F76" s="55"/>
      <c r="G76" s="55"/>
      <c r="H76" s="55"/>
      <c r="I76" s="55"/>
      <c r="J76" s="55"/>
      <c r="L76" s="87"/>
    </row>
    <row r="77" spans="1:12" ht="12.65" customHeight="1" x14ac:dyDescent="0.35">
      <c r="B77" s="69"/>
      <c r="C77" s="71"/>
      <c r="D77" s="100">
        <f>IF(E77&lt;&gt;"",Intake!C15,)</f>
        <v>0</v>
      </c>
      <c r="E77" s="56" t="str">
        <f>IF(TPN2tot6kg!G21&lt;&gt;0,TPN2tot6kg!A14&amp;" ml","")</f>
        <v/>
      </c>
      <c r="F77" s="56" t="str">
        <f>IF(TPN2tot6kg!G21&lt;&gt;0,TPN2tot6kg!G21&amp;" ml","")</f>
        <v/>
      </c>
      <c r="G77" s="106"/>
      <c r="H77" s="100">
        <f>IF(I77&lt;&gt;"",Intake!H15,)</f>
        <v>0</v>
      </c>
      <c r="I77" s="56" t="str">
        <f>Intake!I15</f>
        <v/>
      </c>
      <c r="J77" s="56" t="str">
        <f>Intake!J15</f>
        <v/>
      </c>
      <c r="L77" s="87"/>
    </row>
    <row r="78" spans="1:12" ht="12.65" customHeight="1" x14ac:dyDescent="0.35">
      <c r="B78" s="69"/>
      <c r="C78" s="71"/>
      <c r="D78" s="70" t="str">
        <f>IF(F78&lt;&gt;"",ber_TPN!A27,"")</f>
        <v/>
      </c>
      <c r="E78" s="48" t="str">
        <f>IF(ber_TPN!B4=4,ROUND(ber_TPN!D4,1)&amp;" ml/uur","")</f>
        <v/>
      </c>
      <c r="F78" s="48" t="str">
        <f>Intake!E16</f>
        <v/>
      </c>
      <c r="G78" s="71"/>
      <c r="H78" s="70">
        <f>IF(J78&lt;&gt;"",INDEX(tblSSTGlucose,SSTGlucose_2,1),)</f>
        <v>0</v>
      </c>
      <c r="J78" s="48" t="str">
        <f>Intake!J17</f>
        <v/>
      </c>
      <c r="L78" s="87" t="str">
        <f>IF(AND(D78="",H78=0),"D","")</f>
        <v>D</v>
      </c>
    </row>
    <row r="79" spans="1:12" ht="12.65" customHeight="1" x14ac:dyDescent="0.35">
      <c r="B79" s="69"/>
      <c r="C79" s="71"/>
      <c r="D79" s="70" t="str">
        <f>IF(Intake!G16&lt;&gt;"","Peditrace","")</f>
        <v/>
      </c>
      <c r="E79" s="142" t="str">
        <f>IF(Intake!G16&lt;&gt;"",Intake!G16&amp;" "&amp;Intake!F17,"")</f>
        <v/>
      </c>
      <c r="F79" s="143"/>
      <c r="G79" s="71"/>
      <c r="H79" s="70">
        <f>IF(J79&lt;&gt;"",Intake!H18,)</f>
        <v>0</v>
      </c>
      <c r="J79" s="48" t="str">
        <f>Intake!J18</f>
        <v/>
      </c>
      <c r="L79" s="87" t="str">
        <f>IF(AND(D79="",H79=0),"D","")</f>
        <v>D</v>
      </c>
    </row>
    <row r="80" spans="1:12" ht="12.65" customHeight="1" x14ac:dyDescent="0.35">
      <c r="B80" s="69"/>
      <c r="C80" s="71"/>
      <c r="D80" s="70">
        <f>IF(F80&lt;&gt;"",INDEX(tblSSTGlucose,SSTglucose,1),)</f>
        <v>0</v>
      </c>
      <c r="F80" s="48" t="str">
        <f>IF(AND(TPN=2,SSTglucose&lt;11,Gewicht/10&lt;=50),ROUND(ber_TPN!F6,0)&amp;" ml","")</f>
        <v/>
      </c>
      <c r="G80" s="71"/>
      <c r="H80" s="70">
        <f>IF(J80&lt;&gt;"",Intake!H19,)</f>
        <v>0</v>
      </c>
      <c r="J80" s="48" t="str">
        <f>Intake!J19</f>
        <v/>
      </c>
      <c r="L80" s="87" t="str">
        <f>IF(AND(D80="",H80=0),"D","")</f>
        <v/>
      </c>
    </row>
    <row r="81" spans="2:12" ht="12.65" customHeight="1" x14ac:dyDescent="0.35">
      <c r="B81" s="69"/>
      <c r="C81" s="71"/>
      <c r="D81" s="70">
        <f>IF(F81&lt;&gt;"",Intake!C18,)</f>
        <v>0</v>
      </c>
      <c r="F81" s="48" t="str">
        <f>IF(AND(TPN2tot6kg!G14&lt;&gt;"",ber_TPN!$F$4&gt;0),TPN2tot6kg!G14&amp;" ml","")</f>
        <v/>
      </c>
      <c r="L81" s="87" t="str">
        <f>IF(D81=0,"D","")</f>
        <v>D</v>
      </c>
    </row>
    <row r="82" spans="2:12" ht="12.65" customHeight="1" x14ac:dyDescent="0.35">
      <c r="B82" s="69"/>
      <c r="C82" s="71"/>
      <c r="D82" s="70">
        <f>IF(F82&lt;&gt;"",Intake!C19,)</f>
        <v>0</v>
      </c>
      <c r="F82" s="48" t="str">
        <f>IF(AND(TPN2tot6kg!G15&lt;&gt;"",ber_TPN!$F$4&gt;0),TPN2tot6kg!G15&amp;" ml","")</f>
        <v/>
      </c>
      <c r="L82" s="87" t="str">
        <f>IF(D82=0,"D","")</f>
        <v>D</v>
      </c>
    </row>
    <row r="83" spans="2:12" ht="12.65" customHeight="1" x14ac:dyDescent="0.35">
      <c r="D83" s="59"/>
      <c r="H83" s="59"/>
      <c r="L83" s="87"/>
    </row>
    <row r="84" spans="2:12" ht="12.65" customHeight="1" x14ac:dyDescent="0.35">
      <c r="B84" s="69"/>
      <c r="C84" s="71"/>
      <c r="D84" s="101" t="str">
        <f>IF(F84&lt;&gt;"","Electrolyt/Glucose mengsel","")</f>
        <v/>
      </c>
      <c r="E84" s="55" t="str">
        <f>IF(AND(Gewicht/10&gt;50,TPNboven50kg!A27&lt;&gt;""),TPNboven50kg!A27,TPN2tot6kg!A29)</f>
        <v/>
      </c>
      <c r="F84" s="55" t="str">
        <f>IF(AND(Gewicht/10&gt;50,TPNboven50kg!G35&lt;&gt;0),TPNboven50kg!G35&amp;" ml",IF(TPN2tot6kg!G36&lt;&gt;0,TPN2tot6kg!G36&amp;" ml",""))</f>
        <v/>
      </c>
      <c r="G84" s="55"/>
      <c r="H84" s="103"/>
      <c r="I84" s="55"/>
      <c r="J84" s="55"/>
      <c r="L84" s="87"/>
    </row>
    <row r="85" spans="2:12" ht="12.65" customHeight="1" x14ac:dyDescent="0.35">
      <c r="B85" s="69"/>
      <c r="C85" s="71"/>
      <c r="D85" s="70">
        <f>IF(F85&lt;&gt;"",INDEX(tblSSTGlucose,SSTglucose,1),)</f>
        <v>0</v>
      </c>
      <c r="E85" s="99"/>
      <c r="F85" s="48" t="str">
        <f>IF(AND(OR(TPN=1,AND(TPN=2,SSTglucose&gt;10),Gewicht/10&gt;50),ROUND(ber_TPN!F6,0)&lt;&gt;0,SSTglucose&lt;&gt;2),ROUND(ber_TPN!F6,0)&amp;" ml","")</f>
        <v/>
      </c>
      <c r="L85" s="87" t="str">
        <f>IF(D85=0,"D","")</f>
        <v>D</v>
      </c>
    </row>
    <row r="86" spans="2:12" ht="12.65" customHeight="1" x14ac:dyDescent="0.35">
      <c r="B86" s="69"/>
      <c r="C86" s="71"/>
      <c r="D86" s="70">
        <f>IF(F86&lt;&gt;"","CaGluc 10%",)</f>
        <v>0</v>
      </c>
      <c r="F86" s="48" t="str">
        <f>Intake!E21</f>
        <v/>
      </c>
      <c r="L86" s="87" t="str">
        <f t="shared" ref="L86:L92" si="2">IF(D86=0,"D","")</f>
        <v>D</v>
      </c>
    </row>
    <row r="87" spans="2:12" ht="12.65" customHeight="1" x14ac:dyDescent="0.35">
      <c r="B87" s="69"/>
      <c r="C87" s="71"/>
      <c r="D87" s="70">
        <f>IF(F87&lt;&gt;"","MgCl 10%",)</f>
        <v>0</v>
      </c>
      <c r="F87" s="48" t="str">
        <f>Intake!E22</f>
        <v/>
      </c>
      <c r="L87" s="87" t="str">
        <f t="shared" si="2"/>
        <v>D</v>
      </c>
    </row>
    <row r="88" spans="2:12" ht="12.65" customHeight="1" x14ac:dyDescent="0.35">
      <c r="B88" s="69"/>
      <c r="C88" s="71"/>
      <c r="D88" s="70">
        <f>IF(F88&lt;&gt;"",Intake!C18,)</f>
        <v>0</v>
      </c>
      <c r="F88" s="48" t="str">
        <f>IF(AND(Gewicht/10&gt;50,TPNboven50kg!G27&lt;&gt;0),TPNboven50kg!G27&amp;" ml",IF(OR(AND(TPN2tot6kg!G29&lt;&gt;0,ber_TPN!$F$4=0),AND(TPN2tot6kg!G29&lt;&gt;0,Gewicht/10&gt;50)),TPN2tot6kg!G29&amp;" ml",""))</f>
        <v/>
      </c>
      <c r="H88" s="59"/>
      <c r="L88" s="87" t="str">
        <f t="shared" si="2"/>
        <v>D</v>
      </c>
    </row>
    <row r="89" spans="2:12" ht="12.65" customHeight="1" x14ac:dyDescent="0.35">
      <c r="B89" s="69"/>
      <c r="C89" s="71"/>
      <c r="D89" s="70">
        <f>IF(F89&lt;&gt;"",Intake!C19,)</f>
        <v>0</v>
      </c>
      <c r="F89" s="48" t="str">
        <f>IF(AND(Gewicht/10&gt;51,TPNboven50kg!G28&lt;&gt;0),TPNboven50kg!G28&amp;" ml",IF(OR(AND(TPN2tot6kg!G30&lt;&gt;0,ber_TPN!$F$4=0),AND(TPN2tot6kg!G30&lt;&gt;0,Gewicht/10&gt;50)),TPN2tot6kg!G30&amp;" ml",""))</f>
        <v/>
      </c>
      <c r="H89" s="59"/>
      <c r="L89" s="87" t="str">
        <f t="shared" si="2"/>
        <v>D</v>
      </c>
    </row>
    <row r="90" spans="2:12" ht="12.65" customHeight="1" x14ac:dyDescent="0.35">
      <c r="B90" s="69"/>
      <c r="C90" s="71"/>
      <c r="D90" s="70" t="str">
        <f>IF(F90&lt;&gt;"","Glucose 10%","")</f>
        <v/>
      </c>
      <c r="F90" s="48" t="str">
        <f>IF(AND(Gewicht/10&gt;51,TPNboven50kg!G31&lt;&gt;0),TPNboven50kg!G31&amp;" ml",IF(AND(TPN2tot6kg!G33&lt;&gt;0,Gewicht/10&lt;=50),TPN2tot6kg!G33&amp;" ml",""))</f>
        <v/>
      </c>
      <c r="H90" s="59"/>
      <c r="L90" s="87" t="str">
        <f t="shared" si="2"/>
        <v/>
      </c>
    </row>
    <row r="91" spans="2:12" ht="12.65" customHeight="1" x14ac:dyDescent="0.35">
      <c r="L91" s="87"/>
    </row>
    <row r="92" spans="2:12" ht="12.65" customHeight="1" x14ac:dyDescent="0.35">
      <c r="B92" s="69"/>
      <c r="C92" s="71"/>
      <c r="D92" s="107">
        <f>IF(E92&lt;&gt;" ","KNaFosfaat",)</f>
        <v>0</v>
      </c>
      <c r="E92" s="55" t="str">
        <f>Intake!E24&amp;" "&amp;Intake!H24</f>
        <v xml:space="preserve"> </v>
      </c>
      <c r="F92" s="55"/>
      <c r="L92" s="87" t="str">
        <f t="shared" si="2"/>
        <v>D</v>
      </c>
    </row>
    <row r="93" spans="2:12" ht="12.65" customHeight="1" x14ac:dyDescent="0.35">
      <c r="L93" s="87"/>
    </row>
    <row r="94" spans="2:12" ht="12.65" customHeight="1" x14ac:dyDescent="0.35">
      <c r="B94" s="69"/>
      <c r="C94" s="71"/>
      <c r="D94" s="102">
        <f>IF(E94&lt;&gt;"",Intake!C25,)</f>
        <v>0</v>
      </c>
      <c r="E94" s="55" t="str">
        <f>Intake!D25</f>
        <v/>
      </c>
      <c r="F94" s="55" t="str">
        <f>IF(ROUND(ber_TPN!F12,0)&gt;0,ROUND(ber_TPN!F12,0)&amp;" ml","")</f>
        <v/>
      </c>
      <c r="H94" s="47"/>
      <c r="L94" s="87"/>
    </row>
    <row r="95" spans="2:12" ht="12.65" customHeight="1" x14ac:dyDescent="0.35">
      <c r="B95" s="69"/>
      <c r="C95" s="71"/>
      <c r="D95" s="70">
        <f>IF(F95&lt;&gt;"","Intralipid 20%",)</f>
        <v>0</v>
      </c>
      <c r="F95" s="48" t="str">
        <f>Intake!E26</f>
        <v/>
      </c>
      <c r="H95" s="59"/>
      <c r="L95" s="87" t="str">
        <f>IF(D95=0,"D","")</f>
        <v>D</v>
      </c>
    </row>
    <row r="96" spans="2:12" ht="12.65" customHeight="1" x14ac:dyDescent="0.35">
      <c r="B96" s="69"/>
      <c r="C96" s="71"/>
      <c r="D96" s="70">
        <f>IF(F96&lt;&gt;"","Vitintra Infant",)</f>
        <v>0</v>
      </c>
      <c r="F96" s="48" t="str">
        <f>Intake!E27</f>
        <v/>
      </c>
      <c r="H96" s="59"/>
      <c r="L96" s="87" t="str">
        <f>IF(D96=0,"D","")</f>
        <v>D</v>
      </c>
    </row>
    <row r="97" spans="1:12" ht="12.65" customHeight="1" x14ac:dyDescent="0.35">
      <c r="B97" s="69"/>
      <c r="C97" s="71"/>
      <c r="D97" s="70">
        <f>IF(F97&lt;&gt;"","Soluvit",)</f>
        <v>0</v>
      </c>
      <c r="F97" s="48" t="str">
        <f>Intake!E28</f>
        <v/>
      </c>
      <c r="H97" s="59"/>
      <c r="L97" s="87" t="str">
        <f>IF(D97=0,"D","")</f>
        <v>D</v>
      </c>
    </row>
    <row r="98" spans="1:12" ht="12.65" customHeight="1" x14ac:dyDescent="0.35">
      <c r="C98" s="59"/>
      <c r="L98" s="87"/>
    </row>
    <row r="99" spans="1:12" ht="12.65" customHeight="1" x14ac:dyDescent="0.35">
      <c r="A99" s="55"/>
      <c r="B99" s="72"/>
      <c r="C99" s="73" t="s">
        <v>791</v>
      </c>
      <c r="D99" s="350">
        <f>ber_Opm!C9</f>
        <v>0</v>
      </c>
      <c r="E99" s="351"/>
      <c r="F99" s="351"/>
      <c r="G99" s="351"/>
      <c r="H99" s="351"/>
      <c r="I99" s="351"/>
      <c r="J99" s="351"/>
      <c r="L99" s="87"/>
    </row>
    <row r="100" spans="1:12" ht="12.65" customHeight="1" x14ac:dyDescent="0.35">
      <c r="L100" s="87"/>
    </row>
    <row r="101" spans="1:12" ht="12.65" customHeight="1" x14ac:dyDescent="0.35">
      <c r="L101" s="87"/>
    </row>
    <row r="102" spans="1:12" ht="12.65" customHeight="1" x14ac:dyDescent="0.35">
      <c r="A102" s="55"/>
      <c r="B102" s="60" t="s">
        <v>942</v>
      </c>
      <c r="C102" s="57"/>
      <c r="D102" s="55"/>
      <c r="E102" s="55"/>
      <c r="F102" s="55"/>
      <c r="G102" s="55"/>
      <c r="H102" s="55"/>
      <c r="I102" s="55"/>
      <c r="J102" s="55"/>
      <c r="L102" s="87"/>
    </row>
    <row r="103" spans="1:12" ht="12.65" customHeight="1" x14ac:dyDescent="0.35">
      <c r="B103" s="69"/>
      <c r="C103" s="70" t="str">
        <f>Intake!B32</f>
        <v>Vocht</v>
      </c>
      <c r="D103" s="48" t="str">
        <f>Intake!D32</f>
        <v>23 ml/kg</v>
      </c>
      <c r="E103" s="70" t="str">
        <f>Intake!B33</f>
        <v>Calorieen</v>
      </c>
      <c r="F103" s="48" t="str">
        <f>Intake!D33</f>
        <v>0 kCal/kg</v>
      </c>
      <c r="G103" s="70" t="str">
        <f>Intake!B36</f>
        <v>Kalium</v>
      </c>
      <c r="H103" s="48" t="str">
        <f>Intake!D36</f>
        <v>0 mmol/kg</v>
      </c>
      <c r="I103" s="70" t="str">
        <f>Intake!B35</f>
        <v xml:space="preserve">Natrium </v>
      </c>
      <c r="J103" s="48" t="str">
        <f>Intake!D35</f>
        <v>3,5 mmol/kg</v>
      </c>
      <c r="L103" s="87"/>
    </row>
    <row r="104" spans="1:12" ht="12.65" customHeight="1" x14ac:dyDescent="0.35">
      <c r="B104" s="69"/>
      <c r="C104" s="70" t="str">
        <f>Intake!H32</f>
        <v>Eiwit</v>
      </c>
      <c r="D104" s="48" t="str">
        <f>Intake!I32</f>
        <v>0  gram/kg</v>
      </c>
      <c r="E104" s="70" t="str">
        <f>Intake!H33</f>
        <v>Vet</v>
      </c>
      <c r="F104" s="48" t="str">
        <f>Intake!I33</f>
        <v>0 gram/kg</v>
      </c>
      <c r="G104" s="70" t="str">
        <f>Intake!H34</f>
        <v>Calcium</v>
      </c>
      <c r="H104" s="48" t="str">
        <f>Intake!I34</f>
        <v>0 mmol/kg</v>
      </c>
      <c r="I104" s="70" t="str">
        <f>Intake!H36</f>
        <v>Fosfaat</v>
      </c>
      <c r="J104" s="48" t="str">
        <f>Intake!I36</f>
        <v>0 mmol/kg</v>
      </c>
      <c r="L104" s="87"/>
    </row>
    <row r="105" spans="1:12" ht="12.65" customHeight="1" x14ac:dyDescent="0.35">
      <c r="A105" s="55"/>
      <c r="B105" s="72"/>
      <c r="C105" s="74" t="str">
        <f>Intake!B34</f>
        <v>Glucose/KH</v>
      </c>
      <c r="D105" s="55" t="str">
        <f>Intake!D34</f>
        <v>0 g/kg</v>
      </c>
      <c r="E105" s="73"/>
      <c r="F105" s="55"/>
      <c r="G105" s="74" t="s">
        <v>839</v>
      </c>
      <c r="H105" s="55" t="str">
        <f>Intake!I35</f>
        <v>0 mmol/kg</v>
      </c>
      <c r="I105" s="73"/>
      <c r="J105" s="55"/>
      <c r="L105" s="87"/>
    </row>
    <row r="106" spans="1:12" ht="12.65" customHeight="1" x14ac:dyDescent="0.35">
      <c r="B106" s="69"/>
      <c r="C106" s="70" t="s">
        <v>1194</v>
      </c>
      <c r="D106" s="46">
        <f ca="1">TODAY()</f>
        <v>42251</v>
      </c>
      <c r="E106" s="70" t="s">
        <v>1195</v>
      </c>
      <c r="F106" s="347" t="str">
        <f>_AchterNaam&amp;", "&amp;_VoorNaam</f>
        <v>Achternaam, Voornaam</v>
      </c>
      <c r="G106" s="347"/>
      <c r="H106" s="71" t="s">
        <v>759</v>
      </c>
      <c r="I106" s="48" t="str">
        <f>Gewicht/10&amp;" kg"</f>
        <v>5 kg</v>
      </c>
      <c r="J106" s="315"/>
      <c r="L106" s="87"/>
    </row>
    <row r="107" spans="1:12" ht="12.65" customHeight="1" x14ac:dyDescent="0.35">
      <c r="B107" s="69"/>
      <c r="C107" s="70" t="s">
        <v>543</v>
      </c>
      <c r="D107" s="49">
        <f ca="1">AfspraakDatum-OpnDatum+1</f>
        <v>889</v>
      </c>
      <c r="E107" s="70" t="s">
        <v>1193</v>
      </c>
      <c r="F107" s="50">
        <f>GebDatum</f>
        <v>41732</v>
      </c>
      <c r="G107" s="315"/>
      <c r="H107" s="71" t="s">
        <v>351</v>
      </c>
      <c r="I107" s="48" t="str">
        <f>Lengte&amp;" cm"</f>
        <v>61 cm</v>
      </c>
      <c r="J107" s="315"/>
      <c r="L107" s="87"/>
    </row>
    <row r="108" spans="1:12" ht="12.65" customHeight="1" x14ac:dyDescent="0.35">
      <c r="D108" s="315"/>
      <c r="F108" s="315"/>
      <c r="H108" s="71" t="s">
        <v>352</v>
      </c>
      <c r="I108" s="48" t="str">
        <f>ROUND(POWER(Gewicht/10,0.425)*POWER(((Lengte/100)*100),0.725)*0.007184,2)&amp;" m2"</f>
        <v>0,28 m2</v>
      </c>
      <c r="L108" s="87"/>
    </row>
    <row r="109" spans="1:12" ht="12.65" customHeight="1" x14ac:dyDescent="0.35">
      <c r="D109" s="47"/>
      <c r="F109" s="47"/>
      <c r="L109" s="87"/>
    </row>
    <row r="110" spans="1:12" ht="12.65" customHeight="1" x14ac:dyDescent="0.35">
      <c r="D110" s="47"/>
      <c r="F110" s="47"/>
      <c r="L110" s="87"/>
    </row>
    <row r="111" spans="1:12" ht="12.65" customHeight="1" x14ac:dyDescent="0.35">
      <c r="D111" s="47"/>
      <c r="F111" s="47"/>
      <c r="L111" s="87"/>
    </row>
    <row r="112" spans="1:12" ht="12.65" customHeight="1" x14ac:dyDescent="0.35">
      <c r="B112" s="60" t="s">
        <v>78</v>
      </c>
      <c r="C112" s="55"/>
      <c r="D112" s="61"/>
      <c r="E112" s="55"/>
      <c r="F112" s="60" t="str">
        <f>IF(Comfort,"Ja","Nee")</f>
        <v>Ja</v>
      </c>
      <c r="L112" s="87"/>
    </row>
    <row r="113" spans="1:13" ht="12.65" customHeight="1" x14ac:dyDescent="0.35">
      <c r="L113" s="87"/>
    </row>
    <row r="114" spans="1:13" ht="12.65" customHeight="1" x14ac:dyDescent="0.35">
      <c r="D114" s="282" t="s">
        <v>754</v>
      </c>
      <c r="G114" s="282" t="s">
        <v>346</v>
      </c>
      <c r="L114" s="87"/>
    </row>
    <row r="115" spans="1:13" ht="25" customHeight="1" x14ac:dyDescent="0.4">
      <c r="A115" s="358" t="s">
        <v>344</v>
      </c>
      <c r="B115" s="359"/>
      <c r="C115" s="129" t="s">
        <v>345</v>
      </c>
      <c r="D115" s="129" t="s">
        <v>347</v>
      </c>
      <c r="E115" s="358" t="s">
        <v>349</v>
      </c>
      <c r="F115" s="359"/>
      <c r="G115" s="134" t="s">
        <v>347</v>
      </c>
      <c r="H115" s="358" t="s">
        <v>348</v>
      </c>
      <c r="I115" s="359"/>
      <c r="J115" s="134" t="s">
        <v>628</v>
      </c>
      <c r="K115" s="51"/>
      <c r="L115" s="87"/>
    </row>
    <row r="116" spans="1:13" ht="20.100000000000001" customHeight="1" x14ac:dyDescent="0.35">
      <c r="A116" s="130"/>
      <c r="B116" s="284"/>
      <c r="C116" s="129"/>
      <c r="D116" s="129"/>
      <c r="E116" s="130"/>
      <c r="F116" s="284"/>
      <c r="G116" s="131"/>
      <c r="H116" s="132"/>
      <c r="I116" s="133"/>
      <c r="J116" s="135"/>
      <c r="K116" s="51"/>
      <c r="L116" s="87"/>
    </row>
    <row r="117" spans="1:13" ht="20.100000000000001" customHeight="1" x14ac:dyDescent="0.35">
      <c r="A117" s="130"/>
      <c r="B117" s="284"/>
      <c r="C117" s="129"/>
      <c r="D117" s="129"/>
      <c r="E117" s="130"/>
      <c r="F117" s="284"/>
      <c r="G117" s="131"/>
      <c r="H117" s="132"/>
      <c r="I117" s="133"/>
      <c r="J117" s="135"/>
      <c r="K117" s="51"/>
      <c r="L117" s="87"/>
    </row>
    <row r="118" spans="1:13" ht="20.100000000000001" customHeight="1" x14ac:dyDescent="0.35">
      <c r="A118" s="130"/>
      <c r="B118" s="284"/>
      <c r="C118" s="129"/>
      <c r="D118" s="129"/>
      <c r="E118" s="130"/>
      <c r="F118" s="284"/>
      <c r="G118" s="131"/>
      <c r="H118" s="132"/>
      <c r="I118" s="133"/>
      <c r="J118" s="135"/>
      <c r="K118" s="51"/>
      <c r="L118" s="87"/>
    </row>
    <row r="119" spans="1:13" ht="20.100000000000001" customHeight="1" x14ac:dyDescent="0.35">
      <c r="A119" s="130"/>
      <c r="B119" s="284"/>
      <c r="C119" s="129"/>
      <c r="D119" s="129"/>
      <c r="E119" s="130"/>
      <c r="F119" s="284"/>
      <c r="G119" s="131"/>
      <c r="H119" s="132"/>
      <c r="I119" s="133"/>
      <c r="J119" s="135"/>
      <c r="K119" s="51"/>
      <c r="L119" s="87"/>
    </row>
    <row r="120" spans="1:13" ht="20.100000000000001" customHeight="1" x14ac:dyDescent="0.35">
      <c r="A120" s="130"/>
      <c r="B120" s="284"/>
      <c r="C120" s="129"/>
      <c r="D120" s="129"/>
      <c r="E120" s="130"/>
      <c r="F120" s="284"/>
      <c r="G120" s="131"/>
      <c r="H120" s="132"/>
      <c r="I120" s="133"/>
      <c r="J120" s="135"/>
      <c r="K120" s="51"/>
      <c r="L120" s="87"/>
    </row>
    <row r="121" spans="1:13" ht="20.100000000000001" customHeight="1" x14ac:dyDescent="0.35">
      <c r="A121" s="130"/>
      <c r="B121" s="284"/>
      <c r="C121" s="129"/>
      <c r="D121" s="129"/>
      <c r="E121" s="130"/>
      <c r="F121" s="284"/>
      <c r="G121" s="131"/>
      <c r="H121" s="132"/>
      <c r="I121" s="133"/>
      <c r="J121" s="135"/>
      <c r="K121" s="51"/>
      <c r="L121" s="87"/>
    </row>
    <row r="122" spans="1:13" ht="20.100000000000001" customHeight="1" x14ac:dyDescent="0.35">
      <c r="A122" s="130"/>
      <c r="B122" s="284"/>
      <c r="C122" s="129"/>
      <c r="D122" s="129"/>
      <c r="E122" s="130"/>
      <c r="F122" s="284"/>
      <c r="G122" s="131"/>
      <c r="H122" s="132"/>
      <c r="I122" s="133"/>
      <c r="J122" s="135"/>
      <c r="K122" s="51"/>
      <c r="L122" s="87"/>
    </row>
    <row r="123" spans="1:13" ht="20.100000000000001" customHeight="1" x14ac:dyDescent="0.35">
      <c r="A123" s="130"/>
      <c r="B123" s="284"/>
      <c r="C123" s="129"/>
      <c r="D123" s="129"/>
      <c r="E123" s="130"/>
      <c r="F123" s="284"/>
      <c r="G123" s="131"/>
      <c r="H123" s="132"/>
      <c r="I123" s="133"/>
      <c r="J123" s="135"/>
      <c r="K123" s="51"/>
      <c r="L123" s="87"/>
    </row>
    <row r="124" spans="1:13" ht="20.100000000000001" customHeight="1" x14ac:dyDescent="0.35">
      <c r="A124" s="130"/>
      <c r="B124" s="284"/>
      <c r="C124" s="129"/>
      <c r="D124" s="129"/>
      <c r="E124" s="130"/>
      <c r="F124" s="284"/>
      <c r="G124" s="131"/>
      <c r="H124" s="132"/>
      <c r="I124" s="133"/>
      <c r="J124" s="135"/>
      <c r="K124" s="51"/>
      <c r="L124" s="87"/>
    </row>
    <row r="125" spans="1:13" ht="20.100000000000001" customHeight="1" x14ac:dyDescent="0.35">
      <c r="A125" s="130"/>
      <c r="B125" s="284"/>
      <c r="C125" s="129"/>
      <c r="D125" s="129"/>
      <c r="E125" s="130"/>
      <c r="F125" s="284"/>
      <c r="G125" s="131"/>
      <c r="H125" s="132"/>
      <c r="I125" s="133"/>
      <c r="J125" s="135"/>
      <c r="K125"/>
      <c r="L125" s="87"/>
      <c r="M125" s="88"/>
    </row>
    <row r="126" spans="1:13" ht="20.100000000000001" customHeight="1" x14ac:dyDescent="0.35">
      <c r="A126" s="130"/>
      <c r="B126" s="284"/>
      <c r="C126" s="129"/>
      <c r="D126" s="129"/>
      <c r="E126" s="130"/>
      <c r="F126" s="284"/>
      <c r="G126" s="131"/>
      <c r="H126" s="132"/>
      <c r="I126" s="133"/>
      <c r="J126" s="135"/>
      <c r="K126"/>
      <c r="L126" s="87"/>
      <c r="M126" s="88"/>
    </row>
    <row r="127" spans="1:13" ht="20.100000000000001" customHeight="1" x14ac:dyDescent="0.35">
      <c r="A127" s="130"/>
      <c r="B127" s="284"/>
      <c r="C127" s="129"/>
      <c r="D127" s="129"/>
      <c r="E127" s="130"/>
      <c r="F127" s="284"/>
      <c r="G127" s="131"/>
      <c r="H127" s="132"/>
      <c r="I127" s="133"/>
      <c r="J127" s="135"/>
      <c r="K127"/>
      <c r="L127" s="87"/>
      <c r="M127" s="88"/>
    </row>
    <row r="128" spans="1:13" ht="20.100000000000001" customHeight="1" x14ac:dyDescent="0.35">
      <c r="A128" s="130"/>
      <c r="B128" s="284"/>
      <c r="C128" s="129"/>
      <c r="D128" s="129"/>
      <c r="E128" s="130"/>
      <c r="F128" s="284"/>
      <c r="G128" s="131"/>
      <c r="H128" s="132"/>
      <c r="I128" s="133"/>
      <c r="J128" s="135"/>
      <c r="K128"/>
      <c r="L128" s="87"/>
      <c r="M128" s="88"/>
    </row>
    <row r="129" spans="1:13" ht="20.100000000000001" customHeight="1" x14ac:dyDescent="0.35">
      <c r="A129" s="130"/>
      <c r="B129" s="284"/>
      <c r="C129" s="129"/>
      <c r="D129" s="129"/>
      <c r="E129" s="130"/>
      <c r="F129" s="284"/>
      <c r="G129" s="131"/>
      <c r="H129" s="132"/>
      <c r="I129" s="133"/>
      <c r="J129" s="135"/>
      <c r="K129"/>
      <c r="L129" s="87"/>
      <c r="M129" s="88"/>
    </row>
    <row r="130" spans="1:13" ht="20.100000000000001" customHeight="1" x14ac:dyDescent="0.35">
      <c r="A130" s="130"/>
      <c r="B130" s="284"/>
      <c r="C130" s="129"/>
      <c r="D130" s="129"/>
      <c r="E130" s="130"/>
      <c r="F130" s="284"/>
      <c r="G130" s="131"/>
      <c r="H130" s="132"/>
      <c r="I130" s="133"/>
      <c r="J130" s="135"/>
      <c r="K130"/>
      <c r="L130" s="87"/>
      <c r="M130" s="88"/>
    </row>
    <row r="131" spans="1:13" ht="20.100000000000001" customHeight="1" x14ac:dyDescent="0.35">
      <c r="A131" s="130"/>
      <c r="B131" s="284"/>
      <c r="C131" s="129"/>
      <c r="D131" s="129"/>
      <c r="E131" s="130"/>
      <c r="F131" s="284"/>
      <c r="G131" s="131"/>
      <c r="H131" s="132"/>
      <c r="I131" s="133"/>
      <c r="J131" s="135"/>
      <c r="K131"/>
      <c r="L131" s="87"/>
      <c r="M131" s="88"/>
    </row>
    <row r="132" spans="1:13" ht="20.100000000000001" customHeight="1" x14ac:dyDescent="0.35">
      <c r="A132" s="130"/>
      <c r="B132" s="284"/>
      <c r="C132" s="129"/>
      <c r="D132" s="129"/>
      <c r="E132" s="130"/>
      <c r="F132" s="284"/>
      <c r="G132" s="131"/>
      <c r="H132" s="132"/>
      <c r="I132" s="133"/>
      <c r="J132" s="135"/>
      <c r="K132"/>
      <c r="L132" s="87"/>
      <c r="M132" s="88"/>
    </row>
    <row r="133" spans="1:13" ht="30" customHeight="1" x14ac:dyDescent="0.4">
      <c r="A133" s="288" t="s">
        <v>350</v>
      </c>
      <c r="B133" s="286"/>
      <c r="C133" s="285"/>
      <c r="D133" s="285"/>
      <c r="E133" s="285"/>
      <c r="F133" s="286"/>
      <c r="G133" s="286"/>
      <c r="H133" s="287"/>
      <c r="I133" s="287"/>
      <c r="J133" s="287"/>
      <c r="K133"/>
      <c r="L133" s="87"/>
      <c r="M133" s="88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88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88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88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88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88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88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88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48"/>
      <c r="L147" s="87"/>
    </row>
    <row r="148" spans="1:12" ht="30" customHeight="1" x14ac:dyDescent="0.35">
      <c r="B148" s="48"/>
      <c r="L148" s="87"/>
    </row>
    <row r="149" spans="1:12" ht="30" customHeight="1" x14ac:dyDescent="0.35">
      <c r="B149" s="48"/>
      <c r="L149" s="87"/>
    </row>
    <row r="150" spans="1:12" ht="30" customHeight="1" x14ac:dyDescent="0.35">
      <c r="B150" s="48"/>
      <c r="L150" s="87"/>
    </row>
    <row r="151" spans="1:12" ht="30" customHeight="1" x14ac:dyDescent="0.35">
      <c r="B151" s="48"/>
      <c r="L151" s="87"/>
    </row>
    <row r="152" spans="1:12" ht="30" customHeight="1" x14ac:dyDescent="0.35">
      <c r="B152" s="48"/>
      <c r="L152" s="87"/>
    </row>
    <row r="153" spans="1:12" ht="30" customHeight="1" x14ac:dyDescent="0.35">
      <c r="B153" s="48"/>
      <c r="L153" s="87"/>
    </row>
    <row r="154" spans="1:12" ht="30" customHeight="1" x14ac:dyDescent="0.35">
      <c r="B154" s="48"/>
      <c r="L154" s="87"/>
    </row>
    <row r="155" spans="1:12" ht="30" customHeight="1" x14ac:dyDescent="0.35">
      <c r="B155" s="48"/>
      <c r="L155" s="87"/>
    </row>
    <row r="156" spans="1:12" ht="30" customHeight="1" x14ac:dyDescent="0.35">
      <c r="B156" s="48"/>
      <c r="L156" s="87"/>
    </row>
    <row r="157" spans="1:12" ht="11.7" x14ac:dyDescent="0.35">
      <c r="B157" s="48"/>
      <c r="L157" s="87"/>
    </row>
    <row r="158" spans="1:12" ht="11.7" x14ac:dyDescent="0.35">
      <c r="B158" s="48"/>
      <c r="L158" s="87"/>
    </row>
    <row r="159" spans="1:12" ht="11.7" x14ac:dyDescent="0.35">
      <c r="B159" s="48"/>
      <c r="L159" s="87"/>
    </row>
    <row r="160" spans="1:12" ht="11.7" x14ac:dyDescent="0.35">
      <c r="B160" s="48"/>
      <c r="L160" s="87"/>
    </row>
    <row r="161" spans="2:12" ht="11.7" x14ac:dyDescent="0.35">
      <c r="B161" s="48"/>
      <c r="L161" s="87"/>
    </row>
    <row r="162" spans="2:12" ht="12.65" customHeight="1" x14ac:dyDescent="0.35">
      <c r="B162" s="48"/>
      <c r="L162" s="87"/>
    </row>
    <row r="163" spans="2:12" ht="12.65" customHeight="1" x14ac:dyDescent="0.35">
      <c r="B163" s="48"/>
      <c r="L163" s="87"/>
    </row>
    <row r="164" spans="2:12" ht="12.65" customHeight="1" x14ac:dyDescent="0.35">
      <c r="B164" s="48"/>
      <c r="L164" s="87" t="str">
        <f t="shared" ref="L164:L169" si="3">IF(C23=0,"D","")</f>
        <v>D</v>
      </c>
    </row>
    <row r="165" spans="2:12" ht="12.65" customHeight="1" x14ac:dyDescent="0.35">
      <c r="B165" s="48"/>
      <c r="L165" s="87" t="str">
        <f t="shared" si="3"/>
        <v>D</v>
      </c>
    </row>
    <row r="166" spans="2:12" ht="12.65" customHeight="1" x14ac:dyDescent="0.35">
      <c r="B166" s="48"/>
      <c r="L166" s="87" t="str">
        <f t="shared" si="3"/>
        <v>D</v>
      </c>
    </row>
    <row r="167" spans="2:12" ht="12.65" customHeight="1" x14ac:dyDescent="0.35">
      <c r="B167" s="48"/>
      <c r="L167" s="87" t="str">
        <f t="shared" si="3"/>
        <v>D</v>
      </c>
    </row>
    <row r="168" spans="2:12" ht="12.65" customHeight="1" x14ac:dyDescent="0.35">
      <c r="B168" s="48"/>
      <c r="L168" s="87" t="str">
        <f t="shared" si="3"/>
        <v/>
      </c>
    </row>
    <row r="169" spans="2:12" ht="12.65" customHeight="1" x14ac:dyDescent="0.35">
      <c r="B169" s="48"/>
      <c r="L169" s="87" t="str">
        <f t="shared" si="3"/>
        <v/>
      </c>
    </row>
    <row r="170" spans="2:12" ht="12.65" customHeight="1" x14ac:dyDescent="0.35">
      <c r="B170" s="48"/>
      <c r="L170" s="87"/>
    </row>
    <row r="171" spans="2:12" ht="12.65" customHeight="1" x14ac:dyDescent="0.35">
      <c r="B171" s="48"/>
      <c r="L171" s="87"/>
    </row>
    <row r="172" spans="2:12" ht="12.65" customHeight="1" x14ac:dyDescent="0.35">
      <c r="B172" s="48"/>
      <c r="L172" s="87"/>
    </row>
    <row r="173" spans="2:12" ht="12.65" customHeight="1" x14ac:dyDescent="0.35">
      <c r="L173" s="87"/>
    </row>
    <row r="174" spans="2:12" ht="12.65" customHeight="1" x14ac:dyDescent="0.35">
      <c r="L174" s="87"/>
    </row>
    <row r="175" spans="2:12" ht="12.65" customHeight="1" x14ac:dyDescent="0.35">
      <c r="L175" s="87"/>
    </row>
    <row r="176" spans="2:12" ht="12.65" customHeight="1" x14ac:dyDescent="0.35">
      <c r="L176" s="87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eXMe3BRAOfbCCjgTpdfXABF+GIgJq01ikat0YCymeNSUgrdWqBOdjijfpU5UxE0WQt024MVaG+OCeTd/b9lvwQ==" saltValue="hcbkOumSrHq0esXYzP0uNw==" spinCount="100000" sheet="1" objects="1" scenarios="1" selectLockedCells="1" selectUnlockedCells="1"/>
  <mergeCells count="18">
    <mergeCell ref="E115:F115"/>
    <mergeCell ref="H115:I115"/>
    <mergeCell ref="A115:B115"/>
    <mergeCell ref="F106:G106"/>
    <mergeCell ref="D99:J99"/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I4"/>
  <sheetViews>
    <sheetView workbookViewId="0">
      <selection activeCell="I4" sqref="I4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</cols>
  <sheetData>
    <row r="1" spans="1:9" x14ac:dyDescent="0.35">
      <c r="A1" t="s">
        <v>994</v>
      </c>
      <c r="B1" t="s">
        <v>550</v>
      </c>
      <c r="C1" t="s">
        <v>551</v>
      </c>
      <c r="D1" t="s">
        <v>552</v>
      </c>
      <c r="E1" t="s">
        <v>553</v>
      </c>
      <c r="F1" t="s">
        <v>554</v>
      </c>
      <c r="G1" t="s">
        <v>759</v>
      </c>
      <c r="H1" t="s">
        <v>351</v>
      </c>
      <c r="I1" t="s">
        <v>1177</v>
      </c>
    </row>
    <row r="2" spans="1:9" x14ac:dyDescent="0.35">
      <c r="B2" s="32">
        <f ca="1">TODAY()</f>
        <v>42251</v>
      </c>
      <c r="C2" s="32">
        <v>41363</v>
      </c>
      <c r="D2" t="s">
        <v>746</v>
      </c>
      <c r="E2" t="s">
        <v>747</v>
      </c>
      <c r="F2" s="32">
        <v>41732</v>
      </c>
      <c r="G2">
        <v>50</v>
      </c>
      <c r="H2">
        <v>61</v>
      </c>
      <c r="I2" s="304">
        <v>42251.553854166668</v>
      </c>
    </row>
    <row r="3" spans="1:9" x14ac:dyDescent="0.35">
      <c r="C3" s="7"/>
      <c r="D3" s="7"/>
      <c r="E3" s="7"/>
      <c r="G3" s="7"/>
    </row>
    <row r="4" spans="1:9" x14ac:dyDescent="0.35">
      <c r="C4" s="7"/>
      <c r="D4" s="7"/>
      <c r="E4" s="7"/>
      <c r="G4" s="7"/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625"/>
  <sheetViews>
    <sheetView topLeftCell="A525" workbookViewId="0">
      <selection sqref="A1:B625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456</v>
      </c>
      <c r="B1" t="s">
        <v>457</v>
      </c>
    </row>
    <row r="2" spans="1:2 4305:4305" x14ac:dyDescent="0.35">
      <c r="A2" t="s">
        <v>552</v>
      </c>
      <c r="B2" t="s">
        <v>1270</v>
      </c>
      <c r="FIO2">
        <v>30</v>
      </c>
    </row>
    <row r="3" spans="1:2 4305:4305" x14ac:dyDescent="0.35">
      <c r="A3" t="s">
        <v>980</v>
      </c>
      <c r="B3" t="b">
        <v>0</v>
      </c>
    </row>
    <row r="4" spans="1:2 4305:4305" x14ac:dyDescent="0.35">
      <c r="A4" t="s">
        <v>981</v>
      </c>
    </row>
    <row r="5" spans="1:2 4305:4305" x14ac:dyDescent="0.35">
      <c r="A5" t="s">
        <v>753</v>
      </c>
      <c r="B5" t="b">
        <v>1</v>
      </c>
    </row>
    <row r="6" spans="1:2 4305:4305" x14ac:dyDescent="0.35">
      <c r="A6" t="s">
        <v>1032</v>
      </c>
    </row>
    <row r="7" spans="1:2 4305:4305" x14ac:dyDescent="0.35">
      <c r="A7" t="s">
        <v>938</v>
      </c>
    </row>
    <row r="8" spans="1:2 4305:4305" x14ac:dyDescent="0.35">
      <c r="A8" t="s">
        <v>939</v>
      </c>
      <c r="B8">
        <v>8</v>
      </c>
    </row>
    <row r="9" spans="1:2 4305:4305" x14ac:dyDescent="0.35">
      <c r="A9" t="s">
        <v>940</v>
      </c>
    </row>
    <row r="10" spans="1:2 4305:4305" x14ac:dyDescent="0.35">
      <c r="A10" t="s">
        <v>941</v>
      </c>
    </row>
    <row r="11" spans="1:2 4305:4305" x14ac:dyDescent="0.35">
      <c r="A11" t="s">
        <v>961</v>
      </c>
    </row>
    <row r="12" spans="1:2 4305:4305" x14ac:dyDescent="0.35">
      <c r="A12" t="s">
        <v>962</v>
      </c>
      <c r="B12">
        <v>3</v>
      </c>
    </row>
    <row r="13" spans="1:2 4305:4305" x14ac:dyDescent="0.35">
      <c r="A13" t="s">
        <v>977</v>
      </c>
    </row>
    <row r="14" spans="1:2 4305:4305" x14ac:dyDescent="0.35">
      <c r="A14" t="s">
        <v>978</v>
      </c>
    </row>
    <row r="15" spans="1:2 4305:4305" x14ac:dyDescent="0.35">
      <c r="A15" t="s">
        <v>979</v>
      </c>
    </row>
    <row r="16" spans="1:2 4305:4305" x14ac:dyDescent="0.35">
      <c r="A16" t="s">
        <v>105</v>
      </c>
      <c r="B16">
        <v>1</v>
      </c>
    </row>
    <row r="17" spans="1:2" x14ac:dyDescent="0.35">
      <c r="A17" t="s">
        <v>106</v>
      </c>
      <c r="B17">
        <v>1</v>
      </c>
    </row>
    <row r="18" spans="1:2" x14ac:dyDescent="0.35">
      <c r="A18" t="s">
        <v>107</v>
      </c>
    </row>
    <row r="19" spans="1:2" x14ac:dyDescent="0.35">
      <c r="A19" t="s">
        <v>108</v>
      </c>
    </row>
    <row r="20" spans="1:2" x14ac:dyDescent="0.35">
      <c r="A20" t="s">
        <v>39</v>
      </c>
    </row>
    <row r="21" spans="1:2" x14ac:dyDescent="0.35">
      <c r="A21" t="s">
        <v>40</v>
      </c>
    </row>
    <row r="22" spans="1:2" x14ac:dyDescent="0.35">
      <c r="A22" t="s">
        <v>908</v>
      </c>
    </row>
    <row r="23" spans="1:2" x14ac:dyDescent="0.35">
      <c r="A23" t="s">
        <v>909</v>
      </c>
    </row>
    <row r="24" spans="1:2" x14ac:dyDescent="0.35">
      <c r="A24" t="s">
        <v>910</v>
      </c>
    </row>
    <row r="25" spans="1:2" x14ac:dyDescent="0.35">
      <c r="A25" t="s">
        <v>911</v>
      </c>
    </row>
    <row r="26" spans="1:2" x14ac:dyDescent="0.35">
      <c r="A26" t="s">
        <v>562</v>
      </c>
    </row>
    <row r="27" spans="1:2" x14ac:dyDescent="0.35">
      <c r="A27" t="s">
        <v>563</v>
      </c>
      <c r="B27">
        <v>1</v>
      </c>
    </row>
    <row r="28" spans="1:2" x14ac:dyDescent="0.35">
      <c r="A28" t="s">
        <v>564</v>
      </c>
    </row>
    <row r="29" spans="1:2" x14ac:dyDescent="0.35">
      <c r="A29" t="s">
        <v>565</v>
      </c>
    </row>
    <row r="30" spans="1:2" x14ac:dyDescent="0.35">
      <c r="A30" t="s">
        <v>79</v>
      </c>
      <c r="B30">
        <v>5</v>
      </c>
    </row>
    <row r="31" spans="1:2" x14ac:dyDescent="0.35">
      <c r="A31" t="s">
        <v>80</v>
      </c>
      <c r="B31">
        <v>1</v>
      </c>
    </row>
    <row r="32" spans="1:2" x14ac:dyDescent="0.35">
      <c r="A32" t="s">
        <v>81</v>
      </c>
      <c r="B32">
        <v>1</v>
      </c>
    </row>
    <row r="33" spans="1:2" x14ac:dyDescent="0.35">
      <c r="A33" t="s">
        <v>82</v>
      </c>
      <c r="B33">
        <v>2</v>
      </c>
    </row>
    <row r="34" spans="1:2" x14ac:dyDescent="0.35">
      <c r="A34" t="s">
        <v>83</v>
      </c>
      <c r="B34">
        <v>1</v>
      </c>
    </row>
    <row r="35" spans="1:2" x14ac:dyDescent="0.35">
      <c r="A35" t="s">
        <v>182</v>
      </c>
    </row>
    <row r="36" spans="1:2" x14ac:dyDescent="0.35">
      <c r="A36" t="s">
        <v>183</v>
      </c>
      <c r="B36" t="s">
        <v>1271</v>
      </c>
    </row>
    <row r="37" spans="1:2" x14ac:dyDescent="0.35">
      <c r="A37" t="s">
        <v>184</v>
      </c>
      <c r="B37" t="s">
        <v>465</v>
      </c>
    </row>
    <row r="38" spans="1:2" x14ac:dyDescent="0.35">
      <c r="A38" t="s">
        <v>185</v>
      </c>
    </row>
    <row r="39" spans="1:2" x14ac:dyDescent="0.35">
      <c r="A39" t="s">
        <v>186</v>
      </c>
    </row>
    <row r="40" spans="1:2" x14ac:dyDescent="0.35">
      <c r="A40" t="s">
        <v>187</v>
      </c>
    </row>
    <row r="41" spans="1:2" x14ac:dyDescent="0.35">
      <c r="A41" t="s">
        <v>188</v>
      </c>
    </row>
    <row r="42" spans="1:2" x14ac:dyDescent="0.35">
      <c r="A42" t="s">
        <v>189</v>
      </c>
    </row>
    <row r="43" spans="1:2" x14ac:dyDescent="0.35">
      <c r="A43" t="s">
        <v>190</v>
      </c>
    </row>
    <row r="44" spans="1:2" x14ac:dyDescent="0.35">
      <c r="A44" t="s">
        <v>191</v>
      </c>
    </row>
    <row r="45" spans="1:2" x14ac:dyDescent="0.35">
      <c r="A45" t="s">
        <v>192</v>
      </c>
    </row>
    <row r="46" spans="1:2" x14ac:dyDescent="0.35">
      <c r="A46" t="s">
        <v>193</v>
      </c>
    </row>
    <row r="47" spans="1:2" x14ac:dyDescent="0.35">
      <c r="A47" t="s">
        <v>194</v>
      </c>
      <c r="B47" t="s">
        <v>1271</v>
      </c>
    </row>
    <row r="48" spans="1:2" x14ac:dyDescent="0.35">
      <c r="A48" t="s">
        <v>195</v>
      </c>
    </row>
    <row r="49" spans="1:2" x14ac:dyDescent="0.35">
      <c r="A49" t="s">
        <v>196</v>
      </c>
    </row>
    <row r="50" spans="1:2" x14ac:dyDescent="0.35">
      <c r="A50" t="s">
        <v>197</v>
      </c>
      <c r="B50" t="s">
        <v>465</v>
      </c>
    </row>
    <row r="51" spans="1:2" x14ac:dyDescent="0.35">
      <c r="A51" t="s">
        <v>198</v>
      </c>
      <c r="B51" t="s">
        <v>465</v>
      </c>
    </row>
    <row r="52" spans="1:2" x14ac:dyDescent="0.35">
      <c r="A52" t="s">
        <v>199</v>
      </c>
      <c r="B52" t="s">
        <v>465</v>
      </c>
    </row>
    <row r="53" spans="1:2" x14ac:dyDescent="0.35">
      <c r="A53" t="s">
        <v>590</v>
      </c>
      <c r="B53" t="s">
        <v>1272</v>
      </c>
    </row>
    <row r="54" spans="1:2" x14ac:dyDescent="0.35">
      <c r="A54" t="s">
        <v>591</v>
      </c>
      <c r="B54" t="s">
        <v>1271</v>
      </c>
    </row>
    <row r="55" spans="1:2" x14ac:dyDescent="0.35">
      <c r="A55" t="s">
        <v>612</v>
      </c>
    </row>
    <row r="56" spans="1:2" x14ac:dyDescent="0.35">
      <c r="A56" t="s">
        <v>402</v>
      </c>
      <c r="B56">
        <v>24</v>
      </c>
    </row>
    <row r="57" spans="1:2" x14ac:dyDescent="0.35">
      <c r="A57" t="s">
        <v>403</v>
      </c>
      <c r="B57">
        <v>1</v>
      </c>
    </row>
    <row r="58" spans="1:2" x14ac:dyDescent="0.35">
      <c r="A58" t="s">
        <v>404</v>
      </c>
    </row>
    <row r="59" spans="1:2" x14ac:dyDescent="0.35">
      <c r="A59" t="s">
        <v>405</v>
      </c>
    </row>
    <row r="60" spans="1:2" x14ac:dyDescent="0.35">
      <c r="A60" t="s">
        <v>554</v>
      </c>
      <c r="B60">
        <v>41732</v>
      </c>
    </row>
    <row r="61" spans="1:2" x14ac:dyDescent="0.35">
      <c r="A61" t="s">
        <v>759</v>
      </c>
      <c r="B61">
        <v>50</v>
      </c>
    </row>
    <row r="62" spans="1:2" x14ac:dyDescent="0.35">
      <c r="A62" t="s">
        <v>392</v>
      </c>
      <c r="B62">
        <v>1</v>
      </c>
    </row>
    <row r="63" spans="1:2" x14ac:dyDescent="0.35">
      <c r="A63" t="s">
        <v>393</v>
      </c>
      <c r="B63">
        <v>17</v>
      </c>
    </row>
    <row r="64" spans="1:2" x14ac:dyDescent="0.35">
      <c r="A64" t="s">
        <v>394</v>
      </c>
      <c r="B64">
        <v>18</v>
      </c>
    </row>
    <row r="65" spans="1:2" x14ac:dyDescent="0.35">
      <c r="A65" t="s">
        <v>395</v>
      </c>
      <c r="B65">
        <v>1</v>
      </c>
    </row>
    <row r="66" spans="1:2" x14ac:dyDescent="0.35">
      <c r="A66" t="s">
        <v>396</v>
      </c>
      <c r="B66">
        <v>1</v>
      </c>
    </row>
    <row r="67" spans="1:2" x14ac:dyDescent="0.35">
      <c r="A67" t="s">
        <v>986</v>
      </c>
      <c r="B67">
        <v>1</v>
      </c>
    </row>
    <row r="68" spans="1:2" x14ac:dyDescent="0.35">
      <c r="A68" t="s">
        <v>365</v>
      </c>
      <c r="B68" t="b">
        <v>0</v>
      </c>
    </row>
    <row r="69" spans="1:2" x14ac:dyDescent="0.35">
      <c r="A69" t="s">
        <v>955</v>
      </c>
    </row>
    <row r="70" spans="1:2" x14ac:dyDescent="0.35">
      <c r="A70" t="s">
        <v>366</v>
      </c>
    </row>
    <row r="71" spans="1:2" x14ac:dyDescent="0.35">
      <c r="A71" t="s">
        <v>956</v>
      </c>
    </row>
    <row r="72" spans="1:2" x14ac:dyDescent="0.35">
      <c r="A72" t="s">
        <v>406</v>
      </c>
      <c r="B72">
        <v>32</v>
      </c>
    </row>
    <row r="73" spans="1:2" x14ac:dyDescent="0.35">
      <c r="A73" t="s">
        <v>407</v>
      </c>
      <c r="B73">
        <v>1</v>
      </c>
    </row>
    <row r="74" spans="1:2" x14ac:dyDescent="0.35">
      <c r="A74" t="s">
        <v>408</v>
      </c>
    </row>
    <row r="75" spans="1:2" x14ac:dyDescent="0.35">
      <c r="A75" t="s">
        <v>409</v>
      </c>
    </row>
    <row r="76" spans="1:2" x14ac:dyDescent="0.35">
      <c r="A76" t="s">
        <v>838</v>
      </c>
      <c r="B76" t="b">
        <v>0</v>
      </c>
    </row>
    <row r="77" spans="1:2" x14ac:dyDescent="0.35">
      <c r="A77" t="s">
        <v>87</v>
      </c>
    </row>
    <row r="78" spans="1:2" x14ac:dyDescent="0.35">
      <c r="A78" t="s">
        <v>999</v>
      </c>
    </row>
    <row r="79" spans="1:2" x14ac:dyDescent="0.35">
      <c r="A79" t="s">
        <v>1007</v>
      </c>
    </row>
    <row r="80" spans="1:2" x14ac:dyDescent="0.35">
      <c r="A80" t="s">
        <v>1008</v>
      </c>
    </row>
    <row r="81" spans="1:1" x14ac:dyDescent="0.35">
      <c r="A81" t="s">
        <v>388</v>
      </c>
    </row>
    <row r="82" spans="1:1" x14ac:dyDescent="0.35">
      <c r="A82" t="s">
        <v>389</v>
      </c>
    </row>
    <row r="83" spans="1:1" x14ac:dyDescent="0.35">
      <c r="A83" t="s">
        <v>390</v>
      </c>
    </row>
    <row r="84" spans="1:1" x14ac:dyDescent="0.35">
      <c r="A84" t="s">
        <v>391</v>
      </c>
    </row>
    <row r="85" spans="1:1" x14ac:dyDescent="0.35">
      <c r="A85" t="s">
        <v>799</v>
      </c>
    </row>
    <row r="86" spans="1:1" x14ac:dyDescent="0.35">
      <c r="A86" t="s">
        <v>800</v>
      </c>
    </row>
    <row r="87" spans="1:1" x14ac:dyDescent="0.35">
      <c r="A87" t="s">
        <v>1000</v>
      </c>
    </row>
    <row r="88" spans="1:1" x14ac:dyDescent="0.35">
      <c r="A88" t="s">
        <v>1001</v>
      </c>
    </row>
    <row r="89" spans="1:1" x14ac:dyDescent="0.35">
      <c r="A89" t="s">
        <v>1002</v>
      </c>
    </row>
    <row r="90" spans="1:1" x14ac:dyDescent="0.35">
      <c r="A90" t="s">
        <v>1003</v>
      </c>
    </row>
    <row r="91" spans="1:1" x14ac:dyDescent="0.35">
      <c r="A91" t="s">
        <v>1004</v>
      </c>
    </row>
    <row r="92" spans="1:1" x14ac:dyDescent="0.35">
      <c r="A92" t="s">
        <v>1005</v>
      </c>
    </row>
    <row r="93" spans="1:1" x14ac:dyDescent="0.35">
      <c r="A93" t="s">
        <v>1006</v>
      </c>
    </row>
    <row r="94" spans="1:1" x14ac:dyDescent="0.35">
      <c r="A94" t="s">
        <v>276</v>
      </c>
    </row>
    <row r="95" spans="1:1" x14ac:dyDescent="0.35">
      <c r="A95" t="s">
        <v>277</v>
      </c>
    </row>
    <row r="96" spans="1:1" x14ac:dyDescent="0.35">
      <c r="A96" t="s">
        <v>278</v>
      </c>
    </row>
    <row r="97" spans="1:2" x14ac:dyDescent="0.35">
      <c r="A97" t="s">
        <v>279</v>
      </c>
    </row>
    <row r="98" spans="1:2" x14ac:dyDescent="0.35">
      <c r="A98" t="s">
        <v>280</v>
      </c>
    </row>
    <row r="99" spans="1:2" x14ac:dyDescent="0.35">
      <c r="A99" t="s">
        <v>281</v>
      </c>
    </row>
    <row r="100" spans="1:2" x14ac:dyDescent="0.35">
      <c r="A100" t="s">
        <v>282</v>
      </c>
    </row>
    <row r="101" spans="1:2" x14ac:dyDescent="0.35">
      <c r="A101" t="s">
        <v>283</v>
      </c>
    </row>
    <row r="102" spans="1:2" x14ac:dyDescent="0.35">
      <c r="A102" t="s">
        <v>284</v>
      </c>
    </row>
    <row r="103" spans="1:2" x14ac:dyDescent="0.35">
      <c r="A103" t="s">
        <v>285</v>
      </c>
    </row>
    <row r="104" spans="1:2" x14ac:dyDescent="0.35">
      <c r="A104" t="s">
        <v>286</v>
      </c>
    </row>
    <row r="105" spans="1:2" x14ac:dyDescent="0.35">
      <c r="A105" t="s">
        <v>287</v>
      </c>
      <c r="B105" t="b">
        <v>0</v>
      </c>
    </row>
    <row r="106" spans="1:2" x14ac:dyDescent="0.35">
      <c r="A106" t="s">
        <v>288</v>
      </c>
      <c r="B106" t="b">
        <v>0</v>
      </c>
    </row>
    <row r="107" spans="1:2" x14ac:dyDescent="0.35">
      <c r="A107" t="s">
        <v>289</v>
      </c>
    </row>
    <row r="108" spans="1:2" x14ac:dyDescent="0.35">
      <c r="A108" t="s">
        <v>290</v>
      </c>
      <c r="B108" t="b">
        <v>0</v>
      </c>
    </row>
    <row r="109" spans="1:2" x14ac:dyDescent="0.35">
      <c r="A109" t="s">
        <v>291</v>
      </c>
      <c r="B109" t="b">
        <v>0</v>
      </c>
    </row>
    <row r="110" spans="1:2" x14ac:dyDescent="0.35">
      <c r="A110" t="s">
        <v>675</v>
      </c>
    </row>
    <row r="111" spans="1:2" x14ac:dyDescent="0.35">
      <c r="A111" t="s">
        <v>676</v>
      </c>
    </row>
    <row r="112" spans="1:2" x14ac:dyDescent="0.35">
      <c r="A112" t="s">
        <v>677</v>
      </c>
    </row>
    <row r="113" spans="1:1" x14ac:dyDescent="0.35">
      <c r="A113" t="s">
        <v>678</v>
      </c>
    </row>
    <row r="114" spans="1:1" x14ac:dyDescent="0.35">
      <c r="A114" t="s">
        <v>679</v>
      </c>
    </row>
    <row r="115" spans="1:1" x14ac:dyDescent="0.35">
      <c r="A115" t="s">
        <v>680</v>
      </c>
    </row>
    <row r="116" spans="1:1" x14ac:dyDescent="0.35">
      <c r="A116" t="s">
        <v>681</v>
      </c>
    </row>
    <row r="117" spans="1:1" x14ac:dyDescent="0.35">
      <c r="A117" t="s">
        <v>682</v>
      </c>
    </row>
    <row r="118" spans="1:1" x14ac:dyDescent="0.35">
      <c r="A118" t="s">
        <v>683</v>
      </c>
    </row>
    <row r="119" spans="1:1" x14ac:dyDescent="0.35">
      <c r="A119" t="s">
        <v>684</v>
      </c>
    </row>
    <row r="120" spans="1:1" x14ac:dyDescent="0.35">
      <c r="A120" t="s">
        <v>685</v>
      </c>
    </row>
    <row r="121" spans="1:1" x14ac:dyDescent="0.35">
      <c r="A121" t="s">
        <v>686</v>
      </c>
    </row>
    <row r="122" spans="1:1" x14ac:dyDescent="0.35">
      <c r="A122" t="s">
        <v>687</v>
      </c>
    </row>
    <row r="123" spans="1:1" x14ac:dyDescent="0.35">
      <c r="A123" t="s">
        <v>688</v>
      </c>
    </row>
    <row r="124" spans="1:1" x14ac:dyDescent="0.35">
      <c r="A124" t="s">
        <v>689</v>
      </c>
    </row>
    <row r="125" spans="1:1" x14ac:dyDescent="0.35">
      <c r="A125" t="s">
        <v>690</v>
      </c>
    </row>
    <row r="126" spans="1:1" x14ac:dyDescent="0.35">
      <c r="A126" t="s">
        <v>691</v>
      </c>
    </row>
    <row r="127" spans="1:1" x14ac:dyDescent="0.35">
      <c r="A127" t="s">
        <v>692</v>
      </c>
    </row>
    <row r="128" spans="1:1" x14ac:dyDescent="0.35">
      <c r="A128" t="s">
        <v>693</v>
      </c>
    </row>
    <row r="129" spans="1:2" x14ac:dyDescent="0.35">
      <c r="A129" t="s">
        <v>694</v>
      </c>
    </row>
    <row r="130" spans="1:2" x14ac:dyDescent="0.35">
      <c r="A130" t="s">
        <v>695</v>
      </c>
    </row>
    <row r="131" spans="1:2" x14ac:dyDescent="0.35">
      <c r="A131" t="s">
        <v>696</v>
      </c>
    </row>
    <row r="132" spans="1:2" x14ac:dyDescent="0.35">
      <c r="A132" t="s">
        <v>697</v>
      </c>
      <c r="B132" t="b">
        <v>0</v>
      </c>
    </row>
    <row r="133" spans="1:2" x14ac:dyDescent="0.35">
      <c r="A133" t="s">
        <v>698</v>
      </c>
      <c r="B133" t="b">
        <v>0</v>
      </c>
    </row>
    <row r="134" spans="1:2" x14ac:dyDescent="0.35">
      <c r="A134" t="s">
        <v>699</v>
      </c>
      <c r="B134" t="b">
        <v>0</v>
      </c>
    </row>
    <row r="135" spans="1:2" x14ac:dyDescent="0.35">
      <c r="A135" t="s">
        <v>700</v>
      </c>
      <c r="B135" t="b">
        <v>0</v>
      </c>
    </row>
    <row r="136" spans="1:2" x14ac:dyDescent="0.35">
      <c r="A136" t="s">
        <v>701</v>
      </c>
      <c r="B136" t="b">
        <v>0</v>
      </c>
    </row>
    <row r="137" spans="1:2" x14ac:dyDescent="0.35">
      <c r="A137" t="s">
        <v>702</v>
      </c>
    </row>
    <row r="138" spans="1:2" x14ac:dyDescent="0.35">
      <c r="A138" t="s">
        <v>703</v>
      </c>
    </row>
    <row r="139" spans="1:2" x14ac:dyDescent="0.35">
      <c r="A139" t="s">
        <v>704</v>
      </c>
    </row>
    <row r="140" spans="1:2" x14ac:dyDescent="0.35">
      <c r="A140" t="s">
        <v>705</v>
      </c>
    </row>
    <row r="141" spans="1:2" x14ac:dyDescent="0.35">
      <c r="A141" t="s">
        <v>706</v>
      </c>
    </row>
    <row r="142" spans="1:2" x14ac:dyDescent="0.35">
      <c r="A142" t="s">
        <v>707</v>
      </c>
      <c r="B142" t="b">
        <v>0</v>
      </c>
    </row>
    <row r="143" spans="1:2" x14ac:dyDescent="0.35">
      <c r="A143" t="s">
        <v>708</v>
      </c>
    </row>
    <row r="144" spans="1:2" x14ac:dyDescent="0.35">
      <c r="A144" t="s">
        <v>709</v>
      </c>
    </row>
    <row r="145" spans="1:2" x14ac:dyDescent="0.35">
      <c r="A145" t="s">
        <v>710</v>
      </c>
    </row>
    <row r="146" spans="1:2" x14ac:dyDescent="0.35">
      <c r="A146" t="s">
        <v>711</v>
      </c>
    </row>
    <row r="147" spans="1:2" x14ac:dyDescent="0.35">
      <c r="A147" t="s">
        <v>712</v>
      </c>
    </row>
    <row r="148" spans="1:2" x14ac:dyDescent="0.35">
      <c r="A148" t="s">
        <v>713</v>
      </c>
    </row>
    <row r="149" spans="1:2" x14ac:dyDescent="0.35">
      <c r="A149" t="s">
        <v>714</v>
      </c>
    </row>
    <row r="150" spans="1:2" x14ac:dyDescent="0.35">
      <c r="A150" t="s">
        <v>715</v>
      </c>
    </row>
    <row r="151" spans="1:2" x14ac:dyDescent="0.35">
      <c r="A151" t="s">
        <v>716</v>
      </c>
    </row>
    <row r="152" spans="1:2" x14ac:dyDescent="0.35">
      <c r="A152" t="s">
        <v>717</v>
      </c>
    </row>
    <row r="153" spans="1:2" x14ac:dyDescent="0.35">
      <c r="A153" t="s">
        <v>718</v>
      </c>
    </row>
    <row r="154" spans="1:2" x14ac:dyDescent="0.35">
      <c r="A154" t="s">
        <v>719</v>
      </c>
    </row>
    <row r="155" spans="1:2" x14ac:dyDescent="0.35">
      <c r="A155" t="s">
        <v>720</v>
      </c>
    </row>
    <row r="156" spans="1:2" x14ac:dyDescent="0.35">
      <c r="A156" t="s">
        <v>721</v>
      </c>
    </row>
    <row r="157" spans="1:2" x14ac:dyDescent="0.35">
      <c r="A157" t="s">
        <v>722</v>
      </c>
    </row>
    <row r="158" spans="1:2" x14ac:dyDescent="0.35">
      <c r="A158" t="s">
        <v>723</v>
      </c>
    </row>
    <row r="159" spans="1:2" x14ac:dyDescent="0.35">
      <c r="A159" t="s">
        <v>724</v>
      </c>
      <c r="B159" t="b">
        <v>0</v>
      </c>
    </row>
    <row r="160" spans="1:2" x14ac:dyDescent="0.35">
      <c r="A160" t="s">
        <v>725</v>
      </c>
      <c r="B160" t="b">
        <v>0</v>
      </c>
    </row>
    <row r="161" spans="1:2" x14ac:dyDescent="0.35">
      <c r="A161" t="s">
        <v>726</v>
      </c>
    </row>
    <row r="162" spans="1:2" x14ac:dyDescent="0.35">
      <c r="A162" t="s">
        <v>727</v>
      </c>
      <c r="B162" t="b">
        <v>0</v>
      </c>
    </row>
    <row r="163" spans="1:2" x14ac:dyDescent="0.35">
      <c r="A163" t="s">
        <v>728</v>
      </c>
    </row>
    <row r="164" spans="1:2" x14ac:dyDescent="0.35">
      <c r="A164" t="s">
        <v>729</v>
      </c>
    </row>
    <row r="165" spans="1:2" x14ac:dyDescent="0.35">
      <c r="A165" t="s">
        <v>730</v>
      </c>
    </row>
    <row r="166" spans="1:2" x14ac:dyDescent="0.35">
      <c r="A166" t="s">
        <v>731</v>
      </c>
    </row>
    <row r="167" spans="1:2" x14ac:dyDescent="0.35">
      <c r="A167" t="s">
        <v>732</v>
      </c>
      <c r="B167" t="b">
        <v>0</v>
      </c>
    </row>
    <row r="168" spans="1:2" x14ac:dyDescent="0.35">
      <c r="A168" t="s">
        <v>733</v>
      </c>
    </row>
    <row r="169" spans="1:2" x14ac:dyDescent="0.35">
      <c r="A169" t="s">
        <v>734</v>
      </c>
    </row>
    <row r="170" spans="1:2" x14ac:dyDescent="0.35">
      <c r="A170" t="s">
        <v>735</v>
      </c>
    </row>
    <row r="171" spans="1:2" x14ac:dyDescent="0.35">
      <c r="A171" t="s">
        <v>736</v>
      </c>
    </row>
    <row r="172" spans="1:2" x14ac:dyDescent="0.35">
      <c r="A172" t="s">
        <v>737</v>
      </c>
    </row>
    <row r="173" spans="1:2" x14ac:dyDescent="0.35">
      <c r="A173" t="s">
        <v>738</v>
      </c>
    </row>
    <row r="174" spans="1:2" x14ac:dyDescent="0.35">
      <c r="A174" t="s">
        <v>739</v>
      </c>
    </row>
    <row r="175" spans="1:2" x14ac:dyDescent="0.35">
      <c r="A175" t="s">
        <v>740</v>
      </c>
    </row>
    <row r="176" spans="1:2" x14ac:dyDescent="0.35">
      <c r="A176" t="s">
        <v>741</v>
      </c>
    </row>
    <row r="177" spans="1:2" x14ac:dyDescent="0.35">
      <c r="A177" t="s">
        <v>367</v>
      </c>
    </row>
    <row r="178" spans="1:2" x14ac:dyDescent="0.35">
      <c r="A178" t="s">
        <v>368</v>
      </c>
    </row>
    <row r="179" spans="1:2" x14ac:dyDescent="0.35">
      <c r="A179" t="s">
        <v>369</v>
      </c>
    </row>
    <row r="180" spans="1:2" x14ac:dyDescent="0.35">
      <c r="A180" t="s">
        <v>370</v>
      </c>
    </row>
    <row r="181" spans="1:2" x14ac:dyDescent="0.35">
      <c r="A181" t="s">
        <v>371</v>
      </c>
    </row>
    <row r="182" spans="1:2" x14ac:dyDescent="0.35">
      <c r="A182" t="s">
        <v>372</v>
      </c>
    </row>
    <row r="183" spans="1:2" x14ac:dyDescent="0.35">
      <c r="A183" t="s">
        <v>373</v>
      </c>
    </row>
    <row r="184" spans="1:2" x14ac:dyDescent="0.35">
      <c r="A184" t="s">
        <v>374</v>
      </c>
    </row>
    <row r="185" spans="1:2" x14ac:dyDescent="0.35">
      <c r="A185" t="s">
        <v>375</v>
      </c>
    </row>
    <row r="186" spans="1:2" x14ac:dyDescent="0.35">
      <c r="A186" t="s">
        <v>917</v>
      </c>
      <c r="B186" t="b">
        <v>0</v>
      </c>
    </row>
    <row r="187" spans="1:2" x14ac:dyDescent="0.35">
      <c r="A187" t="s">
        <v>204</v>
      </c>
      <c r="B187" t="b">
        <v>0</v>
      </c>
    </row>
    <row r="188" spans="1:2" x14ac:dyDescent="0.35">
      <c r="A188" t="s">
        <v>213</v>
      </c>
    </row>
    <row r="189" spans="1:2" x14ac:dyDescent="0.35">
      <c r="A189" t="s">
        <v>214</v>
      </c>
      <c r="B189" t="b">
        <v>0</v>
      </c>
    </row>
    <row r="190" spans="1:2" x14ac:dyDescent="0.35">
      <c r="A190" t="s">
        <v>215</v>
      </c>
      <c r="B190" t="b">
        <v>0</v>
      </c>
    </row>
    <row r="191" spans="1:2" x14ac:dyDescent="0.35">
      <c r="A191" t="s">
        <v>216</v>
      </c>
      <c r="B191" t="b">
        <v>0</v>
      </c>
    </row>
    <row r="192" spans="1:2" x14ac:dyDescent="0.35">
      <c r="A192" t="s">
        <v>217</v>
      </c>
      <c r="B192" t="b">
        <v>0</v>
      </c>
    </row>
    <row r="193" spans="1:2" x14ac:dyDescent="0.35">
      <c r="A193" t="s">
        <v>218</v>
      </c>
      <c r="B193" t="b">
        <v>0</v>
      </c>
    </row>
    <row r="194" spans="1:2" x14ac:dyDescent="0.35">
      <c r="A194" t="s">
        <v>219</v>
      </c>
      <c r="B194" t="b">
        <v>0</v>
      </c>
    </row>
    <row r="195" spans="1:2" x14ac:dyDescent="0.35">
      <c r="A195" t="s">
        <v>918</v>
      </c>
      <c r="B195" t="b">
        <v>0</v>
      </c>
    </row>
    <row r="196" spans="1:2" x14ac:dyDescent="0.35">
      <c r="A196" t="s">
        <v>919</v>
      </c>
      <c r="B196" t="b">
        <v>0</v>
      </c>
    </row>
    <row r="197" spans="1:2" x14ac:dyDescent="0.35">
      <c r="A197" t="s">
        <v>920</v>
      </c>
      <c r="B197" t="b">
        <v>0</v>
      </c>
    </row>
    <row r="198" spans="1:2" x14ac:dyDescent="0.35">
      <c r="A198" t="s">
        <v>921</v>
      </c>
      <c r="B198" t="b">
        <v>0</v>
      </c>
    </row>
    <row r="199" spans="1:2" x14ac:dyDescent="0.35">
      <c r="A199" t="s">
        <v>922</v>
      </c>
    </row>
    <row r="200" spans="1:2" x14ac:dyDescent="0.35">
      <c r="A200" t="s">
        <v>923</v>
      </c>
    </row>
    <row r="201" spans="1:2" x14ac:dyDescent="0.35">
      <c r="A201" t="s">
        <v>200</v>
      </c>
      <c r="B201" t="b">
        <v>0</v>
      </c>
    </row>
    <row r="202" spans="1:2" x14ac:dyDescent="0.35">
      <c r="A202" t="s">
        <v>201</v>
      </c>
      <c r="B202" t="b">
        <v>0</v>
      </c>
    </row>
    <row r="203" spans="1:2" x14ac:dyDescent="0.35">
      <c r="A203" t="s">
        <v>202</v>
      </c>
      <c r="B203" t="b">
        <v>0</v>
      </c>
    </row>
    <row r="204" spans="1:2" x14ac:dyDescent="0.35">
      <c r="A204" t="s">
        <v>203</v>
      </c>
      <c r="B204" t="b">
        <v>0</v>
      </c>
    </row>
    <row r="205" spans="1:2" x14ac:dyDescent="0.35">
      <c r="A205" t="s">
        <v>205</v>
      </c>
      <c r="B205" t="b">
        <v>0</v>
      </c>
    </row>
    <row r="206" spans="1:2" x14ac:dyDescent="0.35">
      <c r="A206" t="s">
        <v>206</v>
      </c>
    </row>
    <row r="207" spans="1:2" x14ac:dyDescent="0.35">
      <c r="A207" t="s">
        <v>207</v>
      </c>
      <c r="B207" t="b">
        <v>0</v>
      </c>
    </row>
    <row r="208" spans="1:2" x14ac:dyDescent="0.35">
      <c r="A208" t="s">
        <v>208</v>
      </c>
      <c r="B208" t="b">
        <v>0</v>
      </c>
    </row>
    <row r="209" spans="1:1" x14ac:dyDescent="0.35">
      <c r="A209" t="s">
        <v>209</v>
      </c>
    </row>
    <row r="210" spans="1:1" x14ac:dyDescent="0.35">
      <c r="A210" t="s">
        <v>210</v>
      </c>
    </row>
    <row r="211" spans="1:1" x14ac:dyDescent="0.35">
      <c r="A211" t="s">
        <v>211</v>
      </c>
    </row>
    <row r="212" spans="1:1" x14ac:dyDescent="0.35">
      <c r="A212" t="s">
        <v>212</v>
      </c>
    </row>
    <row r="213" spans="1:1" x14ac:dyDescent="0.35">
      <c r="A213" t="s">
        <v>258</v>
      </c>
    </row>
    <row r="214" spans="1:1" x14ac:dyDescent="0.35">
      <c r="A214" t="s">
        <v>268</v>
      </c>
    </row>
    <row r="215" spans="1:1" x14ac:dyDescent="0.35">
      <c r="A215" t="s">
        <v>269</v>
      </c>
    </row>
    <row r="216" spans="1:1" x14ac:dyDescent="0.35">
      <c r="A216" t="s">
        <v>270</v>
      </c>
    </row>
    <row r="217" spans="1:1" x14ac:dyDescent="0.35">
      <c r="A217" t="s">
        <v>271</v>
      </c>
    </row>
    <row r="218" spans="1:1" x14ac:dyDescent="0.35">
      <c r="A218" t="s">
        <v>272</v>
      </c>
    </row>
    <row r="219" spans="1:1" x14ac:dyDescent="0.35">
      <c r="A219" t="s">
        <v>273</v>
      </c>
    </row>
    <row r="220" spans="1:1" x14ac:dyDescent="0.35">
      <c r="A220" t="s">
        <v>274</v>
      </c>
    </row>
    <row r="221" spans="1:1" x14ac:dyDescent="0.35">
      <c r="A221" t="s">
        <v>275</v>
      </c>
    </row>
    <row r="222" spans="1:1" x14ac:dyDescent="0.35">
      <c r="A222" t="s">
        <v>259</v>
      </c>
    </row>
    <row r="223" spans="1:1" x14ac:dyDescent="0.35">
      <c r="A223" t="s">
        <v>260</v>
      </c>
    </row>
    <row r="224" spans="1:1" x14ac:dyDescent="0.35">
      <c r="A224" t="s">
        <v>261</v>
      </c>
    </row>
    <row r="225" spans="1:1" x14ac:dyDescent="0.35">
      <c r="A225" t="s">
        <v>262</v>
      </c>
    </row>
    <row r="226" spans="1:1" x14ac:dyDescent="0.35">
      <c r="A226" t="s">
        <v>263</v>
      </c>
    </row>
    <row r="227" spans="1:1" x14ac:dyDescent="0.35">
      <c r="A227" t="s">
        <v>264</v>
      </c>
    </row>
    <row r="228" spans="1:1" x14ac:dyDescent="0.35">
      <c r="A228" t="s">
        <v>265</v>
      </c>
    </row>
    <row r="229" spans="1:1" x14ac:dyDescent="0.35">
      <c r="A229" t="s">
        <v>266</v>
      </c>
    </row>
    <row r="230" spans="1:1" x14ac:dyDescent="0.35">
      <c r="A230" t="s">
        <v>267</v>
      </c>
    </row>
    <row r="231" spans="1:1" x14ac:dyDescent="0.35">
      <c r="A231" t="s">
        <v>220</v>
      </c>
    </row>
    <row r="232" spans="1:1" x14ac:dyDescent="0.35">
      <c r="A232" t="s">
        <v>221</v>
      </c>
    </row>
    <row r="233" spans="1:1" x14ac:dyDescent="0.35">
      <c r="A233" t="s">
        <v>222</v>
      </c>
    </row>
    <row r="234" spans="1:1" x14ac:dyDescent="0.35">
      <c r="A234" t="s">
        <v>223</v>
      </c>
    </row>
    <row r="235" spans="1:1" x14ac:dyDescent="0.35">
      <c r="A235" t="s">
        <v>224</v>
      </c>
    </row>
    <row r="236" spans="1:1" x14ac:dyDescent="0.35">
      <c r="A236" t="s">
        <v>225</v>
      </c>
    </row>
    <row r="237" spans="1:1" x14ac:dyDescent="0.35">
      <c r="A237" t="s">
        <v>226</v>
      </c>
    </row>
    <row r="238" spans="1:1" x14ac:dyDescent="0.35">
      <c r="A238" t="s">
        <v>227</v>
      </c>
    </row>
    <row r="239" spans="1:1" x14ac:dyDescent="0.35">
      <c r="A239" t="s">
        <v>618</v>
      </c>
    </row>
    <row r="240" spans="1:1" x14ac:dyDescent="0.35">
      <c r="A240" t="s">
        <v>0</v>
      </c>
    </row>
    <row r="241" spans="1:1" x14ac:dyDescent="0.35">
      <c r="A241" t="s">
        <v>10</v>
      </c>
    </row>
    <row r="242" spans="1:1" x14ac:dyDescent="0.35">
      <c r="A242" t="s">
        <v>11</v>
      </c>
    </row>
    <row r="243" spans="1:1" x14ac:dyDescent="0.35">
      <c r="A243" t="s">
        <v>12</v>
      </c>
    </row>
    <row r="244" spans="1:1" x14ac:dyDescent="0.35">
      <c r="A244" t="s">
        <v>13</v>
      </c>
    </row>
    <row r="245" spans="1:1" x14ac:dyDescent="0.35">
      <c r="A245" t="s">
        <v>14</v>
      </c>
    </row>
    <row r="246" spans="1:1" x14ac:dyDescent="0.35">
      <c r="A246" t="s">
        <v>15</v>
      </c>
    </row>
    <row r="247" spans="1:1" x14ac:dyDescent="0.35">
      <c r="A247" t="s">
        <v>16</v>
      </c>
    </row>
    <row r="248" spans="1:1" x14ac:dyDescent="0.35">
      <c r="A248" t="s">
        <v>17</v>
      </c>
    </row>
    <row r="249" spans="1:1" x14ac:dyDescent="0.35">
      <c r="A249" t="s">
        <v>1</v>
      </c>
    </row>
    <row r="250" spans="1:1" x14ac:dyDescent="0.35">
      <c r="A250" t="s">
        <v>2</v>
      </c>
    </row>
    <row r="251" spans="1:1" x14ac:dyDescent="0.35">
      <c r="A251" t="s">
        <v>3</v>
      </c>
    </row>
    <row r="252" spans="1:1" x14ac:dyDescent="0.35">
      <c r="A252" t="s">
        <v>4</v>
      </c>
    </row>
    <row r="253" spans="1:1" x14ac:dyDescent="0.35">
      <c r="A253" t="s">
        <v>5</v>
      </c>
    </row>
    <row r="254" spans="1:1" x14ac:dyDescent="0.35">
      <c r="A254" t="s">
        <v>6</v>
      </c>
    </row>
    <row r="255" spans="1:1" x14ac:dyDescent="0.35">
      <c r="A255" t="s">
        <v>7</v>
      </c>
    </row>
    <row r="256" spans="1:1" x14ac:dyDescent="0.35">
      <c r="A256" t="s">
        <v>8</v>
      </c>
    </row>
    <row r="257" spans="1:2" x14ac:dyDescent="0.35">
      <c r="A257" t="s">
        <v>9</v>
      </c>
    </row>
    <row r="258" spans="1:2" x14ac:dyDescent="0.35">
      <c r="A258" t="s">
        <v>619</v>
      </c>
    </row>
    <row r="259" spans="1:2" x14ac:dyDescent="0.35">
      <c r="A259" t="s">
        <v>620</v>
      </c>
    </row>
    <row r="260" spans="1:2" x14ac:dyDescent="0.35">
      <c r="A260" t="s">
        <v>621</v>
      </c>
    </row>
    <row r="261" spans="1:2" x14ac:dyDescent="0.35">
      <c r="A261" t="s">
        <v>622</v>
      </c>
    </row>
    <row r="262" spans="1:2" x14ac:dyDescent="0.35">
      <c r="A262" t="s">
        <v>623</v>
      </c>
    </row>
    <row r="263" spans="1:2" x14ac:dyDescent="0.35">
      <c r="A263" t="s">
        <v>624</v>
      </c>
    </row>
    <row r="264" spans="1:2" x14ac:dyDescent="0.35">
      <c r="A264" t="s">
        <v>625</v>
      </c>
    </row>
    <row r="265" spans="1:2" x14ac:dyDescent="0.35">
      <c r="A265" t="s">
        <v>626</v>
      </c>
    </row>
    <row r="266" spans="1:2" x14ac:dyDescent="0.35">
      <c r="A266" t="s">
        <v>627</v>
      </c>
    </row>
    <row r="267" spans="1:2" x14ac:dyDescent="0.35">
      <c r="A267" t="s">
        <v>351</v>
      </c>
      <c r="B267">
        <v>61</v>
      </c>
    </row>
    <row r="268" spans="1:2" x14ac:dyDescent="0.35">
      <c r="A268" t="s">
        <v>900</v>
      </c>
      <c r="B268">
        <v>0</v>
      </c>
    </row>
    <row r="269" spans="1:2" x14ac:dyDescent="0.35">
      <c r="A269" t="s">
        <v>102</v>
      </c>
      <c r="B269">
        <v>1</v>
      </c>
    </row>
    <row r="270" spans="1:2" x14ac:dyDescent="0.35">
      <c r="A270" t="s">
        <v>103</v>
      </c>
      <c r="B270">
        <v>1</v>
      </c>
    </row>
    <row r="271" spans="1:2" x14ac:dyDescent="0.35">
      <c r="A271" t="s">
        <v>432</v>
      </c>
    </row>
    <row r="272" spans="1:2" x14ac:dyDescent="0.35">
      <c r="A272" t="s">
        <v>411</v>
      </c>
    </row>
    <row r="273" spans="1:2" x14ac:dyDescent="0.35">
      <c r="A273" t="s">
        <v>412</v>
      </c>
    </row>
    <row r="274" spans="1:2" x14ac:dyDescent="0.35">
      <c r="A274" t="s">
        <v>413</v>
      </c>
    </row>
    <row r="275" spans="1:2" x14ac:dyDescent="0.35">
      <c r="A275" t="s">
        <v>170</v>
      </c>
    </row>
    <row r="276" spans="1:2" x14ac:dyDescent="0.35">
      <c r="A276" t="s">
        <v>171</v>
      </c>
    </row>
    <row r="277" spans="1:2" x14ac:dyDescent="0.35">
      <c r="A277" t="s">
        <v>172</v>
      </c>
    </row>
    <row r="278" spans="1:2" x14ac:dyDescent="0.35">
      <c r="A278" t="s">
        <v>872</v>
      </c>
    </row>
    <row r="279" spans="1:2" x14ac:dyDescent="0.35">
      <c r="A279" t="s">
        <v>873</v>
      </c>
    </row>
    <row r="280" spans="1:2" x14ac:dyDescent="0.35">
      <c r="A280" t="s">
        <v>874</v>
      </c>
      <c r="B280">
        <v>1</v>
      </c>
    </row>
    <row r="281" spans="1:2" x14ac:dyDescent="0.35">
      <c r="A281" t="s">
        <v>875</v>
      </c>
    </row>
    <row r="282" spans="1:2" x14ac:dyDescent="0.35">
      <c r="A282" t="s">
        <v>876</v>
      </c>
    </row>
    <row r="283" spans="1:2" x14ac:dyDescent="0.35">
      <c r="A283" t="s">
        <v>667</v>
      </c>
      <c r="B283">
        <v>5</v>
      </c>
    </row>
    <row r="284" spans="1:2" x14ac:dyDescent="0.35">
      <c r="A284" t="s">
        <v>668</v>
      </c>
      <c r="B284">
        <v>1</v>
      </c>
    </row>
    <row r="285" spans="1:2" x14ac:dyDescent="0.35">
      <c r="A285" t="s">
        <v>669</v>
      </c>
      <c r="B285">
        <v>1</v>
      </c>
    </row>
    <row r="286" spans="1:2" x14ac:dyDescent="0.35">
      <c r="A286" t="s">
        <v>670</v>
      </c>
      <c r="B286">
        <v>2</v>
      </c>
    </row>
    <row r="287" spans="1:2" x14ac:dyDescent="0.35">
      <c r="A287" t="s">
        <v>795</v>
      </c>
      <c r="B287">
        <v>1</v>
      </c>
    </row>
    <row r="288" spans="1:2" x14ac:dyDescent="0.35">
      <c r="A288" t="s">
        <v>796</v>
      </c>
    </row>
    <row r="289" spans="1:2" x14ac:dyDescent="0.35">
      <c r="A289" t="s">
        <v>414</v>
      </c>
      <c r="B289">
        <v>0</v>
      </c>
    </row>
    <row r="290" spans="1:2" x14ac:dyDescent="0.35">
      <c r="A290" t="s">
        <v>415</v>
      </c>
    </row>
    <row r="291" spans="1:2" x14ac:dyDescent="0.35">
      <c r="A291" t="s">
        <v>416</v>
      </c>
    </row>
    <row r="292" spans="1:2" x14ac:dyDescent="0.35">
      <c r="A292" t="s">
        <v>417</v>
      </c>
    </row>
    <row r="293" spans="1:2" x14ac:dyDescent="0.35">
      <c r="A293" t="s">
        <v>418</v>
      </c>
    </row>
    <row r="294" spans="1:2" x14ac:dyDescent="0.35">
      <c r="A294" t="s">
        <v>419</v>
      </c>
    </row>
    <row r="295" spans="1:2" x14ac:dyDescent="0.35">
      <c r="A295" t="s">
        <v>877</v>
      </c>
    </row>
    <row r="296" spans="1:2" x14ac:dyDescent="0.35">
      <c r="A296" t="s">
        <v>878</v>
      </c>
    </row>
    <row r="297" spans="1:2" x14ac:dyDescent="0.35">
      <c r="A297" t="s">
        <v>879</v>
      </c>
    </row>
    <row r="298" spans="1:2" x14ac:dyDescent="0.35">
      <c r="A298" t="s">
        <v>880</v>
      </c>
    </row>
    <row r="299" spans="1:2" x14ac:dyDescent="0.35">
      <c r="A299" t="s">
        <v>592</v>
      </c>
    </row>
    <row r="300" spans="1:2" x14ac:dyDescent="0.35">
      <c r="A300" t="s">
        <v>593</v>
      </c>
    </row>
    <row r="301" spans="1:2" x14ac:dyDescent="0.35">
      <c r="A301" t="s">
        <v>594</v>
      </c>
    </row>
    <row r="302" spans="1:2" x14ac:dyDescent="0.35">
      <c r="A302" t="s">
        <v>1147</v>
      </c>
      <c r="B302">
        <v>0</v>
      </c>
    </row>
    <row r="303" spans="1:2" x14ac:dyDescent="0.35">
      <c r="A303" t="s">
        <v>442</v>
      </c>
    </row>
    <row r="304" spans="1:2" x14ac:dyDescent="0.35">
      <c r="A304" t="s">
        <v>443</v>
      </c>
      <c r="B304">
        <v>0</v>
      </c>
    </row>
    <row r="305" spans="1:2" x14ac:dyDescent="0.35">
      <c r="A305" t="s">
        <v>444</v>
      </c>
    </row>
    <row r="306" spans="1:2" x14ac:dyDescent="0.35">
      <c r="A306" t="s">
        <v>1009</v>
      </c>
      <c r="B306">
        <v>0</v>
      </c>
    </row>
    <row r="307" spans="1:2" x14ac:dyDescent="0.35">
      <c r="A307" t="s">
        <v>1010</v>
      </c>
      <c r="B307">
        <v>0</v>
      </c>
    </row>
    <row r="308" spans="1:2" x14ac:dyDescent="0.35">
      <c r="A308" t="s">
        <v>1011</v>
      </c>
      <c r="B308">
        <v>0</v>
      </c>
    </row>
    <row r="309" spans="1:2" x14ac:dyDescent="0.35">
      <c r="A309" t="s">
        <v>1012</v>
      </c>
      <c r="B309">
        <v>15</v>
      </c>
    </row>
    <row r="310" spans="1:2" x14ac:dyDescent="0.35">
      <c r="A310" t="s">
        <v>1013</v>
      </c>
      <c r="B310">
        <v>1</v>
      </c>
    </row>
    <row r="311" spans="1:2" x14ac:dyDescent="0.35">
      <c r="A311" t="s">
        <v>1014</v>
      </c>
    </row>
    <row r="312" spans="1:2" x14ac:dyDescent="0.35">
      <c r="A312" t="s">
        <v>1015</v>
      </c>
    </row>
    <row r="313" spans="1:2" x14ac:dyDescent="0.35">
      <c r="A313" t="s">
        <v>1016</v>
      </c>
    </row>
    <row r="314" spans="1:2" x14ac:dyDescent="0.35">
      <c r="A314" t="s">
        <v>1070</v>
      </c>
    </row>
    <row r="315" spans="1:2" x14ac:dyDescent="0.35">
      <c r="A315" t="s">
        <v>1071</v>
      </c>
    </row>
    <row r="316" spans="1:2" x14ac:dyDescent="0.35">
      <c r="A316" t="s">
        <v>1072</v>
      </c>
      <c r="B316">
        <v>17</v>
      </c>
    </row>
    <row r="317" spans="1:2" x14ac:dyDescent="0.35">
      <c r="A317" t="s">
        <v>1073</v>
      </c>
      <c r="B317">
        <v>6</v>
      </c>
    </row>
    <row r="318" spans="1:2" x14ac:dyDescent="0.35">
      <c r="A318" t="s">
        <v>1074</v>
      </c>
      <c r="B318">
        <v>1</v>
      </c>
    </row>
    <row r="319" spans="1:2" x14ac:dyDescent="0.35">
      <c r="A319" t="s">
        <v>1075</v>
      </c>
      <c r="B319">
        <v>1</v>
      </c>
    </row>
    <row r="320" spans="1:2" x14ac:dyDescent="0.35">
      <c r="A320" t="s">
        <v>1076</v>
      </c>
      <c r="B320">
        <v>1</v>
      </c>
    </row>
    <row r="321" spans="1:2" x14ac:dyDescent="0.35">
      <c r="A321" t="s">
        <v>604</v>
      </c>
      <c r="B321">
        <v>1</v>
      </c>
    </row>
    <row r="322" spans="1:2" x14ac:dyDescent="0.35">
      <c r="A322" t="s">
        <v>605</v>
      </c>
      <c r="B322">
        <v>1</v>
      </c>
    </row>
    <row r="323" spans="1:2" x14ac:dyDescent="0.35">
      <c r="A323" t="s">
        <v>606</v>
      </c>
      <c r="B323">
        <v>1</v>
      </c>
    </row>
    <row r="324" spans="1:2" x14ac:dyDescent="0.35">
      <c r="A324" t="s">
        <v>607</v>
      </c>
    </row>
    <row r="325" spans="1:2" x14ac:dyDescent="0.35">
      <c r="A325" t="s">
        <v>608</v>
      </c>
    </row>
    <row r="326" spans="1:2" x14ac:dyDescent="0.35">
      <c r="A326" t="s">
        <v>609</v>
      </c>
    </row>
    <row r="327" spans="1:2" x14ac:dyDescent="0.35">
      <c r="A327" t="s">
        <v>610</v>
      </c>
    </row>
    <row r="328" spans="1:2" x14ac:dyDescent="0.35">
      <c r="A328" t="s">
        <v>611</v>
      </c>
    </row>
    <row r="329" spans="1:2" x14ac:dyDescent="0.35">
      <c r="A329" t="s">
        <v>982</v>
      </c>
      <c r="B329">
        <v>1</v>
      </c>
    </row>
    <row r="330" spans="1:2" x14ac:dyDescent="0.35">
      <c r="A330" t="s">
        <v>983</v>
      </c>
      <c r="B330">
        <v>1</v>
      </c>
    </row>
    <row r="331" spans="1:2" x14ac:dyDescent="0.35">
      <c r="A331" t="s">
        <v>984</v>
      </c>
      <c r="B331">
        <v>2</v>
      </c>
    </row>
    <row r="332" spans="1:2" x14ac:dyDescent="0.35">
      <c r="A332" t="s">
        <v>869</v>
      </c>
      <c r="B332">
        <v>1</v>
      </c>
    </row>
    <row r="333" spans="1:2" x14ac:dyDescent="0.35">
      <c r="A333" t="s">
        <v>957</v>
      </c>
      <c r="B333">
        <v>1</v>
      </c>
    </row>
    <row r="334" spans="1:2" x14ac:dyDescent="0.35">
      <c r="A334" t="s">
        <v>958</v>
      </c>
      <c r="B334">
        <v>1</v>
      </c>
    </row>
    <row r="335" spans="1:2" x14ac:dyDescent="0.35">
      <c r="A335" t="s">
        <v>959</v>
      </c>
      <c r="B335">
        <v>1</v>
      </c>
    </row>
    <row r="336" spans="1:2" x14ac:dyDescent="0.35">
      <c r="A336" t="s">
        <v>960</v>
      </c>
      <c r="B336">
        <v>2</v>
      </c>
    </row>
    <row r="337" spans="1:2" x14ac:dyDescent="0.35">
      <c r="A337" t="s">
        <v>867</v>
      </c>
      <c r="B337">
        <v>1</v>
      </c>
    </row>
    <row r="338" spans="1:2" x14ac:dyDescent="0.35">
      <c r="A338" t="s">
        <v>868</v>
      </c>
      <c r="B338">
        <v>1</v>
      </c>
    </row>
    <row r="339" spans="1:2" x14ac:dyDescent="0.35">
      <c r="A339" t="s">
        <v>863</v>
      </c>
      <c r="B339">
        <v>1</v>
      </c>
    </row>
    <row r="340" spans="1:2" x14ac:dyDescent="0.35">
      <c r="A340" t="s">
        <v>864</v>
      </c>
      <c r="B340">
        <v>1</v>
      </c>
    </row>
    <row r="341" spans="1:2" x14ac:dyDescent="0.35">
      <c r="A341" t="s">
        <v>865</v>
      </c>
      <c r="B341">
        <v>1</v>
      </c>
    </row>
    <row r="342" spans="1:2" x14ac:dyDescent="0.35">
      <c r="A342" t="s">
        <v>856</v>
      </c>
      <c r="B342">
        <v>1</v>
      </c>
    </row>
    <row r="343" spans="1:2" x14ac:dyDescent="0.35">
      <c r="A343" t="s">
        <v>857</v>
      </c>
      <c r="B343">
        <v>1</v>
      </c>
    </row>
    <row r="344" spans="1:2" x14ac:dyDescent="0.35">
      <c r="A344" t="s">
        <v>858</v>
      </c>
      <c r="B344">
        <v>1</v>
      </c>
    </row>
    <row r="345" spans="1:2" x14ac:dyDescent="0.35">
      <c r="A345" t="s">
        <v>859</v>
      </c>
      <c r="B345">
        <v>0</v>
      </c>
    </row>
    <row r="346" spans="1:2" x14ac:dyDescent="0.35">
      <c r="A346" t="s">
        <v>860</v>
      </c>
      <c r="B346">
        <v>10</v>
      </c>
    </row>
    <row r="347" spans="1:2" x14ac:dyDescent="0.35">
      <c r="A347" t="s">
        <v>1043</v>
      </c>
    </row>
    <row r="348" spans="1:2" x14ac:dyDescent="0.35">
      <c r="A348" t="s">
        <v>1044</v>
      </c>
    </row>
    <row r="349" spans="1:2" x14ac:dyDescent="0.35">
      <c r="A349" t="s">
        <v>1045</v>
      </c>
    </row>
    <row r="350" spans="1:2" x14ac:dyDescent="0.35">
      <c r="A350" t="s">
        <v>1046</v>
      </c>
    </row>
    <row r="351" spans="1:2" x14ac:dyDescent="0.35">
      <c r="A351" t="s">
        <v>1047</v>
      </c>
      <c r="B351">
        <v>7</v>
      </c>
    </row>
    <row r="352" spans="1:2" x14ac:dyDescent="0.35">
      <c r="A352" t="s">
        <v>1048</v>
      </c>
      <c r="B352">
        <v>0</v>
      </c>
    </row>
    <row r="353" spans="1:2" x14ac:dyDescent="0.35">
      <c r="A353" t="s">
        <v>1049</v>
      </c>
      <c r="B353">
        <v>2</v>
      </c>
    </row>
    <row r="354" spans="1:2" x14ac:dyDescent="0.35">
      <c r="A354" t="s">
        <v>1050</v>
      </c>
      <c r="B354">
        <v>0</v>
      </c>
    </row>
    <row r="355" spans="1:2" x14ac:dyDescent="0.35">
      <c r="A355" t="s">
        <v>1051</v>
      </c>
      <c r="B355">
        <v>1</v>
      </c>
    </row>
    <row r="356" spans="1:2" x14ac:dyDescent="0.35">
      <c r="A356" t="s">
        <v>1052</v>
      </c>
      <c r="B356">
        <v>0</v>
      </c>
    </row>
    <row r="357" spans="1:2" x14ac:dyDescent="0.35">
      <c r="A357" t="s">
        <v>1053</v>
      </c>
      <c r="B357">
        <v>0</v>
      </c>
    </row>
    <row r="358" spans="1:2" x14ac:dyDescent="0.35">
      <c r="A358" t="s">
        <v>1054</v>
      </c>
      <c r="B358">
        <v>0</v>
      </c>
    </row>
    <row r="359" spans="1:2" x14ac:dyDescent="0.35">
      <c r="A359" t="s">
        <v>1055</v>
      </c>
      <c r="B359" t="s">
        <v>1273</v>
      </c>
    </row>
    <row r="360" spans="1:2" x14ac:dyDescent="0.35">
      <c r="A360" t="s">
        <v>783</v>
      </c>
    </row>
    <row r="361" spans="1:2" x14ac:dyDescent="0.35">
      <c r="A361" t="s">
        <v>784</v>
      </c>
    </row>
    <row r="362" spans="1:2" x14ac:dyDescent="0.35">
      <c r="A362" t="s">
        <v>785</v>
      </c>
    </row>
    <row r="363" spans="1:2" x14ac:dyDescent="0.35">
      <c r="A363" t="s">
        <v>305</v>
      </c>
    </row>
    <row r="364" spans="1:2" x14ac:dyDescent="0.35">
      <c r="A364" t="s">
        <v>306</v>
      </c>
    </row>
    <row r="365" spans="1:2" x14ac:dyDescent="0.35">
      <c r="A365" t="s">
        <v>307</v>
      </c>
    </row>
    <row r="366" spans="1:2" x14ac:dyDescent="0.35">
      <c r="A366" t="s">
        <v>308</v>
      </c>
    </row>
    <row r="367" spans="1:2" x14ac:dyDescent="0.35">
      <c r="A367" t="s">
        <v>309</v>
      </c>
    </row>
    <row r="368" spans="1:2" x14ac:dyDescent="0.35">
      <c r="A368" t="s">
        <v>310</v>
      </c>
    </row>
    <row r="369" spans="1:1" x14ac:dyDescent="0.35">
      <c r="A369" t="s">
        <v>786</v>
      </c>
    </row>
    <row r="370" spans="1:1" x14ac:dyDescent="0.35">
      <c r="A370" t="s">
        <v>787</v>
      </c>
    </row>
    <row r="371" spans="1:1" x14ac:dyDescent="0.35">
      <c r="A371" t="s">
        <v>788</v>
      </c>
    </row>
    <row r="372" spans="1:1" x14ac:dyDescent="0.35">
      <c r="A372" t="s">
        <v>499</v>
      </c>
    </row>
    <row r="373" spans="1:1" x14ac:dyDescent="0.35">
      <c r="A373" t="s">
        <v>500</v>
      </c>
    </row>
    <row r="374" spans="1:1" x14ac:dyDescent="0.35">
      <c r="A374" t="s">
        <v>501</v>
      </c>
    </row>
    <row r="375" spans="1:1" x14ac:dyDescent="0.35">
      <c r="A375" t="s">
        <v>502</v>
      </c>
    </row>
    <row r="376" spans="1:1" x14ac:dyDescent="0.35">
      <c r="A376" t="s">
        <v>503</v>
      </c>
    </row>
    <row r="377" spans="1:1" x14ac:dyDescent="0.35">
      <c r="A377" t="s">
        <v>504</v>
      </c>
    </row>
    <row r="378" spans="1:1" x14ac:dyDescent="0.35">
      <c r="A378" t="s">
        <v>505</v>
      </c>
    </row>
    <row r="379" spans="1:1" x14ac:dyDescent="0.35">
      <c r="A379" t="s">
        <v>506</v>
      </c>
    </row>
    <row r="380" spans="1:1" x14ac:dyDescent="0.35">
      <c r="A380" t="s">
        <v>507</v>
      </c>
    </row>
    <row r="381" spans="1:1" x14ac:dyDescent="0.35">
      <c r="A381" t="s">
        <v>508</v>
      </c>
    </row>
    <row r="382" spans="1:1" x14ac:dyDescent="0.35">
      <c r="A382" t="s">
        <v>509</v>
      </c>
    </row>
    <row r="383" spans="1:1" x14ac:dyDescent="0.35">
      <c r="A383" t="s">
        <v>510</v>
      </c>
    </row>
    <row r="384" spans="1:1" x14ac:dyDescent="0.35">
      <c r="A384" t="s">
        <v>511</v>
      </c>
    </row>
    <row r="385" spans="1:1" x14ac:dyDescent="0.35">
      <c r="A385" t="s">
        <v>512</v>
      </c>
    </row>
    <row r="386" spans="1:1" x14ac:dyDescent="0.35">
      <c r="A386" t="s">
        <v>513</v>
      </c>
    </row>
    <row r="387" spans="1:1" x14ac:dyDescent="0.35">
      <c r="A387" t="s">
        <v>514</v>
      </c>
    </row>
    <row r="388" spans="1:1" x14ac:dyDescent="0.35">
      <c r="A388" t="s">
        <v>515</v>
      </c>
    </row>
    <row r="389" spans="1:1" x14ac:dyDescent="0.35">
      <c r="A389" t="s">
        <v>516</v>
      </c>
    </row>
    <row r="390" spans="1:1" x14ac:dyDescent="0.35">
      <c r="A390" t="s">
        <v>517</v>
      </c>
    </row>
    <row r="391" spans="1:1" x14ac:dyDescent="0.35">
      <c r="A391" t="s">
        <v>805</v>
      </c>
    </row>
    <row r="392" spans="1:1" x14ac:dyDescent="0.35">
      <c r="A392" t="s">
        <v>806</v>
      </c>
    </row>
    <row r="393" spans="1:1" x14ac:dyDescent="0.35">
      <c r="A393" t="s">
        <v>1021</v>
      </c>
    </row>
    <row r="394" spans="1:1" x14ac:dyDescent="0.35">
      <c r="A394" t="s">
        <v>644</v>
      </c>
    </row>
    <row r="395" spans="1:1" x14ac:dyDescent="0.35">
      <c r="A395" t="s">
        <v>645</v>
      </c>
    </row>
    <row r="396" spans="1:1" x14ac:dyDescent="0.35">
      <c r="A396" t="s">
        <v>458</v>
      </c>
    </row>
    <row r="397" spans="1:1" x14ac:dyDescent="0.35">
      <c r="A397" t="s">
        <v>459</v>
      </c>
    </row>
    <row r="398" spans="1:1" x14ac:dyDescent="0.35">
      <c r="A398" t="s">
        <v>460</v>
      </c>
    </row>
    <row r="399" spans="1:1" x14ac:dyDescent="0.35">
      <c r="A399" t="s">
        <v>461</v>
      </c>
    </row>
    <row r="400" spans="1:1" x14ac:dyDescent="0.35">
      <c r="A400" t="s">
        <v>462</v>
      </c>
    </row>
    <row r="401" spans="1:1" x14ac:dyDescent="0.35">
      <c r="A401" t="s">
        <v>311</v>
      </c>
    </row>
    <row r="402" spans="1:1" x14ac:dyDescent="0.35">
      <c r="A402" t="s">
        <v>1134</v>
      </c>
    </row>
    <row r="403" spans="1:1" x14ac:dyDescent="0.35">
      <c r="A403" t="s">
        <v>1135</v>
      </c>
    </row>
    <row r="404" spans="1:1" x14ac:dyDescent="0.35">
      <c r="A404" t="s">
        <v>1136</v>
      </c>
    </row>
    <row r="405" spans="1:1" x14ac:dyDescent="0.35">
      <c r="A405" t="s">
        <v>1137</v>
      </c>
    </row>
    <row r="406" spans="1:1" x14ac:dyDescent="0.35">
      <c r="A406" t="s">
        <v>1138</v>
      </c>
    </row>
    <row r="407" spans="1:1" x14ac:dyDescent="0.35">
      <c r="A407" t="s">
        <v>1139</v>
      </c>
    </row>
    <row r="408" spans="1:1" x14ac:dyDescent="0.35">
      <c r="A408" t="s">
        <v>96</v>
      </c>
    </row>
    <row r="409" spans="1:1" x14ac:dyDescent="0.35">
      <c r="A409" t="s">
        <v>97</v>
      </c>
    </row>
    <row r="410" spans="1:1" x14ac:dyDescent="0.35">
      <c r="A410" t="s">
        <v>98</v>
      </c>
    </row>
    <row r="411" spans="1:1" x14ac:dyDescent="0.35">
      <c r="A411" t="s">
        <v>99</v>
      </c>
    </row>
    <row r="412" spans="1:1" x14ac:dyDescent="0.35">
      <c r="A412" t="s">
        <v>100</v>
      </c>
    </row>
    <row r="413" spans="1:1" x14ac:dyDescent="0.35">
      <c r="A413" t="s">
        <v>101</v>
      </c>
    </row>
    <row r="414" spans="1:1" x14ac:dyDescent="0.35">
      <c r="A414" t="s">
        <v>364</v>
      </c>
    </row>
    <row r="415" spans="1:1" x14ac:dyDescent="0.35">
      <c r="A415" t="s">
        <v>180</v>
      </c>
    </row>
    <row r="416" spans="1:1" x14ac:dyDescent="0.35">
      <c r="A416" t="s">
        <v>181</v>
      </c>
    </row>
    <row r="417" spans="1:2" x14ac:dyDescent="0.35">
      <c r="A417" t="s">
        <v>73</v>
      </c>
    </row>
    <row r="418" spans="1:2" x14ac:dyDescent="0.35">
      <c r="A418" t="s">
        <v>74</v>
      </c>
    </row>
    <row r="419" spans="1:2" x14ac:dyDescent="0.35">
      <c r="A419" t="s">
        <v>848</v>
      </c>
    </row>
    <row r="420" spans="1:2" x14ac:dyDescent="0.35">
      <c r="A420" t="s">
        <v>849</v>
      </c>
    </row>
    <row r="421" spans="1:2" x14ac:dyDescent="0.35">
      <c r="A421" t="s">
        <v>850</v>
      </c>
    </row>
    <row r="422" spans="1:2" x14ac:dyDescent="0.35">
      <c r="A422" t="s">
        <v>798</v>
      </c>
    </row>
    <row r="423" spans="1:2" x14ac:dyDescent="0.35">
      <c r="A423" t="s">
        <v>834</v>
      </c>
    </row>
    <row r="424" spans="1:2" x14ac:dyDescent="0.35">
      <c r="A424" t="s">
        <v>1274</v>
      </c>
      <c r="B424">
        <v>1500</v>
      </c>
    </row>
    <row r="425" spans="1:2" x14ac:dyDescent="0.35">
      <c r="A425" t="s">
        <v>1275</v>
      </c>
      <c r="B425">
        <v>1500</v>
      </c>
    </row>
    <row r="426" spans="1:2" x14ac:dyDescent="0.35">
      <c r="A426" t="s">
        <v>1276</v>
      </c>
      <c r="B426">
        <v>1500</v>
      </c>
    </row>
    <row r="427" spans="1:2" x14ac:dyDescent="0.35">
      <c r="A427" t="s">
        <v>1277</v>
      </c>
      <c r="B427">
        <v>1500</v>
      </c>
    </row>
    <row r="428" spans="1:2" x14ac:dyDescent="0.35">
      <c r="A428" t="s">
        <v>1278</v>
      </c>
      <c r="B428">
        <v>1500</v>
      </c>
    </row>
    <row r="429" spans="1:2" x14ac:dyDescent="0.35">
      <c r="A429" t="s">
        <v>1279</v>
      </c>
      <c r="B429">
        <v>1500</v>
      </c>
    </row>
    <row r="430" spans="1:2" x14ac:dyDescent="0.35">
      <c r="A430" t="s">
        <v>1280</v>
      </c>
      <c r="B430">
        <v>1500</v>
      </c>
    </row>
    <row r="431" spans="1:2" x14ac:dyDescent="0.35">
      <c r="A431" t="s">
        <v>1281</v>
      </c>
      <c r="B431">
        <v>1500</v>
      </c>
    </row>
    <row r="432" spans="1:2" x14ac:dyDescent="0.35">
      <c r="A432" t="s">
        <v>1282</v>
      </c>
      <c r="B432">
        <v>1500</v>
      </c>
    </row>
    <row r="433" spans="1:2" x14ac:dyDescent="0.35">
      <c r="A433" t="s">
        <v>1283</v>
      </c>
      <c r="B433">
        <v>1500</v>
      </c>
    </row>
    <row r="434" spans="1:2" x14ac:dyDescent="0.35">
      <c r="A434" t="s">
        <v>1284</v>
      </c>
      <c r="B434">
        <v>1500</v>
      </c>
    </row>
    <row r="435" spans="1:2" x14ac:dyDescent="0.35">
      <c r="A435" t="s">
        <v>1285</v>
      </c>
      <c r="B435">
        <v>1500</v>
      </c>
    </row>
    <row r="436" spans="1:2" x14ac:dyDescent="0.35">
      <c r="A436" t="s">
        <v>1286</v>
      </c>
      <c r="B436">
        <v>1500</v>
      </c>
    </row>
    <row r="437" spans="1:2" x14ac:dyDescent="0.35">
      <c r="A437" t="s">
        <v>1287</v>
      </c>
      <c r="B437">
        <v>1500</v>
      </c>
    </row>
    <row r="438" spans="1:2" x14ac:dyDescent="0.35">
      <c r="A438" t="s">
        <v>1288</v>
      </c>
      <c r="B438">
        <v>1500</v>
      </c>
    </row>
    <row r="439" spans="1:2" x14ac:dyDescent="0.35">
      <c r="A439" t="s">
        <v>1289</v>
      </c>
      <c r="B439">
        <v>1500</v>
      </c>
    </row>
    <row r="440" spans="1:2" x14ac:dyDescent="0.35">
      <c r="A440" t="s">
        <v>1290</v>
      </c>
      <c r="B440">
        <v>1500</v>
      </c>
    </row>
    <row r="441" spans="1:2" x14ac:dyDescent="0.35">
      <c r="A441" t="s">
        <v>1291</v>
      </c>
      <c r="B441">
        <v>1500</v>
      </c>
    </row>
    <row r="442" spans="1:2" x14ac:dyDescent="0.35">
      <c r="A442" t="s">
        <v>1292</v>
      </c>
      <c r="B442">
        <v>1500</v>
      </c>
    </row>
    <row r="443" spans="1:2" x14ac:dyDescent="0.35">
      <c r="A443" t="s">
        <v>1293</v>
      </c>
      <c r="B443">
        <v>1500</v>
      </c>
    </row>
    <row r="444" spans="1:2" x14ac:dyDescent="0.35">
      <c r="A444" t="s">
        <v>640</v>
      </c>
      <c r="B444">
        <v>1</v>
      </c>
    </row>
    <row r="445" spans="1:2" x14ac:dyDescent="0.35">
      <c r="A445" t="s">
        <v>641</v>
      </c>
      <c r="B445">
        <v>1</v>
      </c>
    </row>
    <row r="446" spans="1:2" x14ac:dyDescent="0.35">
      <c r="A446" t="s">
        <v>642</v>
      </c>
      <c r="B446">
        <v>1</v>
      </c>
    </row>
    <row r="447" spans="1:2" x14ac:dyDescent="0.35">
      <c r="A447" t="s">
        <v>643</v>
      </c>
      <c r="B447">
        <v>1</v>
      </c>
    </row>
    <row r="448" spans="1:2" x14ac:dyDescent="0.35">
      <c r="A448" t="s">
        <v>1034</v>
      </c>
      <c r="B448">
        <v>1</v>
      </c>
    </row>
    <row r="449" spans="1:2" x14ac:dyDescent="0.35">
      <c r="A449" t="s">
        <v>1035</v>
      </c>
      <c r="B449">
        <v>1</v>
      </c>
    </row>
    <row r="450" spans="1:2" x14ac:dyDescent="0.35">
      <c r="A450" t="s">
        <v>1036</v>
      </c>
      <c r="B450">
        <v>1</v>
      </c>
    </row>
    <row r="451" spans="1:2" x14ac:dyDescent="0.35">
      <c r="A451" t="s">
        <v>1037</v>
      </c>
      <c r="B451">
        <v>1</v>
      </c>
    </row>
    <row r="452" spans="1:2" x14ac:dyDescent="0.35">
      <c r="A452" t="s">
        <v>1038</v>
      </c>
      <c r="B452">
        <v>1</v>
      </c>
    </row>
    <row r="453" spans="1:2" x14ac:dyDescent="0.35">
      <c r="A453" t="s">
        <v>1056</v>
      </c>
      <c r="B453">
        <v>1</v>
      </c>
    </row>
    <row r="454" spans="1:2" x14ac:dyDescent="0.35">
      <c r="A454" t="s">
        <v>1057</v>
      </c>
      <c r="B454">
        <v>1</v>
      </c>
    </row>
    <row r="455" spans="1:2" x14ac:dyDescent="0.35">
      <c r="A455" t="s">
        <v>1058</v>
      </c>
      <c r="B455">
        <v>1</v>
      </c>
    </row>
    <row r="456" spans="1:2" x14ac:dyDescent="0.35">
      <c r="A456" t="s">
        <v>1059</v>
      </c>
      <c r="B456">
        <v>1</v>
      </c>
    </row>
    <row r="457" spans="1:2" x14ac:dyDescent="0.35">
      <c r="A457" t="s">
        <v>1060</v>
      </c>
      <c r="B457">
        <v>1</v>
      </c>
    </row>
    <row r="458" spans="1:2" x14ac:dyDescent="0.35">
      <c r="A458" t="s">
        <v>1061</v>
      </c>
      <c r="B458">
        <v>1</v>
      </c>
    </row>
    <row r="459" spans="1:2" x14ac:dyDescent="0.35">
      <c r="A459" t="s">
        <v>1062</v>
      </c>
      <c r="B459">
        <v>1</v>
      </c>
    </row>
    <row r="460" spans="1:2" x14ac:dyDescent="0.35">
      <c r="A460" t="s">
        <v>881</v>
      </c>
      <c r="B460">
        <v>1</v>
      </c>
    </row>
    <row r="461" spans="1:2" x14ac:dyDescent="0.35">
      <c r="A461" t="s">
        <v>964</v>
      </c>
      <c r="B461">
        <v>1</v>
      </c>
    </row>
    <row r="462" spans="1:2" x14ac:dyDescent="0.35">
      <c r="A462" t="s">
        <v>965</v>
      </c>
      <c r="B462">
        <v>1</v>
      </c>
    </row>
    <row r="463" spans="1:2" x14ac:dyDescent="0.35">
      <c r="A463" t="s">
        <v>966</v>
      </c>
      <c r="B463">
        <v>1</v>
      </c>
    </row>
    <row r="464" spans="1:2" x14ac:dyDescent="0.35">
      <c r="A464" t="s">
        <v>967</v>
      </c>
    </row>
    <row r="465" spans="1:1" x14ac:dyDescent="0.35">
      <c r="A465" t="s">
        <v>968</v>
      </c>
    </row>
    <row r="466" spans="1:1" x14ac:dyDescent="0.35">
      <c r="A466" t="s">
        <v>520</v>
      </c>
    </row>
    <row r="467" spans="1:1" x14ac:dyDescent="0.35">
      <c r="A467" t="s">
        <v>646</v>
      </c>
    </row>
    <row r="468" spans="1:1" x14ac:dyDescent="0.35">
      <c r="A468" t="s">
        <v>647</v>
      </c>
    </row>
    <row r="469" spans="1:1" x14ac:dyDescent="0.35">
      <c r="A469" t="s">
        <v>648</v>
      </c>
    </row>
    <row r="470" spans="1:1" x14ac:dyDescent="0.35">
      <c r="A470" t="s">
        <v>649</v>
      </c>
    </row>
    <row r="471" spans="1:1" x14ac:dyDescent="0.35">
      <c r="A471" t="s">
        <v>650</v>
      </c>
    </row>
    <row r="472" spans="1:1" x14ac:dyDescent="0.35">
      <c r="A472" t="s">
        <v>651</v>
      </c>
    </row>
    <row r="473" spans="1:1" x14ac:dyDescent="0.35">
      <c r="A473" t="s">
        <v>945</v>
      </c>
    </row>
    <row r="474" spans="1:1" x14ac:dyDescent="0.35">
      <c r="A474" t="s">
        <v>913</v>
      </c>
    </row>
    <row r="475" spans="1:1" x14ac:dyDescent="0.35">
      <c r="A475" t="s">
        <v>914</v>
      </c>
    </row>
    <row r="476" spans="1:1" x14ac:dyDescent="0.35">
      <c r="A476" t="s">
        <v>915</v>
      </c>
    </row>
    <row r="477" spans="1:1" x14ac:dyDescent="0.35">
      <c r="A477" t="s">
        <v>916</v>
      </c>
    </row>
    <row r="478" spans="1:1" x14ac:dyDescent="0.35">
      <c r="A478" t="s">
        <v>1017</v>
      </c>
    </row>
    <row r="479" spans="1:1" x14ac:dyDescent="0.35">
      <c r="A479" t="s">
        <v>1078</v>
      </c>
    </row>
    <row r="480" spans="1:1" x14ac:dyDescent="0.35">
      <c r="A480" t="s">
        <v>1079</v>
      </c>
    </row>
    <row r="481" spans="1:2" x14ac:dyDescent="0.35">
      <c r="A481" t="s">
        <v>1080</v>
      </c>
    </row>
    <row r="482" spans="1:2" x14ac:dyDescent="0.35">
      <c r="A482" t="s">
        <v>1081</v>
      </c>
    </row>
    <row r="483" spans="1:2" x14ac:dyDescent="0.35">
      <c r="A483" t="s">
        <v>303</v>
      </c>
    </row>
    <row r="484" spans="1:2" x14ac:dyDescent="0.35">
      <c r="A484" t="s">
        <v>447</v>
      </c>
      <c r="B484" t="b">
        <v>0</v>
      </c>
    </row>
    <row r="485" spans="1:2" x14ac:dyDescent="0.35">
      <c r="A485" t="s">
        <v>448</v>
      </c>
    </row>
    <row r="486" spans="1:2" x14ac:dyDescent="0.35">
      <c r="A486" t="s">
        <v>449</v>
      </c>
      <c r="B486" t="b">
        <v>0</v>
      </c>
    </row>
    <row r="487" spans="1:2" x14ac:dyDescent="0.35">
      <c r="A487" t="s">
        <v>69</v>
      </c>
    </row>
    <row r="488" spans="1:2" x14ac:dyDescent="0.35">
      <c r="A488" t="s">
        <v>1025</v>
      </c>
    </row>
    <row r="489" spans="1:2" x14ac:dyDescent="0.35">
      <c r="A489" t="s">
        <v>70</v>
      </c>
    </row>
    <row r="490" spans="1:2" x14ac:dyDescent="0.35">
      <c r="A490" t="s">
        <v>314</v>
      </c>
    </row>
    <row r="491" spans="1:2" x14ac:dyDescent="0.35">
      <c r="A491" t="s">
        <v>315</v>
      </c>
    </row>
    <row r="492" spans="1:2" x14ac:dyDescent="0.35">
      <c r="A492" t="s">
        <v>807</v>
      </c>
    </row>
    <row r="493" spans="1:2" x14ac:dyDescent="0.35">
      <c r="A493" t="s">
        <v>808</v>
      </c>
    </row>
    <row r="494" spans="1:2" x14ac:dyDescent="0.35">
      <c r="A494" t="s">
        <v>809</v>
      </c>
    </row>
    <row r="495" spans="1:2" x14ac:dyDescent="0.35">
      <c r="A495" t="s">
        <v>421</v>
      </c>
    </row>
    <row r="496" spans="1:2" x14ac:dyDescent="0.35">
      <c r="A496" t="s">
        <v>422</v>
      </c>
    </row>
    <row r="497" spans="1:1" x14ac:dyDescent="0.35">
      <c r="A497" t="s">
        <v>423</v>
      </c>
    </row>
    <row r="498" spans="1:1" x14ac:dyDescent="0.35">
      <c r="A498" t="s">
        <v>424</v>
      </c>
    </row>
    <row r="499" spans="1:1" x14ac:dyDescent="0.35">
      <c r="A499" t="s">
        <v>425</v>
      </c>
    </row>
    <row r="500" spans="1:1" x14ac:dyDescent="0.35">
      <c r="A500" t="s">
        <v>555</v>
      </c>
    </row>
    <row r="501" spans="1:1" x14ac:dyDescent="0.35">
      <c r="A501" t="s">
        <v>450</v>
      </c>
    </row>
    <row r="502" spans="1:1" x14ac:dyDescent="0.35">
      <c r="A502" t="s">
        <v>451</v>
      </c>
    </row>
    <row r="503" spans="1:1" x14ac:dyDescent="0.35">
      <c r="A503" t="s">
        <v>452</v>
      </c>
    </row>
    <row r="504" spans="1:1" x14ac:dyDescent="0.35">
      <c r="A504" t="s">
        <v>428</v>
      </c>
    </row>
    <row r="505" spans="1:1" x14ac:dyDescent="0.35">
      <c r="A505" t="s">
        <v>429</v>
      </c>
    </row>
    <row r="506" spans="1:1" x14ac:dyDescent="0.35">
      <c r="A506" t="s">
        <v>870</v>
      </c>
    </row>
    <row r="507" spans="1:1" x14ac:dyDescent="0.35">
      <c r="A507" t="s">
        <v>871</v>
      </c>
    </row>
    <row r="508" spans="1:1" x14ac:dyDescent="0.35">
      <c r="A508" t="s">
        <v>802</v>
      </c>
    </row>
    <row r="509" spans="1:1" x14ac:dyDescent="0.35">
      <c r="A509" t="s">
        <v>803</v>
      </c>
    </row>
    <row r="510" spans="1:1" x14ac:dyDescent="0.35">
      <c r="A510" t="s">
        <v>804</v>
      </c>
    </row>
    <row r="511" spans="1:1" x14ac:dyDescent="0.35">
      <c r="A511" t="s">
        <v>339</v>
      </c>
    </row>
    <row r="512" spans="1:1" x14ac:dyDescent="0.35">
      <c r="A512" t="s">
        <v>340</v>
      </c>
    </row>
    <row r="513" spans="1:2" x14ac:dyDescent="0.35">
      <c r="A513" t="s">
        <v>341</v>
      </c>
    </row>
    <row r="514" spans="1:2" x14ac:dyDescent="0.35">
      <c r="A514" t="s">
        <v>342</v>
      </c>
    </row>
    <row r="515" spans="1:2" x14ac:dyDescent="0.35">
      <c r="A515" t="s">
        <v>343</v>
      </c>
    </row>
    <row r="516" spans="1:2" x14ac:dyDescent="0.35">
      <c r="A516" t="s">
        <v>472</v>
      </c>
    </row>
    <row r="517" spans="1:2" x14ac:dyDescent="0.35">
      <c r="A517" t="s">
        <v>467</v>
      </c>
    </row>
    <row r="518" spans="1:2" x14ac:dyDescent="0.35">
      <c r="A518" t="s">
        <v>468</v>
      </c>
    </row>
    <row r="519" spans="1:2" x14ac:dyDescent="0.35">
      <c r="A519" t="s">
        <v>469</v>
      </c>
    </row>
    <row r="520" spans="1:2" x14ac:dyDescent="0.35">
      <c r="A520" t="s">
        <v>470</v>
      </c>
    </row>
    <row r="521" spans="1:2" x14ac:dyDescent="0.35">
      <c r="A521" t="s">
        <v>471</v>
      </c>
    </row>
    <row r="522" spans="1:2" x14ac:dyDescent="0.35">
      <c r="A522" t="s">
        <v>817</v>
      </c>
    </row>
    <row r="523" spans="1:2" x14ac:dyDescent="0.35">
      <c r="A523" t="s">
        <v>943</v>
      </c>
    </row>
    <row r="524" spans="1:2" x14ac:dyDescent="0.35">
      <c r="A524" t="s">
        <v>551</v>
      </c>
      <c r="B524">
        <v>41363</v>
      </c>
    </row>
    <row r="525" spans="1:2" x14ac:dyDescent="0.35">
      <c r="A525" t="s">
        <v>254</v>
      </c>
      <c r="B525">
        <v>1</v>
      </c>
    </row>
    <row r="526" spans="1:2" x14ac:dyDescent="0.35">
      <c r="A526" t="s">
        <v>901</v>
      </c>
      <c r="B526">
        <v>1</v>
      </c>
    </row>
    <row r="527" spans="1:2" x14ac:dyDescent="0.35">
      <c r="A527" t="s">
        <v>902</v>
      </c>
      <c r="B527">
        <v>1</v>
      </c>
    </row>
    <row r="528" spans="1:2" x14ac:dyDescent="0.35">
      <c r="A528" t="s">
        <v>903</v>
      </c>
      <c r="B528">
        <v>1</v>
      </c>
    </row>
    <row r="529" spans="1:2" x14ac:dyDescent="0.35">
      <c r="A529" t="s">
        <v>904</v>
      </c>
      <c r="B529">
        <v>1</v>
      </c>
    </row>
    <row r="530" spans="1:2" x14ac:dyDescent="0.35">
      <c r="A530" t="s">
        <v>905</v>
      </c>
      <c r="B530">
        <v>1</v>
      </c>
    </row>
    <row r="531" spans="1:2" x14ac:dyDescent="0.35">
      <c r="A531" t="s">
        <v>994</v>
      </c>
    </row>
    <row r="532" spans="1:2" x14ac:dyDescent="0.35">
      <c r="A532" t="s">
        <v>825</v>
      </c>
    </row>
    <row r="533" spans="1:2" x14ac:dyDescent="0.35">
      <c r="A533" t="s">
        <v>665</v>
      </c>
    </row>
    <row r="534" spans="1:2" x14ac:dyDescent="0.35">
      <c r="A534" t="s">
        <v>158</v>
      </c>
    </row>
    <row r="535" spans="1:2" x14ac:dyDescent="0.35">
      <c r="A535" t="s">
        <v>161</v>
      </c>
    </row>
    <row r="536" spans="1:2" x14ac:dyDescent="0.35">
      <c r="A536" t="s">
        <v>160</v>
      </c>
    </row>
    <row r="537" spans="1:2" x14ac:dyDescent="0.35">
      <c r="A537" t="s">
        <v>157</v>
      </c>
    </row>
    <row r="538" spans="1:2" x14ac:dyDescent="0.35">
      <c r="A538" t="s">
        <v>156</v>
      </c>
    </row>
    <row r="539" spans="1:2" x14ac:dyDescent="0.35">
      <c r="A539" t="s">
        <v>159</v>
      </c>
    </row>
    <row r="540" spans="1:2" x14ac:dyDescent="0.35">
      <c r="A540" t="s">
        <v>162</v>
      </c>
    </row>
    <row r="541" spans="1:2" x14ac:dyDescent="0.35">
      <c r="A541" t="s">
        <v>671</v>
      </c>
    </row>
    <row r="542" spans="1:2" x14ac:dyDescent="0.35">
      <c r="A542" t="s">
        <v>672</v>
      </c>
    </row>
    <row r="543" spans="1:2" x14ac:dyDescent="0.35">
      <c r="A543" t="s">
        <v>673</v>
      </c>
    </row>
    <row r="544" spans="1:2" x14ac:dyDescent="0.35">
      <c r="A544" t="s">
        <v>674</v>
      </c>
    </row>
    <row r="545" spans="1:1" x14ac:dyDescent="0.35">
      <c r="A545" t="s">
        <v>1113</v>
      </c>
    </row>
    <row r="546" spans="1:1" x14ac:dyDescent="0.35">
      <c r="A546" t="s">
        <v>1114</v>
      </c>
    </row>
    <row r="547" spans="1:1" x14ac:dyDescent="0.35">
      <c r="A547" t="s">
        <v>1115</v>
      </c>
    </row>
    <row r="548" spans="1:1" x14ac:dyDescent="0.35">
      <c r="A548" t="s">
        <v>1116</v>
      </c>
    </row>
    <row r="549" spans="1:1" x14ac:dyDescent="0.35">
      <c r="A549" t="s">
        <v>617</v>
      </c>
    </row>
    <row r="550" spans="1:1" x14ac:dyDescent="0.35">
      <c r="A550" t="s">
        <v>1018</v>
      </c>
    </row>
    <row r="551" spans="1:1" x14ac:dyDescent="0.35">
      <c r="A551" t="s">
        <v>1019</v>
      </c>
    </row>
    <row r="552" spans="1:1" x14ac:dyDescent="0.35">
      <c r="A552" t="s">
        <v>1020</v>
      </c>
    </row>
    <row r="553" spans="1:1" x14ac:dyDescent="0.35">
      <c r="A553" t="s">
        <v>595</v>
      </c>
    </row>
    <row r="554" spans="1:1" x14ac:dyDescent="0.35">
      <c r="A554" t="s">
        <v>596</v>
      </c>
    </row>
    <row r="555" spans="1:1" x14ac:dyDescent="0.35">
      <c r="A555" t="s">
        <v>597</v>
      </c>
    </row>
    <row r="556" spans="1:1" x14ac:dyDescent="0.35">
      <c r="A556" t="s">
        <v>598</v>
      </c>
    </row>
    <row r="557" spans="1:1" x14ac:dyDescent="0.35">
      <c r="A557" t="s">
        <v>599</v>
      </c>
    </row>
    <row r="558" spans="1:1" x14ac:dyDescent="0.35">
      <c r="A558" t="s">
        <v>600</v>
      </c>
    </row>
    <row r="559" spans="1:1" x14ac:dyDescent="0.35">
      <c r="A559" t="s">
        <v>601</v>
      </c>
    </row>
    <row r="560" spans="1:1" x14ac:dyDescent="0.35">
      <c r="A560" t="s">
        <v>602</v>
      </c>
    </row>
    <row r="561" spans="1:2" x14ac:dyDescent="0.35">
      <c r="A561" t="s">
        <v>539</v>
      </c>
      <c r="B561" t="b">
        <v>0</v>
      </c>
    </row>
    <row r="562" spans="1:2" x14ac:dyDescent="0.35">
      <c r="A562" t="s">
        <v>1026</v>
      </c>
      <c r="B562">
        <v>1</v>
      </c>
    </row>
    <row r="563" spans="1:2" x14ac:dyDescent="0.35">
      <c r="A563" t="s">
        <v>549</v>
      </c>
      <c r="B563">
        <v>1</v>
      </c>
    </row>
    <row r="564" spans="1:2" x14ac:dyDescent="0.35">
      <c r="A564" t="s">
        <v>827</v>
      </c>
    </row>
    <row r="565" spans="1:2" x14ac:dyDescent="0.35">
      <c r="A565" t="s">
        <v>828</v>
      </c>
    </row>
    <row r="566" spans="1:2" x14ac:dyDescent="0.35">
      <c r="A566" t="s">
        <v>829</v>
      </c>
    </row>
    <row r="567" spans="1:2" x14ac:dyDescent="0.35">
      <c r="A567" t="s">
        <v>830</v>
      </c>
    </row>
    <row r="568" spans="1:2" x14ac:dyDescent="0.35">
      <c r="A568" t="s">
        <v>831</v>
      </c>
    </row>
    <row r="569" spans="1:2" x14ac:dyDescent="0.35">
      <c r="A569" t="s">
        <v>832</v>
      </c>
    </row>
    <row r="570" spans="1:2" x14ac:dyDescent="0.35">
      <c r="A570" t="s">
        <v>518</v>
      </c>
    </row>
    <row r="571" spans="1:2" x14ac:dyDescent="0.35">
      <c r="A571" t="s">
        <v>1041</v>
      </c>
    </row>
    <row r="572" spans="1:2" x14ac:dyDescent="0.35">
      <c r="A572" t="s">
        <v>1042</v>
      </c>
    </row>
    <row r="573" spans="1:2" x14ac:dyDescent="0.35">
      <c r="A573" t="s">
        <v>823</v>
      </c>
      <c r="B573">
        <v>0</v>
      </c>
    </row>
    <row r="574" spans="1:2" x14ac:dyDescent="0.35">
      <c r="A574" t="s">
        <v>794</v>
      </c>
      <c r="B574">
        <v>1</v>
      </c>
    </row>
    <row r="575" spans="1:2" x14ac:dyDescent="0.35">
      <c r="A575" t="s">
        <v>1112</v>
      </c>
      <c r="B575">
        <v>1</v>
      </c>
    </row>
    <row r="576" spans="1:2" x14ac:dyDescent="0.35">
      <c r="A576" t="s">
        <v>1027</v>
      </c>
    </row>
    <row r="577" spans="1:1" x14ac:dyDescent="0.35">
      <c r="A577" t="s">
        <v>433</v>
      </c>
    </row>
    <row r="578" spans="1:1" x14ac:dyDescent="0.35">
      <c r="A578" t="s">
        <v>434</v>
      </c>
    </row>
    <row r="579" spans="1:1" x14ac:dyDescent="0.35">
      <c r="A579" t="s">
        <v>435</v>
      </c>
    </row>
    <row r="580" spans="1:1" x14ac:dyDescent="0.35">
      <c r="A580" t="s">
        <v>436</v>
      </c>
    </row>
    <row r="581" spans="1:1" x14ac:dyDescent="0.35">
      <c r="A581" t="s">
        <v>437</v>
      </c>
    </row>
    <row r="582" spans="1:1" x14ac:dyDescent="0.35">
      <c r="A582" t="s">
        <v>438</v>
      </c>
    </row>
    <row r="583" spans="1:1" x14ac:dyDescent="0.35">
      <c r="A583" t="s">
        <v>439</v>
      </c>
    </row>
    <row r="584" spans="1:1" x14ac:dyDescent="0.35">
      <c r="A584" t="s">
        <v>440</v>
      </c>
    </row>
    <row r="585" spans="1:1" x14ac:dyDescent="0.35">
      <c r="A585" t="s">
        <v>441</v>
      </c>
    </row>
    <row r="586" spans="1:1" x14ac:dyDescent="0.35">
      <c r="A586" t="s">
        <v>49</v>
      </c>
    </row>
    <row r="587" spans="1:1" x14ac:dyDescent="0.35">
      <c r="A587" t="s">
        <v>50</v>
      </c>
    </row>
    <row r="588" spans="1:1" x14ac:dyDescent="0.35">
      <c r="A588" t="s">
        <v>51</v>
      </c>
    </row>
    <row r="589" spans="1:1" x14ac:dyDescent="0.35">
      <c r="A589" t="s">
        <v>52</v>
      </c>
    </row>
    <row r="590" spans="1:1" x14ac:dyDescent="0.35">
      <c r="A590" t="s">
        <v>53</v>
      </c>
    </row>
    <row r="591" spans="1:1" x14ac:dyDescent="0.35">
      <c r="A591" t="s">
        <v>54</v>
      </c>
    </row>
    <row r="592" spans="1:1" x14ac:dyDescent="0.35">
      <c r="A592" t="s">
        <v>55</v>
      </c>
    </row>
    <row r="593" spans="1:2" x14ac:dyDescent="0.35">
      <c r="A593" t="s">
        <v>56</v>
      </c>
    </row>
    <row r="594" spans="1:2" x14ac:dyDescent="0.35">
      <c r="A594" t="s">
        <v>57</v>
      </c>
    </row>
    <row r="595" spans="1:2" x14ac:dyDescent="0.35">
      <c r="A595" t="s">
        <v>58</v>
      </c>
    </row>
    <row r="596" spans="1:2" x14ac:dyDescent="0.35">
      <c r="A596" t="s">
        <v>59</v>
      </c>
    </row>
    <row r="597" spans="1:2" x14ac:dyDescent="0.35">
      <c r="A597" t="s">
        <v>1153</v>
      </c>
      <c r="B597">
        <v>1500</v>
      </c>
    </row>
    <row r="598" spans="1:2" x14ac:dyDescent="0.35">
      <c r="A598" t="s">
        <v>1154</v>
      </c>
      <c r="B598">
        <v>1500</v>
      </c>
    </row>
    <row r="599" spans="1:2" x14ac:dyDescent="0.35">
      <c r="A599" t="s">
        <v>1155</v>
      </c>
      <c r="B599">
        <v>1500</v>
      </c>
    </row>
    <row r="600" spans="1:2" x14ac:dyDescent="0.35">
      <c r="A600" t="s">
        <v>1156</v>
      </c>
      <c r="B600">
        <v>1500</v>
      </c>
    </row>
    <row r="601" spans="1:2" x14ac:dyDescent="0.35">
      <c r="A601" t="s">
        <v>34</v>
      </c>
      <c r="B601">
        <v>1500</v>
      </c>
    </row>
    <row r="602" spans="1:2" x14ac:dyDescent="0.35">
      <c r="A602" t="s">
        <v>35</v>
      </c>
      <c r="B602">
        <v>1500</v>
      </c>
    </row>
    <row r="603" spans="1:2" x14ac:dyDescent="0.35">
      <c r="A603" t="s">
        <v>36</v>
      </c>
      <c r="B603">
        <v>1500</v>
      </c>
    </row>
    <row r="604" spans="1:2" x14ac:dyDescent="0.35">
      <c r="A604" t="s">
        <v>37</v>
      </c>
      <c r="B604">
        <v>1500</v>
      </c>
    </row>
    <row r="605" spans="1:2" x14ac:dyDescent="0.35">
      <c r="A605" t="s">
        <v>38</v>
      </c>
      <c r="B605">
        <v>1500</v>
      </c>
    </row>
    <row r="606" spans="1:2" x14ac:dyDescent="0.35">
      <c r="A606" t="s">
        <v>480</v>
      </c>
      <c r="B606">
        <v>1500</v>
      </c>
    </row>
    <row r="607" spans="1:2" x14ac:dyDescent="0.35">
      <c r="A607" t="s">
        <v>481</v>
      </c>
      <c r="B607">
        <v>1500</v>
      </c>
    </row>
    <row r="608" spans="1:2" x14ac:dyDescent="0.35">
      <c r="A608" t="s">
        <v>482</v>
      </c>
      <c r="B608">
        <v>1500</v>
      </c>
    </row>
    <row r="609" spans="1:2" x14ac:dyDescent="0.35">
      <c r="A609" t="s">
        <v>64</v>
      </c>
      <c r="B609">
        <v>1500</v>
      </c>
    </row>
    <row r="610" spans="1:2" x14ac:dyDescent="0.35">
      <c r="A610" t="s">
        <v>65</v>
      </c>
      <c r="B610">
        <v>1500</v>
      </c>
    </row>
    <row r="611" spans="1:2" x14ac:dyDescent="0.35">
      <c r="A611" t="s">
        <v>66</v>
      </c>
      <c r="B611">
        <v>1500</v>
      </c>
    </row>
    <row r="612" spans="1:2" x14ac:dyDescent="0.35">
      <c r="A612" t="s">
        <v>67</v>
      </c>
      <c r="B612">
        <v>1500</v>
      </c>
    </row>
    <row r="613" spans="1:2" x14ac:dyDescent="0.35">
      <c r="A613" t="s">
        <v>742</v>
      </c>
      <c r="B613">
        <v>1500</v>
      </c>
    </row>
    <row r="614" spans="1:2" x14ac:dyDescent="0.35">
      <c r="A614" t="s">
        <v>743</v>
      </c>
      <c r="B614">
        <v>1500</v>
      </c>
    </row>
    <row r="615" spans="1:2" x14ac:dyDescent="0.35">
      <c r="A615" t="s">
        <v>744</v>
      </c>
      <c r="B615">
        <v>1500</v>
      </c>
    </row>
    <row r="616" spans="1:2" x14ac:dyDescent="0.35">
      <c r="A616" t="s">
        <v>745</v>
      </c>
      <c r="B616">
        <v>1500</v>
      </c>
    </row>
    <row r="617" spans="1:2" x14ac:dyDescent="0.35">
      <c r="A617" t="s">
        <v>585</v>
      </c>
      <c r="B617">
        <v>1</v>
      </c>
    </row>
    <row r="618" spans="1:2" x14ac:dyDescent="0.35">
      <c r="A618" t="s">
        <v>1028</v>
      </c>
    </row>
    <row r="619" spans="1:2" x14ac:dyDescent="0.35">
      <c r="A619" t="s">
        <v>1029</v>
      </c>
      <c r="B619" t="b">
        <v>0</v>
      </c>
    </row>
    <row r="620" spans="1:2" x14ac:dyDescent="0.35">
      <c r="A620" t="s">
        <v>1030</v>
      </c>
      <c r="B620">
        <v>1</v>
      </c>
    </row>
    <row r="621" spans="1:2" x14ac:dyDescent="0.35">
      <c r="A621" t="s">
        <v>410</v>
      </c>
      <c r="B621">
        <v>0</v>
      </c>
    </row>
    <row r="622" spans="1:2" x14ac:dyDescent="0.35">
      <c r="A622" t="s">
        <v>906</v>
      </c>
    </row>
    <row r="623" spans="1:2" x14ac:dyDescent="0.35">
      <c r="A623" t="s">
        <v>907</v>
      </c>
    </row>
    <row r="624" spans="1:2" x14ac:dyDescent="0.35">
      <c r="A624" t="s">
        <v>556</v>
      </c>
    </row>
    <row r="625" spans="1:2" x14ac:dyDescent="0.35">
      <c r="A625" t="s">
        <v>553</v>
      </c>
      <c r="B625" t="s">
        <v>747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/>
  <dimension ref="A1:T605"/>
  <sheetViews>
    <sheetView zoomScaleNormal="100" workbookViewId="0">
      <pane xSplit="1" ySplit="1" topLeftCell="B527" activePane="bottomRight" state="frozen"/>
      <selection pane="topRight" activeCell="B1" sqref="B1"/>
      <selection pane="bottomLeft" activeCell="A2" sqref="A2"/>
      <selection pane="bottomRight" activeCell="A544" sqref="A544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customWidth="1"/>
    <col min="7" max="7" width="18.59765625" customWidth="1"/>
  </cols>
  <sheetData>
    <row r="1" spans="1:20" x14ac:dyDescent="0.35">
      <c r="A1" t="s">
        <v>456</v>
      </c>
      <c r="B1" t="s">
        <v>457</v>
      </c>
      <c r="C1" t="s">
        <v>629</v>
      </c>
      <c r="T1">
        <v>1.1000000000000001</v>
      </c>
    </row>
    <row r="2" spans="1:20" x14ac:dyDescent="0.35">
      <c r="A2" t="s">
        <v>1229</v>
      </c>
      <c r="B2" t="s">
        <v>746</v>
      </c>
      <c r="C2" t="s">
        <v>746</v>
      </c>
    </row>
    <row r="3" spans="1:20" x14ac:dyDescent="0.35">
      <c r="A3" t="s">
        <v>1230</v>
      </c>
      <c r="B3" t="s">
        <v>747</v>
      </c>
      <c r="C3" t="s">
        <v>747</v>
      </c>
    </row>
    <row r="4" spans="1:20" x14ac:dyDescent="0.35">
      <c r="A4" t="s">
        <v>980</v>
      </c>
      <c r="B4" t="b">
        <v>0</v>
      </c>
      <c r="C4" t="b">
        <v>0</v>
      </c>
    </row>
    <row r="5" spans="1:20" x14ac:dyDescent="0.35">
      <c r="A5" t="s">
        <v>981</v>
      </c>
    </row>
    <row r="6" spans="1:20" x14ac:dyDescent="0.35">
      <c r="A6" t="s">
        <v>753</v>
      </c>
      <c r="B6" t="b">
        <v>1</v>
      </c>
      <c r="C6" t="b">
        <v>1</v>
      </c>
    </row>
    <row r="7" spans="1:20" x14ac:dyDescent="0.35">
      <c r="A7" t="s">
        <v>1032</v>
      </c>
    </row>
    <row r="8" spans="1:20" x14ac:dyDescent="0.35">
      <c r="A8" t="s">
        <v>938</v>
      </c>
    </row>
    <row r="9" spans="1:20" x14ac:dyDescent="0.35">
      <c r="A9" t="s">
        <v>939</v>
      </c>
      <c r="B9">
        <v>8</v>
      </c>
    </row>
    <row r="10" spans="1:20" x14ac:dyDescent="0.35">
      <c r="A10" t="s">
        <v>940</v>
      </c>
    </row>
    <row r="11" spans="1:20" x14ac:dyDescent="0.35">
      <c r="A11" t="s">
        <v>941</v>
      </c>
    </row>
    <row r="12" spans="1:20" x14ac:dyDescent="0.35">
      <c r="A12" t="s">
        <v>961</v>
      </c>
    </row>
    <row r="13" spans="1:20" x14ac:dyDescent="0.35">
      <c r="A13" t="s">
        <v>962</v>
      </c>
      <c r="B13">
        <v>3</v>
      </c>
    </row>
    <row r="14" spans="1:20" x14ac:dyDescent="0.35">
      <c r="A14" t="s">
        <v>977</v>
      </c>
    </row>
    <row r="15" spans="1:20" x14ac:dyDescent="0.35">
      <c r="A15" t="s">
        <v>978</v>
      </c>
    </row>
    <row r="16" spans="1:20" x14ac:dyDescent="0.35">
      <c r="A16" t="s">
        <v>979</v>
      </c>
    </row>
    <row r="17" spans="1:2" x14ac:dyDescent="0.35">
      <c r="A17" t="s">
        <v>105</v>
      </c>
      <c r="B17">
        <v>1</v>
      </c>
    </row>
    <row r="18" spans="1:2" x14ac:dyDescent="0.35">
      <c r="A18" t="s">
        <v>106</v>
      </c>
      <c r="B18">
        <v>1</v>
      </c>
    </row>
    <row r="19" spans="1:2" x14ac:dyDescent="0.35">
      <c r="A19" t="s">
        <v>107</v>
      </c>
    </row>
    <row r="20" spans="1:2" x14ac:dyDescent="0.35">
      <c r="A20" t="s">
        <v>108</v>
      </c>
    </row>
    <row r="21" spans="1:2" x14ac:dyDescent="0.35">
      <c r="A21" t="s">
        <v>39</v>
      </c>
    </row>
    <row r="22" spans="1:2" x14ac:dyDescent="0.35">
      <c r="A22" t="s">
        <v>40</v>
      </c>
    </row>
    <row r="23" spans="1:2" x14ac:dyDescent="0.35">
      <c r="A23" t="s">
        <v>908</v>
      </c>
    </row>
    <row r="24" spans="1:2" x14ac:dyDescent="0.35">
      <c r="A24" t="s">
        <v>909</v>
      </c>
    </row>
    <row r="25" spans="1:2" x14ac:dyDescent="0.35">
      <c r="A25" t="s">
        <v>910</v>
      </c>
    </row>
    <row r="26" spans="1:2" x14ac:dyDescent="0.35">
      <c r="A26" t="s">
        <v>911</v>
      </c>
    </row>
    <row r="27" spans="1:2" x14ac:dyDescent="0.35">
      <c r="A27" t="s">
        <v>562</v>
      </c>
    </row>
    <row r="28" spans="1:2" x14ac:dyDescent="0.35">
      <c r="A28" t="s">
        <v>563</v>
      </c>
      <c r="B28">
        <v>1</v>
      </c>
    </row>
    <row r="29" spans="1:2" x14ac:dyDescent="0.35">
      <c r="A29" t="s">
        <v>564</v>
      </c>
    </row>
    <row r="30" spans="1:2" x14ac:dyDescent="0.35">
      <c r="A30" t="s">
        <v>565</v>
      </c>
    </row>
    <row r="31" spans="1:2" x14ac:dyDescent="0.35">
      <c r="A31" t="s">
        <v>79</v>
      </c>
      <c r="B31">
        <v>5</v>
      </c>
    </row>
    <row r="32" spans="1:2" x14ac:dyDescent="0.35">
      <c r="A32" t="s">
        <v>80</v>
      </c>
      <c r="B32">
        <v>1</v>
      </c>
    </row>
    <row r="33" spans="1:2" x14ac:dyDescent="0.35">
      <c r="A33" t="s">
        <v>81</v>
      </c>
      <c r="B33">
        <v>1</v>
      </c>
    </row>
    <row r="34" spans="1:2" x14ac:dyDescent="0.35">
      <c r="A34" t="s">
        <v>82</v>
      </c>
      <c r="B34">
        <v>2</v>
      </c>
    </row>
    <row r="35" spans="1:2" x14ac:dyDescent="0.35">
      <c r="A35" t="s">
        <v>83</v>
      </c>
      <c r="B35">
        <v>1</v>
      </c>
    </row>
    <row r="36" spans="1:2" x14ac:dyDescent="0.35">
      <c r="A36" t="s">
        <v>182</v>
      </c>
    </row>
    <row r="37" spans="1:2" x14ac:dyDescent="0.35">
      <c r="A37" t="s">
        <v>183</v>
      </c>
      <c r="B37" t="s">
        <v>1271</v>
      </c>
    </row>
    <row r="38" spans="1:2" x14ac:dyDescent="0.35">
      <c r="A38" t="s">
        <v>184</v>
      </c>
      <c r="B38" t="s">
        <v>465</v>
      </c>
    </row>
    <row r="39" spans="1:2" x14ac:dyDescent="0.35">
      <c r="A39" t="s">
        <v>185</v>
      </c>
    </row>
    <row r="40" spans="1:2" x14ac:dyDescent="0.35">
      <c r="A40" t="s">
        <v>186</v>
      </c>
    </row>
    <row r="41" spans="1:2" x14ac:dyDescent="0.35">
      <c r="A41" t="s">
        <v>187</v>
      </c>
    </row>
    <row r="42" spans="1:2" x14ac:dyDescent="0.35">
      <c r="A42" t="s">
        <v>188</v>
      </c>
    </row>
    <row r="43" spans="1:2" x14ac:dyDescent="0.35">
      <c r="A43" t="s">
        <v>189</v>
      </c>
    </row>
    <row r="44" spans="1:2" x14ac:dyDescent="0.35">
      <c r="A44" t="s">
        <v>190</v>
      </c>
    </row>
    <row r="45" spans="1:2" x14ac:dyDescent="0.35">
      <c r="A45" t="s">
        <v>191</v>
      </c>
    </row>
    <row r="46" spans="1:2" x14ac:dyDescent="0.35">
      <c r="A46" t="s">
        <v>192</v>
      </c>
    </row>
    <row r="47" spans="1:2" x14ac:dyDescent="0.35">
      <c r="A47" t="s">
        <v>193</v>
      </c>
    </row>
    <row r="48" spans="1:2" x14ac:dyDescent="0.35">
      <c r="A48" t="s">
        <v>194</v>
      </c>
      <c r="B48" t="s">
        <v>1271</v>
      </c>
    </row>
    <row r="49" spans="1:3" x14ac:dyDescent="0.35">
      <c r="A49" t="s">
        <v>195</v>
      </c>
    </row>
    <row r="50" spans="1:3" x14ac:dyDescent="0.35">
      <c r="A50" t="s">
        <v>196</v>
      </c>
    </row>
    <row r="51" spans="1:3" x14ac:dyDescent="0.35">
      <c r="A51" t="s">
        <v>197</v>
      </c>
      <c r="B51" t="s">
        <v>465</v>
      </c>
    </row>
    <row r="52" spans="1:3" x14ac:dyDescent="0.35">
      <c r="A52" t="s">
        <v>198</v>
      </c>
      <c r="B52" t="s">
        <v>465</v>
      </c>
    </row>
    <row r="53" spans="1:3" x14ac:dyDescent="0.35">
      <c r="A53" t="s">
        <v>199</v>
      </c>
      <c r="B53" t="s">
        <v>465</v>
      </c>
    </row>
    <row r="54" spans="1:3" x14ac:dyDescent="0.35">
      <c r="A54" t="s">
        <v>590</v>
      </c>
      <c r="B54" t="s">
        <v>1272</v>
      </c>
    </row>
    <row r="55" spans="1:3" x14ac:dyDescent="0.35">
      <c r="A55" t="s">
        <v>591</v>
      </c>
      <c r="B55" t="s">
        <v>1271</v>
      </c>
    </row>
    <row r="56" spans="1:3" x14ac:dyDescent="0.35">
      <c r="A56" t="s">
        <v>612</v>
      </c>
    </row>
    <row r="57" spans="1:3" x14ac:dyDescent="0.35">
      <c r="A57" t="s">
        <v>402</v>
      </c>
      <c r="B57">
        <v>24</v>
      </c>
      <c r="C57">
        <v>1</v>
      </c>
    </row>
    <row r="58" spans="1:3" x14ac:dyDescent="0.35">
      <c r="A58" t="s">
        <v>403</v>
      </c>
      <c r="B58">
        <v>1</v>
      </c>
    </row>
    <row r="59" spans="1:3" x14ac:dyDescent="0.35">
      <c r="A59" t="s">
        <v>404</v>
      </c>
    </row>
    <row r="60" spans="1:3" x14ac:dyDescent="0.35">
      <c r="A60" t="s">
        <v>405</v>
      </c>
    </row>
    <row r="61" spans="1:3" x14ac:dyDescent="0.35">
      <c r="A61" t="s">
        <v>554</v>
      </c>
      <c r="B61">
        <v>41732</v>
      </c>
      <c r="C61">
        <v>40909</v>
      </c>
    </row>
    <row r="62" spans="1:3" x14ac:dyDescent="0.35">
      <c r="A62" t="s">
        <v>759</v>
      </c>
      <c r="B62">
        <v>50</v>
      </c>
      <c r="C62">
        <v>100</v>
      </c>
    </row>
    <row r="63" spans="1:3" x14ac:dyDescent="0.35">
      <c r="A63" t="s">
        <v>392</v>
      </c>
      <c r="B63">
        <v>1</v>
      </c>
      <c r="C63">
        <v>1</v>
      </c>
    </row>
    <row r="64" spans="1:3" x14ac:dyDescent="0.35">
      <c r="A64" t="s">
        <v>393</v>
      </c>
      <c r="B64">
        <v>17</v>
      </c>
      <c r="C64">
        <v>1</v>
      </c>
    </row>
    <row r="65" spans="1:3" x14ac:dyDescent="0.35">
      <c r="A65" t="s">
        <v>394</v>
      </c>
      <c r="B65">
        <v>18</v>
      </c>
      <c r="C65">
        <v>1</v>
      </c>
    </row>
    <row r="66" spans="1:3" x14ac:dyDescent="0.35">
      <c r="A66" t="s">
        <v>395</v>
      </c>
      <c r="B66">
        <v>1</v>
      </c>
      <c r="C66">
        <v>1</v>
      </c>
    </row>
    <row r="67" spans="1:3" x14ac:dyDescent="0.35">
      <c r="A67" t="s">
        <v>396</v>
      </c>
      <c r="B67">
        <v>1</v>
      </c>
      <c r="C67">
        <v>1</v>
      </c>
    </row>
    <row r="68" spans="1:3" x14ac:dyDescent="0.35">
      <c r="A68" t="s">
        <v>986</v>
      </c>
      <c r="B68">
        <v>1</v>
      </c>
      <c r="C68">
        <v>1</v>
      </c>
    </row>
    <row r="69" spans="1:3" x14ac:dyDescent="0.35">
      <c r="A69" t="s">
        <v>365</v>
      </c>
      <c r="B69" t="b">
        <v>0</v>
      </c>
      <c r="C69" t="b">
        <v>0</v>
      </c>
    </row>
    <row r="70" spans="1:3" x14ac:dyDescent="0.35">
      <c r="A70" t="s">
        <v>955</v>
      </c>
    </row>
    <row r="71" spans="1:3" x14ac:dyDescent="0.35">
      <c r="A71" t="s">
        <v>366</v>
      </c>
    </row>
    <row r="72" spans="1:3" x14ac:dyDescent="0.35">
      <c r="A72" t="s">
        <v>956</v>
      </c>
    </row>
    <row r="73" spans="1:3" x14ac:dyDescent="0.35">
      <c r="A73" t="s">
        <v>406</v>
      </c>
      <c r="B73">
        <v>32</v>
      </c>
      <c r="C73">
        <v>1</v>
      </c>
    </row>
    <row r="74" spans="1:3" x14ac:dyDescent="0.35">
      <c r="A74" t="s">
        <v>407</v>
      </c>
      <c r="B74">
        <v>1</v>
      </c>
    </row>
    <row r="75" spans="1:3" x14ac:dyDescent="0.35">
      <c r="A75" t="s">
        <v>408</v>
      </c>
    </row>
    <row r="76" spans="1:3" x14ac:dyDescent="0.35">
      <c r="A76" t="s">
        <v>409</v>
      </c>
    </row>
    <row r="77" spans="1:3" x14ac:dyDescent="0.35">
      <c r="A77" t="s">
        <v>838</v>
      </c>
      <c r="B77" t="b">
        <v>0</v>
      </c>
      <c r="C77" t="b">
        <v>0</v>
      </c>
    </row>
    <row r="78" spans="1:3" x14ac:dyDescent="0.35">
      <c r="A78" t="s">
        <v>87</v>
      </c>
    </row>
    <row r="79" spans="1:3" x14ac:dyDescent="0.35">
      <c r="A79" t="s">
        <v>287</v>
      </c>
      <c r="B79" t="b">
        <v>0</v>
      </c>
    </row>
    <row r="80" spans="1:3" x14ac:dyDescent="0.35">
      <c r="A80" t="s">
        <v>679</v>
      </c>
    </row>
    <row r="81" spans="1:2" x14ac:dyDescent="0.35">
      <c r="A81" t="s">
        <v>680</v>
      </c>
    </row>
    <row r="82" spans="1:2" x14ac:dyDescent="0.35">
      <c r="A82" t="s">
        <v>681</v>
      </c>
    </row>
    <row r="83" spans="1:2" x14ac:dyDescent="0.35">
      <c r="A83" t="s">
        <v>682</v>
      </c>
    </row>
    <row r="84" spans="1:2" x14ac:dyDescent="0.35">
      <c r="A84" t="s">
        <v>683</v>
      </c>
    </row>
    <row r="85" spans="1:2" x14ac:dyDescent="0.35">
      <c r="A85" t="s">
        <v>684</v>
      </c>
    </row>
    <row r="86" spans="1:2" x14ac:dyDescent="0.35">
      <c r="A86" t="s">
        <v>685</v>
      </c>
    </row>
    <row r="87" spans="1:2" x14ac:dyDescent="0.35">
      <c r="A87" t="s">
        <v>686</v>
      </c>
    </row>
    <row r="88" spans="1:2" x14ac:dyDescent="0.35">
      <c r="A88" t="s">
        <v>687</v>
      </c>
    </row>
    <row r="89" spans="1:2" x14ac:dyDescent="0.35">
      <c r="A89" t="s">
        <v>688</v>
      </c>
    </row>
    <row r="90" spans="1:2" x14ac:dyDescent="0.35">
      <c r="A90" t="s">
        <v>288</v>
      </c>
      <c r="B90" t="b">
        <v>0</v>
      </c>
    </row>
    <row r="91" spans="1:2" x14ac:dyDescent="0.35">
      <c r="A91" t="s">
        <v>689</v>
      </c>
    </row>
    <row r="92" spans="1:2" x14ac:dyDescent="0.35">
      <c r="A92" t="s">
        <v>690</v>
      </c>
    </row>
    <row r="93" spans="1:2" x14ac:dyDescent="0.35">
      <c r="A93" t="s">
        <v>691</v>
      </c>
    </row>
    <row r="94" spans="1:2" x14ac:dyDescent="0.35">
      <c r="A94" t="s">
        <v>692</v>
      </c>
    </row>
    <row r="95" spans="1:2" x14ac:dyDescent="0.35">
      <c r="A95" t="s">
        <v>693</v>
      </c>
    </row>
    <row r="96" spans="1:2" x14ac:dyDescent="0.35">
      <c r="A96" t="s">
        <v>694</v>
      </c>
    </row>
    <row r="97" spans="1:2" x14ac:dyDescent="0.35">
      <c r="A97" t="s">
        <v>695</v>
      </c>
    </row>
    <row r="98" spans="1:2" x14ac:dyDescent="0.35">
      <c r="A98" t="s">
        <v>696</v>
      </c>
    </row>
    <row r="99" spans="1:2" x14ac:dyDescent="0.35">
      <c r="A99" t="s">
        <v>289</v>
      </c>
    </row>
    <row r="100" spans="1:2" x14ac:dyDescent="0.35">
      <c r="A100" t="s">
        <v>290</v>
      </c>
      <c r="B100" t="b">
        <v>0</v>
      </c>
    </row>
    <row r="101" spans="1:2" x14ac:dyDescent="0.35">
      <c r="A101" t="s">
        <v>291</v>
      </c>
      <c r="B101" t="b">
        <v>0</v>
      </c>
    </row>
    <row r="102" spans="1:2" x14ac:dyDescent="0.35">
      <c r="A102" t="s">
        <v>675</v>
      </c>
    </row>
    <row r="103" spans="1:2" x14ac:dyDescent="0.35">
      <c r="A103" t="s">
        <v>676</v>
      </c>
    </row>
    <row r="104" spans="1:2" x14ac:dyDescent="0.35">
      <c r="A104" t="s">
        <v>677</v>
      </c>
    </row>
    <row r="105" spans="1:2" x14ac:dyDescent="0.35">
      <c r="A105" t="s">
        <v>678</v>
      </c>
    </row>
    <row r="106" spans="1:2" x14ac:dyDescent="0.35">
      <c r="A106" t="s">
        <v>697</v>
      </c>
      <c r="B106" t="b">
        <v>0</v>
      </c>
    </row>
    <row r="107" spans="1:2" x14ac:dyDescent="0.35">
      <c r="A107" t="s">
        <v>706</v>
      </c>
    </row>
    <row r="108" spans="1:2" x14ac:dyDescent="0.35">
      <c r="A108" t="s">
        <v>707</v>
      </c>
      <c r="B108" t="b">
        <v>0</v>
      </c>
    </row>
    <row r="109" spans="1:2" x14ac:dyDescent="0.35">
      <c r="A109" t="s">
        <v>708</v>
      </c>
    </row>
    <row r="110" spans="1:2" x14ac:dyDescent="0.35">
      <c r="A110" t="s">
        <v>709</v>
      </c>
    </row>
    <row r="111" spans="1:2" x14ac:dyDescent="0.35">
      <c r="A111" t="s">
        <v>710</v>
      </c>
    </row>
    <row r="112" spans="1:2" x14ac:dyDescent="0.35">
      <c r="A112" t="s">
        <v>711</v>
      </c>
    </row>
    <row r="113" spans="1:2" x14ac:dyDescent="0.35">
      <c r="A113" t="s">
        <v>712</v>
      </c>
    </row>
    <row r="114" spans="1:2" x14ac:dyDescent="0.35">
      <c r="A114" t="s">
        <v>713</v>
      </c>
    </row>
    <row r="115" spans="1:2" x14ac:dyDescent="0.35">
      <c r="A115" t="s">
        <v>714</v>
      </c>
    </row>
    <row r="116" spans="1:2" x14ac:dyDescent="0.35">
      <c r="A116" t="s">
        <v>715</v>
      </c>
    </row>
    <row r="117" spans="1:2" x14ac:dyDescent="0.35">
      <c r="A117" t="s">
        <v>698</v>
      </c>
      <c r="B117" t="b">
        <v>0</v>
      </c>
    </row>
    <row r="118" spans="1:2" x14ac:dyDescent="0.35">
      <c r="A118" t="s">
        <v>716</v>
      </c>
    </row>
    <row r="119" spans="1:2" x14ac:dyDescent="0.35">
      <c r="A119" t="s">
        <v>717</v>
      </c>
    </row>
    <row r="120" spans="1:2" x14ac:dyDescent="0.35">
      <c r="A120" t="s">
        <v>718</v>
      </c>
    </row>
    <row r="121" spans="1:2" x14ac:dyDescent="0.35">
      <c r="A121" t="s">
        <v>719</v>
      </c>
    </row>
    <row r="122" spans="1:2" x14ac:dyDescent="0.35">
      <c r="A122" t="s">
        <v>720</v>
      </c>
    </row>
    <row r="123" spans="1:2" x14ac:dyDescent="0.35">
      <c r="A123" t="s">
        <v>721</v>
      </c>
    </row>
    <row r="124" spans="1:2" x14ac:dyDescent="0.35">
      <c r="A124" t="s">
        <v>722</v>
      </c>
    </row>
    <row r="125" spans="1:2" x14ac:dyDescent="0.35">
      <c r="A125" t="s">
        <v>723</v>
      </c>
    </row>
    <row r="126" spans="1:2" x14ac:dyDescent="0.35">
      <c r="A126" t="s">
        <v>699</v>
      </c>
      <c r="B126" t="b">
        <v>0</v>
      </c>
    </row>
    <row r="127" spans="1:2" x14ac:dyDescent="0.35">
      <c r="A127" t="s">
        <v>700</v>
      </c>
      <c r="B127" t="b">
        <v>0</v>
      </c>
    </row>
    <row r="128" spans="1:2" x14ac:dyDescent="0.35">
      <c r="A128" t="s">
        <v>701</v>
      </c>
      <c r="B128" t="b">
        <v>0</v>
      </c>
    </row>
    <row r="129" spans="1:2" x14ac:dyDescent="0.35">
      <c r="A129" t="s">
        <v>702</v>
      </c>
    </row>
    <row r="130" spans="1:2" x14ac:dyDescent="0.35">
      <c r="A130" t="s">
        <v>703</v>
      </c>
    </row>
    <row r="131" spans="1:2" x14ac:dyDescent="0.35">
      <c r="A131" t="s">
        <v>704</v>
      </c>
    </row>
    <row r="132" spans="1:2" x14ac:dyDescent="0.35">
      <c r="A132" t="s">
        <v>705</v>
      </c>
    </row>
    <row r="133" spans="1:2" x14ac:dyDescent="0.35">
      <c r="A133" t="s">
        <v>724</v>
      </c>
      <c r="B133" t="b">
        <v>0</v>
      </c>
    </row>
    <row r="134" spans="1:2" x14ac:dyDescent="0.35">
      <c r="A134" t="s">
        <v>733</v>
      </c>
    </row>
    <row r="135" spans="1:2" x14ac:dyDescent="0.35">
      <c r="A135" t="s">
        <v>734</v>
      </c>
    </row>
    <row r="136" spans="1:2" x14ac:dyDescent="0.35">
      <c r="A136" t="s">
        <v>735</v>
      </c>
    </row>
    <row r="137" spans="1:2" x14ac:dyDescent="0.35">
      <c r="A137" t="s">
        <v>736</v>
      </c>
    </row>
    <row r="138" spans="1:2" x14ac:dyDescent="0.35">
      <c r="A138" t="s">
        <v>737</v>
      </c>
    </row>
    <row r="139" spans="1:2" x14ac:dyDescent="0.35">
      <c r="A139" t="s">
        <v>738</v>
      </c>
    </row>
    <row r="140" spans="1:2" x14ac:dyDescent="0.35">
      <c r="A140" t="s">
        <v>739</v>
      </c>
    </row>
    <row r="141" spans="1:2" x14ac:dyDescent="0.35">
      <c r="A141" t="s">
        <v>740</v>
      </c>
    </row>
    <row r="142" spans="1:2" x14ac:dyDescent="0.35">
      <c r="A142" t="s">
        <v>741</v>
      </c>
    </row>
    <row r="143" spans="1:2" x14ac:dyDescent="0.35">
      <c r="A143" t="s">
        <v>367</v>
      </c>
    </row>
    <row r="144" spans="1:2" x14ac:dyDescent="0.35">
      <c r="A144" t="s">
        <v>725</v>
      </c>
      <c r="B144" t="b">
        <v>0</v>
      </c>
    </row>
    <row r="145" spans="1:2" x14ac:dyDescent="0.35">
      <c r="A145" t="s">
        <v>368</v>
      </c>
    </row>
    <row r="146" spans="1:2" x14ac:dyDescent="0.35">
      <c r="A146" t="s">
        <v>369</v>
      </c>
    </row>
    <row r="147" spans="1:2" x14ac:dyDescent="0.35">
      <c r="A147" t="s">
        <v>370</v>
      </c>
    </row>
    <row r="148" spans="1:2" x14ac:dyDescent="0.35">
      <c r="A148" t="s">
        <v>371</v>
      </c>
    </row>
    <row r="149" spans="1:2" x14ac:dyDescent="0.35">
      <c r="A149" t="s">
        <v>372</v>
      </c>
    </row>
    <row r="150" spans="1:2" x14ac:dyDescent="0.35">
      <c r="A150" t="s">
        <v>373</v>
      </c>
    </row>
    <row r="151" spans="1:2" x14ac:dyDescent="0.35">
      <c r="A151" t="s">
        <v>374</v>
      </c>
    </row>
    <row r="152" spans="1:2" x14ac:dyDescent="0.35">
      <c r="A152" t="s">
        <v>375</v>
      </c>
    </row>
    <row r="153" spans="1:2" x14ac:dyDescent="0.35">
      <c r="A153" t="s">
        <v>726</v>
      </c>
    </row>
    <row r="154" spans="1:2" x14ac:dyDescent="0.35">
      <c r="A154" t="s">
        <v>727</v>
      </c>
      <c r="B154" t="b">
        <v>0</v>
      </c>
    </row>
    <row r="155" spans="1:2" x14ac:dyDescent="0.35">
      <c r="A155" t="s">
        <v>728</v>
      </c>
    </row>
    <row r="156" spans="1:2" x14ac:dyDescent="0.35">
      <c r="A156" t="s">
        <v>729</v>
      </c>
    </row>
    <row r="157" spans="1:2" x14ac:dyDescent="0.35">
      <c r="A157" t="s">
        <v>730</v>
      </c>
    </row>
    <row r="158" spans="1:2" x14ac:dyDescent="0.35">
      <c r="A158" t="s">
        <v>731</v>
      </c>
    </row>
    <row r="159" spans="1:2" x14ac:dyDescent="0.35">
      <c r="A159" t="s">
        <v>732</v>
      </c>
      <c r="B159" t="b">
        <v>0</v>
      </c>
    </row>
    <row r="160" spans="1:2" x14ac:dyDescent="0.35">
      <c r="A160" t="s">
        <v>917</v>
      </c>
      <c r="B160" t="b">
        <v>0</v>
      </c>
    </row>
    <row r="161" spans="1:2" x14ac:dyDescent="0.35">
      <c r="A161" t="s">
        <v>918</v>
      </c>
      <c r="B161" t="b">
        <v>0</v>
      </c>
    </row>
    <row r="162" spans="1:2" x14ac:dyDescent="0.35">
      <c r="A162" t="s">
        <v>919</v>
      </c>
      <c r="B162" t="b">
        <v>0</v>
      </c>
    </row>
    <row r="163" spans="1:2" x14ac:dyDescent="0.35">
      <c r="A163" t="s">
        <v>920</v>
      </c>
      <c r="B163" t="b">
        <v>0</v>
      </c>
    </row>
    <row r="164" spans="1:2" x14ac:dyDescent="0.35">
      <c r="A164" t="s">
        <v>921</v>
      </c>
      <c r="B164" t="b">
        <v>0</v>
      </c>
    </row>
    <row r="165" spans="1:2" x14ac:dyDescent="0.35">
      <c r="A165" t="s">
        <v>922</v>
      </c>
    </row>
    <row r="166" spans="1:2" x14ac:dyDescent="0.35">
      <c r="A166" t="s">
        <v>923</v>
      </c>
    </row>
    <row r="167" spans="1:2" x14ac:dyDescent="0.35">
      <c r="A167" t="s">
        <v>200</v>
      </c>
      <c r="B167" t="b">
        <v>0</v>
      </c>
    </row>
    <row r="168" spans="1:2" x14ac:dyDescent="0.35">
      <c r="A168" t="s">
        <v>201</v>
      </c>
      <c r="B168" t="b">
        <v>0</v>
      </c>
    </row>
    <row r="169" spans="1:2" x14ac:dyDescent="0.35">
      <c r="A169" t="s">
        <v>202</v>
      </c>
      <c r="B169" t="b">
        <v>0</v>
      </c>
    </row>
    <row r="170" spans="1:2" x14ac:dyDescent="0.35">
      <c r="A170" t="s">
        <v>203</v>
      </c>
      <c r="B170" t="b">
        <v>0</v>
      </c>
    </row>
    <row r="171" spans="1:2" x14ac:dyDescent="0.35">
      <c r="A171" t="s">
        <v>204</v>
      </c>
      <c r="B171" t="b">
        <v>0</v>
      </c>
    </row>
    <row r="172" spans="1:2" x14ac:dyDescent="0.35">
      <c r="A172" t="s">
        <v>205</v>
      </c>
      <c r="B172" t="b">
        <v>0</v>
      </c>
    </row>
    <row r="173" spans="1:2" x14ac:dyDescent="0.35">
      <c r="A173" t="s">
        <v>206</v>
      </c>
    </row>
    <row r="174" spans="1:2" x14ac:dyDescent="0.35">
      <c r="A174" t="s">
        <v>207</v>
      </c>
      <c r="B174" t="b">
        <v>0</v>
      </c>
    </row>
    <row r="175" spans="1:2" x14ac:dyDescent="0.35">
      <c r="A175" t="s">
        <v>208</v>
      </c>
      <c r="B175" t="b">
        <v>0</v>
      </c>
    </row>
    <row r="176" spans="1:2" x14ac:dyDescent="0.35">
      <c r="A176" t="s">
        <v>209</v>
      </c>
    </row>
    <row r="177" spans="1:2" x14ac:dyDescent="0.35">
      <c r="A177" t="s">
        <v>210</v>
      </c>
    </row>
    <row r="178" spans="1:2" x14ac:dyDescent="0.35">
      <c r="A178" t="s">
        <v>211</v>
      </c>
    </row>
    <row r="179" spans="1:2" x14ac:dyDescent="0.35">
      <c r="A179" t="s">
        <v>212</v>
      </c>
    </row>
    <row r="180" spans="1:2" x14ac:dyDescent="0.35">
      <c r="A180" t="s">
        <v>213</v>
      </c>
    </row>
    <row r="181" spans="1:2" x14ac:dyDescent="0.35">
      <c r="A181" t="s">
        <v>214</v>
      </c>
      <c r="B181" t="b">
        <v>0</v>
      </c>
    </row>
    <row r="182" spans="1:2" x14ac:dyDescent="0.35">
      <c r="A182" t="s">
        <v>215</v>
      </c>
      <c r="B182" t="b">
        <v>0</v>
      </c>
    </row>
    <row r="183" spans="1:2" x14ac:dyDescent="0.35">
      <c r="A183" t="s">
        <v>216</v>
      </c>
      <c r="B183" t="b">
        <v>0</v>
      </c>
    </row>
    <row r="184" spans="1:2" x14ac:dyDescent="0.35">
      <c r="A184" t="s">
        <v>217</v>
      </c>
      <c r="B184" t="b">
        <v>0</v>
      </c>
    </row>
    <row r="185" spans="1:2" x14ac:dyDescent="0.35">
      <c r="A185" t="s">
        <v>218</v>
      </c>
      <c r="B185" t="b">
        <v>0</v>
      </c>
    </row>
    <row r="186" spans="1:2" x14ac:dyDescent="0.35">
      <c r="A186" t="s">
        <v>219</v>
      </c>
      <c r="B186" t="b">
        <v>0</v>
      </c>
    </row>
    <row r="187" spans="1:2" x14ac:dyDescent="0.35">
      <c r="A187" t="s">
        <v>258</v>
      </c>
    </row>
    <row r="188" spans="1:2" x14ac:dyDescent="0.35">
      <c r="A188" t="s">
        <v>259</v>
      </c>
    </row>
    <row r="189" spans="1:2" x14ac:dyDescent="0.35">
      <c r="A189" t="s">
        <v>260</v>
      </c>
    </row>
    <row r="190" spans="1:2" x14ac:dyDescent="0.35">
      <c r="A190" t="s">
        <v>261</v>
      </c>
    </row>
    <row r="191" spans="1:2" x14ac:dyDescent="0.35">
      <c r="A191" t="s">
        <v>262</v>
      </c>
    </row>
    <row r="192" spans="1:2" x14ac:dyDescent="0.35">
      <c r="A192" t="s">
        <v>263</v>
      </c>
    </row>
    <row r="193" spans="1:1" x14ac:dyDescent="0.35">
      <c r="A193" t="s">
        <v>264</v>
      </c>
    </row>
    <row r="194" spans="1:1" x14ac:dyDescent="0.35">
      <c r="A194" t="s">
        <v>265</v>
      </c>
    </row>
    <row r="195" spans="1:1" x14ac:dyDescent="0.35">
      <c r="A195" t="s">
        <v>266</v>
      </c>
    </row>
    <row r="196" spans="1:1" x14ac:dyDescent="0.35">
      <c r="A196" t="s">
        <v>267</v>
      </c>
    </row>
    <row r="197" spans="1:1" x14ac:dyDescent="0.35">
      <c r="A197" t="s">
        <v>220</v>
      </c>
    </row>
    <row r="198" spans="1:1" x14ac:dyDescent="0.35">
      <c r="A198" t="s">
        <v>268</v>
      </c>
    </row>
    <row r="199" spans="1:1" x14ac:dyDescent="0.35">
      <c r="A199" t="s">
        <v>221</v>
      </c>
    </row>
    <row r="200" spans="1:1" x14ac:dyDescent="0.35">
      <c r="A200" t="s">
        <v>222</v>
      </c>
    </row>
    <row r="201" spans="1:1" x14ac:dyDescent="0.35">
      <c r="A201" t="s">
        <v>223</v>
      </c>
    </row>
    <row r="202" spans="1:1" x14ac:dyDescent="0.35">
      <c r="A202" t="s">
        <v>224</v>
      </c>
    </row>
    <row r="203" spans="1:1" x14ac:dyDescent="0.35">
      <c r="A203" t="s">
        <v>225</v>
      </c>
    </row>
    <row r="204" spans="1:1" x14ac:dyDescent="0.35">
      <c r="A204" t="s">
        <v>226</v>
      </c>
    </row>
    <row r="205" spans="1:1" x14ac:dyDescent="0.35">
      <c r="A205" t="s">
        <v>227</v>
      </c>
    </row>
    <row r="206" spans="1:1" x14ac:dyDescent="0.35">
      <c r="A206" t="s">
        <v>618</v>
      </c>
    </row>
    <row r="207" spans="1:1" x14ac:dyDescent="0.35">
      <c r="A207" t="s">
        <v>269</v>
      </c>
    </row>
    <row r="208" spans="1:1" x14ac:dyDescent="0.35">
      <c r="A208" t="s">
        <v>270</v>
      </c>
    </row>
    <row r="209" spans="1:1" x14ac:dyDescent="0.35">
      <c r="A209" t="s">
        <v>271</v>
      </c>
    </row>
    <row r="210" spans="1:1" x14ac:dyDescent="0.35">
      <c r="A210" t="s">
        <v>272</v>
      </c>
    </row>
    <row r="211" spans="1:1" x14ac:dyDescent="0.35">
      <c r="A211" t="s">
        <v>273</v>
      </c>
    </row>
    <row r="212" spans="1:1" x14ac:dyDescent="0.35">
      <c r="A212" t="s">
        <v>274</v>
      </c>
    </row>
    <row r="213" spans="1:1" x14ac:dyDescent="0.35">
      <c r="A213" t="s">
        <v>275</v>
      </c>
    </row>
    <row r="214" spans="1:1" x14ac:dyDescent="0.35">
      <c r="A214" t="s">
        <v>0</v>
      </c>
    </row>
    <row r="215" spans="1:1" x14ac:dyDescent="0.35">
      <c r="A215" t="s">
        <v>1</v>
      </c>
    </row>
    <row r="216" spans="1:1" x14ac:dyDescent="0.35">
      <c r="A216" t="s">
        <v>2</v>
      </c>
    </row>
    <row r="217" spans="1:1" x14ac:dyDescent="0.35">
      <c r="A217" t="s">
        <v>3</v>
      </c>
    </row>
    <row r="218" spans="1:1" x14ac:dyDescent="0.35">
      <c r="A218" t="s">
        <v>4</v>
      </c>
    </row>
    <row r="219" spans="1:1" x14ac:dyDescent="0.35">
      <c r="A219" t="s">
        <v>5</v>
      </c>
    </row>
    <row r="220" spans="1:1" x14ac:dyDescent="0.35">
      <c r="A220" t="s">
        <v>6</v>
      </c>
    </row>
    <row r="221" spans="1:1" x14ac:dyDescent="0.35">
      <c r="A221" t="s">
        <v>7</v>
      </c>
    </row>
    <row r="222" spans="1:1" x14ac:dyDescent="0.35">
      <c r="A222" t="s">
        <v>8</v>
      </c>
    </row>
    <row r="223" spans="1:1" x14ac:dyDescent="0.35">
      <c r="A223" t="s">
        <v>9</v>
      </c>
    </row>
    <row r="224" spans="1:1" x14ac:dyDescent="0.35">
      <c r="A224" t="s">
        <v>619</v>
      </c>
    </row>
    <row r="225" spans="1:1" x14ac:dyDescent="0.35">
      <c r="A225" t="s">
        <v>10</v>
      </c>
    </row>
    <row r="226" spans="1:1" x14ac:dyDescent="0.35">
      <c r="A226" t="s">
        <v>620</v>
      </c>
    </row>
    <row r="227" spans="1:1" x14ac:dyDescent="0.35">
      <c r="A227" t="s">
        <v>621</v>
      </c>
    </row>
    <row r="228" spans="1:1" x14ac:dyDescent="0.35">
      <c r="A228" t="s">
        <v>622</v>
      </c>
    </row>
    <row r="229" spans="1:1" x14ac:dyDescent="0.35">
      <c r="A229" t="s">
        <v>623</v>
      </c>
    </row>
    <row r="230" spans="1:1" x14ac:dyDescent="0.35">
      <c r="A230" t="s">
        <v>624</v>
      </c>
    </row>
    <row r="231" spans="1:1" x14ac:dyDescent="0.35">
      <c r="A231" t="s">
        <v>625</v>
      </c>
    </row>
    <row r="232" spans="1:1" x14ac:dyDescent="0.35">
      <c r="A232" t="s">
        <v>626</v>
      </c>
    </row>
    <row r="233" spans="1:1" x14ac:dyDescent="0.35">
      <c r="A233" t="s">
        <v>627</v>
      </c>
    </row>
    <row r="234" spans="1:1" x14ac:dyDescent="0.35">
      <c r="A234" t="s">
        <v>11</v>
      </c>
    </row>
    <row r="235" spans="1:1" x14ac:dyDescent="0.35">
      <c r="A235" t="s">
        <v>12</v>
      </c>
    </row>
    <row r="236" spans="1:1" x14ac:dyDescent="0.35">
      <c r="A236" t="s">
        <v>13</v>
      </c>
    </row>
    <row r="237" spans="1:1" x14ac:dyDescent="0.35">
      <c r="A237" t="s">
        <v>14</v>
      </c>
    </row>
    <row r="238" spans="1:1" x14ac:dyDescent="0.35">
      <c r="A238" t="s">
        <v>15</v>
      </c>
    </row>
    <row r="239" spans="1:1" x14ac:dyDescent="0.35">
      <c r="A239" t="s">
        <v>16</v>
      </c>
    </row>
    <row r="240" spans="1:1" x14ac:dyDescent="0.35">
      <c r="A240" t="s">
        <v>17</v>
      </c>
    </row>
    <row r="241" spans="1:1" x14ac:dyDescent="0.35">
      <c r="A241" t="s">
        <v>999</v>
      </c>
    </row>
    <row r="242" spans="1:1" x14ac:dyDescent="0.35">
      <c r="A242" t="s">
        <v>1000</v>
      </c>
    </row>
    <row r="243" spans="1:1" x14ac:dyDescent="0.35">
      <c r="A243" t="s">
        <v>1001</v>
      </c>
    </row>
    <row r="244" spans="1:1" x14ac:dyDescent="0.35">
      <c r="A244" t="s">
        <v>1002</v>
      </c>
    </row>
    <row r="245" spans="1:1" x14ac:dyDescent="0.35">
      <c r="A245" t="s">
        <v>1003</v>
      </c>
    </row>
    <row r="246" spans="1:1" x14ac:dyDescent="0.35">
      <c r="A246" t="s">
        <v>1004</v>
      </c>
    </row>
    <row r="247" spans="1:1" x14ac:dyDescent="0.35">
      <c r="A247" t="s">
        <v>1005</v>
      </c>
    </row>
    <row r="248" spans="1:1" x14ac:dyDescent="0.35">
      <c r="A248" t="s">
        <v>1006</v>
      </c>
    </row>
    <row r="249" spans="1:1" x14ac:dyDescent="0.35">
      <c r="A249" t="s">
        <v>276</v>
      </c>
    </row>
    <row r="250" spans="1:1" x14ac:dyDescent="0.35">
      <c r="A250" t="s">
        <v>277</v>
      </c>
    </row>
    <row r="251" spans="1:1" x14ac:dyDescent="0.35">
      <c r="A251" t="s">
        <v>278</v>
      </c>
    </row>
    <row r="252" spans="1:1" x14ac:dyDescent="0.35">
      <c r="A252" t="s">
        <v>1007</v>
      </c>
    </row>
    <row r="253" spans="1:1" x14ac:dyDescent="0.35">
      <c r="A253" t="s">
        <v>279</v>
      </c>
    </row>
    <row r="254" spans="1:1" x14ac:dyDescent="0.35">
      <c r="A254" t="s">
        <v>280</v>
      </c>
    </row>
    <row r="255" spans="1:1" x14ac:dyDescent="0.35">
      <c r="A255" t="s">
        <v>281</v>
      </c>
    </row>
    <row r="256" spans="1:1" x14ac:dyDescent="0.35">
      <c r="A256" t="s">
        <v>282</v>
      </c>
    </row>
    <row r="257" spans="1:3" x14ac:dyDescent="0.35">
      <c r="A257" t="s">
        <v>283</v>
      </c>
    </row>
    <row r="258" spans="1:3" x14ac:dyDescent="0.35">
      <c r="A258" t="s">
        <v>284</v>
      </c>
    </row>
    <row r="259" spans="1:3" x14ac:dyDescent="0.35">
      <c r="A259" t="s">
        <v>285</v>
      </c>
    </row>
    <row r="260" spans="1:3" x14ac:dyDescent="0.35">
      <c r="A260" t="s">
        <v>286</v>
      </c>
    </row>
    <row r="261" spans="1:3" x14ac:dyDescent="0.35">
      <c r="A261" t="s">
        <v>1008</v>
      </c>
    </row>
    <row r="262" spans="1:3" x14ac:dyDescent="0.35">
      <c r="A262" t="s">
        <v>388</v>
      </c>
    </row>
    <row r="263" spans="1:3" x14ac:dyDescent="0.35">
      <c r="A263" t="s">
        <v>389</v>
      </c>
    </row>
    <row r="264" spans="1:3" x14ac:dyDescent="0.35">
      <c r="A264" t="s">
        <v>390</v>
      </c>
    </row>
    <row r="265" spans="1:3" x14ac:dyDescent="0.35">
      <c r="A265" t="s">
        <v>391</v>
      </c>
    </row>
    <row r="266" spans="1:3" x14ac:dyDescent="0.35">
      <c r="A266" t="s">
        <v>799</v>
      </c>
    </row>
    <row r="267" spans="1:3" x14ac:dyDescent="0.35">
      <c r="A267" t="s">
        <v>800</v>
      </c>
    </row>
    <row r="268" spans="1:3" x14ac:dyDescent="0.35">
      <c r="A268" t="s">
        <v>351</v>
      </c>
      <c r="B268">
        <v>61</v>
      </c>
      <c r="C268">
        <v>80</v>
      </c>
    </row>
    <row r="269" spans="1:3" x14ac:dyDescent="0.35">
      <c r="A269" t="s">
        <v>900</v>
      </c>
      <c r="B269">
        <v>0</v>
      </c>
      <c r="C269">
        <v>0</v>
      </c>
    </row>
    <row r="270" spans="1:3" x14ac:dyDescent="0.35">
      <c r="A270" t="s">
        <v>102</v>
      </c>
      <c r="B270">
        <v>1</v>
      </c>
    </row>
    <row r="271" spans="1:3" x14ac:dyDescent="0.35">
      <c r="A271" t="s">
        <v>103</v>
      </c>
      <c r="B271">
        <v>1</v>
      </c>
    </row>
    <row r="272" spans="1:3" x14ac:dyDescent="0.35">
      <c r="A272" t="s">
        <v>432</v>
      </c>
    </row>
    <row r="273" spans="1:2" x14ac:dyDescent="0.35">
      <c r="A273" t="s">
        <v>411</v>
      </c>
    </row>
    <row r="274" spans="1:2" x14ac:dyDescent="0.35">
      <c r="A274" t="s">
        <v>412</v>
      </c>
    </row>
    <row r="275" spans="1:2" x14ac:dyDescent="0.35">
      <c r="A275" t="s">
        <v>413</v>
      </c>
    </row>
    <row r="276" spans="1:2" x14ac:dyDescent="0.35">
      <c r="A276" t="s">
        <v>170</v>
      </c>
    </row>
    <row r="277" spans="1:2" x14ac:dyDescent="0.35">
      <c r="A277" t="s">
        <v>171</v>
      </c>
    </row>
    <row r="278" spans="1:2" x14ac:dyDescent="0.35">
      <c r="A278" t="s">
        <v>172</v>
      </c>
    </row>
    <row r="279" spans="1:2" x14ac:dyDescent="0.35">
      <c r="A279" t="s">
        <v>872</v>
      </c>
    </row>
    <row r="280" spans="1:2" x14ac:dyDescent="0.35">
      <c r="A280" t="s">
        <v>873</v>
      </c>
    </row>
    <row r="281" spans="1:2" x14ac:dyDescent="0.35">
      <c r="A281" t="s">
        <v>874</v>
      </c>
      <c r="B281">
        <v>1</v>
      </c>
    </row>
    <row r="282" spans="1:2" x14ac:dyDescent="0.35">
      <c r="A282" t="s">
        <v>875</v>
      </c>
    </row>
    <row r="283" spans="1:2" x14ac:dyDescent="0.35">
      <c r="A283" t="s">
        <v>876</v>
      </c>
    </row>
    <row r="284" spans="1:2" x14ac:dyDescent="0.35">
      <c r="A284" t="s">
        <v>667</v>
      </c>
      <c r="B284">
        <v>5</v>
      </c>
    </row>
    <row r="285" spans="1:2" x14ac:dyDescent="0.35">
      <c r="A285" t="s">
        <v>668</v>
      </c>
      <c r="B285">
        <v>1</v>
      </c>
    </row>
    <row r="286" spans="1:2" x14ac:dyDescent="0.35">
      <c r="A286" t="s">
        <v>669</v>
      </c>
      <c r="B286">
        <v>1</v>
      </c>
    </row>
    <row r="287" spans="1:2" x14ac:dyDescent="0.35">
      <c r="A287" t="s">
        <v>670</v>
      </c>
      <c r="B287">
        <v>2</v>
      </c>
    </row>
    <row r="288" spans="1:2" x14ac:dyDescent="0.35">
      <c r="A288" t="s">
        <v>795</v>
      </c>
      <c r="B288">
        <v>1</v>
      </c>
    </row>
    <row r="289" spans="1:2" x14ac:dyDescent="0.35">
      <c r="A289" t="s">
        <v>796</v>
      </c>
    </row>
    <row r="290" spans="1:2" x14ac:dyDescent="0.35">
      <c r="A290" t="s">
        <v>414</v>
      </c>
      <c r="B290">
        <v>0</v>
      </c>
    </row>
    <row r="291" spans="1:2" x14ac:dyDescent="0.35">
      <c r="A291" t="s">
        <v>415</v>
      </c>
    </row>
    <row r="292" spans="1:2" x14ac:dyDescent="0.35">
      <c r="A292" t="s">
        <v>416</v>
      </c>
    </row>
    <row r="293" spans="1:2" x14ac:dyDescent="0.35">
      <c r="A293" t="s">
        <v>417</v>
      </c>
    </row>
    <row r="294" spans="1:2" x14ac:dyDescent="0.35">
      <c r="A294" t="s">
        <v>418</v>
      </c>
    </row>
    <row r="295" spans="1:2" x14ac:dyDescent="0.35">
      <c r="A295" t="s">
        <v>419</v>
      </c>
    </row>
    <row r="296" spans="1:2" x14ac:dyDescent="0.35">
      <c r="A296" t="s">
        <v>877</v>
      </c>
    </row>
    <row r="297" spans="1:2" x14ac:dyDescent="0.35">
      <c r="A297" t="s">
        <v>878</v>
      </c>
    </row>
    <row r="298" spans="1:2" x14ac:dyDescent="0.35">
      <c r="A298" t="s">
        <v>879</v>
      </c>
    </row>
    <row r="299" spans="1:2" x14ac:dyDescent="0.35">
      <c r="A299" t="s">
        <v>880</v>
      </c>
    </row>
    <row r="300" spans="1:2" x14ac:dyDescent="0.35">
      <c r="A300" t="s">
        <v>592</v>
      </c>
    </row>
    <row r="301" spans="1:2" x14ac:dyDescent="0.35">
      <c r="A301" t="s">
        <v>593</v>
      </c>
    </row>
    <row r="302" spans="1:2" x14ac:dyDescent="0.35">
      <c r="A302" t="s">
        <v>594</v>
      </c>
    </row>
    <row r="303" spans="1:2" x14ac:dyDescent="0.35">
      <c r="A303" t="s">
        <v>1147</v>
      </c>
      <c r="B303">
        <v>0</v>
      </c>
    </row>
    <row r="304" spans="1:2" x14ac:dyDescent="0.35">
      <c r="A304" t="s">
        <v>442</v>
      </c>
    </row>
    <row r="305" spans="1:3" x14ac:dyDescent="0.35">
      <c r="A305" t="s">
        <v>443</v>
      </c>
      <c r="B305">
        <v>0</v>
      </c>
    </row>
    <row r="306" spans="1:3" x14ac:dyDescent="0.35">
      <c r="A306" t="s">
        <v>444</v>
      </c>
    </row>
    <row r="307" spans="1:3" x14ac:dyDescent="0.35">
      <c r="A307" t="s">
        <v>1009</v>
      </c>
      <c r="B307">
        <v>0</v>
      </c>
    </row>
    <row r="308" spans="1:3" x14ac:dyDescent="0.35">
      <c r="A308" t="s">
        <v>1010</v>
      </c>
      <c r="B308">
        <v>0</v>
      </c>
    </row>
    <row r="309" spans="1:3" x14ac:dyDescent="0.35">
      <c r="A309" t="s">
        <v>1011</v>
      </c>
      <c r="B309">
        <v>0</v>
      </c>
    </row>
    <row r="310" spans="1:3" x14ac:dyDescent="0.35">
      <c r="A310" t="s">
        <v>1012</v>
      </c>
      <c r="B310">
        <v>15</v>
      </c>
      <c r="C310">
        <v>1</v>
      </c>
    </row>
    <row r="311" spans="1:3" x14ac:dyDescent="0.35">
      <c r="A311" t="s">
        <v>1013</v>
      </c>
      <c r="B311">
        <v>1</v>
      </c>
      <c r="C311">
        <v>1</v>
      </c>
    </row>
    <row r="312" spans="1:3" x14ac:dyDescent="0.35">
      <c r="A312" t="s">
        <v>1014</v>
      </c>
    </row>
    <row r="313" spans="1:3" x14ac:dyDescent="0.35">
      <c r="A313" t="s">
        <v>1015</v>
      </c>
    </row>
    <row r="314" spans="1:3" x14ac:dyDescent="0.35">
      <c r="A314" t="s">
        <v>1016</v>
      </c>
    </row>
    <row r="315" spans="1:3" x14ac:dyDescent="0.35">
      <c r="A315" t="s">
        <v>1070</v>
      </c>
    </row>
    <row r="316" spans="1:3" x14ac:dyDescent="0.35">
      <c r="A316" t="s">
        <v>1071</v>
      </c>
    </row>
    <row r="317" spans="1:3" x14ac:dyDescent="0.35">
      <c r="A317" t="s">
        <v>1072</v>
      </c>
      <c r="B317">
        <v>17</v>
      </c>
      <c r="C317">
        <v>1</v>
      </c>
    </row>
    <row r="318" spans="1:3" x14ac:dyDescent="0.35">
      <c r="A318" t="s">
        <v>1073</v>
      </c>
      <c r="B318">
        <v>6</v>
      </c>
      <c r="C318">
        <v>1</v>
      </c>
    </row>
    <row r="319" spans="1:3" x14ac:dyDescent="0.35">
      <c r="A319" t="s">
        <v>1074</v>
      </c>
      <c r="B319">
        <v>1</v>
      </c>
      <c r="C319">
        <v>1</v>
      </c>
    </row>
    <row r="320" spans="1:3" x14ac:dyDescent="0.35">
      <c r="A320" t="s">
        <v>1075</v>
      </c>
      <c r="B320">
        <v>1</v>
      </c>
      <c r="C320">
        <v>1</v>
      </c>
    </row>
    <row r="321" spans="1:3" x14ac:dyDescent="0.35">
      <c r="A321" t="s">
        <v>1076</v>
      </c>
      <c r="B321">
        <v>1</v>
      </c>
      <c r="C321">
        <v>1</v>
      </c>
    </row>
    <row r="322" spans="1:3" x14ac:dyDescent="0.35">
      <c r="A322" t="s">
        <v>604</v>
      </c>
      <c r="B322">
        <v>1</v>
      </c>
      <c r="C322">
        <v>1</v>
      </c>
    </row>
    <row r="323" spans="1:3" x14ac:dyDescent="0.35">
      <c r="A323" t="s">
        <v>605</v>
      </c>
      <c r="B323">
        <v>1</v>
      </c>
      <c r="C323">
        <v>1</v>
      </c>
    </row>
    <row r="324" spans="1:3" x14ac:dyDescent="0.35">
      <c r="A324" t="s">
        <v>606</v>
      </c>
      <c r="B324">
        <v>1</v>
      </c>
      <c r="C324">
        <v>1</v>
      </c>
    </row>
    <row r="325" spans="1:3" x14ac:dyDescent="0.35">
      <c r="A325" t="s">
        <v>607</v>
      </c>
    </row>
    <row r="326" spans="1:3" x14ac:dyDescent="0.35">
      <c r="A326" t="s">
        <v>608</v>
      </c>
    </row>
    <row r="327" spans="1:3" x14ac:dyDescent="0.35">
      <c r="A327" t="s">
        <v>609</v>
      </c>
    </row>
    <row r="328" spans="1:3" x14ac:dyDescent="0.35">
      <c r="A328" t="s">
        <v>610</v>
      </c>
    </row>
    <row r="329" spans="1:3" x14ac:dyDescent="0.35">
      <c r="A329" t="s">
        <v>611</v>
      </c>
    </row>
    <row r="330" spans="1:3" x14ac:dyDescent="0.35">
      <c r="A330" t="s">
        <v>982</v>
      </c>
      <c r="B330">
        <v>1</v>
      </c>
      <c r="C330">
        <v>1</v>
      </c>
    </row>
    <row r="331" spans="1:3" x14ac:dyDescent="0.35">
      <c r="A331" t="s">
        <v>983</v>
      </c>
      <c r="B331">
        <v>1</v>
      </c>
      <c r="C331">
        <v>1</v>
      </c>
    </row>
    <row r="332" spans="1:3" x14ac:dyDescent="0.35">
      <c r="A332" t="s">
        <v>984</v>
      </c>
      <c r="B332">
        <v>2</v>
      </c>
      <c r="C332">
        <v>1</v>
      </c>
    </row>
    <row r="333" spans="1:3" x14ac:dyDescent="0.35">
      <c r="A333" t="s">
        <v>869</v>
      </c>
      <c r="B333">
        <v>1</v>
      </c>
      <c r="C333">
        <v>1</v>
      </c>
    </row>
    <row r="334" spans="1:3" x14ac:dyDescent="0.35">
      <c r="A334" t="s">
        <v>957</v>
      </c>
      <c r="B334">
        <v>1</v>
      </c>
      <c r="C334">
        <v>1</v>
      </c>
    </row>
    <row r="335" spans="1:3" x14ac:dyDescent="0.35">
      <c r="A335" t="s">
        <v>958</v>
      </c>
      <c r="B335">
        <v>1</v>
      </c>
      <c r="C335">
        <v>1</v>
      </c>
    </row>
    <row r="336" spans="1:3" x14ac:dyDescent="0.35">
      <c r="A336" t="s">
        <v>959</v>
      </c>
      <c r="B336">
        <v>1</v>
      </c>
      <c r="C336">
        <v>1</v>
      </c>
    </row>
    <row r="337" spans="1:3" x14ac:dyDescent="0.35">
      <c r="A337" t="s">
        <v>960</v>
      </c>
      <c r="B337">
        <v>2</v>
      </c>
      <c r="C337">
        <v>1</v>
      </c>
    </row>
    <row r="338" spans="1:3" x14ac:dyDescent="0.35">
      <c r="A338" t="s">
        <v>867</v>
      </c>
      <c r="B338">
        <v>1</v>
      </c>
      <c r="C338">
        <v>1</v>
      </c>
    </row>
    <row r="339" spans="1:3" x14ac:dyDescent="0.35">
      <c r="A339" t="s">
        <v>868</v>
      </c>
      <c r="B339">
        <v>1</v>
      </c>
      <c r="C339">
        <v>1</v>
      </c>
    </row>
    <row r="340" spans="1:3" x14ac:dyDescent="0.35">
      <c r="A340" t="s">
        <v>863</v>
      </c>
      <c r="B340">
        <v>1</v>
      </c>
      <c r="C340">
        <v>1</v>
      </c>
    </row>
    <row r="341" spans="1:3" x14ac:dyDescent="0.35">
      <c r="A341" t="s">
        <v>864</v>
      </c>
      <c r="B341">
        <v>1</v>
      </c>
      <c r="C341">
        <v>1</v>
      </c>
    </row>
    <row r="342" spans="1:3" x14ac:dyDescent="0.35">
      <c r="A342" t="s">
        <v>865</v>
      </c>
      <c r="B342">
        <v>1</v>
      </c>
      <c r="C342">
        <v>1</v>
      </c>
    </row>
    <row r="343" spans="1:3" x14ac:dyDescent="0.35">
      <c r="A343" t="s">
        <v>856</v>
      </c>
      <c r="B343">
        <v>1</v>
      </c>
      <c r="C343">
        <v>1</v>
      </c>
    </row>
    <row r="344" spans="1:3" x14ac:dyDescent="0.35">
      <c r="A344" t="s">
        <v>857</v>
      </c>
      <c r="B344">
        <v>1</v>
      </c>
      <c r="C344">
        <v>1</v>
      </c>
    </row>
    <row r="345" spans="1:3" x14ac:dyDescent="0.35">
      <c r="A345" t="s">
        <v>858</v>
      </c>
      <c r="B345">
        <v>1</v>
      </c>
      <c r="C345">
        <v>1</v>
      </c>
    </row>
    <row r="346" spans="1:3" x14ac:dyDescent="0.35">
      <c r="A346" t="s">
        <v>859</v>
      </c>
      <c r="B346">
        <v>0</v>
      </c>
    </row>
    <row r="347" spans="1:3" x14ac:dyDescent="0.35">
      <c r="A347" t="s">
        <v>860</v>
      </c>
      <c r="B347">
        <v>10</v>
      </c>
    </row>
    <row r="348" spans="1:3" x14ac:dyDescent="0.35">
      <c r="A348" t="s">
        <v>1043</v>
      </c>
    </row>
    <row r="349" spans="1:3" x14ac:dyDescent="0.35">
      <c r="A349" t="s">
        <v>1044</v>
      </c>
    </row>
    <row r="350" spans="1:3" x14ac:dyDescent="0.35">
      <c r="A350" t="s">
        <v>1045</v>
      </c>
    </row>
    <row r="351" spans="1:3" x14ac:dyDescent="0.35">
      <c r="A351" t="s">
        <v>1046</v>
      </c>
    </row>
    <row r="352" spans="1:3" x14ac:dyDescent="0.35">
      <c r="A352" t="s">
        <v>1047</v>
      </c>
      <c r="B352">
        <v>7</v>
      </c>
    </row>
    <row r="353" spans="1:2" x14ac:dyDescent="0.35">
      <c r="A353" t="s">
        <v>1048</v>
      </c>
      <c r="B353">
        <v>0</v>
      </c>
    </row>
    <row r="354" spans="1:2" x14ac:dyDescent="0.35">
      <c r="A354" t="s">
        <v>1049</v>
      </c>
      <c r="B354">
        <v>2</v>
      </c>
    </row>
    <row r="355" spans="1:2" x14ac:dyDescent="0.35">
      <c r="A355" t="s">
        <v>1050</v>
      </c>
      <c r="B355">
        <v>0</v>
      </c>
    </row>
    <row r="356" spans="1:2" x14ac:dyDescent="0.35">
      <c r="A356" t="s">
        <v>1051</v>
      </c>
      <c r="B356">
        <v>1</v>
      </c>
    </row>
    <row r="357" spans="1:2" x14ac:dyDescent="0.35">
      <c r="A357" t="s">
        <v>1052</v>
      </c>
      <c r="B357">
        <v>0</v>
      </c>
    </row>
    <row r="358" spans="1:2" x14ac:dyDescent="0.35">
      <c r="A358" t="s">
        <v>1053</v>
      </c>
      <c r="B358">
        <v>0</v>
      </c>
    </row>
    <row r="359" spans="1:2" x14ac:dyDescent="0.35">
      <c r="A359" t="s">
        <v>1054</v>
      </c>
      <c r="B359">
        <v>0</v>
      </c>
    </row>
    <row r="360" spans="1:2" x14ac:dyDescent="0.35">
      <c r="A360" t="s">
        <v>1055</v>
      </c>
      <c r="B360" t="s">
        <v>1273</v>
      </c>
    </row>
    <row r="361" spans="1:2" x14ac:dyDescent="0.35">
      <c r="A361" t="s">
        <v>783</v>
      </c>
    </row>
    <row r="362" spans="1:2" x14ac:dyDescent="0.35">
      <c r="A362" t="s">
        <v>784</v>
      </c>
    </row>
    <row r="363" spans="1:2" x14ac:dyDescent="0.35">
      <c r="A363" t="s">
        <v>785</v>
      </c>
    </row>
    <row r="364" spans="1:2" x14ac:dyDescent="0.35">
      <c r="A364" t="s">
        <v>305</v>
      </c>
    </row>
    <row r="365" spans="1:2" x14ac:dyDescent="0.35">
      <c r="A365" t="s">
        <v>306</v>
      </c>
    </row>
    <row r="366" spans="1:2" x14ac:dyDescent="0.35">
      <c r="A366" t="s">
        <v>307</v>
      </c>
    </row>
    <row r="367" spans="1:2" x14ac:dyDescent="0.35">
      <c r="A367" t="s">
        <v>308</v>
      </c>
    </row>
    <row r="368" spans="1:2" x14ac:dyDescent="0.35">
      <c r="A368" t="s">
        <v>309</v>
      </c>
    </row>
    <row r="369" spans="1:4" x14ac:dyDescent="0.35">
      <c r="A369" t="s">
        <v>310</v>
      </c>
      <c r="D369">
        <v>50</v>
      </c>
    </row>
    <row r="370" spans="1:4" x14ac:dyDescent="0.35">
      <c r="A370" t="s">
        <v>786</v>
      </c>
      <c r="D370">
        <v>50</v>
      </c>
    </row>
    <row r="371" spans="1:4" x14ac:dyDescent="0.35">
      <c r="A371" t="s">
        <v>787</v>
      </c>
      <c r="D371">
        <v>50</v>
      </c>
    </row>
    <row r="372" spans="1:4" x14ac:dyDescent="0.35">
      <c r="A372" t="s">
        <v>788</v>
      </c>
      <c r="D372">
        <v>50</v>
      </c>
    </row>
    <row r="373" spans="1:4" x14ac:dyDescent="0.35">
      <c r="A373" t="s">
        <v>499</v>
      </c>
      <c r="D373">
        <v>50</v>
      </c>
    </row>
    <row r="374" spans="1:4" x14ac:dyDescent="0.35">
      <c r="A374" t="s">
        <v>500</v>
      </c>
      <c r="D374">
        <v>50</v>
      </c>
    </row>
    <row r="375" spans="1:4" x14ac:dyDescent="0.35">
      <c r="A375" t="s">
        <v>501</v>
      </c>
      <c r="D375">
        <v>50</v>
      </c>
    </row>
    <row r="376" spans="1:4" x14ac:dyDescent="0.35">
      <c r="A376" t="s">
        <v>502</v>
      </c>
      <c r="D376">
        <v>50</v>
      </c>
    </row>
    <row r="377" spans="1:4" x14ac:dyDescent="0.35">
      <c r="A377" t="s">
        <v>503</v>
      </c>
    </row>
    <row r="378" spans="1:4" x14ac:dyDescent="0.35">
      <c r="A378" t="s">
        <v>504</v>
      </c>
      <c r="D378">
        <v>50</v>
      </c>
    </row>
    <row r="379" spans="1:4" x14ac:dyDescent="0.35">
      <c r="A379" t="s">
        <v>505</v>
      </c>
    </row>
    <row r="380" spans="1:4" x14ac:dyDescent="0.35">
      <c r="A380" t="s">
        <v>506</v>
      </c>
      <c r="D380">
        <v>50</v>
      </c>
    </row>
    <row r="381" spans="1:4" x14ac:dyDescent="0.35">
      <c r="A381" t="s">
        <v>507</v>
      </c>
    </row>
    <row r="382" spans="1:4" x14ac:dyDescent="0.35">
      <c r="A382" t="s">
        <v>508</v>
      </c>
      <c r="D382">
        <v>50</v>
      </c>
    </row>
    <row r="383" spans="1:4" x14ac:dyDescent="0.35">
      <c r="A383" t="s">
        <v>509</v>
      </c>
      <c r="D383">
        <v>50</v>
      </c>
    </row>
    <row r="384" spans="1:4" x14ac:dyDescent="0.35">
      <c r="A384" t="s">
        <v>510</v>
      </c>
      <c r="D384">
        <v>50</v>
      </c>
    </row>
    <row r="385" spans="1:4" x14ac:dyDescent="0.35">
      <c r="A385" t="s">
        <v>511</v>
      </c>
      <c r="D385">
        <v>50</v>
      </c>
    </row>
    <row r="386" spans="1:4" x14ac:dyDescent="0.35">
      <c r="A386" t="s">
        <v>512</v>
      </c>
      <c r="D386">
        <v>50</v>
      </c>
    </row>
    <row r="387" spans="1:4" x14ac:dyDescent="0.35">
      <c r="A387" t="s">
        <v>513</v>
      </c>
      <c r="D387">
        <v>50</v>
      </c>
    </row>
    <row r="388" spans="1:4" x14ac:dyDescent="0.35">
      <c r="A388" t="s">
        <v>514</v>
      </c>
      <c r="D388">
        <v>50</v>
      </c>
    </row>
    <row r="389" spans="1:4" x14ac:dyDescent="0.35">
      <c r="A389" t="s">
        <v>515</v>
      </c>
      <c r="D389">
        <v>50</v>
      </c>
    </row>
    <row r="390" spans="1:4" x14ac:dyDescent="0.35">
      <c r="A390" t="s">
        <v>516</v>
      </c>
      <c r="D390">
        <v>50</v>
      </c>
    </row>
    <row r="391" spans="1:4" x14ac:dyDescent="0.35">
      <c r="A391" t="s">
        <v>517</v>
      </c>
      <c r="D391">
        <v>50</v>
      </c>
    </row>
    <row r="392" spans="1:4" x14ac:dyDescent="0.35">
      <c r="A392" t="s">
        <v>805</v>
      </c>
    </row>
    <row r="393" spans="1:4" x14ac:dyDescent="0.35">
      <c r="A393" t="s">
        <v>806</v>
      </c>
    </row>
    <row r="394" spans="1:4" x14ac:dyDescent="0.35">
      <c r="A394" t="s">
        <v>1021</v>
      </c>
    </row>
    <row r="395" spans="1:4" x14ac:dyDescent="0.35">
      <c r="A395" t="s">
        <v>644</v>
      </c>
    </row>
    <row r="396" spans="1:4" x14ac:dyDescent="0.35">
      <c r="A396" t="s">
        <v>645</v>
      </c>
    </row>
    <row r="397" spans="1:4" x14ac:dyDescent="0.35">
      <c r="A397" t="s">
        <v>458</v>
      </c>
    </row>
    <row r="398" spans="1:4" x14ac:dyDescent="0.35">
      <c r="A398" t="s">
        <v>459</v>
      </c>
    </row>
    <row r="399" spans="1:4" x14ac:dyDescent="0.35">
      <c r="A399" t="s">
        <v>460</v>
      </c>
    </row>
    <row r="400" spans="1:4" x14ac:dyDescent="0.35">
      <c r="A400" t="s">
        <v>461</v>
      </c>
    </row>
    <row r="401" spans="1:1" x14ac:dyDescent="0.35">
      <c r="A401" t="s">
        <v>462</v>
      </c>
    </row>
    <row r="402" spans="1:1" x14ac:dyDescent="0.35">
      <c r="A402" t="s">
        <v>311</v>
      </c>
    </row>
    <row r="403" spans="1:1" x14ac:dyDescent="0.35">
      <c r="A403" t="s">
        <v>1134</v>
      </c>
    </row>
    <row r="404" spans="1:1" x14ac:dyDescent="0.35">
      <c r="A404" t="s">
        <v>1135</v>
      </c>
    </row>
    <row r="405" spans="1:1" x14ac:dyDescent="0.35">
      <c r="A405" t="s">
        <v>1136</v>
      </c>
    </row>
    <row r="406" spans="1:1" x14ac:dyDescent="0.35">
      <c r="A406" t="s">
        <v>1137</v>
      </c>
    </row>
    <row r="407" spans="1:1" x14ac:dyDescent="0.35">
      <c r="A407" t="s">
        <v>1138</v>
      </c>
    </row>
    <row r="408" spans="1:1" x14ac:dyDescent="0.35">
      <c r="A408" t="s">
        <v>1139</v>
      </c>
    </row>
    <row r="409" spans="1:1" x14ac:dyDescent="0.35">
      <c r="A409" t="s">
        <v>96</v>
      </c>
    </row>
    <row r="410" spans="1:1" x14ac:dyDescent="0.35">
      <c r="A410" t="s">
        <v>97</v>
      </c>
    </row>
    <row r="411" spans="1:1" x14ac:dyDescent="0.35">
      <c r="A411" t="s">
        <v>98</v>
      </c>
    </row>
    <row r="412" spans="1:1" x14ac:dyDescent="0.35">
      <c r="A412" t="s">
        <v>99</v>
      </c>
    </row>
    <row r="413" spans="1:1" x14ac:dyDescent="0.35">
      <c r="A413" t="s">
        <v>100</v>
      </c>
    </row>
    <row r="414" spans="1:1" x14ac:dyDescent="0.35">
      <c r="A414" t="s">
        <v>101</v>
      </c>
    </row>
    <row r="415" spans="1:1" x14ac:dyDescent="0.35">
      <c r="A415" t="s">
        <v>364</v>
      </c>
    </row>
    <row r="416" spans="1:1" x14ac:dyDescent="0.35">
      <c r="A416" t="s">
        <v>180</v>
      </c>
    </row>
    <row r="417" spans="1:3" x14ac:dyDescent="0.35">
      <c r="A417" t="s">
        <v>181</v>
      </c>
    </row>
    <row r="418" spans="1:3" x14ac:dyDescent="0.35">
      <c r="A418" t="s">
        <v>73</v>
      </c>
    </row>
    <row r="419" spans="1:3" x14ac:dyDescent="0.35">
      <c r="A419" t="s">
        <v>74</v>
      </c>
    </row>
    <row r="420" spans="1:3" x14ac:dyDescent="0.35">
      <c r="A420" t="s">
        <v>848</v>
      </c>
    </row>
    <row r="421" spans="1:3" x14ac:dyDescent="0.35">
      <c r="A421" t="s">
        <v>849</v>
      </c>
    </row>
    <row r="422" spans="1:3" x14ac:dyDescent="0.35">
      <c r="A422" t="s">
        <v>850</v>
      </c>
    </row>
    <row r="423" spans="1:3" x14ac:dyDescent="0.35">
      <c r="A423" t="s">
        <v>798</v>
      </c>
    </row>
    <row r="424" spans="1:3" x14ac:dyDescent="0.35">
      <c r="A424" t="s">
        <v>834</v>
      </c>
    </row>
    <row r="425" spans="1:3" x14ac:dyDescent="0.35">
      <c r="A425" t="s">
        <v>640</v>
      </c>
      <c r="B425">
        <v>1</v>
      </c>
      <c r="C425">
        <v>1</v>
      </c>
    </row>
    <row r="426" spans="1:3" x14ac:dyDescent="0.35">
      <c r="A426" t="s">
        <v>641</v>
      </c>
      <c r="B426">
        <v>1</v>
      </c>
      <c r="C426">
        <v>1</v>
      </c>
    </row>
    <row r="427" spans="1:3" x14ac:dyDescent="0.35">
      <c r="A427" t="s">
        <v>642</v>
      </c>
      <c r="B427">
        <v>1</v>
      </c>
      <c r="C427">
        <v>1</v>
      </c>
    </row>
    <row r="428" spans="1:3" x14ac:dyDescent="0.35">
      <c r="A428" t="s">
        <v>643</v>
      </c>
      <c r="B428">
        <v>1</v>
      </c>
      <c r="C428">
        <v>1</v>
      </c>
    </row>
    <row r="429" spans="1:3" x14ac:dyDescent="0.35">
      <c r="A429" t="s">
        <v>1034</v>
      </c>
      <c r="B429">
        <v>1</v>
      </c>
      <c r="C429">
        <v>1</v>
      </c>
    </row>
    <row r="430" spans="1:3" x14ac:dyDescent="0.35">
      <c r="A430" t="s">
        <v>1035</v>
      </c>
      <c r="B430">
        <v>1</v>
      </c>
      <c r="C430">
        <v>1</v>
      </c>
    </row>
    <row r="431" spans="1:3" x14ac:dyDescent="0.35">
      <c r="A431" t="s">
        <v>1036</v>
      </c>
      <c r="B431">
        <v>1</v>
      </c>
      <c r="C431">
        <v>1</v>
      </c>
    </row>
    <row r="432" spans="1:3" x14ac:dyDescent="0.35">
      <c r="A432" t="s">
        <v>1037</v>
      </c>
      <c r="B432">
        <v>1</v>
      </c>
      <c r="C432">
        <v>1</v>
      </c>
    </row>
    <row r="433" spans="1:3" x14ac:dyDescent="0.35">
      <c r="A433" t="s">
        <v>1038</v>
      </c>
      <c r="B433">
        <v>1</v>
      </c>
      <c r="C433">
        <v>1</v>
      </c>
    </row>
    <row r="434" spans="1:3" x14ac:dyDescent="0.35">
      <c r="A434" t="s">
        <v>1056</v>
      </c>
      <c r="B434">
        <v>1</v>
      </c>
      <c r="C434">
        <v>1</v>
      </c>
    </row>
    <row r="435" spans="1:3" x14ac:dyDescent="0.35">
      <c r="A435" t="s">
        <v>1057</v>
      </c>
      <c r="B435">
        <v>1</v>
      </c>
      <c r="C435">
        <v>1</v>
      </c>
    </row>
    <row r="436" spans="1:3" x14ac:dyDescent="0.35">
      <c r="A436" t="s">
        <v>1058</v>
      </c>
      <c r="B436">
        <v>1</v>
      </c>
      <c r="C436">
        <v>1</v>
      </c>
    </row>
    <row r="437" spans="1:3" x14ac:dyDescent="0.35">
      <c r="A437" t="s">
        <v>1059</v>
      </c>
      <c r="B437">
        <v>1</v>
      </c>
      <c r="C437">
        <v>1</v>
      </c>
    </row>
    <row r="438" spans="1:3" x14ac:dyDescent="0.35">
      <c r="A438" t="s">
        <v>1060</v>
      </c>
      <c r="B438">
        <v>1</v>
      </c>
      <c r="C438">
        <v>1</v>
      </c>
    </row>
    <row r="439" spans="1:3" x14ac:dyDescent="0.35">
      <c r="A439" t="s">
        <v>1061</v>
      </c>
      <c r="B439">
        <v>1</v>
      </c>
      <c r="C439">
        <v>1</v>
      </c>
    </row>
    <row r="440" spans="1:3" x14ac:dyDescent="0.35">
      <c r="A440" t="s">
        <v>1062</v>
      </c>
      <c r="B440">
        <v>1</v>
      </c>
      <c r="C440">
        <v>1</v>
      </c>
    </row>
    <row r="441" spans="1:3" x14ac:dyDescent="0.35">
      <c r="A441" t="s">
        <v>881</v>
      </c>
      <c r="B441">
        <v>1</v>
      </c>
      <c r="C441">
        <v>1</v>
      </c>
    </row>
    <row r="442" spans="1:3" x14ac:dyDescent="0.35">
      <c r="A442" t="s">
        <v>964</v>
      </c>
      <c r="B442">
        <v>1</v>
      </c>
      <c r="C442">
        <v>1</v>
      </c>
    </row>
    <row r="443" spans="1:3" x14ac:dyDescent="0.35">
      <c r="A443" t="s">
        <v>965</v>
      </c>
      <c r="B443">
        <v>1</v>
      </c>
      <c r="C443">
        <v>1</v>
      </c>
    </row>
    <row r="444" spans="1:3" x14ac:dyDescent="0.35">
      <c r="A444" t="s">
        <v>966</v>
      </c>
      <c r="B444">
        <v>1</v>
      </c>
      <c r="C444">
        <v>1</v>
      </c>
    </row>
    <row r="445" spans="1:3" x14ac:dyDescent="0.35">
      <c r="A445" t="s">
        <v>967</v>
      </c>
    </row>
    <row r="446" spans="1:3" x14ac:dyDescent="0.35">
      <c r="A446" t="s">
        <v>968</v>
      </c>
    </row>
    <row r="447" spans="1:3" x14ac:dyDescent="0.35">
      <c r="A447" t="s">
        <v>520</v>
      </c>
    </row>
    <row r="448" spans="1:3" x14ac:dyDescent="0.35">
      <c r="A448" t="s">
        <v>646</v>
      </c>
    </row>
    <row r="449" spans="1:1" x14ac:dyDescent="0.35">
      <c r="A449" t="s">
        <v>647</v>
      </c>
    </row>
    <row r="450" spans="1:1" x14ac:dyDescent="0.35">
      <c r="A450" t="s">
        <v>648</v>
      </c>
    </row>
    <row r="451" spans="1:1" x14ac:dyDescent="0.35">
      <c r="A451" t="s">
        <v>649</v>
      </c>
    </row>
    <row r="452" spans="1:1" x14ac:dyDescent="0.35">
      <c r="A452" t="s">
        <v>650</v>
      </c>
    </row>
    <row r="453" spans="1:1" x14ac:dyDescent="0.35">
      <c r="A453" t="s">
        <v>651</v>
      </c>
    </row>
    <row r="454" spans="1:1" x14ac:dyDescent="0.35">
      <c r="A454" t="s">
        <v>945</v>
      </c>
    </row>
    <row r="455" spans="1:1" x14ac:dyDescent="0.35">
      <c r="A455" t="s">
        <v>913</v>
      </c>
    </row>
    <row r="456" spans="1:1" x14ac:dyDescent="0.35">
      <c r="A456" t="s">
        <v>914</v>
      </c>
    </row>
    <row r="457" spans="1:1" x14ac:dyDescent="0.35">
      <c r="A457" t="s">
        <v>915</v>
      </c>
    </row>
    <row r="458" spans="1:1" x14ac:dyDescent="0.35">
      <c r="A458" t="s">
        <v>916</v>
      </c>
    </row>
    <row r="459" spans="1:1" x14ac:dyDescent="0.35">
      <c r="A459" t="s">
        <v>1017</v>
      </c>
    </row>
    <row r="460" spans="1:1" x14ac:dyDescent="0.35">
      <c r="A460" t="s">
        <v>1078</v>
      </c>
    </row>
    <row r="461" spans="1:1" x14ac:dyDescent="0.35">
      <c r="A461" t="s">
        <v>1079</v>
      </c>
    </row>
    <row r="462" spans="1:1" x14ac:dyDescent="0.35">
      <c r="A462" t="s">
        <v>1080</v>
      </c>
    </row>
    <row r="463" spans="1:1" x14ac:dyDescent="0.35">
      <c r="A463" t="s">
        <v>1081</v>
      </c>
    </row>
    <row r="464" spans="1:1" x14ac:dyDescent="0.35">
      <c r="A464" t="s">
        <v>303</v>
      </c>
    </row>
    <row r="465" spans="1:3" x14ac:dyDescent="0.35">
      <c r="A465" t="s">
        <v>447</v>
      </c>
      <c r="B465" t="b">
        <v>0</v>
      </c>
      <c r="C465" t="b">
        <v>0</v>
      </c>
    </row>
    <row r="466" spans="1:3" x14ac:dyDescent="0.35">
      <c r="A466" t="s">
        <v>448</v>
      </c>
    </row>
    <row r="467" spans="1:3" x14ac:dyDescent="0.35">
      <c r="A467" t="s">
        <v>449</v>
      </c>
      <c r="B467" t="b">
        <v>0</v>
      </c>
      <c r="C467" t="b">
        <v>0</v>
      </c>
    </row>
    <row r="468" spans="1:3" x14ac:dyDescent="0.35">
      <c r="A468" t="s">
        <v>69</v>
      </c>
    </row>
    <row r="469" spans="1:3" x14ac:dyDescent="0.35">
      <c r="A469" t="s">
        <v>1025</v>
      </c>
    </row>
    <row r="470" spans="1:3" x14ac:dyDescent="0.35">
      <c r="A470" t="s">
        <v>70</v>
      </c>
    </row>
    <row r="471" spans="1:3" x14ac:dyDescent="0.35">
      <c r="A471" t="s">
        <v>314</v>
      </c>
    </row>
    <row r="472" spans="1:3" x14ac:dyDescent="0.35">
      <c r="A472" t="s">
        <v>315</v>
      </c>
    </row>
    <row r="473" spans="1:3" x14ac:dyDescent="0.35">
      <c r="A473" t="s">
        <v>807</v>
      </c>
    </row>
    <row r="474" spans="1:3" x14ac:dyDescent="0.35">
      <c r="A474" t="s">
        <v>808</v>
      </c>
    </row>
    <row r="475" spans="1:3" x14ac:dyDescent="0.35">
      <c r="A475" t="s">
        <v>809</v>
      </c>
    </row>
    <row r="476" spans="1:3" x14ac:dyDescent="0.35">
      <c r="A476" t="s">
        <v>421</v>
      </c>
    </row>
    <row r="477" spans="1:3" x14ac:dyDescent="0.35">
      <c r="A477" t="s">
        <v>422</v>
      </c>
    </row>
    <row r="478" spans="1:3" x14ac:dyDescent="0.35">
      <c r="A478" t="s">
        <v>423</v>
      </c>
    </row>
    <row r="479" spans="1:3" x14ac:dyDescent="0.35">
      <c r="A479" t="s">
        <v>424</v>
      </c>
    </row>
    <row r="480" spans="1:3" x14ac:dyDescent="0.35">
      <c r="A480" t="s">
        <v>425</v>
      </c>
    </row>
    <row r="481" spans="1:1" x14ac:dyDescent="0.35">
      <c r="A481" t="s">
        <v>555</v>
      </c>
    </row>
    <row r="482" spans="1:1" x14ac:dyDescent="0.35">
      <c r="A482" t="s">
        <v>450</v>
      </c>
    </row>
    <row r="483" spans="1:1" x14ac:dyDescent="0.35">
      <c r="A483" t="s">
        <v>451</v>
      </c>
    </row>
    <row r="484" spans="1:1" x14ac:dyDescent="0.35">
      <c r="A484" t="s">
        <v>452</v>
      </c>
    </row>
    <row r="485" spans="1:1" x14ac:dyDescent="0.35">
      <c r="A485" t="s">
        <v>428</v>
      </c>
    </row>
    <row r="486" spans="1:1" x14ac:dyDescent="0.35">
      <c r="A486" t="s">
        <v>429</v>
      </c>
    </row>
    <row r="487" spans="1:1" x14ac:dyDescent="0.35">
      <c r="A487" t="s">
        <v>870</v>
      </c>
    </row>
    <row r="488" spans="1:1" x14ac:dyDescent="0.35">
      <c r="A488" t="s">
        <v>871</v>
      </c>
    </row>
    <row r="489" spans="1:1" x14ac:dyDescent="0.35">
      <c r="A489" t="s">
        <v>802</v>
      </c>
    </row>
    <row r="490" spans="1:1" x14ac:dyDescent="0.35">
      <c r="A490" t="s">
        <v>803</v>
      </c>
    </row>
    <row r="491" spans="1:1" x14ac:dyDescent="0.35">
      <c r="A491" t="s">
        <v>804</v>
      </c>
    </row>
    <row r="492" spans="1:1" x14ac:dyDescent="0.35">
      <c r="A492" t="s">
        <v>339</v>
      </c>
    </row>
    <row r="493" spans="1:1" x14ac:dyDescent="0.35">
      <c r="A493" t="s">
        <v>340</v>
      </c>
    </row>
    <row r="494" spans="1:1" x14ac:dyDescent="0.35">
      <c r="A494" t="s">
        <v>341</v>
      </c>
    </row>
    <row r="495" spans="1:1" x14ac:dyDescent="0.35">
      <c r="A495" t="s">
        <v>342</v>
      </c>
    </row>
    <row r="496" spans="1:1" x14ac:dyDescent="0.35">
      <c r="A496" t="s">
        <v>343</v>
      </c>
    </row>
    <row r="497" spans="1:3" x14ac:dyDescent="0.35">
      <c r="A497" t="s">
        <v>472</v>
      </c>
    </row>
    <row r="498" spans="1:3" x14ac:dyDescent="0.35">
      <c r="A498" t="s">
        <v>467</v>
      </c>
    </row>
    <row r="499" spans="1:3" x14ac:dyDescent="0.35">
      <c r="A499" t="s">
        <v>468</v>
      </c>
    </row>
    <row r="500" spans="1:3" x14ac:dyDescent="0.35">
      <c r="A500" t="s">
        <v>469</v>
      </c>
    </row>
    <row r="501" spans="1:3" x14ac:dyDescent="0.35">
      <c r="A501" t="s">
        <v>470</v>
      </c>
    </row>
    <row r="502" spans="1:3" x14ac:dyDescent="0.35">
      <c r="A502" t="s">
        <v>471</v>
      </c>
    </row>
    <row r="503" spans="1:3" x14ac:dyDescent="0.35">
      <c r="A503" t="s">
        <v>817</v>
      </c>
    </row>
    <row r="504" spans="1:3" x14ac:dyDescent="0.35">
      <c r="A504" t="s">
        <v>943</v>
      </c>
    </row>
    <row r="505" spans="1:3" x14ac:dyDescent="0.35">
      <c r="A505" t="s">
        <v>551</v>
      </c>
      <c r="B505">
        <v>41363</v>
      </c>
      <c r="C505">
        <v>41363</v>
      </c>
    </row>
    <row r="506" spans="1:3" x14ac:dyDescent="0.35">
      <c r="A506" t="s">
        <v>254</v>
      </c>
      <c r="B506">
        <v>1</v>
      </c>
      <c r="C506">
        <v>1</v>
      </c>
    </row>
    <row r="507" spans="1:3" x14ac:dyDescent="0.35">
      <c r="A507" t="s">
        <v>901</v>
      </c>
      <c r="B507">
        <v>1</v>
      </c>
      <c r="C507">
        <v>1</v>
      </c>
    </row>
    <row r="508" spans="1:3" x14ac:dyDescent="0.35">
      <c r="A508" t="s">
        <v>902</v>
      </c>
      <c r="B508">
        <v>1</v>
      </c>
      <c r="C508">
        <v>1</v>
      </c>
    </row>
    <row r="509" spans="1:3" x14ac:dyDescent="0.35">
      <c r="A509" t="s">
        <v>903</v>
      </c>
      <c r="B509">
        <v>1</v>
      </c>
      <c r="C509">
        <v>1</v>
      </c>
    </row>
    <row r="510" spans="1:3" x14ac:dyDescent="0.35">
      <c r="A510" t="s">
        <v>904</v>
      </c>
      <c r="B510">
        <v>1</v>
      </c>
      <c r="C510">
        <v>1</v>
      </c>
    </row>
    <row r="511" spans="1:3" x14ac:dyDescent="0.35">
      <c r="A511" t="s">
        <v>905</v>
      </c>
      <c r="B511">
        <v>1</v>
      </c>
      <c r="C511">
        <v>1</v>
      </c>
    </row>
    <row r="512" spans="1:3" x14ac:dyDescent="0.35">
      <c r="A512" t="s">
        <v>994</v>
      </c>
    </row>
    <row r="513" spans="1:1" x14ac:dyDescent="0.35">
      <c r="A513" t="s">
        <v>825</v>
      </c>
    </row>
    <row r="514" spans="1:1" x14ac:dyDescent="0.35">
      <c r="A514" t="s">
        <v>665</v>
      </c>
    </row>
    <row r="515" spans="1:1" x14ac:dyDescent="0.35">
      <c r="A515" t="s">
        <v>158</v>
      </c>
    </row>
    <row r="516" spans="1:1" x14ac:dyDescent="0.35">
      <c r="A516" t="s">
        <v>161</v>
      </c>
    </row>
    <row r="517" spans="1:1" x14ac:dyDescent="0.35">
      <c r="A517" t="s">
        <v>160</v>
      </c>
    </row>
    <row r="518" spans="1:1" x14ac:dyDescent="0.35">
      <c r="A518" t="s">
        <v>157</v>
      </c>
    </row>
    <row r="519" spans="1:1" x14ac:dyDescent="0.35">
      <c r="A519" t="s">
        <v>156</v>
      </c>
    </row>
    <row r="520" spans="1:1" x14ac:dyDescent="0.35">
      <c r="A520" t="s">
        <v>159</v>
      </c>
    </row>
    <row r="521" spans="1:1" x14ac:dyDescent="0.35">
      <c r="A521" t="s">
        <v>162</v>
      </c>
    </row>
    <row r="522" spans="1:1" x14ac:dyDescent="0.35">
      <c r="A522" t="s">
        <v>671</v>
      </c>
    </row>
    <row r="523" spans="1:1" x14ac:dyDescent="0.35">
      <c r="A523" t="s">
        <v>672</v>
      </c>
    </row>
    <row r="524" spans="1:1" x14ac:dyDescent="0.35">
      <c r="A524" t="s">
        <v>673</v>
      </c>
    </row>
    <row r="525" spans="1:1" x14ac:dyDescent="0.35">
      <c r="A525" t="s">
        <v>674</v>
      </c>
    </row>
    <row r="526" spans="1:1" x14ac:dyDescent="0.35">
      <c r="A526" t="s">
        <v>1113</v>
      </c>
    </row>
    <row r="527" spans="1:1" x14ac:dyDescent="0.35">
      <c r="A527" t="s">
        <v>1114</v>
      </c>
    </row>
    <row r="528" spans="1:1" x14ac:dyDescent="0.35">
      <c r="A528" t="s">
        <v>1115</v>
      </c>
    </row>
    <row r="529" spans="1:3" x14ac:dyDescent="0.35">
      <c r="A529" t="s">
        <v>1116</v>
      </c>
    </row>
    <row r="530" spans="1:3" x14ac:dyDescent="0.35">
      <c r="A530" t="s">
        <v>617</v>
      </c>
    </row>
    <row r="531" spans="1:3" x14ac:dyDescent="0.35">
      <c r="A531" t="s">
        <v>1018</v>
      </c>
    </row>
    <row r="532" spans="1:3" x14ac:dyDescent="0.35">
      <c r="A532" t="s">
        <v>1019</v>
      </c>
    </row>
    <row r="533" spans="1:3" x14ac:dyDescent="0.35">
      <c r="A533" t="s">
        <v>1020</v>
      </c>
    </row>
    <row r="534" spans="1:3" x14ac:dyDescent="0.35">
      <c r="A534" t="s">
        <v>595</v>
      </c>
    </row>
    <row r="535" spans="1:3" x14ac:dyDescent="0.35">
      <c r="A535" t="s">
        <v>596</v>
      </c>
    </row>
    <row r="536" spans="1:3" x14ac:dyDescent="0.35">
      <c r="A536" t="s">
        <v>597</v>
      </c>
    </row>
    <row r="537" spans="1:3" x14ac:dyDescent="0.35">
      <c r="A537" t="s">
        <v>598</v>
      </c>
    </row>
    <row r="538" spans="1:3" x14ac:dyDescent="0.35">
      <c r="A538" t="s">
        <v>599</v>
      </c>
    </row>
    <row r="539" spans="1:3" x14ac:dyDescent="0.35">
      <c r="A539" t="s">
        <v>600</v>
      </c>
    </row>
    <row r="540" spans="1:3" x14ac:dyDescent="0.35">
      <c r="A540" t="s">
        <v>601</v>
      </c>
    </row>
    <row r="541" spans="1:3" x14ac:dyDescent="0.35">
      <c r="A541" t="s">
        <v>602</v>
      </c>
    </row>
    <row r="542" spans="1:3" x14ac:dyDescent="0.35">
      <c r="A542" t="s">
        <v>539</v>
      </c>
      <c r="B542" t="b">
        <v>0</v>
      </c>
      <c r="C542" t="b">
        <v>0</v>
      </c>
    </row>
    <row r="543" spans="1:3" x14ac:dyDescent="0.35">
      <c r="A543" t="s">
        <v>1026</v>
      </c>
      <c r="B543">
        <v>1</v>
      </c>
      <c r="C543">
        <v>1</v>
      </c>
    </row>
    <row r="544" spans="1:3" x14ac:dyDescent="0.35">
      <c r="A544" t="s">
        <v>549</v>
      </c>
      <c r="B544">
        <v>1</v>
      </c>
      <c r="C544">
        <v>1</v>
      </c>
    </row>
    <row r="545" spans="1:3" x14ac:dyDescent="0.35">
      <c r="A545" t="s">
        <v>827</v>
      </c>
    </row>
    <row r="546" spans="1:3" x14ac:dyDescent="0.35">
      <c r="A546" t="s">
        <v>828</v>
      </c>
    </row>
    <row r="547" spans="1:3" x14ac:dyDescent="0.35">
      <c r="A547" t="s">
        <v>829</v>
      </c>
    </row>
    <row r="548" spans="1:3" x14ac:dyDescent="0.35">
      <c r="A548" t="s">
        <v>830</v>
      </c>
    </row>
    <row r="549" spans="1:3" x14ac:dyDescent="0.35">
      <c r="A549" t="s">
        <v>831</v>
      </c>
    </row>
    <row r="550" spans="1:3" x14ac:dyDescent="0.35">
      <c r="A550" t="s">
        <v>832</v>
      </c>
    </row>
    <row r="551" spans="1:3" x14ac:dyDescent="0.35">
      <c r="A551" t="s">
        <v>518</v>
      </c>
    </row>
    <row r="552" spans="1:3" x14ac:dyDescent="0.35">
      <c r="A552" t="s">
        <v>1041</v>
      </c>
    </row>
    <row r="553" spans="1:3" x14ac:dyDescent="0.35">
      <c r="A553" t="s">
        <v>1042</v>
      </c>
    </row>
    <row r="554" spans="1:3" x14ac:dyDescent="0.35">
      <c r="A554" t="s">
        <v>823</v>
      </c>
      <c r="B554">
        <v>0</v>
      </c>
      <c r="C554">
        <v>0</v>
      </c>
    </row>
    <row r="555" spans="1:3" x14ac:dyDescent="0.35">
      <c r="A555" t="s">
        <v>794</v>
      </c>
      <c r="B555">
        <v>1</v>
      </c>
      <c r="C555">
        <v>1</v>
      </c>
    </row>
    <row r="556" spans="1:3" x14ac:dyDescent="0.35">
      <c r="A556" t="s">
        <v>1112</v>
      </c>
      <c r="B556">
        <v>1</v>
      </c>
      <c r="C556">
        <v>1</v>
      </c>
    </row>
    <row r="557" spans="1:3" x14ac:dyDescent="0.35">
      <c r="A557" t="s">
        <v>1027</v>
      </c>
    </row>
    <row r="558" spans="1:3" x14ac:dyDescent="0.35">
      <c r="A558" t="s">
        <v>433</v>
      </c>
    </row>
    <row r="559" spans="1:3" x14ac:dyDescent="0.35">
      <c r="A559" t="s">
        <v>434</v>
      </c>
    </row>
    <row r="560" spans="1:3" x14ac:dyDescent="0.35">
      <c r="A560" t="s">
        <v>435</v>
      </c>
    </row>
    <row r="561" spans="1:1" x14ac:dyDescent="0.35">
      <c r="A561" t="s">
        <v>436</v>
      </c>
    </row>
    <row r="562" spans="1:1" x14ac:dyDescent="0.35">
      <c r="A562" t="s">
        <v>437</v>
      </c>
    </row>
    <row r="563" spans="1:1" x14ac:dyDescent="0.35">
      <c r="A563" t="s">
        <v>438</v>
      </c>
    </row>
    <row r="564" spans="1:1" x14ac:dyDescent="0.35">
      <c r="A564" t="s">
        <v>439</v>
      </c>
    </row>
    <row r="565" spans="1:1" x14ac:dyDescent="0.35">
      <c r="A565" t="s">
        <v>440</v>
      </c>
    </row>
    <row r="566" spans="1:1" x14ac:dyDescent="0.35">
      <c r="A566" t="s">
        <v>441</v>
      </c>
    </row>
    <row r="567" spans="1:1" x14ac:dyDescent="0.35">
      <c r="A567" t="s">
        <v>49</v>
      </c>
    </row>
    <row r="568" spans="1:1" x14ac:dyDescent="0.35">
      <c r="A568" t="s">
        <v>50</v>
      </c>
    </row>
    <row r="569" spans="1:1" x14ac:dyDescent="0.35">
      <c r="A569" t="s">
        <v>51</v>
      </c>
    </row>
    <row r="570" spans="1:1" x14ac:dyDescent="0.35">
      <c r="A570" t="s">
        <v>52</v>
      </c>
    </row>
    <row r="571" spans="1:1" x14ac:dyDescent="0.35">
      <c r="A571" t="s">
        <v>53</v>
      </c>
    </row>
    <row r="572" spans="1:1" x14ac:dyDescent="0.35">
      <c r="A572" t="s">
        <v>54</v>
      </c>
    </row>
    <row r="573" spans="1:1" x14ac:dyDescent="0.35">
      <c r="A573" t="s">
        <v>55</v>
      </c>
    </row>
    <row r="574" spans="1:1" x14ac:dyDescent="0.35">
      <c r="A574" t="s">
        <v>56</v>
      </c>
    </row>
    <row r="575" spans="1:1" x14ac:dyDescent="0.35">
      <c r="A575" t="s">
        <v>57</v>
      </c>
    </row>
    <row r="576" spans="1:1" x14ac:dyDescent="0.35">
      <c r="A576" t="s">
        <v>58</v>
      </c>
    </row>
    <row r="577" spans="1:3" x14ac:dyDescent="0.35">
      <c r="A577" t="s">
        <v>59</v>
      </c>
    </row>
    <row r="578" spans="1:3" x14ac:dyDescent="0.35">
      <c r="A578" t="s">
        <v>1153</v>
      </c>
      <c r="B578">
        <v>1500</v>
      </c>
      <c r="C578">
        <v>1500</v>
      </c>
    </row>
    <row r="579" spans="1:3" x14ac:dyDescent="0.35">
      <c r="A579" t="s">
        <v>1154</v>
      </c>
      <c r="B579">
        <v>1500</v>
      </c>
      <c r="C579">
        <v>1500</v>
      </c>
    </row>
    <row r="580" spans="1:3" x14ac:dyDescent="0.35">
      <c r="A580" t="s">
        <v>1155</v>
      </c>
      <c r="B580">
        <v>1500</v>
      </c>
      <c r="C580">
        <v>1500</v>
      </c>
    </row>
    <row r="581" spans="1:3" x14ac:dyDescent="0.35">
      <c r="A581" t="s">
        <v>1156</v>
      </c>
      <c r="B581">
        <v>1500</v>
      </c>
      <c r="C581">
        <v>1500</v>
      </c>
    </row>
    <row r="582" spans="1:3" x14ac:dyDescent="0.35">
      <c r="A582" t="s">
        <v>34</v>
      </c>
      <c r="B582">
        <v>1500</v>
      </c>
      <c r="C582">
        <v>1500</v>
      </c>
    </row>
    <row r="583" spans="1:3" x14ac:dyDescent="0.35">
      <c r="A583" t="s">
        <v>35</v>
      </c>
      <c r="B583">
        <v>1500</v>
      </c>
      <c r="C583">
        <v>1500</v>
      </c>
    </row>
    <row r="584" spans="1:3" x14ac:dyDescent="0.35">
      <c r="A584" t="s">
        <v>36</v>
      </c>
      <c r="B584">
        <v>1500</v>
      </c>
      <c r="C584">
        <v>1500</v>
      </c>
    </row>
    <row r="585" spans="1:3" x14ac:dyDescent="0.35">
      <c r="A585" t="s">
        <v>37</v>
      </c>
      <c r="B585">
        <v>1500</v>
      </c>
      <c r="C585">
        <v>1500</v>
      </c>
    </row>
    <row r="586" spans="1:3" x14ac:dyDescent="0.35">
      <c r="A586" t="s">
        <v>38</v>
      </c>
      <c r="B586">
        <v>1500</v>
      </c>
      <c r="C586">
        <v>1500</v>
      </c>
    </row>
    <row r="587" spans="1:3" x14ac:dyDescent="0.35">
      <c r="A587" t="s">
        <v>480</v>
      </c>
      <c r="B587">
        <v>1500</v>
      </c>
      <c r="C587">
        <v>1500</v>
      </c>
    </row>
    <row r="588" spans="1:3" x14ac:dyDescent="0.35">
      <c r="A588" t="s">
        <v>481</v>
      </c>
      <c r="B588">
        <v>1500</v>
      </c>
      <c r="C588">
        <v>1500</v>
      </c>
    </row>
    <row r="589" spans="1:3" x14ac:dyDescent="0.35">
      <c r="A589" t="s">
        <v>482</v>
      </c>
      <c r="B589">
        <v>1500</v>
      </c>
      <c r="C589">
        <v>1500</v>
      </c>
    </row>
    <row r="590" spans="1:3" x14ac:dyDescent="0.35">
      <c r="A590" t="s">
        <v>64</v>
      </c>
      <c r="B590">
        <v>1500</v>
      </c>
      <c r="C590">
        <v>1500</v>
      </c>
    </row>
    <row r="591" spans="1:3" x14ac:dyDescent="0.35">
      <c r="A591" t="s">
        <v>65</v>
      </c>
      <c r="B591">
        <v>1500</v>
      </c>
      <c r="C591">
        <v>1500</v>
      </c>
    </row>
    <row r="592" spans="1:3" x14ac:dyDescent="0.35">
      <c r="A592" t="s">
        <v>66</v>
      </c>
      <c r="B592">
        <v>1500</v>
      </c>
      <c r="C592">
        <v>1500</v>
      </c>
    </row>
    <row r="593" spans="1:3" x14ac:dyDescent="0.35">
      <c r="A593" t="s">
        <v>67</v>
      </c>
      <c r="B593">
        <v>1500</v>
      </c>
      <c r="C593">
        <v>1500</v>
      </c>
    </row>
    <row r="594" spans="1:3" x14ac:dyDescent="0.35">
      <c r="A594" t="s">
        <v>742</v>
      </c>
      <c r="B594">
        <v>1500</v>
      </c>
      <c r="C594">
        <v>1500</v>
      </c>
    </row>
    <row r="595" spans="1:3" x14ac:dyDescent="0.35">
      <c r="A595" t="s">
        <v>743</v>
      </c>
      <c r="B595">
        <v>1500</v>
      </c>
      <c r="C595">
        <v>1500</v>
      </c>
    </row>
    <row r="596" spans="1:3" x14ac:dyDescent="0.35">
      <c r="A596" t="s">
        <v>744</v>
      </c>
      <c r="B596">
        <v>1500</v>
      </c>
      <c r="C596">
        <v>1500</v>
      </c>
    </row>
    <row r="597" spans="1:3" x14ac:dyDescent="0.35">
      <c r="A597" t="s">
        <v>745</v>
      </c>
      <c r="B597">
        <v>1500</v>
      </c>
      <c r="C597">
        <v>1500</v>
      </c>
    </row>
    <row r="598" spans="1:3" x14ac:dyDescent="0.35">
      <c r="A598" t="s">
        <v>585</v>
      </c>
      <c r="B598">
        <v>1</v>
      </c>
      <c r="C598">
        <v>1</v>
      </c>
    </row>
    <row r="599" spans="1:3" x14ac:dyDescent="0.35">
      <c r="A599" t="s">
        <v>1028</v>
      </c>
    </row>
    <row r="600" spans="1:3" x14ac:dyDescent="0.35">
      <c r="A600" t="s">
        <v>1029</v>
      </c>
      <c r="B600" t="b">
        <v>0</v>
      </c>
      <c r="C600" t="b">
        <v>0</v>
      </c>
    </row>
    <row r="601" spans="1:3" x14ac:dyDescent="0.35">
      <c r="A601" t="s">
        <v>1030</v>
      </c>
      <c r="B601">
        <v>1</v>
      </c>
      <c r="C601">
        <v>1</v>
      </c>
    </row>
    <row r="602" spans="1:3" x14ac:dyDescent="0.35">
      <c r="A602" t="s">
        <v>410</v>
      </c>
      <c r="B602">
        <v>0</v>
      </c>
      <c r="C602">
        <v>0</v>
      </c>
    </row>
    <row r="603" spans="1:3" x14ac:dyDescent="0.35">
      <c r="A603" t="s">
        <v>906</v>
      </c>
    </row>
    <row r="604" spans="1:3" x14ac:dyDescent="0.35">
      <c r="A604" t="s">
        <v>907</v>
      </c>
    </row>
    <row r="605" spans="1:3" x14ac:dyDescent="0.35">
      <c r="A605" t="s">
        <v>556</v>
      </c>
    </row>
  </sheetData>
  <sortState ref="A3:C605">
    <sortCondition ref="A2"/>
  </sortState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801</v>
      </c>
      <c r="B1" s="302" t="s">
        <v>1161</v>
      </c>
      <c r="C1" s="301" t="str">
        <f>AfsprakenCMV!F2&amp;" geb: "&amp;TEXT(AfsprakenCMV!F3,"dd-mmm-jj")&amp;". Gewicht: "&amp;ROUND(Gewicht/10,1)&amp;" kg"</f>
        <v>Achternaam, Voornaam geb: 03-apr-14. Gewicht: 5 kg</v>
      </c>
    </row>
    <row r="2" spans="1:3 4305:4305" x14ac:dyDescent="0.35">
      <c r="A2" t="s">
        <v>801</v>
      </c>
      <c r="B2" s="303" t="s">
        <v>1162</v>
      </c>
      <c r="C2" s="301" t="str">
        <f>_AchterNaam</f>
        <v>Achternaam</v>
      </c>
      <c r="FIO2">
        <v>30</v>
      </c>
    </row>
    <row r="3" spans="1:3 4305:4305" x14ac:dyDescent="0.35">
      <c r="A3" t="s">
        <v>801</v>
      </c>
      <c r="B3" s="303" t="s">
        <v>1163</v>
      </c>
      <c r="C3" s="301" t="str">
        <f>_VoorNaam</f>
        <v>Voornaam</v>
      </c>
    </row>
    <row r="4" spans="1:3 4305:4305" x14ac:dyDescent="0.35">
      <c r="A4" t="s">
        <v>801</v>
      </c>
      <c r="B4" s="303" t="s">
        <v>1164</v>
      </c>
      <c r="C4" s="301" t="str">
        <f>TEXT(AfsprakenCMV!F3,"dd-mmm-jj")</f>
        <v>03-apr-14</v>
      </c>
    </row>
    <row r="5" spans="1:3 4305:4305" x14ac:dyDescent="0.35">
      <c r="A5" t="s">
        <v>801</v>
      </c>
      <c r="B5" s="303" t="s">
        <v>1165</v>
      </c>
      <c r="C5" s="24">
        <f>PatNummer</f>
        <v>0</v>
      </c>
    </row>
    <row r="6" spans="1:3 4305:4305" x14ac:dyDescent="0.35">
      <c r="A6" t="s">
        <v>1185</v>
      </c>
      <c r="B6" s="303" t="s">
        <v>1161</v>
      </c>
      <c r="C6" t="e">
        <f>IF(AfsprakenCMV!C58&lt;&gt;0,AfsprakenCMV!C58&amp;" "&amp;AfsprakenCMV!E58&amp;" "&amp;AfsprakenCMV!F58&amp;" "&amp;AfsprakenCMV!G58&amp;", totaal "&amp;AfsprakenCMV!J58&amp;" "&amp;AfsprakenCMV!I58,"")</f>
        <v>#REF!</v>
      </c>
    </row>
    <row r="7" spans="1:3 4305:4305" x14ac:dyDescent="0.35">
      <c r="A7" t="s">
        <v>1185</v>
      </c>
      <c r="B7" s="303" t="s">
        <v>1162</v>
      </c>
      <c r="C7" t="e">
        <f>IF(AfsprakenCMV!C59&lt;&gt;0,AfsprakenCMV!C59&amp;" "&amp;AfsprakenCMV!E59&amp;" "&amp;AfsprakenCMV!F59&amp;" "&amp;AfsprakenCMV!G59&amp;", totaal "&amp;AfsprakenCMV!J59&amp;" "&amp;AfsprakenCMV!I59,"")</f>
        <v>#REF!</v>
      </c>
    </row>
    <row r="8" spans="1:3 4305:4305" x14ac:dyDescent="0.35">
      <c r="A8" t="s">
        <v>1185</v>
      </c>
      <c r="B8" s="303" t="s">
        <v>1163</v>
      </c>
      <c r="C8" t="e">
        <f>IF(AfsprakenCMV!C60&lt;&gt;0,AfsprakenCMV!C60&amp;" "&amp;AfsprakenCMV!E60&amp;" "&amp;AfsprakenCMV!F60&amp;" "&amp;AfsprakenCMV!G60&amp;", totaal "&amp;AfsprakenCMV!J60&amp;" "&amp;AfsprakenCMV!I60,"")</f>
        <v>#REF!</v>
      </c>
    </row>
    <row r="9" spans="1:3 4305:4305" x14ac:dyDescent="0.35">
      <c r="A9" t="s">
        <v>1185</v>
      </c>
      <c r="B9" s="302" t="s">
        <v>1164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1185</v>
      </c>
      <c r="B10" s="302" t="s">
        <v>1165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1185</v>
      </c>
      <c r="B11" s="302" t="s">
        <v>1166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1185</v>
      </c>
      <c r="B12" s="302" t="s">
        <v>1167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1185</v>
      </c>
      <c r="B13" s="302" t="s">
        <v>1168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1185</v>
      </c>
      <c r="B14" s="302" t="s">
        <v>1169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1185</v>
      </c>
      <c r="B15" s="302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1185</v>
      </c>
      <c r="B16" s="302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1185</v>
      </c>
      <c r="B17" s="302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1185</v>
      </c>
      <c r="B18" s="302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1185</v>
      </c>
      <c r="B19" s="302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1185</v>
      </c>
      <c r="B20" s="302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1185</v>
      </c>
      <c r="B21" s="302">
        <v>16</v>
      </c>
      <c r="C21" t="str">
        <f>IF(ber_Opm!C4&lt;&gt;0,AfsprakenCMV!C74&amp;" "&amp;ber_Opm!C4,"")</f>
        <v/>
      </c>
    </row>
    <row r="22" spans="1:3" x14ac:dyDescent="0.35">
      <c r="A22" t="s">
        <v>1186</v>
      </c>
      <c r="B22" s="302" t="s">
        <v>1161</v>
      </c>
      <c r="C22" t="str">
        <f>ber_Med_disc!AC2</f>
        <v/>
      </c>
    </row>
    <row r="23" spans="1:3" x14ac:dyDescent="0.35">
      <c r="A23" t="s">
        <v>1186</v>
      </c>
      <c r="B23" s="302" t="s">
        <v>1162</v>
      </c>
      <c r="C23" t="str">
        <f>ber_Med_disc!AC3</f>
        <v/>
      </c>
    </row>
    <row r="24" spans="1:3" x14ac:dyDescent="0.35">
      <c r="A24" t="s">
        <v>1186</v>
      </c>
      <c r="B24" s="302" t="s">
        <v>1163</v>
      </c>
      <c r="C24" t="str">
        <f>ber_Med_disc!AC4</f>
        <v/>
      </c>
    </row>
    <row r="25" spans="1:3" x14ac:dyDescent="0.35">
      <c r="A25" t="s">
        <v>1186</v>
      </c>
      <c r="B25" s="302" t="s">
        <v>1164</v>
      </c>
      <c r="C25" t="str">
        <f>ber_Med_disc!AC5</f>
        <v/>
      </c>
    </row>
    <row r="26" spans="1:3" x14ac:dyDescent="0.35">
      <c r="A26" t="s">
        <v>1186</v>
      </c>
      <c r="B26" s="302" t="s">
        <v>1165</v>
      </c>
      <c r="C26" t="str">
        <f>ber_Med_disc!AC6</f>
        <v/>
      </c>
    </row>
    <row r="27" spans="1:3" x14ac:dyDescent="0.35">
      <c r="A27" t="s">
        <v>1186</v>
      </c>
      <c r="B27" s="302" t="s">
        <v>1166</v>
      </c>
      <c r="C27" t="str">
        <f>ber_Med_disc!AC7</f>
        <v/>
      </c>
    </row>
    <row r="28" spans="1:3" x14ac:dyDescent="0.35">
      <c r="A28" t="s">
        <v>1186</v>
      </c>
      <c r="B28" s="302" t="s">
        <v>1167</v>
      </c>
      <c r="C28" t="str">
        <f>ber_Med_disc!AC8</f>
        <v/>
      </c>
    </row>
    <row r="29" spans="1:3" x14ac:dyDescent="0.35">
      <c r="A29" t="s">
        <v>1186</v>
      </c>
      <c r="B29" s="302" t="s">
        <v>1168</v>
      </c>
      <c r="C29" t="str">
        <f>ber_Med_disc!AC9</f>
        <v/>
      </c>
    </row>
    <row r="30" spans="1:3" x14ac:dyDescent="0.35">
      <c r="A30" t="s">
        <v>1186</v>
      </c>
      <c r="B30" s="302" t="s">
        <v>1169</v>
      </c>
      <c r="C30" t="str">
        <f>ber_Med_disc!AC10</f>
        <v/>
      </c>
    </row>
    <row r="31" spans="1:3" x14ac:dyDescent="0.35">
      <c r="A31" t="s">
        <v>1186</v>
      </c>
      <c r="B31" s="302">
        <v>10</v>
      </c>
      <c r="C31" t="str">
        <f>ber_Med_disc!AC11</f>
        <v/>
      </c>
    </row>
    <row r="32" spans="1:3" x14ac:dyDescent="0.35">
      <c r="A32" t="s">
        <v>1186</v>
      </c>
      <c r="B32" s="302">
        <v>11</v>
      </c>
      <c r="C32" t="str">
        <f>ber_Med_disc!AC12</f>
        <v/>
      </c>
    </row>
    <row r="33" spans="1:3" x14ac:dyDescent="0.35">
      <c r="A33" t="s">
        <v>1186</v>
      </c>
      <c r="B33" s="302">
        <v>12</v>
      </c>
      <c r="C33" t="str">
        <f>ber_Med_disc!AC13</f>
        <v/>
      </c>
    </row>
    <row r="34" spans="1:3" x14ac:dyDescent="0.35">
      <c r="A34" t="s">
        <v>1186</v>
      </c>
      <c r="B34" s="302">
        <v>13</v>
      </c>
      <c r="C34" t="str">
        <f>ber_Med_disc!AC14</f>
        <v/>
      </c>
    </row>
    <row r="35" spans="1:3" x14ac:dyDescent="0.35">
      <c r="A35" t="s">
        <v>1186</v>
      </c>
      <c r="B35" s="302">
        <v>14</v>
      </c>
      <c r="C35" t="str">
        <f>ber_Med_disc!AC15</f>
        <v/>
      </c>
    </row>
    <row r="36" spans="1:3" x14ac:dyDescent="0.35">
      <c r="A36" t="s">
        <v>1186</v>
      </c>
      <c r="B36" s="302">
        <v>15</v>
      </c>
      <c r="C36" t="str">
        <f>ber_Med_disc!AC16</f>
        <v/>
      </c>
    </row>
    <row r="37" spans="1:3" x14ac:dyDescent="0.35">
      <c r="A37" t="s">
        <v>1186</v>
      </c>
      <c r="B37" s="302">
        <v>16</v>
      </c>
      <c r="C37" t="str">
        <f>ber_Med_disc!AC17</f>
        <v/>
      </c>
    </row>
    <row r="38" spans="1:3" x14ac:dyDescent="0.35">
      <c r="A38" t="s">
        <v>1186</v>
      </c>
      <c r="B38" s="302">
        <v>17</v>
      </c>
      <c r="C38" t="str">
        <f>ber_Med_disc!AC18</f>
        <v/>
      </c>
    </row>
    <row r="39" spans="1:3" x14ac:dyDescent="0.35">
      <c r="A39" t="s">
        <v>1186</v>
      </c>
      <c r="B39" s="302">
        <v>18</v>
      </c>
      <c r="C39" t="str">
        <f>ber_Med_disc!AC19</f>
        <v/>
      </c>
    </row>
    <row r="40" spans="1:3" x14ac:dyDescent="0.35">
      <c r="A40" t="s">
        <v>1186</v>
      </c>
      <c r="B40" s="302">
        <v>19</v>
      </c>
      <c r="C40" t="str">
        <f>ber_Med_disc!AC20</f>
        <v/>
      </c>
    </row>
    <row r="41" spans="1:3" x14ac:dyDescent="0.35">
      <c r="A41" t="s">
        <v>1186</v>
      </c>
      <c r="B41" s="302">
        <v>20</v>
      </c>
      <c r="C41" t="str">
        <f>ber_Med_disc!AC21</f>
        <v/>
      </c>
    </row>
    <row r="42" spans="1:3" x14ac:dyDescent="0.35">
      <c r="A42" t="s">
        <v>1187</v>
      </c>
      <c r="B42" s="302" t="s">
        <v>1161</v>
      </c>
      <c r="C42" t="str">
        <f>IF(AfsprakenCMV!C23&lt;&gt;0,AfsprakenCMV!C23,"")</f>
        <v/>
      </c>
    </row>
    <row r="43" spans="1:3" x14ac:dyDescent="0.35">
      <c r="A43" t="s">
        <v>1187</v>
      </c>
      <c r="B43" s="302" t="s">
        <v>1162</v>
      </c>
      <c r="C43" t="str">
        <f>IF(AfsprakenCMV!C24&lt;&gt;0,AfsprakenCMV!C24,"")</f>
        <v/>
      </c>
    </row>
    <row r="44" spans="1:3" x14ac:dyDescent="0.35">
      <c r="A44" t="s">
        <v>1187</v>
      </c>
      <c r="B44" s="302" t="s">
        <v>1163</v>
      </c>
      <c r="C44" t="str">
        <f>IF(AfsprakenCMV!C25&lt;&gt;0,AfsprakenCMV!C25,"")</f>
        <v/>
      </c>
    </row>
    <row r="45" spans="1:3" x14ac:dyDescent="0.35">
      <c r="A45" t="s">
        <v>1187</v>
      </c>
      <c r="B45" s="302" t="s">
        <v>1164</v>
      </c>
      <c r="C45" t="str">
        <f>IF(AfsprakenCMV!C26&lt;&gt;0,AfsprakenCMV!C26,"")</f>
        <v/>
      </c>
    </row>
    <row r="46" spans="1:3" x14ac:dyDescent="0.35">
      <c r="A46" t="s">
        <v>1187</v>
      </c>
      <c r="B46" s="302" t="s">
        <v>1165</v>
      </c>
      <c r="C46" t="str">
        <f>IF(AfsprakenCMV!C27&lt;&gt;0,AfsprakenCMV!C27,"")</f>
        <v xml:space="preserve">cuff bloeddruk: om de 8 uur, maagretentie: om de 3 uur, </v>
      </c>
    </row>
    <row r="47" spans="1:3" x14ac:dyDescent="0.35">
      <c r="A47" t="s">
        <v>1187</v>
      </c>
      <c r="B47" s="302" t="s">
        <v>1166</v>
      </c>
      <c r="C47" t="str">
        <f>IF(AfsprakenCMV!C28&lt;&gt;0,AfsprakenCMV!C28,"")</f>
        <v/>
      </c>
    </row>
    <row r="48" spans="1:3" x14ac:dyDescent="0.35">
      <c r="A48" t="s">
        <v>1187</v>
      </c>
      <c r="B48" s="302" t="s">
        <v>1167</v>
      </c>
      <c r="C48" t="str">
        <f>IF(AfsprakenCMV!C30&lt;&gt;0,"Opmerkingen: "&amp;AfsprakenCMV!C30,"")</f>
        <v/>
      </c>
    </row>
    <row r="49" spans="1:3" x14ac:dyDescent="0.35">
      <c r="A49" t="s">
        <v>1188</v>
      </c>
      <c r="B49" s="302" t="s">
        <v>1161</v>
      </c>
      <c r="C49" t="str">
        <f>IF(AfsprakenCMV!C46&lt;&gt;0,AfsprakenCMV!C46,"")</f>
        <v/>
      </c>
    </row>
    <row r="50" spans="1:3" x14ac:dyDescent="0.35">
      <c r="A50" t="s">
        <v>1188</v>
      </c>
      <c r="B50" s="302" t="s">
        <v>1162</v>
      </c>
      <c r="C50" t="str">
        <f>IF(AfsprakenCMV!C47&lt;&gt;0,AfsprakenCMV!C47,"")</f>
        <v>CVL lijn lumen II: meting + (&gt; 5 kg) flush 1E heparine via drukzak FZ: 3 ml/uur</v>
      </c>
    </row>
    <row r="51" spans="1:3" x14ac:dyDescent="0.35">
      <c r="A51" t="s">
        <v>1188</v>
      </c>
      <c r="B51" s="302" t="s">
        <v>1163</v>
      </c>
      <c r="C51" t="str">
        <f>IF(AfsprakenCMV!C48&lt;&gt;0,AfsprakenCMV!C48,"")</f>
        <v>CVL lijn lumen II: medicatie</v>
      </c>
    </row>
    <row r="52" spans="1:3" x14ac:dyDescent="0.35">
      <c r="A52" t="s">
        <v>1188</v>
      </c>
      <c r="B52" s="302" t="s">
        <v>1164</v>
      </c>
      <c r="C52" t="str">
        <f>IF(AfsprakenCMV!C49&lt;&gt;0,AfsprakenCMV!C49,"")</f>
        <v/>
      </c>
    </row>
    <row r="53" spans="1:3" x14ac:dyDescent="0.35">
      <c r="A53" t="s">
        <v>1188</v>
      </c>
      <c r="B53" s="302" t="s">
        <v>1165</v>
      </c>
      <c r="C53" t="str">
        <f>IF(AfsprakenCMV!C50&lt;&gt;0,AfsprakenCMV!C50,"")</f>
        <v/>
      </c>
    </row>
    <row r="54" spans="1:3" x14ac:dyDescent="0.35">
      <c r="A54" t="s">
        <v>1188</v>
      </c>
      <c r="B54" s="302" t="s">
        <v>1166</v>
      </c>
      <c r="C54" t="str">
        <f>IF(AfsprakenCMV!C51&lt;&gt;0,AfsprakenCMV!C51,"")</f>
        <v/>
      </c>
    </row>
    <row r="55" spans="1:3" x14ac:dyDescent="0.35">
      <c r="A55" t="s">
        <v>1188</v>
      </c>
      <c r="B55" s="302" t="s">
        <v>1167</v>
      </c>
      <c r="C55" t="str">
        <f>IF(AfsprakenCMV!D74&lt;&gt;0,"Opmerkingen: "&amp;AfsprakenCMV!D74,"")</f>
        <v/>
      </c>
    </row>
    <row r="56" spans="1:3" x14ac:dyDescent="0.35">
      <c r="A56" t="s">
        <v>1189</v>
      </c>
      <c r="B56" s="302" t="s">
        <v>1161</v>
      </c>
      <c r="C56" t="e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>#REF!</v>
      </c>
    </row>
    <row r="57" spans="1:3" x14ac:dyDescent="0.35">
      <c r="A57" t="s">
        <v>1189</v>
      </c>
      <c r="B57" s="302" t="s">
        <v>1162</v>
      </c>
      <c r="C57" t="str">
        <f>IF(AfsprakenCMV!D11&lt;&gt;0,"Opmerkingen: "&amp;AfsprakenCMV!D11,"")</f>
        <v/>
      </c>
    </row>
    <row r="58" spans="1:3" x14ac:dyDescent="0.35">
      <c r="A58" t="s">
        <v>1189</v>
      </c>
      <c r="B58" s="302" t="s">
        <v>1163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1189</v>
      </c>
      <c r="B59" s="302" t="s">
        <v>1164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1189</v>
      </c>
      <c r="B60" s="302" t="s">
        <v>1165</v>
      </c>
      <c r="C60" t="str">
        <f>IF(AfsprakenCMV!E92&lt;&gt;" ",AfsprakenCMV!D92&amp;": "&amp;AfsprakenCMV!E92,"")</f>
        <v/>
      </c>
    </row>
    <row r="61" spans="1:3" x14ac:dyDescent="0.35">
      <c r="A61" t="s">
        <v>1189</v>
      </c>
      <c r="B61" s="302" t="s">
        <v>1166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1189</v>
      </c>
      <c r="B62" s="302" t="s">
        <v>1167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1189</v>
      </c>
      <c r="B63" s="303" t="s">
        <v>1168</v>
      </c>
      <c r="C63" t="str">
        <f>IF(Intake!D30&lt;&gt;0,"Opmerkingen: "&amp;Intake!D30,"")</f>
        <v/>
      </c>
    </row>
    <row r="64" spans="1:3" x14ac:dyDescent="0.35">
      <c r="A64" t="s">
        <v>383</v>
      </c>
      <c r="B64" s="302" t="s">
        <v>1161</v>
      </c>
      <c r="C64" t="str">
        <f>IF(AfsprakenCMV!D14&lt;&gt;"",AfsprakenCMV!C14&amp;": "&amp;AfsprakenCMV!D14,"")</f>
        <v/>
      </c>
    </row>
    <row r="65" spans="1:3" x14ac:dyDescent="0.35">
      <c r="A65" t="s">
        <v>383</v>
      </c>
      <c r="B65" s="302" t="s">
        <v>1162</v>
      </c>
      <c r="C65" t="str">
        <f>IF(AfsprakenCMV!D15&lt;&gt;"",AfsprakenCMV!C15&amp;": "&amp;AfsprakenCMV!D15,"")</f>
        <v/>
      </c>
    </row>
    <row r="66" spans="1:3" x14ac:dyDescent="0.35">
      <c r="A66" t="s">
        <v>383</v>
      </c>
      <c r="B66" s="302" t="s">
        <v>1163</v>
      </c>
      <c r="C66" t="str">
        <f>IF(AfsprakenCMV!D16&lt;&gt;"",AfsprakenCMV!C16&amp;": "&amp;AfsprakenCMV!D16,"")</f>
        <v/>
      </c>
    </row>
    <row r="67" spans="1:3" x14ac:dyDescent="0.35">
      <c r="A67" t="s">
        <v>383</v>
      </c>
      <c r="B67" s="302" t="s">
        <v>1164</v>
      </c>
      <c r="C67" t="str">
        <f>IF(AfsprakenCMV!D17&lt;&gt;"",AfsprakenCMV!C17&amp;": "&amp;AfsprakenCMV!D17,"")</f>
        <v/>
      </c>
    </row>
    <row r="68" spans="1:3" x14ac:dyDescent="0.35">
      <c r="A68" t="s">
        <v>383</v>
      </c>
      <c r="B68" s="302" t="s">
        <v>1165</v>
      </c>
      <c r="C68" t="str">
        <f>IF(AfsprakenCMV!D18&lt;&gt;"",AfsprakenCMV!C18&amp;": "&amp;AfsprakenCMV!D18,"")</f>
        <v/>
      </c>
    </row>
    <row r="69" spans="1:3" x14ac:dyDescent="0.35">
      <c r="A69" t="s">
        <v>383</v>
      </c>
      <c r="B69" s="302" t="s">
        <v>1166</v>
      </c>
      <c r="C69" t="str">
        <f>IF(AfsprakenCMV!D19&lt;&gt;0,AfsprakenCMV!C19&amp;": "&amp;AfsprakenCMV!D19,"")</f>
        <v/>
      </c>
    </row>
    <row r="70" spans="1:3" x14ac:dyDescent="0.35">
      <c r="A70" t="s">
        <v>942</v>
      </c>
      <c r="B70" s="302" t="s">
        <v>1161</v>
      </c>
      <c r="C70" t="str">
        <f>AfsprakenCMV!C103&amp;": "&amp;AfsprakenCMV!D103</f>
        <v>Vocht: 23 ml/kg</v>
      </c>
    </row>
    <row r="71" spans="1:3" x14ac:dyDescent="0.35">
      <c r="A71" t="s">
        <v>942</v>
      </c>
      <c r="B71" s="302" t="s">
        <v>1162</v>
      </c>
      <c r="C71" t="str">
        <f>AfsprakenCMV!C104&amp;": "&amp;AfsprakenCMV!D104</f>
        <v>Eiwit: 0  gram/kg</v>
      </c>
    </row>
    <row r="72" spans="1:3" x14ac:dyDescent="0.35">
      <c r="A72" t="s">
        <v>942</v>
      </c>
      <c r="B72" s="302" t="s">
        <v>1163</v>
      </c>
      <c r="C72" t="str">
        <f>AfsprakenCMV!C105&amp;": "&amp;AfsprakenCMV!D105</f>
        <v>Glucose/KH: 0 g/kg</v>
      </c>
    </row>
    <row r="73" spans="1:3" x14ac:dyDescent="0.35">
      <c r="A73" t="s">
        <v>942</v>
      </c>
      <c r="B73" s="302" t="s">
        <v>1164</v>
      </c>
      <c r="C73" t="str">
        <f>AfsprakenCMV!E103&amp;": "&amp;AfsprakenCMV!F103</f>
        <v>Calorieen: 0 kCal/kg</v>
      </c>
    </row>
    <row r="74" spans="1:3" x14ac:dyDescent="0.35">
      <c r="A74" t="s">
        <v>942</v>
      </c>
      <c r="B74" s="302" t="s">
        <v>1165</v>
      </c>
      <c r="C74" t="str">
        <f>AfsprakenCMV!E104&amp;": "&amp;AfsprakenCMV!F104</f>
        <v>Vet: 0 gram/kg</v>
      </c>
    </row>
    <row r="75" spans="1:3" x14ac:dyDescent="0.35">
      <c r="A75" t="s">
        <v>942</v>
      </c>
      <c r="B75" s="302" t="s">
        <v>1166</v>
      </c>
      <c r="C75" t="str">
        <f>AfsprakenCMV!G103&amp;": "&amp;AfsprakenCMV!H103</f>
        <v>Kalium: 0 mmol/kg</v>
      </c>
    </row>
    <row r="76" spans="1:3" x14ac:dyDescent="0.35">
      <c r="A76" t="s">
        <v>942</v>
      </c>
      <c r="B76" s="302" t="s">
        <v>1167</v>
      </c>
      <c r="C76" t="str">
        <f>AfsprakenCMV!G104&amp;": "&amp;AfsprakenCMV!H104</f>
        <v>Calcium: 0 mmol/kg</v>
      </c>
    </row>
    <row r="77" spans="1:3" x14ac:dyDescent="0.35">
      <c r="A77" t="s">
        <v>942</v>
      </c>
      <c r="B77" s="302" t="s">
        <v>1168</v>
      </c>
      <c r="C77" t="str">
        <f>AfsprakenCMV!G105&amp;": "&amp;AfsprakenCMV!H105</f>
        <v>Magnesium: 0 mmol/kg</v>
      </c>
    </row>
    <row r="78" spans="1:3" x14ac:dyDescent="0.35">
      <c r="A78" t="s">
        <v>942</v>
      </c>
      <c r="B78" s="302" t="s">
        <v>1169</v>
      </c>
      <c r="C78" t="str">
        <f>AfsprakenCMV!I103&amp;": "&amp;AfsprakenCMV!J103</f>
        <v>Natrium : 3,5 mmol/kg</v>
      </c>
    </row>
    <row r="79" spans="1:3" x14ac:dyDescent="0.35">
      <c r="A79" t="s">
        <v>942</v>
      </c>
      <c r="B79" s="302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tabSelected="1" showOutlineSymbols="0" workbookViewId="0">
      <pane ySplit="4" topLeftCell="A5" activePane="bottomLeft" state="frozen"/>
      <selection pane="bottomLeft" activeCell="D8" sqref="D8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27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s="320" customFormat="1" ht="7.55" customHeight="1" x14ac:dyDescent="0.35">
      <c r="A1" s="319"/>
      <c r="B1" s="319"/>
      <c r="C1" s="319"/>
      <c r="D1" s="319"/>
      <c r="E1" s="319"/>
      <c r="F1" s="319"/>
      <c r="G1" s="319"/>
      <c r="H1" s="319"/>
      <c r="I1" s="319"/>
      <c r="J1" s="319"/>
      <c r="K1" s="319"/>
      <c r="L1" s="319"/>
      <c r="M1" s="319"/>
      <c r="N1" s="319"/>
      <c r="O1" s="319"/>
      <c r="P1" s="319"/>
      <c r="Q1" s="319"/>
      <c r="R1" s="319"/>
      <c r="S1" s="319"/>
      <c r="T1" s="319"/>
      <c r="U1" s="319"/>
      <c r="V1" s="319"/>
      <c r="W1" s="319"/>
      <c r="X1" s="319"/>
    </row>
    <row r="2" spans="1:81" s="320" customFormat="1" ht="17.25" customHeight="1" x14ac:dyDescent="0.4">
      <c r="A2" s="319"/>
      <c r="B2" s="319"/>
      <c r="C2" s="321" t="s">
        <v>818</v>
      </c>
      <c r="D2" s="322">
        <f ca="1">AfspraakDatum</f>
        <v>42251</v>
      </c>
      <c r="E2" s="323"/>
      <c r="F2" s="321" t="s">
        <v>819</v>
      </c>
      <c r="G2" s="319"/>
      <c r="H2" s="324">
        <f>OpnDatum</f>
        <v>41363</v>
      </c>
      <c r="I2" s="321" t="str">
        <f ca="1">"ICU-dag: "&amp;AfspraakDatum-OpnDatum+1</f>
        <v>ICU-dag: 889</v>
      </c>
      <c r="J2" s="321"/>
      <c r="K2" s="321"/>
      <c r="L2" s="321"/>
      <c r="M2" s="319"/>
      <c r="N2" s="319"/>
      <c r="O2" s="319"/>
      <c r="P2" s="319"/>
      <c r="Q2" s="319"/>
      <c r="R2" s="319"/>
      <c r="S2" s="319"/>
      <c r="T2" s="319"/>
      <c r="U2" s="319"/>
      <c r="V2" s="319"/>
      <c r="W2" s="319"/>
      <c r="X2" s="319"/>
    </row>
    <row r="3" spans="1:81" s="320" customFormat="1" ht="17.25" customHeight="1" x14ac:dyDescent="0.4">
      <c r="A3" s="319"/>
      <c r="B3" s="325"/>
      <c r="C3" s="321" t="s">
        <v>75</v>
      </c>
      <c r="D3" s="326" t="str">
        <f>_AchterNaam&amp;", "&amp;_VoorNaam</f>
        <v>Achternaam, Voornaam</v>
      </c>
      <c r="E3" s="326"/>
      <c r="F3" s="321" t="s">
        <v>833</v>
      </c>
      <c r="G3" s="319"/>
      <c r="H3" s="324">
        <f>GebDatum</f>
        <v>41732</v>
      </c>
      <c r="I3" s="327" t="str">
        <f>"Gewicht: "&amp;Gewicht/10&amp;" kg"</f>
        <v>Gewicht: 5 kg</v>
      </c>
      <c r="J3" s="321"/>
      <c r="K3" s="327" t="str">
        <f>"Lengte: "&amp;Lengte&amp;" cm"</f>
        <v>Lengte: 61 cm</v>
      </c>
      <c r="L3" s="321"/>
      <c r="M3" s="319"/>
      <c r="N3" s="319"/>
      <c r="O3" s="319"/>
      <c r="P3" s="319"/>
      <c r="Q3" s="319"/>
      <c r="R3" s="319"/>
      <c r="S3" s="319"/>
      <c r="T3" s="319"/>
      <c r="U3" s="319"/>
      <c r="V3" s="319"/>
      <c r="W3" s="319"/>
      <c r="X3" s="319"/>
    </row>
    <row r="4" spans="1:81" s="320" customFormat="1" ht="17.25" customHeight="1" x14ac:dyDescent="0.4">
      <c r="A4" s="328"/>
      <c r="B4" s="328"/>
      <c r="C4" s="321" t="s">
        <v>912</v>
      </c>
      <c r="D4" s="327">
        <f>PatNummer</f>
        <v>0</v>
      </c>
      <c r="E4" s="323"/>
      <c r="F4" s="321" t="s">
        <v>760</v>
      </c>
      <c r="G4" s="328"/>
      <c r="H4" s="329" t="str">
        <f ca="1">TRUNC((AfspraakDatum-GebDatum)/365,0)&amp;" jaar en "&amp;TRUNC(((AfspraakDatum-GebDatum)-365*TRUNC((AfspraakDatum-GebDatum)/365,0))/30,0)&amp;" maand(-en)"</f>
        <v>1 jaar en 5 maand(-en)</v>
      </c>
      <c r="I4" s="321"/>
      <c r="J4" s="321" t="str">
        <f>"Lichamelijk oppervlak: "&amp;ROUND(POWER(Gewicht/10,0.425)*POWER(((Lengte/100)*100),0.725)*0.007184,2)&amp;" m2"</f>
        <v>Lichamelijk oppervlak: 0,28 m2</v>
      </c>
      <c r="K4" s="321"/>
      <c r="L4" s="321"/>
      <c r="M4" s="328"/>
      <c r="N4" s="328"/>
      <c r="O4" s="328"/>
      <c r="P4" s="328"/>
      <c r="Q4" s="328"/>
      <c r="R4" s="328"/>
      <c r="S4" s="328"/>
      <c r="T4" s="328"/>
      <c r="U4" s="328"/>
      <c r="V4" s="328"/>
      <c r="W4" s="328"/>
      <c r="X4" s="328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  <c r="AO4" s="330"/>
      <c r="AP4" s="330"/>
      <c r="AQ4" s="330"/>
      <c r="AR4" s="330"/>
      <c r="AS4" s="330"/>
      <c r="AT4" s="330"/>
      <c r="AU4" s="330"/>
      <c r="AV4" s="330"/>
      <c r="AW4" s="330"/>
      <c r="AX4" s="330"/>
      <c r="AY4" s="330"/>
      <c r="AZ4" s="330"/>
      <c r="BA4" s="330"/>
      <c r="BB4" s="330"/>
      <c r="BC4" s="330"/>
      <c r="BD4" s="330"/>
      <c r="BE4" s="330"/>
      <c r="BF4" s="330"/>
      <c r="BG4" s="330"/>
      <c r="BH4" s="330"/>
      <c r="BI4" s="330"/>
      <c r="BJ4" s="330"/>
      <c r="BK4" s="330"/>
      <c r="BL4" s="330"/>
      <c r="BM4" s="330"/>
      <c r="BN4" s="330"/>
      <c r="BO4" s="330"/>
      <c r="BP4" s="330"/>
      <c r="BQ4" s="330"/>
      <c r="BR4" s="330"/>
      <c r="BS4" s="330"/>
      <c r="BT4" s="330"/>
      <c r="BU4" s="330"/>
      <c r="BV4" s="330"/>
      <c r="BW4" s="330"/>
      <c r="BX4" s="330"/>
      <c r="BY4" s="330"/>
      <c r="BZ4" s="330"/>
      <c r="CA4" s="330"/>
      <c r="CB4" s="330"/>
      <c r="CC4" s="330"/>
    </row>
    <row r="5" spans="1:81" ht="13.2" x14ac:dyDescent="0.4">
      <c r="A5" s="185"/>
      <c r="B5" s="185"/>
      <c r="C5" s="104"/>
      <c r="D5" s="190"/>
      <c r="E5" s="91"/>
      <c r="F5" s="104"/>
      <c r="G5" s="191"/>
      <c r="H5" s="104"/>
      <c r="I5" s="104"/>
      <c r="J5" s="104"/>
      <c r="K5" s="10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318"/>
      <c r="Z5" s="318"/>
      <c r="AA5" s="331"/>
      <c r="AB5" s="331"/>
      <c r="AC5" s="318"/>
      <c r="AD5" s="318"/>
      <c r="AE5" s="318"/>
      <c r="AF5" s="318"/>
      <c r="AG5" s="318"/>
      <c r="AH5" s="318"/>
      <c r="AI5" s="318"/>
      <c r="AJ5" s="318"/>
      <c r="AK5" s="318"/>
      <c r="AL5" s="318"/>
      <c r="AM5" s="318"/>
      <c r="AN5" s="318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</row>
    <row r="6" spans="1:81" ht="13.2" x14ac:dyDescent="0.4">
      <c r="A6" s="177"/>
      <c r="B6" s="185"/>
      <c r="C6" s="188" t="s">
        <v>884</v>
      </c>
      <c r="D6" s="203" t="s">
        <v>544</v>
      </c>
      <c r="E6" s="188" t="s">
        <v>430</v>
      </c>
      <c r="F6" s="204"/>
      <c r="G6" s="188" t="s">
        <v>138</v>
      </c>
      <c r="H6" s="188" t="s">
        <v>885</v>
      </c>
      <c r="I6" s="188" t="s">
        <v>826</v>
      </c>
      <c r="J6" s="188" t="s">
        <v>862</v>
      </c>
      <c r="K6" s="205"/>
      <c r="L6" s="188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176"/>
      <c r="Z6" s="318"/>
      <c r="AA6" s="176"/>
      <c r="AB6" s="176"/>
      <c r="AC6" s="176"/>
      <c r="AD6" s="176"/>
      <c r="AE6" s="318"/>
      <c r="AF6" s="318"/>
      <c r="AG6" s="318"/>
      <c r="AH6" s="318"/>
      <c r="AI6" s="318"/>
      <c r="AJ6" s="318"/>
      <c r="AK6" s="318"/>
      <c r="AL6" s="318"/>
      <c r="AM6" s="318"/>
      <c r="AN6" s="31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</row>
    <row r="7" spans="1:81" ht="6.8" customHeight="1" x14ac:dyDescent="0.35">
      <c r="A7" s="177"/>
      <c r="B7" s="185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176"/>
      <c r="Z7" s="318"/>
      <c r="AA7" s="176"/>
      <c r="AB7" s="176"/>
      <c r="AC7" s="176"/>
      <c r="AD7" s="176"/>
      <c r="AE7" s="318"/>
      <c r="AF7" s="318"/>
      <c r="AG7" s="318"/>
      <c r="AH7" s="318"/>
      <c r="AI7" s="318"/>
      <c r="AJ7" s="318"/>
      <c r="AK7" s="318"/>
      <c r="AL7" s="318"/>
      <c r="AM7" s="318"/>
      <c r="AN7" s="31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</row>
    <row r="8" spans="1:81" ht="20.100000000000001" customHeight="1" x14ac:dyDescent="0.4">
      <c r="A8" s="177"/>
      <c r="B8" s="185">
        <v>1</v>
      </c>
      <c r="C8" s="335" t="str">
        <f>INDEX(tblMedicationContIV,ber_IVmed!$B3,1)</f>
        <v>fenylefrine</v>
      </c>
      <c r="D8" s="206" t="str">
        <f>INDEX(tblMedicationContIV,ber_IVmed!$B3,15)&amp;" "&amp;INDEX(tblMedicationContIV,ber_IVmed!$B3,4)</f>
        <v>0,2 mg</v>
      </c>
      <c r="E8" s="194" t="str">
        <f>IF(AND(C8&lt;&gt;0,INDEX(tblMedicationContIV,ber_IVmed!$B3,16)&lt;&gt;""),INDEX(tblMedicationContIV,ber_IVmed!$B3,16)&amp;" ml","")</f>
        <v>20 ml</v>
      </c>
      <c r="F8" s="187">
        <f>INDEX(tblOplossing,ber_IVmed!F3,1)</f>
        <v>0</v>
      </c>
      <c r="G8" s="194" t="str">
        <f>IF(C8&lt;&gt;0,ber_IVmed!G3/10&amp;" ml/uur","")</f>
        <v>0,1 ml/uur</v>
      </c>
      <c r="H8" s="194" t="str">
        <f>IF(C8&lt;&gt;0,(ber_IVmed!G3/10)*INDEX(tblMedicationContIV,ber_IVmed!$B3,18)&amp;" "&amp;INDEX(tblMedicationContIV,ber_IVmed!$B3,2),"")</f>
        <v>0,0033 mcg/kg/min</v>
      </c>
      <c r="I8" s="195" t="str">
        <f>IF(C8&lt;&gt;0,24*ber_IVmed!G3/10&amp;" ml","")</f>
        <v>2,4 ml</v>
      </c>
      <c r="J8" s="213" t="str">
        <f>INDEX(tblMedicationContIV,ber_IVmed!$B3,3)</f>
        <v>0,5-1 mcg/kg/min</v>
      </c>
      <c r="K8" s="195"/>
      <c r="L8" s="195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176"/>
      <c r="Z8" s="318"/>
      <c r="AA8" s="176">
        <f>IF(C8&lt;&gt;0,INDEX(tblMedicationContIV,ber_IVmed!$B3,6)*(ber_IVmed!G3/10))</f>
        <v>2</v>
      </c>
      <c r="AB8" s="176">
        <f>IF(AA8&gt;=10,0,IF(AA8&gt;=1,1,IF(AA8&gt;=0,2,IF(AA8&gt;=0.1,3,IF(AA8&gt;=0.01,4,5)))))</f>
        <v>1</v>
      </c>
      <c r="AC8" s="176">
        <f>ROUND(AA8,AB8)</f>
        <v>2</v>
      </c>
      <c r="AD8" s="176"/>
      <c r="AE8" s="318"/>
      <c r="AF8" s="318"/>
      <c r="AG8" s="318"/>
      <c r="AH8" s="318"/>
      <c r="AI8" s="318"/>
      <c r="AJ8" s="318"/>
      <c r="AK8" s="318"/>
      <c r="AL8" s="318"/>
      <c r="AM8" s="318"/>
      <c r="AN8" s="318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</row>
    <row r="9" spans="1:81" ht="20.100000000000001" customHeight="1" x14ac:dyDescent="0.4">
      <c r="A9" s="177"/>
      <c r="B9" s="185">
        <v>2</v>
      </c>
      <c r="C9" s="335" t="str">
        <f>INDEX(tblMedicationContIV,ber_IVmed!$B4,1)</f>
        <v>heparine</v>
      </c>
      <c r="D9" s="206" t="str">
        <f>INDEX(tblMedicationContIV,ber_IVmed!$B4,15)&amp;" "&amp;INDEX(tblMedicationContIV,ber_IVmed!$B4,4)</f>
        <v>5000 EH</v>
      </c>
      <c r="E9" s="196" t="str">
        <f>IF(AND(C9&lt;&gt;0,INDEX(tblMedicationContIV,ber_IVmed!$B4,16)&lt;&gt;""),INDEX(tblMedicationContIV,ber_IVmed!$B4,16)&amp;" ml","")</f>
        <v>50 ml</v>
      </c>
      <c r="F9" s="187" t="str">
        <f>INDEX(tblOplossing,ber_IVmed!F4,1)</f>
        <v>FZ</v>
      </c>
      <c r="G9" s="196" t="str">
        <f>IF(C9&lt;&gt;0,ber_IVmed!G4/10&amp;" ml/uur","")</f>
        <v>0,7 ml/uur</v>
      </c>
      <c r="H9" s="194" t="str">
        <f>IF(C9&lt;&gt;0,(ber_IVmed!G4/10)*INDEX(tblMedicationContIV,ber_IVmed!$B4,18)&amp;" "&amp;INDEX(tblMedicationContIV,ber_IVmed!$B4,2),"")</f>
        <v>14 IE/kg/uur</v>
      </c>
      <c r="I9" s="197" t="str">
        <f>IF(C9&lt;&gt;0,24*ber_IVmed!G4/10&amp;" ml","")</f>
        <v>16,8 ml</v>
      </c>
      <c r="J9" s="214" t="str">
        <f>INDEX(tblMedicationContIV,ber_IVmed!$B4,3)</f>
        <v>15-20 IE/kg/uur</v>
      </c>
      <c r="K9" s="197"/>
      <c r="L9" s="197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176"/>
      <c r="Z9" s="318"/>
      <c r="AA9" s="176">
        <f>IF(C9&lt;&gt;0,INDEX(tblMedicationContIV,ber_IVmed!$B4,6)*(ber_IVmed!G4/10))</f>
        <v>35</v>
      </c>
      <c r="AB9" s="176">
        <f t="shared" ref="AB9:AB17" si="0">IF(AA9&gt;=10,0,IF(AA9&gt;=1,1,IF(AA9&gt;=0,2,IF(AA9&gt;=0.1,3,IF(AA9&gt;=0.01,4,5)))))</f>
        <v>0</v>
      </c>
      <c r="AC9" s="176">
        <f t="shared" ref="AC9:AC17" si="1">ROUND(AA9,AB9)</f>
        <v>35</v>
      </c>
      <c r="AD9" s="176"/>
      <c r="AE9" s="318"/>
      <c r="AF9" s="318"/>
      <c r="AG9" s="318"/>
      <c r="AH9" s="318"/>
      <c r="AI9" s="318"/>
      <c r="AJ9" s="318"/>
      <c r="AK9" s="318"/>
      <c r="AL9" s="318"/>
      <c r="AM9" s="318"/>
      <c r="AN9" s="318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</row>
    <row r="10" spans="1:81" ht="20.100000000000001" customHeight="1" x14ac:dyDescent="0.4">
      <c r="A10" s="177"/>
      <c r="B10" s="185">
        <v>3</v>
      </c>
      <c r="C10" s="335" t="str">
        <f>INDEX(tblMedicationContIV,ber_IVmed!$B5,1)</f>
        <v>clonidine</v>
      </c>
      <c r="D10" s="206" t="str">
        <f>INDEX(tblMedicationContIV,ber_IVmed!$B5,15)&amp;" "&amp;INDEX(tblMedicationContIV,ber_IVmed!$B5,4)</f>
        <v>0,15 mg</v>
      </c>
      <c r="E10" s="196" t="str">
        <f>IF(AND(C10&lt;&gt;0,INDEX(tblMedicationContIV,ber_IVmed!$B5,16)&lt;&gt;""),INDEX(tblMedicationContIV,ber_IVmed!$B5,16)&amp;" ml","")</f>
        <v>50 ml</v>
      </c>
      <c r="F10" s="187">
        <f>INDEX(tblOplossing,ber_IVmed!F5,1)</f>
        <v>0</v>
      </c>
      <c r="G10" s="196" t="str">
        <f>IF(C10&lt;&gt;0,ber_IVmed!G5/10&amp;" ml/uur","")</f>
        <v>0 ml/uur</v>
      </c>
      <c r="H10" s="194" t="str">
        <f>IF(C10&lt;&gt;0,(ber_IVmed!G5/10)*INDEX(tblMedicationContIV,ber_IVmed!$B5,18)&amp;" "&amp;INDEX(tblMedicationContIV,ber_IVmed!$B5,2),"")</f>
        <v>0 mcg/kg/uur</v>
      </c>
      <c r="I10" s="197" t="str">
        <f>IF(C10&lt;&gt;0,24*ber_IVmed!G5/10&amp;" ml","")</f>
        <v>0 ml</v>
      </c>
      <c r="J10" s="214" t="str">
        <f>INDEX(tblMedicationContIV,ber_IVmed!$B5,3)</f>
        <v>0,25-2 mcg/kg/uur</v>
      </c>
      <c r="K10" s="197"/>
      <c r="L10" s="197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176"/>
      <c r="Z10" s="318"/>
      <c r="AA10" s="176">
        <f>IF(C10&lt;&gt;0,INDEX(tblMedicationContIV,ber_IVmed!$B5,6)*(ber_IVmed!G5/10))</f>
        <v>0</v>
      </c>
      <c r="AB10" s="176">
        <f t="shared" si="0"/>
        <v>2</v>
      </c>
      <c r="AC10" s="176">
        <f t="shared" si="1"/>
        <v>0</v>
      </c>
      <c r="AD10" s="176"/>
      <c r="AE10" s="318"/>
      <c r="AF10" s="318"/>
      <c r="AG10" s="318"/>
      <c r="AH10" s="318"/>
      <c r="AI10" s="318"/>
      <c r="AJ10" s="318"/>
      <c r="AK10" s="318"/>
      <c r="AL10" s="318"/>
      <c r="AM10" s="318"/>
      <c r="AN10" s="318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</row>
    <row r="11" spans="1:81" ht="20.100000000000001" customHeight="1" x14ac:dyDescent="0.4">
      <c r="A11" s="177"/>
      <c r="B11" s="185">
        <v>4</v>
      </c>
      <c r="C11" s="335">
        <f>INDEX(tblMedicationContIV,ber_IVmed!$B6,1)</f>
        <v>0</v>
      </c>
      <c r="D11" s="206" t="str">
        <f>INDEX(tblMedicationContIV,ber_IVmed!$B6,15)&amp;" "&amp;INDEX(tblMedicationContIV,ber_IVmed!$B6,4)</f>
        <v xml:space="preserve"> </v>
      </c>
      <c r="E11" s="196" t="str">
        <f>IF(AND(C11&lt;&gt;0,INDEX(tblMedicationContIV,ber_IVmed!$B6,16)&lt;&gt;""),INDEX(tblMedicationContIV,ber_IVmed!$B6,16)&amp;" ml","")</f>
        <v/>
      </c>
      <c r="F11" s="187">
        <f>INDEX(tblOplossing,ber_IVmed!F6,1)</f>
        <v>0</v>
      </c>
      <c r="G11" s="196" t="str">
        <f>IF(C11&lt;&gt;0,ber_IVmed!G6/10&amp;" ml/uur","")</f>
        <v/>
      </c>
      <c r="H11" s="194" t="str">
        <f>IF(C11&lt;&gt;0,(ber_IVmed!G6/10)*INDEX(tblMedicationContIV,ber_IVmed!$B6,18)&amp;" "&amp;INDEX(tblMedicationContIV,ber_IVmed!$B6,2),"")</f>
        <v/>
      </c>
      <c r="I11" s="197" t="str">
        <f>IF(C11&lt;&gt;0,24*ber_IVmed!G6/10&amp;" ml","")</f>
        <v/>
      </c>
      <c r="J11" s="214">
        <f>INDEX(tblMedicationContIV,ber_IVmed!$B6,3)</f>
        <v>0</v>
      </c>
      <c r="K11" s="197"/>
      <c r="L11" s="197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176"/>
      <c r="Z11" s="318"/>
      <c r="AA11" s="176" t="b">
        <f>IF(C11&lt;&gt;0,INDEX(tblMedicationContIV,ber_IVmed!$B6,6)*(ber_IVmed!G6/10))</f>
        <v>0</v>
      </c>
      <c r="AB11" s="176">
        <f t="shared" si="0"/>
        <v>0</v>
      </c>
      <c r="AC11" s="176">
        <f t="shared" si="1"/>
        <v>0</v>
      </c>
      <c r="AD11" s="176"/>
      <c r="AE11" s="318"/>
      <c r="AF11" s="318"/>
      <c r="AG11" s="318"/>
      <c r="AH11" s="318"/>
      <c r="AI11" s="318"/>
      <c r="AJ11" s="318"/>
      <c r="AK11" s="318"/>
      <c r="AL11" s="318"/>
      <c r="AM11" s="318"/>
      <c r="AN11" s="318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</row>
    <row r="12" spans="1:81" ht="20.100000000000001" customHeight="1" x14ac:dyDescent="0.4">
      <c r="A12" s="177"/>
      <c r="B12" s="185">
        <v>5</v>
      </c>
      <c r="C12" s="335">
        <f>INDEX(tblMedicationContIV,ber_IVmed!$B7,1)</f>
        <v>0</v>
      </c>
      <c r="D12" s="206" t="str">
        <f>INDEX(tblMedicationContIV,ber_IVmed!$B7,15)&amp;" "&amp;INDEX(tblMedicationContIV,ber_IVmed!$B7,4)</f>
        <v xml:space="preserve"> </v>
      </c>
      <c r="E12" s="196" t="str">
        <f>IF(AND(C12&lt;&gt;0,INDEX(tblMedicationContIV,ber_IVmed!$B7,16)&lt;&gt;""),INDEX(tblMedicationContIV,ber_IVmed!$B7,16)&amp;" ml","")</f>
        <v/>
      </c>
      <c r="F12" s="187">
        <f>INDEX(tblOplossing,ber_IVmed!F7,1)</f>
        <v>0</v>
      </c>
      <c r="G12" s="196" t="str">
        <f>IF(C12&lt;&gt;0,ber_IVmed!G7/10&amp;" ml/uur","")</f>
        <v/>
      </c>
      <c r="H12" s="194" t="str">
        <f>IF(C12&lt;&gt;0,(ber_IVmed!G7/10)*INDEX(tblMedicationContIV,ber_IVmed!$B7,18)&amp;" "&amp;INDEX(tblMedicationContIV,ber_IVmed!$B7,2),"")</f>
        <v/>
      </c>
      <c r="I12" s="197" t="str">
        <f>IF(C12&lt;&gt;0,24*ber_IVmed!G7/10&amp;" ml","")</f>
        <v/>
      </c>
      <c r="J12" s="214">
        <f>INDEX(tblMedicationContIV,ber_IVmed!$B7,3)</f>
        <v>0</v>
      </c>
      <c r="K12" s="197"/>
      <c r="L12" s="197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176"/>
      <c r="Z12" s="318"/>
      <c r="AA12" s="176" t="b">
        <f>IF(C12&lt;&gt;0,INDEX(tblMedicationContIV,ber_IVmed!$B7,6)*(ber_IVmed!G7/10))</f>
        <v>0</v>
      </c>
      <c r="AB12" s="176">
        <f t="shared" si="0"/>
        <v>0</v>
      </c>
      <c r="AC12" s="176">
        <f t="shared" si="1"/>
        <v>0</v>
      </c>
      <c r="AD12" s="176"/>
      <c r="AE12" s="318"/>
      <c r="AF12" s="318"/>
      <c r="AG12" s="318"/>
      <c r="AH12" s="318"/>
      <c r="AI12" s="318"/>
      <c r="AJ12" s="318"/>
      <c r="AK12" s="318"/>
      <c r="AL12" s="318"/>
      <c r="AM12" s="318"/>
      <c r="AN12" s="318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</row>
    <row r="13" spans="1:81" ht="20.100000000000001" customHeight="1" x14ac:dyDescent="0.4">
      <c r="A13" s="177"/>
      <c r="B13" s="185">
        <v>6</v>
      </c>
      <c r="C13" s="335">
        <f>INDEX(tblMedicationContIV,ber_IVmed!$B8,1)</f>
        <v>0</v>
      </c>
      <c r="D13" s="206" t="str">
        <f>INDEX(tblMedicationContIV,ber_IVmed!$B8,15)&amp;" "&amp;INDEX(tblMedicationContIV,ber_IVmed!$B8,4)</f>
        <v xml:space="preserve"> </v>
      </c>
      <c r="E13" s="196" t="str">
        <f>IF(AND(C13&lt;&gt;0,INDEX(tblMedicationContIV,ber_IVmed!$B8,16)&lt;&gt;""),INDEX(tblMedicationContIV,ber_IVmed!$B8,16)&amp;" ml","")</f>
        <v/>
      </c>
      <c r="F13" s="187">
        <f>INDEX(tblOplossing,ber_IVmed!F8,1)</f>
        <v>0</v>
      </c>
      <c r="G13" s="196" t="str">
        <f>IF(C13&lt;&gt;0,ber_IVmed!G8/10&amp;" ml/uur","")</f>
        <v/>
      </c>
      <c r="H13" s="194" t="str">
        <f>IF(C13&lt;&gt;0,(ber_IVmed!G8/10)*INDEX(tblMedicationContIV,ber_IVmed!$B8,18)&amp;" "&amp;INDEX(tblMedicationContIV,ber_IVmed!$B8,2),"")</f>
        <v/>
      </c>
      <c r="I13" s="197" t="str">
        <f>IF(C13&lt;&gt;0,24*ber_IVmed!G8/10&amp;" ml","")</f>
        <v/>
      </c>
      <c r="J13" s="214">
        <f>INDEX(tblMedicationContIV,ber_IVmed!$B8,3)</f>
        <v>0</v>
      </c>
      <c r="K13" s="197"/>
      <c r="L13" s="197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176"/>
      <c r="Z13" s="318"/>
      <c r="AA13" s="176" t="b">
        <f>IF(C13&lt;&gt;0,INDEX(tblMedicationContIV,ber_IVmed!$B8,6)*(ber_IVmed!G8/10))</f>
        <v>0</v>
      </c>
      <c r="AB13" s="176">
        <f t="shared" si="0"/>
        <v>0</v>
      </c>
      <c r="AC13" s="176">
        <f t="shared" si="1"/>
        <v>0</v>
      </c>
      <c r="AD13" s="176"/>
      <c r="AE13" s="318"/>
      <c r="AF13" s="318"/>
      <c r="AG13" s="318"/>
      <c r="AH13" s="318"/>
      <c r="AI13" s="318"/>
      <c r="AJ13" s="318"/>
      <c r="AK13" s="318"/>
      <c r="AL13" s="318"/>
      <c r="AM13" s="318"/>
      <c r="AN13" s="318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  <c r="BJ13" s="21"/>
      <c r="BK13" s="21"/>
      <c r="BL13" s="21"/>
      <c r="BM13" s="21"/>
      <c r="BN13" s="21"/>
      <c r="BO13" s="21"/>
      <c r="BP13" s="21"/>
      <c r="BQ13" s="21"/>
      <c r="BR13" s="21"/>
      <c r="BS13" s="21"/>
      <c r="BT13" s="21"/>
      <c r="BU13" s="21"/>
      <c r="BV13" s="21"/>
      <c r="BW13" s="21"/>
      <c r="BX13" s="21"/>
      <c r="BY13" s="21"/>
      <c r="BZ13" s="21"/>
      <c r="CA13" s="21"/>
      <c r="CB13" s="21"/>
      <c r="CC13" s="21"/>
    </row>
    <row r="14" spans="1:81" ht="20.100000000000001" customHeight="1" x14ac:dyDescent="0.4">
      <c r="A14" s="177"/>
      <c r="B14" s="185">
        <v>7</v>
      </c>
      <c r="C14" s="335">
        <f>INDEX(tblMedicationContIV,ber_IVmed!$B9,1)</f>
        <v>0</v>
      </c>
      <c r="D14" s="206" t="str">
        <f>INDEX(tblMedicationContIV,ber_IVmed!$B9,15)&amp;" "&amp;INDEX(tblMedicationContIV,ber_IVmed!$B9,4)</f>
        <v xml:space="preserve"> </v>
      </c>
      <c r="E14" s="196" t="str">
        <f>IF(AND(C14&lt;&gt;0,INDEX(tblMedicationContIV,ber_IVmed!$B9,16)&lt;&gt;""),INDEX(tblMedicationContIV,ber_IVmed!$B9,16)&amp;" ml","")</f>
        <v/>
      </c>
      <c r="F14" s="187">
        <f>INDEX(tblOplossing,ber_IVmed!F9,1)</f>
        <v>0</v>
      </c>
      <c r="G14" s="196" t="str">
        <f>IF(C14&lt;&gt;0,ber_IVmed!G9/10&amp;" ml/uur","")</f>
        <v/>
      </c>
      <c r="H14" s="194" t="str">
        <f>IF(C14&lt;&gt;0,(ber_IVmed!G9/10)*INDEX(tblMedicationContIV,ber_IVmed!$B9,18)&amp;" "&amp;INDEX(tblMedicationContIV,ber_IVmed!$B9,2),"")</f>
        <v/>
      </c>
      <c r="I14" s="197" t="str">
        <f>IF(C14&lt;&gt;0,24*ber_IVmed!G9/10&amp;" ml","")</f>
        <v/>
      </c>
      <c r="J14" s="214">
        <f>INDEX(tblMedicationContIV,ber_IVmed!$B9,3)</f>
        <v>0</v>
      </c>
      <c r="K14" s="197"/>
      <c r="L14" s="197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176"/>
      <c r="Z14" s="318"/>
      <c r="AA14" s="176" t="b">
        <f>IF(C14&lt;&gt;0,INDEX(tblMedicationContIV,ber_IVmed!$B9,6)*(ber_IVmed!G9/10))</f>
        <v>0</v>
      </c>
      <c r="AB14" s="176">
        <f t="shared" si="0"/>
        <v>0</v>
      </c>
      <c r="AC14" s="176">
        <f t="shared" si="1"/>
        <v>0</v>
      </c>
      <c r="AD14" s="176"/>
      <c r="AE14" s="318"/>
      <c r="AF14" s="318"/>
      <c r="AG14" s="318"/>
      <c r="AH14" s="318"/>
      <c r="AI14" s="318"/>
      <c r="AJ14" s="318"/>
      <c r="AK14" s="318"/>
      <c r="AL14" s="318"/>
      <c r="AM14" s="318"/>
      <c r="AN14" s="318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  <c r="BJ14" s="21"/>
      <c r="BK14" s="21"/>
      <c r="BL14" s="21"/>
      <c r="BM14" s="21"/>
      <c r="BN14" s="21"/>
      <c r="BO14" s="21"/>
      <c r="BP14" s="21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1"/>
      <c r="CB14" s="21"/>
      <c r="CC14" s="21"/>
    </row>
    <row r="15" spans="1:81" ht="20.100000000000001" customHeight="1" x14ac:dyDescent="0.4">
      <c r="A15" s="177"/>
      <c r="B15" s="185">
        <v>8</v>
      </c>
      <c r="C15" s="335">
        <f>INDEX(tblMedicationContIV,ber_IVmed!$B10,1)</f>
        <v>0</v>
      </c>
      <c r="D15" s="206" t="str">
        <f>INDEX(tblMedicationContIV,ber_IVmed!$B10,15)&amp;" "&amp;INDEX(tblMedicationContIV,ber_IVmed!$B10,4)</f>
        <v xml:space="preserve"> </v>
      </c>
      <c r="E15" s="196" t="str">
        <f>IF(AND(C15&lt;&gt;0,INDEX(tblMedicationContIV,ber_IVmed!$B10,16)&lt;&gt;""),INDEX(tblMedicationContIV,ber_IVmed!$B10,16)&amp;" ml","")</f>
        <v/>
      </c>
      <c r="F15" s="187">
        <f>INDEX(tblOplossing,ber_IVmed!F10,1)</f>
        <v>0</v>
      </c>
      <c r="G15" s="196" t="str">
        <f>IF(C15&lt;&gt;0,ber_IVmed!G10/10&amp;" ml/uur","")</f>
        <v/>
      </c>
      <c r="H15" s="194" t="str">
        <f>IF(C15&lt;&gt;0,(ber_IVmed!G10/10)*INDEX(tblMedicationContIV,ber_IVmed!$B10,18)&amp;" "&amp;INDEX(tblMedicationContIV,ber_IVmed!$B10,2),"")</f>
        <v/>
      </c>
      <c r="I15" s="197" t="str">
        <f>IF(C15&lt;&gt;0,24*ber_IVmed!G10/10&amp;" ml","")</f>
        <v/>
      </c>
      <c r="J15" s="214">
        <f>INDEX(tblMedicationContIV,ber_IVmed!$B10,3)</f>
        <v>0</v>
      </c>
      <c r="K15" s="197"/>
      <c r="L15" s="197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176"/>
      <c r="Z15" s="318"/>
      <c r="AA15" s="176" t="b">
        <f>IF(C15&lt;&gt;0,INDEX(tblMedicationContIV,ber_IVmed!$B10,6)*(ber_IVmed!G10/10))</f>
        <v>0</v>
      </c>
      <c r="AB15" s="176">
        <f t="shared" si="0"/>
        <v>0</v>
      </c>
      <c r="AC15" s="176">
        <f t="shared" si="1"/>
        <v>0</v>
      </c>
      <c r="AD15" s="176"/>
      <c r="AE15" s="318"/>
      <c r="AF15" s="318"/>
      <c r="AG15" s="318"/>
      <c r="AH15" s="318"/>
      <c r="AI15" s="318"/>
      <c r="AJ15" s="318"/>
      <c r="AK15" s="318"/>
      <c r="AL15" s="318"/>
      <c r="AM15" s="318"/>
      <c r="AN15" s="318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  <c r="BJ15" s="21"/>
      <c r="BK15" s="21"/>
      <c r="BL15" s="21"/>
      <c r="BM15" s="21"/>
      <c r="BN15" s="21"/>
      <c r="BO15" s="21"/>
      <c r="BP15" s="21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1"/>
      <c r="CB15" s="21"/>
      <c r="CC15" s="21"/>
    </row>
    <row r="16" spans="1:81" ht="20.100000000000001" customHeight="1" x14ac:dyDescent="0.4">
      <c r="A16" s="177"/>
      <c r="B16" s="185">
        <v>9</v>
      </c>
      <c r="C16" s="335">
        <f>INDEX(tblMedicationContIV,ber_IVmed!$B11,1)</f>
        <v>0</v>
      </c>
      <c r="D16" s="206" t="str">
        <f>INDEX(tblMedicationContIV,ber_IVmed!$B11,15)&amp;" "&amp;INDEX(tblMedicationContIV,ber_IVmed!$B11,4)</f>
        <v xml:space="preserve"> </v>
      </c>
      <c r="E16" s="196" t="str">
        <f>IF(AND(C16&lt;&gt;0,INDEX(tblMedicationContIV,ber_IVmed!$B11,16)&lt;&gt;""),INDEX(tblMedicationContIV,ber_IVmed!$B11,16)&amp;" ml","")</f>
        <v/>
      </c>
      <c r="F16" s="187">
        <f>INDEX(tblOplossing,ber_IVmed!F11,1)</f>
        <v>0</v>
      </c>
      <c r="G16" s="196" t="str">
        <f>IF(C16&lt;&gt;0,ber_IVmed!G11/10&amp;" ml/uur","")</f>
        <v/>
      </c>
      <c r="H16" s="194" t="str">
        <f>IF(C16&lt;&gt;0,(ber_IVmed!G11/10)*INDEX(tblMedicationContIV,ber_IVmed!$B11,18)&amp;" "&amp;INDEX(tblMedicationContIV,ber_IVmed!$B11,2),"")</f>
        <v/>
      </c>
      <c r="I16" s="197" t="str">
        <f>IF(C16&lt;&gt;0,24*ber_IVmed!G11/10&amp;" ml","")</f>
        <v/>
      </c>
      <c r="J16" s="214">
        <f>INDEX(tblMedicationContIV,ber_IVmed!$B11,3)</f>
        <v>0</v>
      </c>
      <c r="K16" s="197"/>
      <c r="L16" s="197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176"/>
      <c r="Z16" s="318"/>
      <c r="AA16" s="176" t="b">
        <f>IF(C16&lt;&gt;0,INDEX(tblMedicationContIV,ber_IVmed!$B11,6)*(ber_IVmed!G11/10))</f>
        <v>0</v>
      </c>
      <c r="AB16" s="176">
        <f t="shared" si="0"/>
        <v>0</v>
      </c>
      <c r="AC16" s="176">
        <f t="shared" si="1"/>
        <v>0</v>
      </c>
      <c r="AD16" s="176"/>
      <c r="AE16" s="318"/>
      <c r="AF16" s="318"/>
      <c r="AG16" s="318"/>
      <c r="AH16" s="318"/>
      <c r="AI16" s="318"/>
      <c r="AJ16" s="318"/>
      <c r="AK16" s="318"/>
      <c r="AL16" s="318"/>
      <c r="AM16" s="318"/>
      <c r="AN16" s="318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  <c r="BJ16" s="21"/>
      <c r="BK16" s="21"/>
      <c r="BL16" s="21"/>
      <c r="BM16" s="21"/>
      <c r="BN16" s="21"/>
      <c r="BO16" s="21"/>
      <c r="BP16" s="21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1"/>
      <c r="CB16" s="21"/>
      <c r="CC16" s="21"/>
    </row>
    <row r="17" spans="1:81" ht="20.100000000000001" customHeight="1" x14ac:dyDescent="0.4">
      <c r="A17" s="177"/>
      <c r="B17" s="185">
        <v>10</v>
      </c>
      <c r="C17" s="335">
        <f>INDEX(tblMedicationContIV,ber_IVmed!$B12,1)</f>
        <v>0</v>
      </c>
      <c r="D17" s="206" t="str">
        <f>INDEX(tblMedicationContIV,ber_IVmed!$B12,15)&amp;" "&amp;INDEX(tblMedicationContIV,ber_IVmed!$B12,4)</f>
        <v xml:space="preserve"> </v>
      </c>
      <c r="E17" s="196" t="str">
        <f>IF(AND(C17&lt;&gt;0,INDEX(tblMedicationContIV,ber_IVmed!$B12,16)&lt;&gt;""),INDEX(tblMedicationContIV,ber_IVmed!$B12,16)&amp;" ml","")</f>
        <v/>
      </c>
      <c r="F17" s="187">
        <f>INDEX(tblOplossing,ber_IVmed!F12,1)</f>
        <v>0</v>
      </c>
      <c r="G17" s="196" t="str">
        <f>IF(C17&lt;&gt;0,ber_IVmed!G12/10&amp;" ml/uur","")</f>
        <v/>
      </c>
      <c r="H17" s="194" t="str">
        <f>IF(C17&lt;&gt;0,(ber_IVmed!G12/10)*INDEX(tblMedicationContIV,ber_IVmed!$B12,18)&amp;" "&amp;INDEX(tblMedicationContIV,ber_IVmed!$B12,2),"")</f>
        <v/>
      </c>
      <c r="I17" s="197" t="str">
        <f>IF(C17&lt;&gt;0,24*ber_IVmed!G12/10&amp;" ml","")</f>
        <v/>
      </c>
      <c r="J17" s="214">
        <f>INDEX(tblMedicationContIV,ber_IVmed!$B12,3)</f>
        <v>0</v>
      </c>
      <c r="K17" s="197"/>
      <c r="L17" s="197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176"/>
      <c r="Z17" s="318"/>
      <c r="AA17" s="176" t="b">
        <f>IF(C17&lt;&gt;0,INDEX(tblMedicationContIV,ber_IVmed!$B12,6)*(ber_IVmed!G12/10))</f>
        <v>0</v>
      </c>
      <c r="AB17" s="176">
        <f t="shared" si="0"/>
        <v>0</v>
      </c>
      <c r="AC17" s="176">
        <f t="shared" si="1"/>
        <v>0</v>
      </c>
      <c r="AD17" s="176"/>
      <c r="AE17" s="318"/>
      <c r="AF17" s="318"/>
      <c r="AG17" s="318"/>
      <c r="AH17" s="318"/>
      <c r="AI17" s="318"/>
      <c r="AJ17" s="318"/>
      <c r="AK17" s="318"/>
      <c r="AL17" s="318"/>
      <c r="AM17" s="318"/>
      <c r="AN17" s="318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  <c r="BJ17" s="21"/>
      <c r="BK17" s="21"/>
      <c r="BL17" s="21"/>
      <c r="BM17" s="21"/>
      <c r="BN17" s="21"/>
      <c r="BO17" s="21"/>
      <c r="BP17" s="21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1"/>
      <c r="CB17" s="21"/>
      <c r="CC17" s="21"/>
    </row>
    <row r="18" spans="1:81" ht="20.100000000000001" customHeight="1" x14ac:dyDescent="0.4">
      <c r="A18" s="177"/>
      <c r="B18" s="185"/>
      <c r="C18" s="192"/>
      <c r="D18" s="192"/>
      <c r="E18" s="65"/>
      <c r="F18" s="65"/>
      <c r="G18" s="65"/>
      <c r="H18" s="65"/>
      <c r="I18" s="64"/>
      <c r="J18" s="215" t="str">
        <f>IF(C18&lt;&gt;0,HLOOKUP(C18,#REF!,6),"")</f>
        <v/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176"/>
      <c r="Z18" s="318"/>
      <c r="AA18" s="176"/>
      <c r="AB18" s="176"/>
      <c r="AC18" s="176"/>
      <c r="AD18" s="176"/>
      <c r="AE18" s="318"/>
      <c r="AF18" s="318"/>
      <c r="AG18" s="318"/>
      <c r="AH18" s="318"/>
      <c r="AI18" s="318"/>
      <c r="AJ18" s="318"/>
      <c r="AK18" s="318"/>
      <c r="AL18" s="318"/>
      <c r="AM18" s="318"/>
      <c r="AN18" s="318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</row>
    <row r="19" spans="1:81" ht="20.100000000000001" customHeight="1" x14ac:dyDescent="0.4">
      <c r="A19" s="177"/>
      <c r="B19" s="185">
        <v>11</v>
      </c>
      <c r="C19" s="198">
        <f>ber_IVmed!B13</f>
        <v>0</v>
      </c>
      <c r="D19" s="199" t="str">
        <f>MedIVSterkte_11</f>
        <v>100 mg</v>
      </c>
      <c r="E19" s="200" t="str">
        <f>IF(C19&lt;&gt;0,ber_IVmed!E13&amp;" ml","")</f>
        <v/>
      </c>
      <c r="F19" s="289" t="str">
        <f>INDEX(tblOplossing,ber_IVmed!F13,1)</f>
        <v>FZ</v>
      </c>
      <c r="G19" s="200" t="str">
        <f>IF(C19&lt;&gt;"",IF(ber_IVmed!G13&lt;&gt;0,ber_IVmed!G13/10&amp;" ml/uur",0),"")</f>
        <v>1 ml/uur</v>
      </c>
      <c r="H19" s="200"/>
      <c r="I19" s="201" t="str">
        <f>IF(ber_IVmed!H13&lt;&gt;0,ber_IVmed!H13&amp;" ml","")</f>
        <v>24 ml</v>
      </c>
      <c r="J19" s="213"/>
      <c r="K19" s="195"/>
      <c r="L19" s="195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176"/>
      <c r="Z19" s="318"/>
      <c r="AA19" s="318"/>
      <c r="AB19" s="318"/>
      <c r="AC19" s="318"/>
      <c r="AD19" s="318"/>
      <c r="AE19" s="318"/>
      <c r="AF19" s="318"/>
      <c r="AG19" s="318"/>
      <c r="AH19" s="318"/>
      <c r="AI19" s="318"/>
      <c r="AJ19" s="318"/>
      <c r="AK19" s="318"/>
      <c r="AL19" s="318"/>
      <c r="AM19" s="318"/>
      <c r="AN19" s="318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  <c r="BJ19" s="21"/>
      <c r="BK19" s="21"/>
      <c r="BL19" s="21"/>
      <c r="BM19" s="21"/>
      <c r="BN19" s="21"/>
      <c r="BO19" s="21"/>
      <c r="BP19" s="21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1"/>
      <c r="CB19" s="21"/>
      <c r="CC19" s="21"/>
    </row>
    <row r="20" spans="1:81" ht="20.100000000000001" customHeight="1" x14ac:dyDescent="0.4">
      <c r="A20" s="177"/>
      <c r="B20" s="185">
        <v>12</v>
      </c>
      <c r="C20" s="202">
        <f>ber_IVmed!B14</f>
        <v>0</v>
      </c>
      <c r="D20" s="202">
        <f>MedIVSterkte_12</f>
        <v>0</v>
      </c>
      <c r="E20" s="196" t="str">
        <f>IF(C20&lt;&gt;0,ber_IVmed!E14&amp;" ml","")</f>
        <v/>
      </c>
      <c r="F20" s="290">
        <f>INDEX(tblOplossing,ber_IVmed!F14,1)</f>
        <v>0</v>
      </c>
      <c r="G20" s="196">
        <f>IF(C20&lt;&gt;"",IF(ber_IVmed!G14&lt;&gt;0,ber_IVmed!G14/10&amp;" ml/uur",0),"")</f>
        <v>0</v>
      </c>
      <c r="H20" s="196"/>
      <c r="I20" s="197" t="str">
        <f>IF(ber_IVmed!H14&lt;&gt;0,ber_IVmed!H14&amp;" ml","")</f>
        <v/>
      </c>
      <c r="J20" s="214"/>
      <c r="K20" s="197"/>
      <c r="L20" s="197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176"/>
      <c r="Z20" s="318"/>
      <c r="AA20" s="318"/>
      <c r="AB20" s="318"/>
      <c r="AC20" s="318"/>
      <c r="AD20" s="318"/>
      <c r="AE20" s="318"/>
      <c r="AF20" s="318"/>
      <c r="AG20" s="318"/>
      <c r="AH20" s="318"/>
      <c r="AI20" s="318"/>
      <c r="AJ20" s="318"/>
      <c r="AK20" s="318"/>
      <c r="AL20" s="318"/>
      <c r="AM20" s="318"/>
      <c r="AN20" s="318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</row>
    <row r="21" spans="1:81" ht="20.100000000000001" customHeight="1" x14ac:dyDescent="0.4">
      <c r="A21" s="177"/>
      <c r="B21" s="185">
        <v>13</v>
      </c>
      <c r="C21" s="202">
        <f>ber_IVmed!B15</f>
        <v>0</v>
      </c>
      <c r="D21" s="202">
        <f>MedIVSterkte_13</f>
        <v>0</v>
      </c>
      <c r="E21" s="196" t="str">
        <f>IF(C21&lt;&gt;0,ber_IVmed!E15&amp;" ml","")</f>
        <v/>
      </c>
      <c r="F21" s="290">
        <f>INDEX(tblOplossing,ber_IVmed!F15,1)</f>
        <v>0</v>
      </c>
      <c r="G21" s="196">
        <f>IF(C21&lt;&gt;"",IF(ber_IVmed!G15&lt;&gt;0,ber_IVmed!G15/10&amp;" ml/uur",0),"")</f>
        <v>0</v>
      </c>
      <c r="H21" s="196"/>
      <c r="I21" s="197" t="str">
        <f>IF(ber_IVmed!H15&lt;&gt;0,ber_IVmed!H15&amp;" ml","")</f>
        <v/>
      </c>
      <c r="J21" s="214"/>
      <c r="K21" s="197"/>
      <c r="L21" s="197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176"/>
      <c r="Z21" s="318"/>
      <c r="AA21" s="318"/>
      <c r="AB21" s="318"/>
      <c r="AC21" s="318"/>
      <c r="AD21" s="318"/>
      <c r="AE21" s="318"/>
      <c r="AF21" s="318"/>
      <c r="AG21" s="318"/>
      <c r="AH21" s="318"/>
      <c r="AI21" s="318"/>
      <c r="AJ21" s="318"/>
      <c r="AK21" s="318"/>
      <c r="AL21" s="318"/>
      <c r="AM21" s="318"/>
      <c r="AN21" s="318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  <c r="BJ21" s="21"/>
      <c r="BK21" s="21"/>
      <c r="BL21" s="21"/>
      <c r="BM21" s="21"/>
      <c r="BN21" s="21"/>
      <c r="BO21" s="21"/>
      <c r="BP21" s="21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1"/>
      <c r="CB21" s="21"/>
      <c r="CC21" s="21"/>
    </row>
    <row r="22" spans="1:81" ht="20.100000000000001" customHeight="1" x14ac:dyDescent="0.4">
      <c r="A22" s="177"/>
      <c r="B22" s="185">
        <v>14</v>
      </c>
      <c r="C22" s="202">
        <f>ber_IVmed!B16</f>
        <v>0</v>
      </c>
      <c r="D22" s="202">
        <f>MedIVSterkte_14</f>
        <v>0</v>
      </c>
      <c r="E22" s="196" t="str">
        <f>IF(C22&lt;&gt;0,ber_IVmed!E16&amp;" ml","")</f>
        <v/>
      </c>
      <c r="F22" s="290">
        <f>INDEX(tblOplossing,ber_IVmed!F16,1)</f>
        <v>0</v>
      </c>
      <c r="G22" s="196">
        <f>IF(C22&lt;&gt;"",IF(ber_IVmed!G16&lt;&gt;0,ber_IVmed!G16/10&amp;" ml/uur",0),"")</f>
        <v>0</v>
      </c>
      <c r="H22" s="196"/>
      <c r="I22" s="197" t="str">
        <f>IF(ber_IVmed!H16&lt;&gt;0,ber_IVmed!H16&amp;" ml","")</f>
        <v/>
      </c>
      <c r="J22" s="214"/>
      <c r="K22" s="197"/>
      <c r="L22" s="197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176"/>
      <c r="Z22" s="318"/>
      <c r="AA22" s="318"/>
      <c r="AB22" s="318"/>
      <c r="AC22" s="318"/>
      <c r="AD22" s="318"/>
      <c r="AE22" s="318"/>
      <c r="AF22" s="318"/>
      <c r="AG22" s="318"/>
      <c r="AH22" s="318"/>
      <c r="AI22" s="318"/>
      <c r="AJ22" s="318"/>
      <c r="AK22" s="318"/>
      <c r="AL22" s="318"/>
      <c r="AM22" s="318"/>
      <c r="AN22" s="318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  <c r="BJ22" s="21"/>
      <c r="BK22" s="21"/>
      <c r="BL22" s="21"/>
      <c r="BM22" s="21"/>
      <c r="BN22" s="21"/>
      <c r="BO22" s="21"/>
      <c r="BP22" s="21"/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1"/>
      <c r="CB22" s="21"/>
      <c r="CC22" s="21"/>
    </row>
    <row r="23" spans="1:81" ht="20.100000000000001" customHeight="1" x14ac:dyDescent="0.4">
      <c r="A23" s="177"/>
      <c r="B23" s="185">
        <v>15</v>
      </c>
      <c r="C23" s="202">
        <f>ber_IVmed!B17</f>
        <v>0</v>
      </c>
      <c r="D23" s="202">
        <f>MedIVSterkte_15</f>
        <v>0</v>
      </c>
      <c r="E23" s="196" t="str">
        <f>IF(C23&lt;&gt;0,ber_IVmed!E17&amp;" ml","")</f>
        <v/>
      </c>
      <c r="F23" s="290">
        <f>INDEX(tblOplossing,ber_IVmed!F17,1)</f>
        <v>0</v>
      </c>
      <c r="G23" s="196">
        <f>IF(C23&lt;&gt;"",IF(ber_IVmed!G17&lt;&gt;0,ber_IVmed!G17/10&amp;" ml/uur",0),"")</f>
        <v>0</v>
      </c>
      <c r="H23" s="196"/>
      <c r="I23" s="197" t="str">
        <f>IF(ber_IVmed!H17&lt;&gt;0,ber_IVmed!H17&amp;" ml","")</f>
        <v/>
      </c>
      <c r="J23" s="214"/>
      <c r="K23" s="197"/>
      <c r="L23" s="197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176"/>
      <c r="Z23" s="318"/>
      <c r="AA23" s="318"/>
      <c r="AB23" s="318"/>
      <c r="AC23" s="318"/>
      <c r="AD23" s="318"/>
      <c r="AE23" s="318"/>
      <c r="AF23" s="318"/>
      <c r="AG23" s="318"/>
      <c r="AH23" s="318"/>
      <c r="AI23" s="318"/>
      <c r="AJ23" s="318"/>
      <c r="AK23" s="318"/>
      <c r="AL23" s="318"/>
      <c r="AM23" s="318"/>
      <c r="AN23" s="318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  <c r="BJ23" s="21"/>
      <c r="BK23" s="21"/>
      <c r="BL23" s="21"/>
      <c r="BM23" s="21"/>
      <c r="BN23" s="21"/>
      <c r="BO23" s="21"/>
      <c r="BP23" s="21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1"/>
      <c r="CB23" s="21"/>
      <c r="CC23" s="21"/>
    </row>
    <row r="24" spans="1:81" x14ac:dyDescent="0.35">
      <c r="A24" s="177"/>
      <c r="B24" s="177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176"/>
      <c r="Z24" s="318"/>
      <c r="AA24" s="318"/>
      <c r="AB24" s="318"/>
      <c r="AC24" s="318"/>
      <c r="AD24" s="318"/>
      <c r="AE24" s="318"/>
      <c r="AF24" s="318"/>
      <c r="AG24" s="318"/>
      <c r="AH24" s="318"/>
      <c r="AI24" s="318"/>
      <c r="AJ24" s="318"/>
      <c r="AK24" s="318"/>
      <c r="AL24" s="318"/>
      <c r="AM24" s="318"/>
      <c r="AN24" s="318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  <c r="BJ24" s="21"/>
      <c r="BK24" s="21"/>
      <c r="BL24" s="21"/>
      <c r="BM24" s="21"/>
      <c r="BN24" s="21"/>
      <c r="BO24" s="21"/>
      <c r="BP24" s="21"/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1"/>
      <c r="CB24" s="21"/>
      <c r="CC24" s="21"/>
    </row>
    <row r="25" spans="1:81" ht="13.2" x14ac:dyDescent="0.4">
      <c r="A25" s="177"/>
      <c r="B25" s="177"/>
      <c r="C25" s="210" t="str">
        <f>Intake!B32</f>
        <v>Vocht</v>
      </c>
      <c r="D25" s="211" t="str">
        <f>Intake!D32</f>
        <v>23 ml/kg</v>
      </c>
      <c r="E25" s="210" t="str">
        <f ca="1">Intake!E32</f>
        <v>150 ml/kg</v>
      </c>
      <c r="F25" s="210"/>
      <c r="G25" s="210" t="str">
        <f>Intake!H32</f>
        <v>Eiwit</v>
      </c>
      <c r="H25" s="211" t="str">
        <f>Intake!I32</f>
        <v>0  gram/kg</v>
      </c>
      <c r="I25" s="210" t="str">
        <f>Intake!J32</f>
        <v>2-2,5 g/kg</v>
      </c>
      <c r="J25" s="210"/>
      <c r="K25" s="212"/>
      <c r="L25" s="212"/>
      <c r="M25" s="212"/>
      <c r="N25" s="212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318"/>
      <c r="Z25" s="318"/>
      <c r="AA25" s="318"/>
      <c r="AB25" s="318"/>
      <c r="AC25" s="318"/>
      <c r="AD25" s="318"/>
      <c r="AE25" s="318"/>
      <c r="AF25" s="318"/>
      <c r="AG25" s="318"/>
      <c r="AH25" s="318"/>
      <c r="AI25" s="318"/>
      <c r="AJ25" s="318"/>
      <c r="AK25" s="318"/>
      <c r="AL25" s="318"/>
      <c r="AM25" s="318"/>
      <c r="AN25" s="318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  <c r="BJ25" s="21"/>
      <c r="BK25" s="21"/>
      <c r="BL25" s="21"/>
      <c r="BM25" s="21"/>
      <c r="BN25" s="21"/>
      <c r="BO25" s="21"/>
      <c r="BP25" s="21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1"/>
      <c r="CB25" s="21"/>
      <c r="CC25" s="21"/>
    </row>
    <row r="26" spans="1:81" ht="13.2" x14ac:dyDescent="0.4">
      <c r="A26" s="177"/>
      <c r="B26" s="177"/>
      <c r="C26" s="210" t="str">
        <f>Intake!B33</f>
        <v>Calorieen</v>
      </c>
      <c r="D26" s="211" t="str">
        <f>Intake!D33</f>
        <v>0 kCal/kg</v>
      </c>
      <c r="E26" s="210" t="str">
        <f ca="1">Intake!E33</f>
        <v>95 kCal/kg</v>
      </c>
      <c r="F26" s="210"/>
      <c r="G26" s="210" t="str">
        <f>Intake!H33</f>
        <v>Vet</v>
      </c>
      <c r="H26" s="211" t="str">
        <f>Intake!I33</f>
        <v>0 gram/kg</v>
      </c>
      <c r="I26" s="210" t="str">
        <f>Intake!J33</f>
        <v>4 g/kg</v>
      </c>
      <c r="J26" s="210"/>
      <c r="K26" s="210"/>
      <c r="L26" s="210"/>
      <c r="M26" s="210"/>
      <c r="N26" s="210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318"/>
      <c r="Z26" s="318"/>
      <c r="AA26" s="318"/>
      <c r="AB26" s="318"/>
      <c r="AC26" s="318"/>
      <c r="AD26" s="318"/>
      <c r="AE26" s="318"/>
      <c r="AF26" s="318"/>
      <c r="AG26" s="318"/>
      <c r="AH26" s="318"/>
      <c r="AI26" s="318"/>
      <c r="AJ26" s="318"/>
      <c r="AK26" s="318"/>
      <c r="AL26" s="318"/>
      <c r="AM26" s="318"/>
      <c r="AN26" s="318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  <c r="BJ26" s="21"/>
      <c r="BK26" s="21"/>
      <c r="BL26" s="21"/>
      <c r="BM26" s="21"/>
      <c r="BN26" s="21"/>
      <c r="BO26" s="21"/>
      <c r="BP26" s="21"/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1"/>
      <c r="CB26" s="21"/>
      <c r="CC26" s="21"/>
    </row>
    <row r="27" spans="1:81" ht="13.2" x14ac:dyDescent="0.4">
      <c r="A27" s="177"/>
      <c r="B27" s="177"/>
      <c r="C27" s="210" t="str">
        <f>Intake!B34</f>
        <v>Glucose/KH</v>
      </c>
      <c r="D27" s="211" t="str">
        <f>Intake!D34</f>
        <v>0 g/kg</v>
      </c>
      <c r="E27" s="210" t="str">
        <f>Intake!E34</f>
        <v>3,6 g/kg</v>
      </c>
      <c r="F27" s="210"/>
      <c r="G27" s="210" t="str">
        <f>Intake!H34</f>
        <v>Calcium</v>
      </c>
      <c r="H27" s="211" t="str">
        <f>Intake!I34</f>
        <v>0 mmol/kg</v>
      </c>
      <c r="I27" s="210" t="str">
        <f>Intake!J34</f>
        <v>0,2-0,8 mmol/kg (3-10 kg:0,8; 10-20 kg:0,5; &gt; 20 kg:0,2 mmol/kg)</v>
      </c>
      <c r="J27" s="210"/>
      <c r="K27" s="210"/>
      <c r="L27" s="210"/>
      <c r="M27" s="210"/>
      <c r="N27" s="210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318"/>
      <c r="Z27" s="318"/>
      <c r="AA27" s="318"/>
      <c r="AB27" s="318"/>
      <c r="AC27" s="318"/>
      <c r="AD27" s="318"/>
      <c r="AE27" s="318"/>
      <c r="AF27" s="318"/>
      <c r="AG27" s="318"/>
      <c r="AH27" s="318"/>
      <c r="AI27" s="318"/>
      <c r="AJ27" s="318"/>
      <c r="AK27" s="318"/>
      <c r="AL27" s="318"/>
      <c r="AM27" s="318"/>
      <c r="AN27" s="318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  <c r="BJ27" s="21"/>
      <c r="BK27" s="21"/>
      <c r="BL27" s="21"/>
      <c r="BM27" s="21"/>
      <c r="BN27" s="21"/>
      <c r="BO27" s="21"/>
      <c r="BP27" s="21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A27" s="21"/>
      <c r="CB27" s="21"/>
      <c r="CC27" s="21"/>
    </row>
    <row r="28" spans="1:81" ht="13.2" x14ac:dyDescent="0.4">
      <c r="A28" s="177"/>
      <c r="B28" s="177"/>
      <c r="C28" s="210" t="str">
        <f>Intake!B35</f>
        <v xml:space="preserve">Natrium </v>
      </c>
      <c r="D28" s="211" t="str">
        <f>Intake!D35</f>
        <v>3,5 mmol/kg</v>
      </c>
      <c r="E28" s="210" t="str">
        <f>Intake!E35</f>
        <v>2-4 mmol/kg</v>
      </c>
      <c r="F28" s="210"/>
      <c r="G28" s="210" t="str">
        <f>Intake!H35</f>
        <v>Magnesium</v>
      </c>
      <c r="H28" s="211" t="str">
        <f>Intake!I35</f>
        <v>0 mmol/kg</v>
      </c>
      <c r="I28" s="210" t="str">
        <f>Intake!J35</f>
        <v>0,1-0,3 mmol/kg</v>
      </c>
      <c r="J28" s="210"/>
      <c r="K28" s="210"/>
      <c r="L28" s="210"/>
      <c r="M28" s="210"/>
      <c r="N28" s="210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318"/>
      <c r="Z28" s="318"/>
      <c r="AA28" s="318"/>
      <c r="AB28" s="318"/>
      <c r="AC28" s="318"/>
      <c r="AD28" s="318"/>
      <c r="AE28" s="318"/>
      <c r="AF28" s="318"/>
      <c r="AG28" s="318"/>
      <c r="AH28" s="318"/>
      <c r="AI28" s="318"/>
      <c r="AJ28" s="318"/>
      <c r="AK28" s="318"/>
      <c r="AL28" s="318"/>
      <c r="AM28" s="318"/>
      <c r="AN28" s="318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</row>
    <row r="29" spans="1:81" ht="13.2" x14ac:dyDescent="0.4">
      <c r="A29" s="177"/>
      <c r="B29" s="177"/>
      <c r="C29" s="210" t="str">
        <f>Intake!B36</f>
        <v>Kalium</v>
      </c>
      <c r="D29" s="211" t="str">
        <f>Intake!D36</f>
        <v>0 mmol/kg</v>
      </c>
      <c r="E29" s="210" t="str">
        <f>Intake!E36</f>
        <v>1-2 mmol/kg</v>
      </c>
      <c r="F29" s="210"/>
      <c r="G29" s="210" t="str">
        <f>Intake!H36</f>
        <v>Fosfaat</v>
      </c>
      <c r="H29" s="211" t="str">
        <f>Intake!I36</f>
        <v>0 mmol/kg</v>
      </c>
      <c r="I29" s="210" t="str">
        <f>Intake!J36</f>
        <v>0,75 mmol/kg</v>
      </c>
      <c r="J29" s="210"/>
      <c r="K29" s="210"/>
      <c r="L29" s="210"/>
      <c r="M29" s="210"/>
      <c r="N29" s="210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318"/>
      <c r="Z29" s="318"/>
      <c r="AA29" s="318"/>
      <c r="AB29" s="318"/>
      <c r="AC29" s="318"/>
      <c r="AD29" s="318"/>
      <c r="AE29" s="318"/>
      <c r="AF29" s="318"/>
      <c r="AG29" s="318"/>
      <c r="AH29" s="318"/>
      <c r="AI29" s="318"/>
      <c r="AJ29" s="318"/>
      <c r="AK29" s="318"/>
      <c r="AL29" s="318"/>
      <c r="AM29" s="318"/>
      <c r="AN29" s="318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  <c r="BJ29" s="21"/>
      <c r="BK29" s="21"/>
      <c r="BL29" s="21"/>
      <c r="BM29" s="21"/>
      <c r="BN29" s="21"/>
      <c r="BO29" s="21"/>
      <c r="BP29" s="21"/>
      <c r="BQ29" s="21"/>
      <c r="BR29" s="21"/>
      <c r="BS29" s="21"/>
      <c r="BT29" s="21"/>
      <c r="BU29" s="21"/>
      <c r="BV29" s="21"/>
      <c r="BW29" s="21"/>
      <c r="BX29" s="21"/>
      <c r="BY29" s="21"/>
      <c r="BZ29" s="21"/>
      <c r="CA29" s="21"/>
      <c r="CB29" s="21"/>
      <c r="CC29" s="21"/>
    </row>
    <row r="30" spans="1:81" x14ac:dyDescent="0.35">
      <c r="A30" s="177"/>
      <c r="B30" s="177"/>
      <c r="C30" s="63"/>
      <c r="D30" s="63"/>
      <c r="E30" s="63"/>
      <c r="F30" s="63"/>
      <c r="G30" s="63"/>
      <c r="H30" s="63"/>
      <c r="I30" s="64"/>
      <c r="J30" s="64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318"/>
      <c r="Z30" s="318"/>
      <c r="AA30" s="318"/>
      <c r="AB30" s="318"/>
      <c r="AC30" s="318"/>
      <c r="AD30" s="318"/>
      <c r="AE30" s="318"/>
      <c r="AF30" s="318"/>
      <c r="AG30" s="318"/>
      <c r="AH30" s="318"/>
      <c r="AI30" s="318"/>
      <c r="AJ30" s="318"/>
      <c r="AK30" s="318"/>
      <c r="AL30" s="318"/>
      <c r="AM30" s="318"/>
      <c r="AN30" s="318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  <c r="BJ30" s="21"/>
      <c r="BK30" s="21"/>
      <c r="BL30" s="21"/>
      <c r="BM30" s="21"/>
      <c r="BN30" s="21"/>
      <c r="BO30" s="21"/>
      <c r="BP30" s="21"/>
      <c r="BQ30" s="21"/>
      <c r="BR30" s="21"/>
      <c r="BS30" s="21"/>
      <c r="BT30" s="21"/>
      <c r="BU30" s="21"/>
      <c r="BV30" s="21"/>
      <c r="BW30" s="21"/>
      <c r="BX30" s="21"/>
      <c r="BY30" s="21"/>
      <c r="BZ30" s="21"/>
      <c r="CA30" s="21"/>
      <c r="CB30" s="21"/>
      <c r="CC30" s="21"/>
    </row>
    <row r="31" spans="1:81" x14ac:dyDescent="0.35">
      <c r="A31" s="177"/>
      <c r="B31" s="177"/>
      <c r="C31" s="209" t="s">
        <v>791</v>
      </c>
      <c r="D31" s="360">
        <f>ber_Opm!C4</f>
        <v>0</v>
      </c>
      <c r="E31" s="361"/>
      <c r="F31" s="361"/>
      <c r="G31" s="361"/>
      <c r="H31" s="361"/>
      <c r="I31" s="361"/>
      <c r="J31" s="361"/>
      <c r="K31" s="19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318"/>
      <c r="Z31" s="318"/>
      <c r="AA31" s="318"/>
      <c r="AB31" s="318"/>
      <c r="AC31" s="318"/>
      <c r="AD31" s="318"/>
      <c r="AE31" s="318"/>
      <c r="AF31" s="318"/>
      <c r="AG31" s="318"/>
      <c r="AH31" s="318"/>
      <c r="AI31" s="318"/>
      <c r="AJ31" s="318"/>
      <c r="AK31" s="318"/>
      <c r="AL31" s="318"/>
      <c r="AM31" s="318"/>
      <c r="AN31" s="318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</row>
    <row r="32" spans="1:81" x14ac:dyDescent="0.35">
      <c r="A32" s="177"/>
      <c r="B32" s="177"/>
      <c r="C32" s="189"/>
      <c r="D32" s="361"/>
      <c r="E32" s="361"/>
      <c r="F32" s="361"/>
      <c r="G32" s="361"/>
      <c r="H32" s="361"/>
      <c r="I32" s="361"/>
      <c r="J32" s="361"/>
      <c r="K32" s="19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318"/>
      <c r="Z32" s="318"/>
      <c r="AA32" s="318"/>
      <c r="AB32" s="318"/>
      <c r="AC32" s="318"/>
      <c r="AD32" s="318"/>
      <c r="AE32" s="318"/>
      <c r="AF32" s="318"/>
      <c r="AG32" s="318"/>
      <c r="AH32" s="318"/>
      <c r="AI32" s="318"/>
      <c r="AJ32" s="318"/>
      <c r="AK32" s="318"/>
      <c r="AL32" s="318"/>
      <c r="AM32" s="318"/>
      <c r="AN32" s="318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  <c r="BJ32" s="21"/>
      <c r="BK32" s="21"/>
      <c r="BL32" s="21"/>
      <c r="BM32" s="21"/>
      <c r="BN32" s="21"/>
      <c r="BO32" s="21"/>
      <c r="BP32" s="21"/>
      <c r="BQ32" s="21"/>
      <c r="BR32" s="21"/>
      <c r="BS32" s="21"/>
      <c r="BT32" s="21"/>
      <c r="BU32" s="21"/>
      <c r="BV32" s="21"/>
      <c r="BW32" s="21"/>
      <c r="BX32" s="21"/>
      <c r="BY32" s="21"/>
      <c r="BZ32" s="21"/>
      <c r="CA32" s="21"/>
      <c r="CB32" s="21"/>
      <c r="CC32" s="21"/>
    </row>
    <row r="33" spans="1:81" x14ac:dyDescent="0.35">
      <c r="A33" s="177"/>
      <c r="B33" s="177"/>
      <c r="C33" s="189"/>
      <c r="D33" s="361"/>
      <c r="E33" s="361"/>
      <c r="F33" s="361"/>
      <c r="G33" s="361"/>
      <c r="H33" s="361"/>
      <c r="I33" s="361"/>
      <c r="J33" s="361"/>
      <c r="K33" s="19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318"/>
      <c r="Z33" s="318"/>
      <c r="AA33" s="318"/>
      <c r="AB33" s="318"/>
      <c r="AC33" s="318"/>
      <c r="AD33" s="318"/>
      <c r="AE33" s="318"/>
      <c r="AF33" s="318"/>
      <c r="AG33" s="318"/>
      <c r="AH33" s="318"/>
      <c r="AI33" s="318"/>
      <c r="AJ33" s="318"/>
      <c r="AK33" s="318"/>
      <c r="AL33" s="318"/>
      <c r="AM33" s="318"/>
      <c r="AN33" s="318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  <c r="BJ33" s="21"/>
      <c r="BK33" s="21"/>
      <c r="BL33" s="21"/>
      <c r="BM33" s="21"/>
      <c r="BN33" s="21"/>
      <c r="BO33" s="21"/>
      <c r="BP33" s="21"/>
      <c r="BQ33" s="21"/>
      <c r="BR33" s="21"/>
      <c r="BS33" s="21"/>
      <c r="BT33" s="21"/>
      <c r="BU33" s="21"/>
      <c r="BV33" s="21"/>
      <c r="BW33" s="21"/>
      <c r="BX33" s="21"/>
      <c r="BY33" s="21"/>
      <c r="BZ33" s="21"/>
      <c r="CA33" s="21"/>
      <c r="CB33" s="21"/>
      <c r="CC33" s="21"/>
    </row>
    <row r="34" spans="1:81" x14ac:dyDescent="0.35">
      <c r="A34" s="177"/>
      <c r="B34" s="177"/>
      <c r="C34" s="189"/>
      <c r="D34" s="361"/>
      <c r="E34" s="361"/>
      <c r="F34" s="361"/>
      <c r="G34" s="361"/>
      <c r="H34" s="361"/>
      <c r="I34" s="361"/>
      <c r="J34" s="361"/>
      <c r="K34" s="19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318"/>
      <c r="Z34" s="318"/>
      <c r="AA34" s="318"/>
      <c r="AB34" s="318"/>
      <c r="AC34" s="318"/>
      <c r="AD34" s="318"/>
      <c r="AE34" s="318"/>
      <c r="AF34" s="318"/>
      <c r="AG34" s="318"/>
      <c r="AH34" s="318"/>
      <c r="AI34" s="318"/>
      <c r="AJ34" s="318"/>
      <c r="AK34" s="318"/>
      <c r="AL34" s="318"/>
      <c r="AM34" s="318"/>
      <c r="AN34" s="318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  <c r="BJ34" s="21"/>
      <c r="BK34" s="21"/>
      <c r="BL34" s="21"/>
      <c r="BM34" s="21"/>
      <c r="BN34" s="21"/>
      <c r="BO34" s="21"/>
      <c r="BP34" s="21"/>
      <c r="BQ34" s="21"/>
      <c r="BR34" s="21"/>
      <c r="BS34" s="21"/>
      <c r="BT34" s="21"/>
      <c r="BU34" s="21"/>
      <c r="BV34" s="21"/>
      <c r="BW34" s="21"/>
      <c r="BX34" s="21"/>
      <c r="BY34" s="21"/>
      <c r="BZ34" s="21"/>
      <c r="CA34" s="21"/>
      <c r="CB34" s="21"/>
      <c r="CC34" s="21"/>
    </row>
    <row r="35" spans="1:81" x14ac:dyDescent="0.35">
      <c r="A35" s="185"/>
      <c r="B35" s="185"/>
      <c r="C35" s="189"/>
      <c r="D35" s="361"/>
      <c r="E35" s="361"/>
      <c r="F35" s="361"/>
      <c r="G35" s="361"/>
      <c r="H35" s="361"/>
      <c r="I35" s="361"/>
      <c r="J35" s="361"/>
      <c r="K35" s="91"/>
      <c r="L35" s="64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318"/>
      <c r="Z35" s="318"/>
      <c r="AA35" s="318"/>
      <c r="AB35" s="318"/>
      <c r="AC35" s="318"/>
      <c r="AD35" s="318"/>
      <c r="AE35" s="318"/>
      <c r="AF35" s="318"/>
      <c r="AG35" s="318"/>
      <c r="AH35" s="318"/>
      <c r="AI35" s="318"/>
      <c r="AJ35" s="318"/>
      <c r="AK35" s="318"/>
      <c r="AL35" s="318"/>
      <c r="AM35" s="318"/>
      <c r="AN35" s="318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  <c r="BJ35" s="21"/>
      <c r="BK35" s="21"/>
      <c r="BL35" s="21"/>
      <c r="BM35" s="21"/>
      <c r="BN35" s="21"/>
      <c r="BO35" s="21"/>
      <c r="BP35" s="21"/>
      <c r="BQ35" s="21"/>
      <c r="BR35" s="21"/>
      <c r="BS35" s="21"/>
      <c r="BT35" s="21"/>
      <c r="BU35" s="21"/>
      <c r="BV35" s="21"/>
      <c r="BW35" s="21"/>
      <c r="BX35" s="21"/>
      <c r="BY35" s="21"/>
      <c r="BZ35" s="21"/>
      <c r="CA35" s="21"/>
      <c r="CB35" s="21"/>
      <c r="CC35" s="21"/>
    </row>
    <row r="36" spans="1:81" x14ac:dyDescent="0.35">
      <c r="A36" s="177"/>
      <c r="B36" s="177"/>
      <c r="C36" s="63"/>
      <c r="D36" s="63"/>
      <c r="E36" s="63"/>
      <c r="F36" s="63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318"/>
      <c r="Z36" s="318"/>
      <c r="AA36" s="318"/>
      <c r="AB36" s="318"/>
      <c r="AC36" s="318"/>
      <c r="AD36" s="318"/>
      <c r="AE36" s="318"/>
      <c r="AF36" s="318"/>
      <c r="AG36" s="318"/>
      <c r="AH36" s="318"/>
      <c r="AI36" s="318"/>
      <c r="AJ36" s="318"/>
      <c r="AK36" s="318"/>
      <c r="AL36" s="318"/>
      <c r="AM36" s="318"/>
      <c r="AN36" s="318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  <c r="BJ36" s="21"/>
      <c r="BK36" s="21"/>
      <c r="BL36" s="21"/>
      <c r="BM36" s="21"/>
      <c r="BN36" s="21"/>
      <c r="BO36" s="21"/>
      <c r="BP36" s="21"/>
      <c r="BQ36" s="21"/>
      <c r="BR36" s="21"/>
      <c r="BS36" s="21"/>
      <c r="BT36" s="21"/>
      <c r="BU36" s="21"/>
      <c r="BV36" s="21"/>
      <c r="BW36" s="21"/>
      <c r="BX36" s="21"/>
      <c r="BY36" s="21"/>
      <c r="BZ36" s="21"/>
      <c r="CA36" s="21"/>
      <c r="CB36" s="21"/>
      <c r="CC36" s="21"/>
    </row>
    <row r="37" spans="1:81" x14ac:dyDescent="0.35">
      <c r="A37" s="177"/>
      <c r="B37" s="177"/>
      <c r="C37" s="63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318"/>
      <c r="Z37" s="318"/>
      <c r="AA37" s="318"/>
      <c r="AB37" s="318"/>
      <c r="AC37" s="318"/>
      <c r="AD37" s="318"/>
      <c r="AE37" s="318"/>
      <c r="AF37" s="318"/>
      <c r="AG37" s="318"/>
      <c r="AH37" s="318"/>
      <c r="AI37" s="318"/>
      <c r="AJ37" s="318"/>
      <c r="AK37" s="318"/>
      <c r="AL37" s="318"/>
      <c r="AM37" s="318"/>
      <c r="AN37" s="318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  <c r="BJ37" s="21"/>
      <c r="BK37" s="21"/>
      <c r="BL37" s="21"/>
      <c r="BM37" s="21"/>
      <c r="BN37" s="21"/>
      <c r="BO37" s="21"/>
      <c r="BP37" s="21"/>
      <c r="BQ37" s="21"/>
      <c r="BR37" s="21"/>
      <c r="BS37" s="21"/>
      <c r="BT37" s="21"/>
      <c r="BU37" s="21"/>
      <c r="BV37" s="21"/>
      <c r="BW37" s="21"/>
      <c r="BX37" s="21"/>
      <c r="BY37" s="21"/>
      <c r="BZ37" s="21"/>
      <c r="CA37" s="21"/>
      <c r="CB37" s="21"/>
      <c r="CC37" s="21"/>
    </row>
    <row r="38" spans="1:81" x14ac:dyDescent="0.35">
      <c r="A38" s="177"/>
      <c r="B38" s="177"/>
      <c r="C38" s="63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318"/>
      <c r="Z38" s="318"/>
      <c r="AA38" s="318"/>
      <c r="AB38" s="318"/>
      <c r="AC38" s="318"/>
      <c r="AD38" s="318"/>
      <c r="AE38" s="318"/>
      <c r="AF38" s="318"/>
      <c r="AG38" s="318"/>
      <c r="AH38" s="318"/>
      <c r="AI38" s="318"/>
      <c r="AJ38" s="318"/>
      <c r="AK38" s="318"/>
      <c r="AL38" s="318"/>
      <c r="AM38" s="318"/>
      <c r="AN38" s="318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</row>
    <row r="39" spans="1:81" x14ac:dyDescent="0.35">
      <c r="A39" s="177"/>
      <c r="B39" s="177"/>
      <c r="C39" s="63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176"/>
      <c r="Z39" s="176"/>
      <c r="AA39" s="176"/>
      <c r="AB39" s="176"/>
      <c r="AC39" s="176"/>
      <c r="AD39" s="176"/>
      <c r="AE39" s="176"/>
      <c r="AF39" s="176"/>
      <c r="AG39" s="176"/>
      <c r="AH39" s="176"/>
      <c r="AI39" s="176"/>
      <c r="AJ39" s="176"/>
      <c r="AK39" s="176"/>
      <c r="AL39" s="176"/>
      <c r="AM39" s="176"/>
      <c r="AN39" s="176"/>
    </row>
    <row r="40" spans="1:81" x14ac:dyDescent="0.35">
      <c r="A40" s="177"/>
      <c r="B40" s="177"/>
      <c r="C40" s="63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176"/>
      <c r="Z40" s="176"/>
      <c r="AA40" s="176"/>
      <c r="AB40" s="176"/>
      <c r="AC40" s="176"/>
      <c r="AD40" s="176"/>
      <c r="AE40" s="176"/>
      <c r="AF40" s="176"/>
      <c r="AG40" s="176"/>
      <c r="AH40" s="176"/>
      <c r="AI40" s="176"/>
      <c r="AJ40" s="176"/>
      <c r="AK40" s="176"/>
      <c r="AL40" s="176"/>
      <c r="AM40" s="176"/>
      <c r="AN40" s="176"/>
    </row>
    <row r="41" spans="1:81" x14ac:dyDescent="0.35">
      <c r="A41" s="177"/>
      <c r="B41" s="177"/>
      <c r="C41" s="63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176"/>
      <c r="Z41" s="176"/>
      <c r="AA41" s="176"/>
      <c r="AB41" s="176"/>
      <c r="AC41" s="176"/>
      <c r="AD41" s="176"/>
      <c r="AE41" s="176"/>
      <c r="AF41" s="176"/>
      <c r="AG41" s="176"/>
      <c r="AH41" s="176"/>
      <c r="AI41" s="176"/>
      <c r="AJ41" s="176"/>
      <c r="AK41" s="176"/>
      <c r="AL41" s="176"/>
      <c r="AM41" s="176"/>
      <c r="AN41" s="176"/>
    </row>
    <row r="42" spans="1:81" x14ac:dyDescent="0.35">
      <c r="A42" s="177"/>
      <c r="B42" s="177"/>
      <c r="C42" s="63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176"/>
      <c r="Z42" s="176"/>
      <c r="AA42" s="176"/>
      <c r="AB42" s="176"/>
      <c r="AC42" s="176"/>
      <c r="AD42" s="176"/>
      <c r="AE42" s="176"/>
      <c r="AF42" s="176"/>
      <c r="AG42" s="176"/>
      <c r="AH42" s="176"/>
      <c r="AI42" s="176"/>
      <c r="AJ42" s="176"/>
      <c r="AK42" s="176"/>
      <c r="AL42" s="176"/>
      <c r="AM42" s="176"/>
      <c r="AN42" s="176"/>
    </row>
    <row r="43" spans="1:81" x14ac:dyDescent="0.35">
      <c r="A43" s="63"/>
      <c r="B43" s="63"/>
      <c r="C43" s="63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176"/>
      <c r="Z43" s="176"/>
      <c r="AA43" s="176"/>
      <c r="AB43" s="176"/>
      <c r="AC43" s="176"/>
      <c r="AD43" s="176"/>
      <c r="AE43" s="176"/>
      <c r="AF43" s="176"/>
      <c r="AG43" s="176"/>
      <c r="AH43" s="176"/>
      <c r="AI43" s="176"/>
      <c r="AJ43" s="176"/>
      <c r="AK43" s="176"/>
      <c r="AL43" s="176"/>
      <c r="AM43" s="176"/>
      <c r="AN43" s="176"/>
    </row>
    <row r="44" spans="1:81" x14ac:dyDescent="0.35">
      <c r="A44" s="63"/>
      <c r="B44" s="63"/>
      <c r="C44" s="63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176"/>
      <c r="Z44" s="176"/>
      <c r="AA44" s="176"/>
      <c r="AB44" s="176"/>
      <c r="AC44" s="176"/>
      <c r="AD44" s="176"/>
      <c r="AE44" s="176"/>
      <c r="AF44" s="176"/>
      <c r="AG44" s="176"/>
      <c r="AH44" s="176"/>
      <c r="AI44" s="176"/>
      <c r="AJ44" s="176"/>
      <c r="AK44" s="176"/>
      <c r="AL44" s="176"/>
      <c r="AM44" s="176"/>
      <c r="AN44" s="176"/>
    </row>
    <row r="45" spans="1:81" x14ac:dyDescent="0.35">
      <c r="A45" s="176"/>
      <c r="B45" s="176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76"/>
      <c r="AB45" s="176"/>
      <c r="AC45" s="176"/>
      <c r="AD45" s="176"/>
      <c r="AE45" s="176"/>
      <c r="AF45" s="176"/>
      <c r="AG45" s="176"/>
      <c r="AH45" s="176"/>
      <c r="AI45" s="176"/>
      <c r="AJ45" s="176"/>
      <c r="AK45" s="176"/>
      <c r="AL45" s="176"/>
      <c r="AM45" s="176"/>
      <c r="AN45" s="176"/>
    </row>
    <row r="46" spans="1:81" x14ac:dyDescent="0.35">
      <c r="A46" s="176"/>
      <c r="B46" s="176"/>
      <c r="C46" s="176"/>
      <c r="D46" s="176"/>
      <c r="E46" s="176"/>
      <c r="F46" s="176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</row>
    <row r="47" spans="1:8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176"/>
      <c r="X47" s="176"/>
      <c r="Y47" s="176"/>
      <c r="Z47" s="176"/>
      <c r="AA47" s="176"/>
      <c r="AB47" s="176"/>
      <c r="AC47" s="176"/>
      <c r="AD47" s="176"/>
      <c r="AE47" s="176"/>
      <c r="AF47" s="176"/>
      <c r="AG47" s="176"/>
      <c r="AH47" s="176"/>
      <c r="AI47" s="176"/>
      <c r="AJ47" s="176"/>
      <c r="AK47" s="176"/>
      <c r="AL47" s="176"/>
      <c r="AM47" s="176"/>
      <c r="AN47" s="176"/>
    </row>
    <row r="48" spans="1:8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  <c r="W48" s="176"/>
      <c r="X48" s="176"/>
      <c r="Y48" s="176"/>
      <c r="Z48" s="176"/>
      <c r="AA48" s="176"/>
      <c r="AB48" s="176"/>
      <c r="AC48" s="176"/>
      <c r="AD48" s="176"/>
      <c r="AE48" s="176"/>
      <c r="AF48" s="176"/>
      <c r="AG48" s="176"/>
      <c r="AH48" s="176"/>
      <c r="AI48" s="176"/>
      <c r="AJ48" s="176"/>
      <c r="AK48" s="176"/>
      <c r="AL48" s="176"/>
      <c r="AM48" s="176"/>
      <c r="AN48" s="176"/>
    </row>
    <row r="49" spans="1:40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</row>
    <row r="50" spans="1:40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  <c r="W50" s="176"/>
      <c r="X50" s="176"/>
      <c r="Y50" s="176"/>
      <c r="Z50" s="176"/>
      <c r="AA50" s="176"/>
      <c r="AB50" s="176"/>
      <c r="AC50" s="176"/>
      <c r="AD50" s="176"/>
      <c r="AE50" s="176"/>
      <c r="AF50" s="176"/>
      <c r="AG50" s="176"/>
      <c r="AH50" s="176"/>
      <c r="AI50" s="176"/>
      <c r="AJ50" s="176"/>
      <c r="AK50" s="176"/>
      <c r="AL50" s="176"/>
      <c r="AM50" s="176"/>
      <c r="AN50" s="176"/>
    </row>
    <row r="51" spans="1:40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176"/>
      <c r="X51" s="176"/>
      <c r="Y51" s="176"/>
      <c r="Z51" s="176"/>
      <c r="AA51" s="176"/>
      <c r="AB51" s="176"/>
      <c r="AC51" s="176"/>
      <c r="AD51" s="176"/>
      <c r="AE51" s="176"/>
      <c r="AF51" s="176"/>
      <c r="AG51" s="176"/>
      <c r="AH51" s="176"/>
      <c r="AI51" s="176"/>
      <c r="AJ51" s="176"/>
      <c r="AK51" s="176"/>
      <c r="AL51" s="176"/>
      <c r="AM51" s="176"/>
      <c r="AN51" s="176"/>
    </row>
    <row r="52" spans="1:40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</row>
    <row r="53" spans="1:40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</row>
    <row r="54" spans="1:40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</row>
    <row r="55" spans="1:40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</row>
    <row r="56" spans="1:40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</row>
    <row r="57" spans="1:40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</row>
    <row r="58" spans="1:40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</row>
    <row r="59" spans="1:40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</row>
    <row r="60" spans="1:40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</row>
    <row r="61" spans="1:40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</row>
    <row r="62" spans="1:40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</row>
    <row r="63" spans="1:40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</row>
    <row r="64" spans="1:40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</row>
    <row r="65" spans="1:18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</row>
    <row r="66" spans="1:18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</row>
    <row r="67" spans="1:18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</row>
    <row r="68" spans="1:18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</row>
    <row r="69" spans="1:18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</row>
    <row r="70" spans="1:18" x14ac:dyDescent="0.35">
      <c r="A70" s="176"/>
      <c r="B70" s="176"/>
      <c r="C70" s="176"/>
      <c r="D70" s="176"/>
      <c r="E70" s="176"/>
      <c r="F70" s="176"/>
      <c r="G70" s="176"/>
      <c r="H70" s="176"/>
      <c r="I70" s="176"/>
      <c r="J70" s="176"/>
      <c r="K70" s="176"/>
      <c r="L70" s="176"/>
      <c r="M70" s="176"/>
      <c r="N70" s="176"/>
      <c r="O70" s="176"/>
      <c r="P70" s="176"/>
      <c r="Q70" s="176"/>
      <c r="R70" s="176"/>
    </row>
    <row r="71" spans="1:18" x14ac:dyDescent="0.35">
      <c r="A71" s="176"/>
      <c r="B71" s="176"/>
      <c r="C71" s="176"/>
      <c r="D71" s="176"/>
      <c r="E71" s="176"/>
      <c r="F71" s="176"/>
      <c r="G71" s="176"/>
      <c r="H71" s="176"/>
      <c r="I71" s="176"/>
      <c r="J71" s="176"/>
      <c r="K71" s="176"/>
      <c r="L71" s="176"/>
      <c r="M71" s="176"/>
      <c r="N71" s="176"/>
      <c r="O71" s="176"/>
      <c r="P71" s="176"/>
      <c r="Q71" s="176"/>
      <c r="R71" s="176"/>
    </row>
    <row r="72" spans="1:18" x14ac:dyDescent="0.35">
      <c r="A72" s="176"/>
      <c r="B72" s="176"/>
      <c r="C72" s="176"/>
      <c r="D72" s="176"/>
      <c r="E72" s="176"/>
      <c r="F72" s="176"/>
      <c r="G72" s="176"/>
      <c r="H72" s="176"/>
      <c r="I72" s="176"/>
      <c r="J72" s="176"/>
      <c r="K72" s="176"/>
      <c r="L72" s="176"/>
      <c r="M72" s="176"/>
      <c r="N72" s="176"/>
      <c r="O72" s="176"/>
      <c r="P72" s="176"/>
      <c r="Q72" s="176"/>
      <c r="R72" s="176"/>
    </row>
    <row r="73" spans="1:18" x14ac:dyDescent="0.35">
      <c r="A73" s="176"/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6"/>
    </row>
    <row r="74" spans="1:18" x14ac:dyDescent="0.35">
      <c r="A74" s="176"/>
      <c r="B74" s="176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6"/>
      <c r="O74" s="176"/>
      <c r="P74" s="176"/>
      <c r="Q74" s="176"/>
      <c r="R74" s="176"/>
    </row>
    <row r="75" spans="1:18" x14ac:dyDescent="0.35">
      <c r="A75" s="176"/>
      <c r="B75" s="176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6"/>
      <c r="O75" s="176"/>
      <c r="P75" s="176"/>
      <c r="Q75" s="176"/>
      <c r="R75" s="176"/>
    </row>
    <row r="76" spans="1:18" x14ac:dyDescent="0.35">
      <c r="A76" s="176"/>
      <c r="B76" s="176"/>
      <c r="C76" s="176"/>
      <c r="D76" s="176"/>
      <c r="E76" s="176"/>
      <c r="F76" s="176"/>
      <c r="G76" s="176"/>
      <c r="H76" s="176"/>
      <c r="I76" s="176"/>
      <c r="J76" s="176"/>
      <c r="K76" s="176"/>
      <c r="L76" s="176"/>
      <c r="M76" s="176"/>
      <c r="N76" s="176"/>
      <c r="O76" s="176"/>
      <c r="P76" s="176"/>
      <c r="Q76" s="176"/>
      <c r="R76" s="176"/>
    </row>
    <row r="77" spans="1:18" x14ac:dyDescent="0.35">
      <c r="A77" s="176"/>
      <c r="B77" s="176"/>
      <c r="C77" s="176"/>
      <c r="D77" s="176"/>
      <c r="E77" s="176"/>
      <c r="F77" s="176"/>
      <c r="G77" s="176"/>
      <c r="H77" s="176"/>
      <c r="I77" s="176"/>
      <c r="J77" s="176"/>
      <c r="K77" s="176"/>
      <c r="L77" s="176"/>
      <c r="M77" s="176"/>
      <c r="N77" s="176"/>
      <c r="O77" s="176"/>
      <c r="P77" s="176"/>
      <c r="Q77" s="176"/>
      <c r="R77" s="176"/>
    </row>
    <row r="78" spans="1:18" x14ac:dyDescent="0.35">
      <c r="A78" s="176"/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6"/>
    </row>
    <row r="79" spans="1:18" x14ac:dyDescent="0.35">
      <c r="A79" s="176"/>
      <c r="B79" s="176"/>
      <c r="C79" s="176"/>
      <c r="D79" s="176"/>
      <c r="E79" s="176"/>
      <c r="F79" s="176"/>
      <c r="G79" s="176"/>
      <c r="H79" s="176"/>
      <c r="I79" s="176"/>
      <c r="J79" s="176"/>
      <c r="K79" s="176"/>
      <c r="L79" s="176"/>
      <c r="M79" s="176"/>
      <c r="N79" s="176"/>
      <c r="O79" s="176"/>
      <c r="P79" s="176"/>
      <c r="Q79" s="176"/>
      <c r="R79" s="176"/>
    </row>
    <row r="80" spans="1:18" x14ac:dyDescent="0.35">
      <c r="A80" s="176"/>
      <c r="B80" s="176"/>
      <c r="C80" s="176"/>
      <c r="D80" s="176"/>
      <c r="E80" s="176"/>
      <c r="F80" s="176"/>
      <c r="G80" s="176"/>
      <c r="H80" s="176"/>
      <c r="I80" s="176"/>
      <c r="J80" s="176"/>
      <c r="K80" s="176"/>
      <c r="L80" s="176"/>
      <c r="M80" s="176"/>
      <c r="N80" s="176"/>
      <c r="O80" s="176"/>
      <c r="P80" s="176"/>
      <c r="Q80" s="176"/>
      <c r="R80" s="176"/>
    </row>
    <row r="81" spans="1:18" x14ac:dyDescent="0.35">
      <c r="A81" s="176"/>
      <c r="B81" s="176"/>
      <c r="C81" s="176"/>
      <c r="D81" s="176"/>
      <c r="E81" s="176"/>
      <c r="F81" s="176"/>
      <c r="G81" s="176"/>
      <c r="H81" s="176"/>
      <c r="I81" s="176"/>
      <c r="J81" s="176"/>
      <c r="K81" s="176"/>
      <c r="L81" s="176"/>
      <c r="M81" s="176"/>
      <c r="N81" s="176"/>
      <c r="O81" s="176"/>
      <c r="P81" s="176"/>
      <c r="Q81" s="176"/>
      <c r="R81" s="176"/>
    </row>
    <row r="82" spans="1:18" x14ac:dyDescent="0.35">
      <c r="A82" s="176"/>
      <c r="B82" s="176"/>
      <c r="C82" s="176"/>
      <c r="D82" s="176"/>
      <c r="E82" s="176"/>
      <c r="F82" s="176"/>
      <c r="G82" s="176"/>
      <c r="H82" s="176"/>
      <c r="I82" s="176"/>
      <c r="J82" s="176"/>
      <c r="K82" s="176"/>
      <c r="L82" s="176"/>
      <c r="M82" s="176"/>
      <c r="N82" s="176"/>
      <c r="O82" s="176"/>
      <c r="P82" s="176"/>
      <c r="Q82" s="176"/>
      <c r="R82" s="176"/>
    </row>
    <row r="83" spans="1:18" x14ac:dyDescent="0.35">
      <c r="A83" s="176"/>
      <c r="B83" s="176"/>
      <c r="C83" s="176"/>
      <c r="D83" s="176"/>
      <c r="E83" s="176"/>
      <c r="F83" s="176"/>
      <c r="G83" s="176"/>
      <c r="H83" s="176"/>
      <c r="I83" s="176"/>
      <c r="J83" s="176"/>
      <c r="K83" s="176"/>
      <c r="L83" s="176"/>
      <c r="M83" s="176"/>
      <c r="N83" s="176"/>
      <c r="O83" s="176"/>
      <c r="P83" s="176"/>
      <c r="Q83" s="176"/>
      <c r="R83" s="176"/>
    </row>
    <row r="84" spans="1:18" x14ac:dyDescent="0.35">
      <c r="A84" s="176"/>
      <c r="B84" s="176"/>
      <c r="C84" s="176"/>
      <c r="D84" s="176"/>
      <c r="E84" s="176"/>
      <c r="F84" s="176"/>
      <c r="G84" s="176"/>
      <c r="H84" s="176"/>
      <c r="I84" s="176"/>
      <c r="J84" s="176"/>
      <c r="K84" s="176"/>
      <c r="L84" s="176"/>
      <c r="M84" s="176"/>
      <c r="N84" s="176"/>
      <c r="O84" s="176"/>
      <c r="P84" s="176"/>
      <c r="Q84" s="176"/>
      <c r="R84" s="176"/>
    </row>
    <row r="85" spans="1:18" x14ac:dyDescent="0.35">
      <c r="A85" s="176"/>
      <c r="B85" s="176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</row>
    <row r="86" spans="1:18" x14ac:dyDescent="0.35">
      <c r="A86" s="176"/>
      <c r="B86" s="176"/>
      <c r="C86" s="176"/>
      <c r="D86" s="176"/>
      <c r="E86" s="176"/>
      <c r="F86" s="176"/>
      <c r="G86" s="176"/>
      <c r="H86" s="176"/>
      <c r="I86" s="176"/>
      <c r="J86" s="176"/>
      <c r="K86" s="176"/>
      <c r="L86" s="176"/>
      <c r="M86" s="176"/>
      <c r="N86" s="176"/>
      <c r="O86" s="176"/>
      <c r="P86" s="176"/>
      <c r="Q86" s="176"/>
      <c r="R86" s="176"/>
    </row>
    <row r="87" spans="1:18" x14ac:dyDescent="0.35">
      <c r="A87" s="176"/>
      <c r="B87" s="176"/>
      <c r="C87" s="176"/>
      <c r="D87" s="176"/>
      <c r="E87" s="176"/>
      <c r="F87" s="176"/>
      <c r="G87" s="176"/>
      <c r="H87" s="176"/>
      <c r="I87" s="176"/>
      <c r="J87" s="176"/>
      <c r="K87" s="176"/>
      <c r="L87" s="176"/>
      <c r="M87" s="176"/>
      <c r="N87" s="176"/>
      <c r="O87" s="176"/>
      <c r="P87" s="176"/>
      <c r="Q87" s="176"/>
      <c r="R87" s="176"/>
    </row>
    <row r="88" spans="1:18" x14ac:dyDescent="0.35">
      <c r="A88" s="176"/>
      <c r="B88" s="176"/>
      <c r="C88" s="176"/>
      <c r="D88" s="176"/>
      <c r="E88" s="176"/>
      <c r="F88" s="176"/>
      <c r="G88" s="176"/>
      <c r="H88" s="176"/>
      <c r="I88" s="176"/>
      <c r="J88" s="176"/>
      <c r="K88" s="176"/>
      <c r="L88" s="176"/>
      <c r="M88" s="176"/>
      <c r="N88" s="176"/>
      <c r="O88" s="176"/>
      <c r="P88" s="176"/>
      <c r="Q88" s="176"/>
      <c r="R88" s="176"/>
    </row>
    <row r="89" spans="1:18" x14ac:dyDescent="0.35">
      <c r="A89" s="176"/>
      <c r="B89" s="176"/>
      <c r="C89" s="176"/>
      <c r="D89" s="176"/>
      <c r="E89" s="176"/>
      <c r="F89" s="176"/>
      <c r="G89" s="176"/>
      <c r="H89" s="176"/>
      <c r="I89" s="176"/>
      <c r="J89" s="176"/>
      <c r="K89" s="176"/>
      <c r="L89" s="176"/>
      <c r="M89" s="176"/>
      <c r="N89" s="176"/>
      <c r="O89" s="176"/>
      <c r="P89" s="176"/>
      <c r="Q89" s="176"/>
      <c r="R89" s="176"/>
    </row>
    <row r="90" spans="1:18" x14ac:dyDescent="0.35">
      <c r="A90" s="176"/>
      <c r="B90" s="176"/>
      <c r="C90" s="176"/>
      <c r="D90" s="176"/>
      <c r="E90" s="176"/>
      <c r="F90" s="176"/>
      <c r="G90" s="176"/>
      <c r="H90" s="176"/>
      <c r="I90" s="176"/>
      <c r="J90" s="176"/>
      <c r="K90" s="176"/>
      <c r="L90" s="176"/>
      <c r="M90" s="176"/>
      <c r="N90" s="176"/>
      <c r="O90" s="176"/>
      <c r="P90" s="176"/>
      <c r="Q90" s="176"/>
      <c r="R90" s="176"/>
    </row>
    <row r="91" spans="1:18" x14ac:dyDescent="0.35">
      <c r="A91" s="176"/>
      <c r="B91" s="176"/>
      <c r="C91" s="176"/>
      <c r="D91" s="176"/>
      <c r="E91" s="176"/>
      <c r="F91" s="176"/>
      <c r="G91" s="176"/>
      <c r="H91" s="176"/>
      <c r="I91" s="176"/>
      <c r="J91" s="176"/>
      <c r="K91" s="176"/>
      <c r="L91" s="176"/>
      <c r="M91" s="176"/>
      <c r="N91" s="176"/>
      <c r="O91" s="176"/>
      <c r="P91" s="176"/>
      <c r="Q91" s="176"/>
      <c r="R91" s="176"/>
    </row>
  </sheetData>
  <sheetProtection algorithmName="SHA-512" hashValue="QfTrUa5ZcTk52aCENO+8OpvUDMWhyg3RvmrDHLwfyiNDiycX9Q1YZoT1OXyPoTluzYiJcQsyts41Vg6J20U0AQ==" saltValue="p5XTppk3EFTp8vQX5CfQbw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23937</xdr:colOff>
                    <xdr:row>7</xdr:row>
                    <xdr:rowOff>47874</xdr:rowOff>
                  </from>
                  <to>
                    <xdr:col>2</xdr:col>
                    <xdr:colOff>1929336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23937</xdr:colOff>
                    <xdr:row>8</xdr:row>
                    <xdr:rowOff>47874</xdr:rowOff>
                  </from>
                  <to>
                    <xdr:col>2</xdr:col>
                    <xdr:colOff>1929336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23937</xdr:colOff>
                    <xdr:row>9</xdr:row>
                    <xdr:rowOff>47874</xdr:rowOff>
                  </from>
                  <to>
                    <xdr:col>2</xdr:col>
                    <xdr:colOff>1929336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23937</xdr:colOff>
                    <xdr:row>10</xdr:row>
                    <xdr:rowOff>47874</xdr:rowOff>
                  </from>
                  <to>
                    <xdr:col>2</xdr:col>
                    <xdr:colOff>1929336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23937</xdr:colOff>
                    <xdr:row>11</xdr:row>
                    <xdr:rowOff>47874</xdr:rowOff>
                  </from>
                  <to>
                    <xdr:col>2</xdr:col>
                    <xdr:colOff>1929336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23937</xdr:colOff>
                    <xdr:row>12</xdr:row>
                    <xdr:rowOff>47874</xdr:rowOff>
                  </from>
                  <to>
                    <xdr:col>2</xdr:col>
                    <xdr:colOff>1929336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23937</xdr:colOff>
                    <xdr:row>13</xdr:row>
                    <xdr:rowOff>47874</xdr:rowOff>
                  </from>
                  <to>
                    <xdr:col>2</xdr:col>
                    <xdr:colOff>1929336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23937</xdr:colOff>
                    <xdr:row>14</xdr:row>
                    <xdr:rowOff>47874</xdr:rowOff>
                  </from>
                  <to>
                    <xdr:col>2</xdr:col>
                    <xdr:colOff>1929336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23937</xdr:colOff>
                    <xdr:row>15</xdr:row>
                    <xdr:rowOff>47874</xdr:rowOff>
                  </from>
                  <to>
                    <xdr:col>2</xdr:col>
                    <xdr:colOff>1929336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23937</xdr:colOff>
                    <xdr:row>16</xdr:row>
                    <xdr:rowOff>47874</xdr:rowOff>
                  </from>
                  <to>
                    <xdr:col>2</xdr:col>
                    <xdr:colOff>1929336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1" name="Spinner 79">
              <controlPr defaultSize="0" autoPict="0">
                <anchor moveWithCells="1" sizeWithCells="1">
                  <from>
                    <xdr:col>6</xdr:col>
                    <xdr:colOff>1000574</xdr:colOff>
                    <xdr:row>8</xdr:row>
                    <xdr:rowOff>9575</xdr:rowOff>
                  </from>
                  <to>
                    <xdr:col>6</xdr:col>
                    <xdr:colOff>1153772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2" name="Spinner 80">
              <controlPr defaultSize="0" autoPict="0">
                <anchor moveWithCells="1" sizeWithCells="1">
                  <from>
                    <xdr:col>6</xdr:col>
                    <xdr:colOff>1000574</xdr:colOff>
                    <xdr:row>9</xdr:row>
                    <xdr:rowOff>9575</xdr:rowOff>
                  </from>
                  <to>
                    <xdr:col>6</xdr:col>
                    <xdr:colOff>1153772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3" name="Spinner 81">
              <controlPr defaultSize="0" autoPict="0">
                <anchor moveWithCells="1" sizeWithCells="1">
                  <from>
                    <xdr:col>6</xdr:col>
                    <xdr:colOff>1000574</xdr:colOff>
                    <xdr:row>10</xdr:row>
                    <xdr:rowOff>9575</xdr:rowOff>
                  </from>
                  <to>
                    <xdr:col>6</xdr:col>
                    <xdr:colOff>1153772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4" name="Spinner 82">
              <controlPr defaultSize="0" autoPict="0">
                <anchor moveWithCells="1" sizeWithCells="1">
                  <from>
                    <xdr:col>6</xdr:col>
                    <xdr:colOff>1000574</xdr:colOff>
                    <xdr:row>11</xdr:row>
                    <xdr:rowOff>9575</xdr:rowOff>
                  </from>
                  <to>
                    <xdr:col>6</xdr:col>
                    <xdr:colOff>1153772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5" name="Spinner 83">
              <controlPr defaultSize="0" autoPict="0">
                <anchor moveWithCells="1" sizeWithCells="1">
                  <from>
                    <xdr:col>6</xdr:col>
                    <xdr:colOff>1000574</xdr:colOff>
                    <xdr:row>12</xdr:row>
                    <xdr:rowOff>9575</xdr:rowOff>
                  </from>
                  <to>
                    <xdr:col>6</xdr:col>
                    <xdr:colOff>1153772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6" name="Spinner 84">
              <controlPr defaultSize="0" autoPict="0">
                <anchor moveWithCells="1" sizeWithCells="1">
                  <from>
                    <xdr:col>6</xdr:col>
                    <xdr:colOff>1000574</xdr:colOff>
                    <xdr:row>13</xdr:row>
                    <xdr:rowOff>9575</xdr:rowOff>
                  </from>
                  <to>
                    <xdr:col>6</xdr:col>
                    <xdr:colOff>1153772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7" name="Spinner 85">
              <controlPr defaultSize="0" autoPict="0">
                <anchor moveWithCells="1" sizeWithCells="1">
                  <from>
                    <xdr:col>6</xdr:col>
                    <xdr:colOff>1000574</xdr:colOff>
                    <xdr:row>14</xdr:row>
                    <xdr:rowOff>9575</xdr:rowOff>
                  </from>
                  <to>
                    <xdr:col>6</xdr:col>
                    <xdr:colOff>1153772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8" name="Spinner 86">
              <controlPr defaultSize="0" autoPict="0">
                <anchor moveWithCells="1" sizeWithCells="1">
                  <from>
                    <xdr:col>6</xdr:col>
                    <xdr:colOff>1000574</xdr:colOff>
                    <xdr:row>15</xdr:row>
                    <xdr:rowOff>9575</xdr:rowOff>
                  </from>
                  <to>
                    <xdr:col>6</xdr:col>
                    <xdr:colOff>1153772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9" name="Spinner 87">
              <controlPr defaultSize="0" autoPict="0">
                <anchor moveWithCells="1" sizeWithCells="1">
                  <from>
                    <xdr:col>6</xdr:col>
                    <xdr:colOff>1000574</xdr:colOff>
                    <xdr:row>16</xdr:row>
                    <xdr:rowOff>9575</xdr:rowOff>
                  </from>
                  <to>
                    <xdr:col>6</xdr:col>
                    <xdr:colOff>1153772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0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1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2" name="Spinner 114">
              <controlPr defaultSize="0" autoPict="0">
                <anchor moveWithCells="1" sizeWithCells="1">
                  <from>
                    <xdr:col>4</xdr:col>
                    <xdr:colOff>612792</xdr:colOff>
                    <xdr:row>8</xdr:row>
                    <xdr:rowOff>9575</xdr:rowOff>
                  </from>
                  <to>
                    <xdr:col>4</xdr:col>
                    <xdr:colOff>765990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3" name="Spinner 115">
              <controlPr defaultSize="0" autoPict="0">
                <anchor moveWithCells="1" sizeWithCells="1">
                  <from>
                    <xdr:col>4</xdr:col>
                    <xdr:colOff>612792</xdr:colOff>
                    <xdr:row>9</xdr:row>
                    <xdr:rowOff>9575</xdr:rowOff>
                  </from>
                  <to>
                    <xdr:col>4</xdr:col>
                    <xdr:colOff>765990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54" name="Spinner 116">
              <controlPr defaultSize="0" autoPict="0">
                <anchor moveWithCells="1" sizeWithCells="1">
                  <from>
                    <xdr:col>4</xdr:col>
                    <xdr:colOff>612792</xdr:colOff>
                    <xdr:row>10</xdr:row>
                    <xdr:rowOff>9575</xdr:rowOff>
                  </from>
                  <to>
                    <xdr:col>4</xdr:col>
                    <xdr:colOff>765990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5" name="Spinner 117">
              <controlPr defaultSize="0" autoPict="0">
                <anchor moveWithCells="1" sizeWithCells="1">
                  <from>
                    <xdr:col>4</xdr:col>
                    <xdr:colOff>612792</xdr:colOff>
                    <xdr:row>11</xdr:row>
                    <xdr:rowOff>9575</xdr:rowOff>
                  </from>
                  <to>
                    <xdr:col>4</xdr:col>
                    <xdr:colOff>765990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6" name="Spinner 118">
              <controlPr defaultSize="0" autoPict="0">
                <anchor moveWithCells="1" sizeWithCells="1">
                  <from>
                    <xdr:col>4</xdr:col>
                    <xdr:colOff>612792</xdr:colOff>
                    <xdr:row>12</xdr:row>
                    <xdr:rowOff>9575</xdr:rowOff>
                  </from>
                  <to>
                    <xdr:col>4</xdr:col>
                    <xdr:colOff>765990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7" name="Spinner 119">
              <controlPr defaultSize="0" autoPict="0">
                <anchor moveWithCells="1" sizeWithCells="1">
                  <from>
                    <xdr:col>4</xdr:col>
                    <xdr:colOff>612792</xdr:colOff>
                    <xdr:row>13</xdr:row>
                    <xdr:rowOff>9575</xdr:rowOff>
                  </from>
                  <to>
                    <xdr:col>4</xdr:col>
                    <xdr:colOff>765990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8" name="Spinner 120">
              <controlPr defaultSize="0" autoPict="0">
                <anchor moveWithCells="1" sizeWithCells="1">
                  <from>
                    <xdr:col>4</xdr:col>
                    <xdr:colOff>612792</xdr:colOff>
                    <xdr:row>14</xdr:row>
                    <xdr:rowOff>9575</xdr:rowOff>
                  </from>
                  <to>
                    <xdr:col>4</xdr:col>
                    <xdr:colOff>765990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9" name="Spinner 121">
              <controlPr defaultSize="0" autoPict="0">
                <anchor moveWithCells="1" sizeWithCells="1">
                  <from>
                    <xdr:col>4</xdr:col>
                    <xdr:colOff>612792</xdr:colOff>
                    <xdr:row>15</xdr:row>
                    <xdr:rowOff>9575</xdr:rowOff>
                  </from>
                  <to>
                    <xdr:col>4</xdr:col>
                    <xdr:colOff>765990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0" name="Spinner 122">
              <controlPr defaultSize="0" autoPict="0">
                <anchor moveWithCells="1" sizeWithCells="1">
                  <from>
                    <xdr:col>4</xdr:col>
                    <xdr:colOff>612792</xdr:colOff>
                    <xdr:row>16</xdr:row>
                    <xdr:rowOff>9575</xdr:rowOff>
                  </from>
                  <to>
                    <xdr:col>4</xdr:col>
                    <xdr:colOff>765990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61" name="Spinner 126">
              <controlPr defaultSize="0" autoPict="0">
                <anchor moveWithCells="1" sizeWithCells="1">
                  <from>
                    <xdr:col>3</xdr:col>
                    <xdr:colOff>794714</xdr:colOff>
                    <xdr:row>10</xdr:row>
                    <xdr:rowOff>23937</xdr:rowOff>
                  </from>
                  <to>
                    <xdr:col>3</xdr:col>
                    <xdr:colOff>947912</xdr:colOff>
                    <xdr:row>10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62" name="Spinner 127">
              <controlPr defaultSize="0" autoPict="0">
                <anchor moveWithCells="1" sizeWithCells="1">
                  <from>
                    <xdr:col>3</xdr:col>
                    <xdr:colOff>794714</xdr:colOff>
                    <xdr:row>11</xdr:row>
                    <xdr:rowOff>23937</xdr:rowOff>
                  </from>
                  <to>
                    <xdr:col>3</xdr:col>
                    <xdr:colOff>947912</xdr:colOff>
                    <xdr:row>11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3" name="Spinner 128">
              <controlPr defaultSize="0" autoPict="0">
                <anchor moveWithCells="1" sizeWithCells="1">
                  <from>
                    <xdr:col>3</xdr:col>
                    <xdr:colOff>794714</xdr:colOff>
                    <xdr:row>12</xdr:row>
                    <xdr:rowOff>23937</xdr:rowOff>
                  </from>
                  <to>
                    <xdr:col>3</xdr:col>
                    <xdr:colOff>947912</xdr:colOff>
                    <xdr:row>12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4" name="Spinner 129">
              <controlPr defaultSize="0" autoPict="0">
                <anchor moveWithCells="1" sizeWithCells="1">
                  <from>
                    <xdr:col>3</xdr:col>
                    <xdr:colOff>794714</xdr:colOff>
                    <xdr:row>13</xdr:row>
                    <xdr:rowOff>23937</xdr:rowOff>
                  </from>
                  <to>
                    <xdr:col>3</xdr:col>
                    <xdr:colOff>947912</xdr:colOff>
                    <xdr:row>13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5" name="Spinner 130">
              <controlPr defaultSize="0" autoPict="0">
                <anchor moveWithCells="1" sizeWithCells="1">
                  <from>
                    <xdr:col>3</xdr:col>
                    <xdr:colOff>794714</xdr:colOff>
                    <xdr:row>14</xdr:row>
                    <xdr:rowOff>23937</xdr:rowOff>
                  </from>
                  <to>
                    <xdr:col>3</xdr:col>
                    <xdr:colOff>947912</xdr:colOff>
                    <xdr:row>14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6" name="Spinner 131">
              <controlPr defaultSize="0" autoPict="0">
                <anchor moveWithCells="1" sizeWithCells="1">
                  <from>
                    <xdr:col>3</xdr:col>
                    <xdr:colOff>794714</xdr:colOff>
                    <xdr:row>15</xdr:row>
                    <xdr:rowOff>23937</xdr:rowOff>
                  </from>
                  <to>
                    <xdr:col>3</xdr:col>
                    <xdr:colOff>947912</xdr:colOff>
                    <xdr:row>15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7" name="Spinner 132">
              <controlPr defaultSize="0" autoPict="0">
                <anchor moveWithCells="1" sizeWithCells="1">
                  <from>
                    <xdr:col>3</xdr:col>
                    <xdr:colOff>794714</xdr:colOff>
                    <xdr:row>16</xdr:row>
                    <xdr:rowOff>23937</xdr:rowOff>
                  </from>
                  <to>
                    <xdr:col>3</xdr:col>
                    <xdr:colOff>947912</xdr:colOff>
                    <xdr:row>16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8" name="Spinner 113">
              <controlPr defaultSize="0" autoPict="0">
                <anchor moveWithCells="1" sizeWithCells="1">
                  <from>
                    <xdr:col>4</xdr:col>
                    <xdr:colOff>612792</xdr:colOff>
                    <xdr:row>7</xdr:row>
                    <xdr:rowOff>9575</xdr:rowOff>
                  </from>
                  <to>
                    <xdr:col>4</xdr:col>
                    <xdr:colOff>765990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9" name="Spinner 123">
              <controlPr defaultSize="0" autoPict="0">
                <anchor moveWithCells="1" sizeWithCells="1">
                  <from>
                    <xdr:col>3</xdr:col>
                    <xdr:colOff>794714</xdr:colOff>
                    <xdr:row>7</xdr:row>
                    <xdr:rowOff>23937</xdr:rowOff>
                  </from>
                  <to>
                    <xdr:col>3</xdr:col>
                    <xdr:colOff>947912</xdr:colOff>
                    <xdr:row>7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70" name="Spinner 78">
              <controlPr defaultSize="0" autoPict="0">
                <anchor moveWithCells="1" sizeWithCells="1">
                  <from>
                    <xdr:col>6</xdr:col>
                    <xdr:colOff>1000574</xdr:colOff>
                    <xdr:row>7</xdr:row>
                    <xdr:rowOff>9575</xdr:rowOff>
                  </from>
                  <to>
                    <xdr:col>6</xdr:col>
                    <xdr:colOff>1153772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71" name="Spinner 124">
              <controlPr defaultSize="0" autoPict="0">
                <anchor moveWithCells="1" sizeWithCells="1">
                  <from>
                    <xdr:col>3</xdr:col>
                    <xdr:colOff>794714</xdr:colOff>
                    <xdr:row>8</xdr:row>
                    <xdr:rowOff>23937</xdr:rowOff>
                  </from>
                  <to>
                    <xdr:col>3</xdr:col>
                    <xdr:colOff>947912</xdr:colOff>
                    <xdr:row>8</xdr:row>
                    <xdr:rowOff>234584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72" name="Spinner 125">
              <controlPr defaultSize="0" autoPict="0">
                <anchor moveWithCells="1" sizeWithCells="1">
                  <from>
                    <xdr:col>3</xdr:col>
                    <xdr:colOff>794714</xdr:colOff>
                    <xdr:row>9</xdr:row>
                    <xdr:rowOff>23937</xdr:rowOff>
                  </from>
                  <to>
                    <xdr:col>3</xdr:col>
                    <xdr:colOff>947912</xdr:colOff>
                    <xdr:row>9</xdr:row>
                    <xdr:rowOff>234584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8F102AA8-7160-4F22-9A5F-B25CBAFAD3BF}">
            <xm:f>INDEX(tblMedicationContIV,ber_IVmed!$B3,13)&gt;0</xm:f>
            <x14:dxf>
              <fill>
                <patternFill>
                  <bgColor theme="5" tint="0.79998168889431442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D8</xm:sqref>
        </x14:conditionalFormatting>
        <x14:conditionalFormatting xmlns:xm="http://schemas.microsoft.com/office/excel/2006/main">
          <x14:cfRule type="expression" priority="3" id="{2000024A-2717-4D5A-956F-0F827E9DA0C8}">
            <xm:f>INDEX(tblMedicationContIV,ber_IVmed!$B4,13)&gt;0</xm:f>
            <x14:dxf>
              <fill>
                <patternFill>
                  <bgColor theme="5" tint="0.79998168889431442"/>
                </patternFill>
              </fill>
            </x14:dxf>
          </x14:cfRule>
          <xm:sqref>D9</xm:sqref>
        </x14:conditionalFormatting>
        <x14:conditionalFormatting xmlns:xm="http://schemas.microsoft.com/office/excel/2006/main">
          <x14:cfRule type="expression" priority="2" id="{88AC21CC-5957-44DB-8BE2-9ECE41986B5E}">
            <xm:f>INDEX(tblMedicationContIV,ber_IVmed!$B5,13)&gt;0</xm:f>
            <x14:dxf>
              <fill>
                <patternFill>
                  <bgColor theme="5" tint="0.79998168889431442"/>
                </patternFill>
              </fill>
            </x14:dxf>
          </x14:cfRule>
          <xm:sqref>D10</xm:sqref>
        </x14:conditionalFormatting>
        <x14:conditionalFormatting xmlns:xm="http://schemas.microsoft.com/office/excel/2006/main">
          <x14:cfRule type="expression" priority="1" id="{E1B94A6C-E12D-498E-A70A-9261284138F0}">
            <xm:f>INDEX(tblMedicationContIV,ber_IVmed!$B6,13)&gt;0</xm:f>
            <x14:dxf>
              <fill>
                <patternFill>
                  <bgColor theme="5" tint="0.79998168889431442"/>
                </patternFill>
              </fill>
            </x14:dxf>
          </x14:cfRule>
          <xm:sqref>D11:D17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MedicatieIV">
    <outlinePr showOutlineSymbols="0"/>
  </sheetPr>
  <dimension ref="A1:S34"/>
  <sheetViews>
    <sheetView showGridLines="0" showZeros="0" showOutlineSymbol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N4" sqref="N4"/>
    </sheetView>
  </sheetViews>
  <sheetFormatPr defaultRowHeight="12.85" x14ac:dyDescent="0.35"/>
  <cols>
    <col min="1" max="1" width="4.9296875" customWidth="1"/>
    <col min="2" max="2" width="23.19921875" customWidth="1"/>
    <col min="3" max="3" width="17.86328125" customWidth="1"/>
    <col min="4" max="4" width="20.3984375" customWidth="1"/>
    <col min="5" max="5" width="7.33203125" customWidth="1"/>
    <col min="6" max="11" width="7.73046875" customWidth="1"/>
    <col min="12" max="19" width="8.6640625" customWidth="1"/>
  </cols>
  <sheetData>
    <row r="1" spans="1:19" x14ac:dyDescent="0.35">
      <c r="F1" t="s">
        <v>1198</v>
      </c>
      <c r="H1" t="s">
        <v>1199</v>
      </c>
      <c r="J1" s="332" t="s">
        <v>1200</v>
      </c>
      <c r="L1" s="317" t="s">
        <v>1216</v>
      </c>
      <c r="N1" s="317" t="s">
        <v>1217</v>
      </c>
      <c r="P1" s="317" t="s">
        <v>1218</v>
      </c>
    </row>
    <row r="2" spans="1:19" x14ac:dyDescent="0.35">
      <c r="B2" t="s">
        <v>1201</v>
      </c>
      <c r="C2" t="s">
        <v>1202</v>
      </c>
      <c r="D2" t="s">
        <v>1203</v>
      </c>
      <c r="E2" t="s">
        <v>1204</v>
      </c>
      <c r="F2" t="s">
        <v>1205</v>
      </c>
      <c r="G2" t="s">
        <v>1206</v>
      </c>
      <c r="H2" t="s">
        <v>1205</v>
      </c>
      <c r="I2" t="s">
        <v>1206</v>
      </c>
      <c r="J2" t="s">
        <v>1205</v>
      </c>
      <c r="K2" t="s">
        <v>1206</v>
      </c>
      <c r="L2" s="317" t="s">
        <v>1205</v>
      </c>
      <c r="M2" s="317" t="s">
        <v>1206</v>
      </c>
      <c r="N2" s="317" t="s">
        <v>1205</v>
      </c>
      <c r="O2" s="317" t="s">
        <v>1206</v>
      </c>
      <c r="P2" s="317" t="s">
        <v>1205</v>
      </c>
      <c r="Q2" s="317" t="s">
        <v>1206</v>
      </c>
      <c r="R2" s="317" t="s">
        <v>1214</v>
      </c>
      <c r="S2" s="317" t="s">
        <v>1215</v>
      </c>
    </row>
    <row r="3" spans="1:19" x14ac:dyDescent="0.35">
      <c r="A3">
        <v>1</v>
      </c>
      <c r="L3" s="317"/>
      <c r="M3" s="317"/>
      <c r="N3" s="317"/>
      <c r="O3" s="317"/>
      <c r="P3" s="317"/>
      <c r="Q3" s="317"/>
      <c r="R3" s="317"/>
      <c r="S3" s="317"/>
    </row>
    <row r="4" spans="1:19" ht="15.85" x14ac:dyDescent="0.5">
      <c r="A4">
        <v>2</v>
      </c>
      <c r="B4" t="s">
        <v>557</v>
      </c>
      <c r="C4" s="332" t="s">
        <v>1142</v>
      </c>
      <c r="D4" s="332" t="s">
        <v>1064</v>
      </c>
      <c r="E4" s="332" t="s">
        <v>465</v>
      </c>
      <c r="F4">
        <v>1</v>
      </c>
      <c r="G4">
        <v>50</v>
      </c>
      <c r="H4">
        <v>2</v>
      </c>
      <c r="I4">
        <v>50</v>
      </c>
      <c r="J4" s="333">
        <v>5</v>
      </c>
      <c r="K4" s="333">
        <v>50</v>
      </c>
      <c r="L4">
        <f t="shared" ref="L4:L34" si="0">IF(Gewicht/10&lt;6,F4,IF(Gewicht/10&lt;11,H4,J4))</f>
        <v>1</v>
      </c>
      <c r="M4">
        <f t="shared" ref="M4:M34" si="1">IF(Gewicht/10&lt;6,G4,IF(Gewicht/10&lt;11,I4,K4))</f>
        <v>50</v>
      </c>
      <c r="N4">
        <f t="shared" ref="N4:N34" si="2">INDEX(tblBerMedContIV,IFERROR(VLOOKUP(A4,tblBerMedContIV,2,FALSE),1),3)</f>
        <v>0</v>
      </c>
      <c r="O4">
        <f t="shared" ref="O4:O34" si="3">INDEX(tblBerMedContIV,IFERROR(VLOOKUP(A4,tblBerMedContIV,2,FALSE),1),4)</f>
        <v>0</v>
      </c>
      <c r="P4">
        <f>IF(N4&gt;0,N4,L4)</f>
        <v>1</v>
      </c>
      <c r="Q4">
        <f>IF(O4&gt;0,O4,M4)</f>
        <v>50</v>
      </c>
      <c r="R4">
        <v>10</v>
      </c>
      <c r="S4">
        <f>IF(Q4&gt;0,ROUND(1000*R4/10*(P4/Q4)/(Gewicht/10)/60,3),0)</f>
        <v>6.7000000000000004E-2</v>
      </c>
    </row>
    <row r="5" spans="1:19" ht="15.85" x14ac:dyDescent="0.5">
      <c r="A5">
        <v>3</v>
      </c>
      <c r="B5" s="332" t="s">
        <v>330</v>
      </c>
      <c r="C5" s="332" t="s">
        <v>954</v>
      </c>
      <c r="D5" s="332" t="s">
        <v>559</v>
      </c>
      <c r="E5" s="332" t="s">
        <v>176</v>
      </c>
      <c r="F5">
        <v>0.2</v>
      </c>
      <c r="G5">
        <v>1</v>
      </c>
      <c r="H5">
        <v>0.2</v>
      </c>
      <c r="I5">
        <v>1</v>
      </c>
      <c r="J5" s="333">
        <v>0.2</v>
      </c>
      <c r="K5" s="333">
        <v>1</v>
      </c>
      <c r="L5">
        <f t="shared" si="0"/>
        <v>0.2</v>
      </c>
      <c r="M5">
        <f t="shared" si="1"/>
        <v>1</v>
      </c>
      <c r="N5">
        <f t="shared" si="2"/>
        <v>0</v>
      </c>
      <c r="O5">
        <f t="shared" si="3"/>
        <v>0</v>
      </c>
      <c r="P5">
        <f t="shared" ref="P5:P34" si="4">IF(N5&gt;0,N5,L5)</f>
        <v>0.2</v>
      </c>
      <c r="Q5">
        <f t="shared" ref="Q5:Q34" si="5">IF(O5&gt;0,O5,M5)</f>
        <v>1</v>
      </c>
      <c r="R5">
        <v>10</v>
      </c>
      <c r="S5">
        <f>IF(Q5&gt;0,ROUND(24*(R5/10)*(P5/Q5)/(Gewicht/10),3),0)</f>
        <v>0.96</v>
      </c>
    </row>
    <row r="6" spans="1:19" x14ac:dyDescent="0.35">
      <c r="A6">
        <v>4</v>
      </c>
      <c r="B6" s="332" t="s">
        <v>427</v>
      </c>
      <c r="C6" s="332" t="s">
        <v>1143</v>
      </c>
      <c r="D6" s="332" t="s">
        <v>758</v>
      </c>
      <c r="E6" t="s">
        <v>465</v>
      </c>
      <c r="F6">
        <v>0.2</v>
      </c>
      <c r="G6">
        <v>50</v>
      </c>
      <c r="L6">
        <f t="shared" si="0"/>
        <v>0.2</v>
      </c>
      <c r="M6">
        <f t="shared" si="1"/>
        <v>50</v>
      </c>
      <c r="N6">
        <f t="shared" si="2"/>
        <v>0</v>
      </c>
      <c r="O6">
        <f t="shared" si="3"/>
        <v>0</v>
      </c>
      <c r="P6">
        <f t="shared" si="4"/>
        <v>0.2</v>
      </c>
      <c r="Q6">
        <f t="shared" si="5"/>
        <v>50</v>
      </c>
      <c r="R6">
        <v>10</v>
      </c>
      <c r="S6">
        <f>IF(Q6&gt;0,ROUND(1000*1000*R6/10*(P6/Q6)/(Gewicht/10)/60,3),0)</f>
        <v>13.333</v>
      </c>
    </row>
    <row r="7" spans="1:19" ht="15.85" x14ac:dyDescent="0.5">
      <c r="A7">
        <v>5</v>
      </c>
      <c r="B7" t="s">
        <v>1159</v>
      </c>
      <c r="C7" s="332" t="s">
        <v>1142</v>
      </c>
      <c r="D7" s="332" t="s">
        <v>1219</v>
      </c>
      <c r="E7" s="332" t="s">
        <v>465</v>
      </c>
      <c r="F7">
        <v>50</v>
      </c>
      <c r="G7">
        <v>50</v>
      </c>
      <c r="H7">
        <v>150</v>
      </c>
      <c r="I7">
        <v>50</v>
      </c>
      <c r="J7" s="333">
        <v>300</v>
      </c>
      <c r="K7" s="333">
        <v>50</v>
      </c>
      <c r="L7">
        <f t="shared" si="0"/>
        <v>50</v>
      </c>
      <c r="M7">
        <f t="shared" si="1"/>
        <v>50</v>
      </c>
      <c r="N7">
        <f t="shared" si="2"/>
        <v>0</v>
      </c>
      <c r="O7">
        <f t="shared" si="3"/>
        <v>0</v>
      </c>
      <c r="P7">
        <f t="shared" si="4"/>
        <v>50</v>
      </c>
      <c r="Q7">
        <f t="shared" si="5"/>
        <v>50</v>
      </c>
      <c r="R7">
        <v>10</v>
      </c>
      <c r="S7">
        <f>IF(Q7&gt;0,ROUND(1000*R7/10*(P7/Q7)/(Gewicht/10)/60,3),0)</f>
        <v>3.3330000000000002</v>
      </c>
    </row>
    <row r="8" spans="1:19" ht="15.85" x14ac:dyDescent="0.5">
      <c r="A8">
        <v>6</v>
      </c>
      <c r="B8" t="s">
        <v>127</v>
      </c>
      <c r="C8" s="332" t="s">
        <v>527</v>
      </c>
      <c r="D8" s="332" t="s">
        <v>525</v>
      </c>
      <c r="E8" s="332" t="s">
        <v>465</v>
      </c>
      <c r="F8">
        <v>0.15</v>
      </c>
      <c r="G8" s="332">
        <v>50</v>
      </c>
      <c r="H8">
        <v>0.3</v>
      </c>
      <c r="I8">
        <v>50</v>
      </c>
      <c r="J8" s="333">
        <v>0.6</v>
      </c>
      <c r="K8" s="333">
        <v>50</v>
      </c>
      <c r="L8">
        <f t="shared" si="0"/>
        <v>0.15</v>
      </c>
      <c r="M8">
        <f t="shared" si="1"/>
        <v>50</v>
      </c>
      <c r="N8">
        <f t="shared" si="2"/>
        <v>0</v>
      </c>
      <c r="O8">
        <f t="shared" si="3"/>
        <v>0</v>
      </c>
      <c r="P8">
        <f t="shared" si="4"/>
        <v>0.15</v>
      </c>
      <c r="Q8">
        <f t="shared" si="5"/>
        <v>50</v>
      </c>
      <c r="R8">
        <v>10</v>
      </c>
      <c r="S8">
        <f>IF(Q8&gt;0,ROUND(1000*R8/10*(P8/Q8)/(Gewicht/10),3),0)</f>
        <v>0.6</v>
      </c>
    </row>
    <row r="9" spans="1:19" ht="15.85" x14ac:dyDescent="0.5">
      <c r="A9">
        <v>7</v>
      </c>
      <c r="B9" s="332" t="s">
        <v>883</v>
      </c>
      <c r="C9" s="332" t="s">
        <v>1142</v>
      </c>
      <c r="D9" s="332" t="s">
        <v>1063</v>
      </c>
      <c r="E9" s="332" t="s">
        <v>465</v>
      </c>
      <c r="F9">
        <v>80</v>
      </c>
      <c r="G9">
        <v>50</v>
      </c>
      <c r="H9">
        <v>200</v>
      </c>
      <c r="I9">
        <v>50</v>
      </c>
      <c r="J9" s="333">
        <v>400</v>
      </c>
      <c r="K9" s="333">
        <v>50</v>
      </c>
      <c r="L9">
        <f t="shared" si="0"/>
        <v>80</v>
      </c>
      <c r="M9">
        <f t="shared" si="1"/>
        <v>50</v>
      </c>
      <c r="N9">
        <f t="shared" si="2"/>
        <v>0</v>
      </c>
      <c r="O9">
        <f t="shared" si="3"/>
        <v>0</v>
      </c>
      <c r="P9">
        <f t="shared" si="4"/>
        <v>80</v>
      </c>
      <c r="Q9">
        <f t="shared" si="5"/>
        <v>50</v>
      </c>
      <c r="R9">
        <v>10</v>
      </c>
      <c r="S9">
        <f>IF(Q9&gt;0,ROUND(1000*R9/10*(P9/Q9)/(Gewicht/10)/60,3),0)</f>
        <v>5.3330000000000002</v>
      </c>
    </row>
    <row r="10" spans="1:19" ht="15.85" x14ac:dyDescent="0.5">
      <c r="A10">
        <v>8</v>
      </c>
      <c r="B10" t="s">
        <v>814</v>
      </c>
      <c r="C10" s="332" t="s">
        <v>1142</v>
      </c>
      <c r="D10" s="332" t="s">
        <v>882</v>
      </c>
      <c r="E10" s="332" t="s">
        <v>465</v>
      </c>
      <c r="F10">
        <v>80</v>
      </c>
      <c r="G10">
        <v>50</v>
      </c>
      <c r="H10">
        <v>200</v>
      </c>
      <c r="I10">
        <v>50</v>
      </c>
      <c r="J10" s="333">
        <v>400</v>
      </c>
      <c r="K10" s="333">
        <v>50</v>
      </c>
      <c r="L10">
        <f t="shared" si="0"/>
        <v>80</v>
      </c>
      <c r="M10">
        <f t="shared" si="1"/>
        <v>50</v>
      </c>
      <c r="N10">
        <f t="shared" si="2"/>
        <v>0</v>
      </c>
      <c r="O10">
        <f t="shared" si="3"/>
        <v>0</v>
      </c>
      <c r="P10">
        <f t="shared" si="4"/>
        <v>80</v>
      </c>
      <c r="Q10">
        <f t="shared" si="5"/>
        <v>50</v>
      </c>
      <c r="R10">
        <v>10</v>
      </c>
      <c r="S10">
        <f>IF(Q10&gt;0,ROUND(1000*R10/10*(P10/Q10)/(Gewicht/10)/60,3),0)</f>
        <v>5.3330000000000002</v>
      </c>
    </row>
    <row r="11" spans="1:19" ht="15.85" x14ac:dyDescent="0.5">
      <c r="A11">
        <v>9</v>
      </c>
      <c r="B11" s="317" t="s">
        <v>1237</v>
      </c>
      <c r="C11" s="332" t="s">
        <v>1176</v>
      </c>
      <c r="D11" s="332" t="s">
        <v>1238</v>
      </c>
      <c r="E11" s="332" t="s">
        <v>466</v>
      </c>
      <c r="F11">
        <f>IF(Gewicht/10&gt;48,48,Gewicht/10)</f>
        <v>5</v>
      </c>
      <c r="G11">
        <v>24</v>
      </c>
      <c r="H11">
        <f>IF(Gewicht/10&gt;48,48,Gewicht/10)</f>
        <v>5</v>
      </c>
      <c r="I11">
        <v>48</v>
      </c>
      <c r="J11">
        <f>IF(Gewicht/10&gt;48,48,Gewicht/10)</f>
        <v>5</v>
      </c>
      <c r="K11" s="333">
        <v>48</v>
      </c>
      <c r="L11">
        <f>IF(Gewicht/10&lt;6,F11,IF(Gewicht/10&lt;11,H11,J11))</f>
        <v>5</v>
      </c>
      <c r="M11">
        <f>IF(Gewicht/10&lt;6,G11,IF(Gewicht/10&lt;11,I11,K11))</f>
        <v>24</v>
      </c>
      <c r="N11">
        <f>INDEX(tblBerMedContIV,IFERROR(VLOOKUP(A11,tblBerMedContIV,2,FALSE),1),3)</f>
        <v>0</v>
      </c>
      <c r="O11">
        <f>INDEX(tblBerMedContIV,IFERROR(VLOOKUP(A11,tblBerMedContIV,2,FALSE),1),4)</f>
        <v>0</v>
      </c>
      <c r="P11">
        <f>IF(N11&gt;0,N11,L11)</f>
        <v>5</v>
      </c>
      <c r="Q11">
        <f>IF(O11&gt;0,O11,M11)</f>
        <v>24</v>
      </c>
      <c r="R11">
        <v>10</v>
      </c>
      <c r="S11">
        <f>R11/10</f>
        <v>1</v>
      </c>
    </row>
    <row r="12" spans="1:19" ht="15.85" x14ac:dyDescent="0.5">
      <c r="A12">
        <v>10</v>
      </c>
      <c r="B12" s="332" t="s">
        <v>1236</v>
      </c>
      <c r="C12" s="332" t="s">
        <v>1176</v>
      </c>
      <c r="D12" s="332" t="s">
        <v>1238</v>
      </c>
      <c r="E12" s="332" t="s">
        <v>466</v>
      </c>
      <c r="F12">
        <f>IF(Gewicht/10&gt;48,48,Gewicht/10)</f>
        <v>5</v>
      </c>
      <c r="G12">
        <v>24</v>
      </c>
      <c r="H12">
        <f>IF(Gewicht/10&gt;48,48,Gewicht/10)</f>
        <v>5</v>
      </c>
      <c r="I12">
        <v>48</v>
      </c>
      <c r="J12">
        <f>IF(Gewicht/10&gt;48,48,Gewicht/10)</f>
        <v>5</v>
      </c>
      <c r="K12" s="333">
        <v>48</v>
      </c>
      <c r="L12">
        <f t="shared" si="0"/>
        <v>5</v>
      </c>
      <c r="M12">
        <f t="shared" si="1"/>
        <v>24</v>
      </c>
      <c r="N12">
        <f t="shared" si="2"/>
        <v>0</v>
      </c>
      <c r="O12">
        <f t="shared" si="3"/>
        <v>0</v>
      </c>
      <c r="P12">
        <f t="shared" si="4"/>
        <v>5</v>
      </c>
      <c r="Q12">
        <f t="shared" si="5"/>
        <v>24</v>
      </c>
      <c r="R12">
        <v>10</v>
      </c>
      <c r="S12">
        <f>R12/10</f>
        <v>1</v>
      </c>
    </row>
    <row r="13" spans="1:19" ht="15.85" x14ac:dyDescent="0.5">
      <c r="A13">
        <v>11</v>
      </c>
      <c r="B13" s="332" t="s">
        <v>253</v>
      </c>
      <c r="C13" s="332" t="s">
        <v>1143</v>
      </c>
      <c r="D13" s="332" t="s">
        <v>146</v>
      </c>
      <c r="E13" s="332" t="s">
        <v>465</v>
      </c>
      <c r="F13">
        <v>0.2</v>
      </c>
      <c r="G13">
        <v>50</v>
      </c>
      <c r="H13">
        <v>0.4</v>
      </c>
      <c r="I13">
        <v>50</v>
      </c>
      <c r="J13" s="333">
        <v>0.8</v>
      </c>
      <c r="K13" s="333">
        <v>50</v>
      </c>
      <c r="L13">
        <f t="shared" si="0"/>
        <v>0.2</v>
      </c>
      <c r="M13">
        <f t="shared" si="1"/>
        <v>50</v>
      </c>
      <c r="N13">
        <f t="shared" si="2"/>
        <v>0</v>
      </c>
      <c r="O13">
        <f t="shared" si="3"/>
        <v>0</v>
      </c>
      <c r="P13">
        <f t="shared" si="4"/>
        <v>0.2</v>
      </c>
      <c r="Q13">
        <f t="shared" si="5"/>
        <v>50</v>
      </c>
      <c r="R13">
        <v>10</v>
      </c>
      <c r="S13">
        <f>IF(Q13&gt;0,ROUND(1000*1000*R13/10*(P13/Q13)/(Gewicht/10)/60,3),0)</f>
        <v>13.333</v>
      </c>
    </row>
    <row r="14" spans="1:19" ht="15.85" x14ac:dyDescent="0.5">
      <c r="A14">
        <v>12</v>
      </c>
      <c r="B14" t="s">
        <v>376</v>
      </c>
      <c r="C14" s="332" t="s">
        <v>952</v>
      </c>
      <c r="D14" s="332" t="s">
        <v>558</v>
      </c>
      <c r="E14" s="332" t="s">
        <v>465</v>
      </c>
      <c r="F14">
        <v>100</v>
      </c>
      <c r="G14" s="332">
        <v>50</v>
      </c>
      <c r="H14">
        <v>250</v>
      </c>
      <c r="I14">
        <v>50</v>
      </c>
      <c r="J14" s="333">
        <v>250</v>
      </c>
      <c r="K14" s="333">
        <v>50</v>
      </c>
      <c r="L14">
        <f t="shared" si="0"/>
        <v>100</v>
      </c>
      <c r="M14">
        <f t="shared" si="1"/>
        <v>50</v>
      </c>
      <c r="N14">
        <f t="shared" si="2"/>
        <v>0</v>
      </c>
      <c r="O14">
        <f t="shared" si="3"/>
        <v>0</v>
      </c>
      <c r="P14">
        <f t="shared" si="4"/>
        <v>100</v>
      </c>
      <c r="Q14">
        <f t="shared" si="5"/>
        <v>50</v>
      </c>
      <c r="R14">
        <v>10</v>
      </c>
      <c r="S14">
        <f>IF(Q14&gt;0,ROUND(R14/10*(P14/Q14)/(Gewicht/10),3),0)</f>
        <v>0.4</v>
      </c>
    </row>
    <row r="15" spans="1:19" ht="15.85" x14ac:dyDescent="0.5">
      <c r="A15">
        <v>13</v>
      </c>
      <c r="B15" t="s">
        <v>1207</v>
      </c>
      <c r="C15" s="332" t="s">
        <v>1221</v>
      </c>
      <c r="D15" s="332" t="s">
        <v>1220</v>
      </c>
      <c r="E15" s="332" t="s">
        <v>465</v>
      </c>
      <c r="F15">
        <v>500</v>
      </c>
      <c r="G15">
        <v>50</v>
      </c>
      <c r="H15">
        <v>500</v>
      </c>
      <c r="I15">
        <v>50</v>
      </c>
      <c r="J15" s="333">
        <v>500</v>
      </c>
      <c r="K15" s="333">
        <v>50</v>
      </c>
      <c r="L15">
        <f t="shared" si="0"/>
        <v>500</v>
      </c>
      <c r="M15">
        <f t="shared" si="1"/>
        <v>50</v>
      </c>
      <c r="N15">
        <f t="shared" si="2"/>
        <v>0</v>
      </c>
      <c r="O15">
        <f t="shared" si="3"/>
        <v>0</v>
      </c>
      <c r="P15">
        <f t="shared" si="4"/>
        <v>500</v>
      </c>
      <c r="Q15">
        <f t="shared" si="5"/>
        <v>50</v>
      </c>
      <c r="R15">
        <v>10</v>
      </c>
      <c r="S15">
        <f>IF(Q15&gt;0,ROUND(R15/10*(P15/Q15)/(Gewicht/10)/60,3),0)</f>
        <v>3.3000000000000002E-2</v>
      </c>
    </row>
    <row r="16" spans="1:19" ht="15.85" x14ac:dyDescent="0.5">
      <c r="A16">
        <v>14</v>
      </c>
      <c r="B16" s="317" t="s">
        <v>1234</v>
      </c>
      <c r="C16" s="332" t="s">
        <v>527</v>
      </c>
      <c r="D16" s="332" t="s">
        <v>1235</v>
      </c>
      <c r="E16" s="332" t="s">
        <v>465</v>
      </c>
      <c r="F16">
        <v>0.5</v>
      </c>
      <c r="G16">
        <v>50</v>
      </c>
      <c r="H16">
        <v>1</v>
      </c>
      <c r="I16">
        <v>50</v>
      </c>
      <c r="J16" s="333">
        <v>5</v>
      </c>
      <c r="K16" s="333">
        <v>50</v>
      </c>
      <c r="L16">
        <f>IF(Gewicht/10&lt;6,F16,IF(Gewicht/10&lt;11,H16,J16))</f>
        <v>0.5</v>
      </c>
      <c r="M16">
        <f>IF(Gewicht/10&lt;6,G16,IF(Gewicht/10&lt;11,I16,K16))</f>
        <v>50</v>
      </c>
      <c r="N16">
        <f>INDEX(tblBerMedContIV,IFERROR(VLOOKUP(A16,tblBerMedContIV,2,FALSE),1),3)</f>
        <v>0</v>
      </c>
      <c r="O16">
        <f>INDEX(tblBerMedContIV,IFERROR(VLOOKUP(A16,tblBerMedContIV,2,FALSE),1),4)</f>
        <v>0</v>
      </c>
      <c r="P16">
        <f>IF(N16&gt;0,N16,L16)</f>
        <v>0.5</v>
      </c>
      <c r="Q16">
        <f>IF(O16&gt;0,O16,M16)</f>
        <v>50</v>
      </c>
      <c r="R16">
        <v>10</v>
      </c>
      <c r="S16">
        <f>IF(Q16&gt;0,ROUND(1000*R16/10*(P16/Q16)/(Gewicht/10),3),0)</f>
        <v>2</v>
      </c>
    </row>
    <row r="17" spans="1:19" ht="15.85" x14ac:dyDescent="0.5">
      <c r="A17">
        <v>15</v>
      </c>
      <c r="B17" t="s">
        <v>1208</v>
      </c>
      <c r="C17" s="332" t="s">
        <v>1142</v>
      </c>
      <c r="D17" s="332" t="s">
        <v>1231</v>
      </c>
      <c r="E17" s="332" t="s">
        <v>465</v>
      </c>
      <c r="F17">
        <v>0.2</v>
      </c>
      <c r="G17">
        <v>20</v>
      </c>
      <c r="H17">
        <v>0.4</v>
      </c>
      <c r="I17">
        <v>50</v>
      </c>
      <c r="J17" s="333">
        <v>0.8</v>
      </c>
      <c r="K17" s="333">
        <v>50</v>
      </c>
      <c r="L17">
        <f t="shared" si="0"/>
        <v>0.2</v>
      </c>
      <c r="M17">
        <f t="shared" si="1"/>
        <v>20</v>
      </c>
      <c r="N17">
        <f t="shared" si="2"/>
        <v>0</v>
      </c>
      <c r="O17">
        <f t="shared" si="3"/>
        <v>0</v>
      </c>
      <c r="P17">
        <f t="shared" si="4"/>
        <v>0.2</v>
      </c>
      <c r="Q17">
        <f t="shared" si="5"/>
        <v>20</v>
      </c>
      <c r="R17">
        <v>10</v>
      </c>
      <c r="S17">
        <f>IF(Q17&gt;0,ROUND(1000*R17/10*(P17/Q17)/(Gewicht/10)/60,3),0)</f>
        <v>3.3000000000000002E-2</v>
      </c>
    </row>
    <row r="18" spans="1:19" ht="15.85" x14ac:dyDescent="0.5">
      <c r="A18">
        <v>16</v>
      </c>
      <c r="B18" t="s">
        <v>483</v>
      </c>
      <c r="C18" s="332" t="s">
        <v>953</v>
      </c>
      <c r="D18" s="332" t="s">
        <v>420</v>
      </c>
      <c r="E18" s="332" t="s">
        <v>465</v>
      </c>
      <c r="F18">
        <v>10</v>
      </c>
      <c r="G18">
        <v>50</v>
      </c>
      <c r="H18">
        <v>20</v>
      </c>
      <c r="I18">
        <v>50</v>
      </c>
      <c r="J18" s="333">
        <v>40</v>
      </c>
      <c r="K18" s="333">
        <v>50</v>
      </c>
      <c r="L18">
        <f t="shared" si="0"/>
        <v>10</v>
      </c>
      <c r="M18">
        <f t="shared" si="1"/>
        <v>50</v>
      </c>
      <c r="N18">
        <f t="shared" si="2"/>
        <v>0</v>
      </c>
      <c r="O18">
        <f t="shared" si="3"/>
        <v>0</v>
      </c>
      <c r="P18">
        <f t="shared" si="4"/>
        <v>10</v>
      </c>
      <c r="Q18">
        <f t="shared" si="5"/>
        <v>50</v>
      </c>
      <c r="R18">
        <v>10</v>
      </c>
      <c r="S18">
        <f>IF(Q18&gt;0,ROUND(24*R18/10*(P18/Q18)/(Gewicht/10),3),0)</f>
        <v>0.96</v>
      </c>
    </row>
    <row r="19" spans="1:19" ht="15.85" x14ac:dyDescent="0.5">
      <c r="A19">
        <v>17</v>
      </c>
      <c r="B19" t="s">
        <v>522</v>
      </c>
      <c r="C19" s="332" t="s">
        <v>523</v>
      </c>
      <c r="D19" s="332" t="s">
        <v>524</v>
      </c>
      <c r="E19" s="332" t="s">
        <v>1209</v>
      </c>
      <c r="F19">
        <v>5000</v>
      </c>
      <c r="G19">
        <v>50</v>
      </c>
      <c r="H19">
        <v>10000</v>
      </c>
      <c r="I19">
        <v>50</v>
      </c>
      <c r="J19" s="333">
        <v>20000</v>
      </c>
      <c r="K19" s="333">
        <v>50</v>
      </c>
      <c r="L19">
        <f t="shared" si="0"/>
        <v>5000</v>
      </c>
      <c r="M19">
        <f t="shared" si="1"/>
        <v>50</v>
      </c>
      <c r="N19">
        <f t="shared" si="2"/>
        <v>0</v>
      </c>
      <c r="O19">
        <f t="shared" si="3"/>
        <v>0</v>
      </c>
      <c r="P19">
        <f t="shared" si="4"/>
        <v>5000</v>
      </c>
      <c r="Q19">
        <f t="shared" si="5"/>
        <v>50</v>
      </c>
      <c r="R19">
        <v>10</v>
      </c>
      <c r="S19">
        <f>IF(Q19&gt;0,ROUND(R19/10*(P19/Q19)/(Gewicht/10),3),0)</f>
        <v>20</v>
      </c>
    </row>
    <row r="20" spans="1:19" ht="15.85" x14ac:dyDescent="0.5">
      <c r="A20">
        <v>18</v>
      </c>
      <c r="B20" t="s">
        <v>1210</v>
      </c>
      <c r="C20" s="332" t="s">
        <v>173</v>
      </c>
      <c r="D20" s="332" t="s">
        <v>88</v>
      </c>
      <c r="E20" s="332" t="s">
        <v>1209</v>
      </c>
      <c r="F20">
        <v>10</v>
      </c>
      <c r="G20">
        <v>50</v>
      </c>
      <c r="H20">
        <v>10</v>
      </c>
      <c r="I20">
        <v>50</v>
      </c>
      <c r="J20" s="333">
        <v>50</v>
      </c>
      <c r="K20" s="333">
        <v>50</v>
      </c>
      <c r="L20">
        <f t="shared" si="0"/>
        <v>10</v>
      </c>
      <c r="M20">
        <f t="shared" si="1"/>
        <v>50</v>
      </c>
      <c r="N20">
        <f t="shared" si="2"/>
        <v>0</v>
      </c>
      <c r="O20">
        <f t="shared" si="3"/>
        <v>0</v>
      </c>
      <c r="P20">
        <f t="shared" si="4"/>
        <v>10</v>
      </c>
      <c r="Q20">
        <f t="shared" si="5"/>
        <v>50</v>
      </c>
      <c r="R20">
        <v>10</v>
      </c>
      <c r="S20">
        <f>IF(Q20&gt;0,ROUND(R20/10*(P20/Q20)/(Gewicht/10),3),0)</f>
        <v>0.04</v>
      </c>
    </row>
    <row r="21" spans="1:19" ht="15.85" x14ac:dyDescent="0.5">
      <c r="A21">
        <v>19</v>
      </c>
      <c r="B21" t="s">
        <v>1077</v>
      </c>
      <c r="C21" s="332" t="s">
        <v>1142</v>
      </c>
      <c r="D21" s="332" t="s">
        <v>757</v>
      </c>
      <c r="E21" s="332" t="s">
        <v>465</v>
      </c>
      <c r="F21">
        <v>2</v>
      </c>
      <c r="G21">
        <v>50</v>
      </c>
      <c r="H21">
        <v>2</v>
      </c>
      <c r="I21">
        <v>50</v>
      </c>
      <c r="J21" s="333">
        <v>2</v>
      </c>
      <c r="K21" s="333">
        <v>50</v>
      </c>
      <c r="L21">
        <f t="shared" si="0"/>
        <v>2</v>
      </c>
      <c r="M21">
        <f t="shared" si="1"/>
        <v>50</v>
      </c>
      <c r="N21">
        <f t="shared" si="2"/>
        <v>0</v>
      </c>
      <c r="O21">
        <f t="shared" si="3"/>
        <v>0</v>
      </c>
      <c r="P21">
        <f t="shared" si="4"/>
        <v>2</v>
      </c>
      <c r="Q21">
        <f t="shared" si="5"/>
        <v>50</v>
      </c>
      <c r="R21">
        <v>10</v>
      </c>
      <c r="S21">
        <f>IF(Q21&gt;0,ROUND(1000*R21/10*(P21/Q21)/(Gewicht/10)/60,3),0)</f>
        <v>0.13300000000000001</v>
      </c>
    </row>
    <row r="22" spans="1:19" ht="15.85" x14ac:dyDescent="0.5">
      <c r="A22">
        <v>20</v>
      </c>
      <c r="B22" t="s">
        <v>1211</v>
      </c>
      <c r="C22" s="332" t="s">
        <v>952</v>
      </c>
      <c r="D22" s="332" t="s">
        <v>558</v>
      </c>
      <c r="E22" s="332" t="s">
        <v>465</v>
      </c>
      <c r="F22">
        <v>250</v>
      </c>
      <c r="G22">
        <v>50</v>
      </c>
      <c r="H22">
        <v>250</v>
      </c>
      <c r="I22">
        <v>50</v>
      </c>
      <c r="J22" s="333">
        <v>250</v>
      </c>
      <c r="K22" s="333">
        <v>50</v>
      </c>
      <c r="L22">
        <f t="shared" si="0"/>
        <v>250</v>
      </c>
      <c r="M22">
        <f t="shared" si="1"/>
        <v>50</v>
      </c>
      <c r="N22">
        <f t="shared" si="2"/>
        <v>0</v>
      </c>
      <c r="O22">
        <f t="shared" si="3"/>
        <v>0</v>
      </c>
      <c r="P22">
        <f t="shared" si="4"/>
        <v>250</v>
      </c>
      <c r="Q22">
        <f t="shared" si="5"/>
        <v>50</v>
      </c>
      <c r="R22">
        <v>10</v>
      </c>
      <c r="S22">
        <f>IF(Q22&gt;0,ROUND(R22/10*(P22/Q22)/(Gewicht/10),3),0)</f>
        <v>1</v>
      </c>
    </row>
    <row r="23" spans="1:19" ht="15.85" x14ac:dyDescent="0.5">
      <c r="A23">
        <v>21</v>
      </c>
      <c r="B23" t="s">
        <v>1212</v>
      </c>
      <c r="C23" s="332" t="s">
        <v>952</v>
      </c>
      <c r="D23" s="332" t="s">
        <v>1232</v>
      </c>
      <c r="E23" s="332" t="s">
        <v>465</v>
      </c>
      <c r="F23">
        <v>160</v>
      </c>
      <c r="G23">
        <v>1</v>
      </c>
      <c r="H23">
        <v>160</v>
      </c>
      <c r="I23">
        <v>1</v>
      </c>
      <c r="J23" s="333">
        <v>160</v>
      </c>
      <c r="K23" s="333">
        <v>1</v>
      </c>
      <c r="L23">
        <f t="shared" si="0"/>
        <v>160</v>
      </c>
      <c r="M23">
        <f t="shared" si="1"/>
        <v>1</v>
      </c>
      <c r="N23">
        <f t="shared" si="2"/>
        <v>0</v>
      </c>
      <c r="O23">
        <f t="shared" si="3"/>
        <v>0</v>
      </c>
      <c r="P23">
        <f t="shared" si="4"/>
        <v>160</v>
      </c>
      <c r="Q23">
        <f t="shared" si="5"/>
        <v>1</v>
      </c>
      <c r="R23">
        <v>10</v>
      </c>
      <c r="S23">
        <f>IF(Q23&gt;0,ROUND(R23/10*(P23/Q23)/(Gewicht/10),3),0)</f>
        <v>32</v>
      </c>
    </row>
    <row r="24" spans="1:19" ht="15.85" x14ac:dyDescent="0.5">
      <c r="A24">
        <v>22</v>
      </c>
      <c r="B24" t="s">
        <v>944</v>
      </c>
      <c r="C24" s="332" t="s">
        <v>952</v>
      </c>
      <c r="D24" s="332" t="s">
        <v>328</v>
      </c>
      <c r="E24" s="332" t="s">
        <v>465</v>
      </c>
      <c r="F24">
        <v>50</v>
      </c>
      <c r="G24" s="332">
        <v>50</v>
      </c>
      <c r="H24">
        <v>50</v>
      </c>
      <c r="I24">
        <v>50</v>
      </c>
      <c r="J24" s="333">
        <v>50</v>
      </c>
      <c r="K24" s="333">
        <v>50</v>
      </c>
      <c r="L24">
        <f t="shared" si="0"/>
        <v>50</v>
      </c>
      <c r="M24">
        <f t="shared" si="1"/>
        <v>50</v>
      </c>
      <c r="N24">
        <f t="shared" si="2"/>
        <v>0</v>
      </c>
      <c r="O24">
        <f t="shared" si="3"/>
        <v>0</v>
      </c>
      <c r="P24">
        <f t="shared" si="4"/>
        <v>50</v>
      </c>
      <c r="Q24">
        <f t="shared" si="5"/>
        <v>50</v>
      </c>
      <c r="R24">
        <v>10</v>
      </c>
      <c r="S24">
        <f>IF(Q24&gt;0,ROUND(R24/10*(P24/Q24)/(Gewicht/10),3),0)</f>
        <v>0.2</v>
      </c>
    </row>
    <row r="25" spans="1:19" ht="15.85" x14ac:dyDescent="0.5">
      <c r="A25">
        <v>23</v>
      </c>
      <c r="B25" t="s">
        <v>1213</v>
      </c>
      <c r="C25" s="332" t="s">
        <v>1142</v>
      </c>
      <c r="D25" s="332" t="s">
        <v>1065</v>
      </c>
      <c r="E25" s="332" t="s">
        <v>465</v>
      </c>
      <c r="F25">
        <v>5</v>
      </c>
      <c r="G25">
        <v>50</v>
      </c>
      <c r="H25">
        <v>10</v>
      </c>
      <c r="I25">
        <v>50</v>
      </c>
      <c r="J25" s="333">
        <v>20</v>
      </c>
      <c r="K25" s="333">
        <v>50</v>
      </c>
      <c r="L25">
        <f t="shared" si="0"/>
        <v>5</v>
      </c>
      <c r="M25">
        <f t="shared" si="1"/>
        <v>50</v>
      </c>
      <c r="N25">
        <f t="shared" si="2"/>
        <v>0</v>
      </c>
      <c r="O25">
        <f t="shared" si="3"/>
        <v>0</v>
      </c>
      <c r="P25">
        <f t="shared" si="4"/>
        <v>5</v>
      </c>
      <c r="Q25">
        <f t="shared" si="5"/>
        <v>50</v>
      </c>
      <c r="R25">
        <v>10</v>
      </c>
      <c r="S25">
        <f>IF(Q25&gt;0,ROUND(1000*R25/10*(P25/Q25)/(Gewicht/10)/60,3),0)</f>
        <v>0.33300000000000002</v>
      </c>
    </row>
    <row r="26" spans="1:19" ht="15.85" x14ac:dyDescent="0.5">
      <c r="A26">
        <v>24</v>
      </c>
      <c r="B26" t="s">
        <v>329</v>
      </c>
      <c r="C26" s="332" t="s">
        <v>953</v>
      </c>
      <c r="D26" s="332" t="s">
        <v>331</v>
      </c>
      <c r="E26" s="332" t="s">
        <v>465</v>
      </c>
      <c r="F26">
        <v>2</v>
      </c>
      <c r="G26" s="332">
        <v>50</v>
      </c>
      <c r="H26">
        <v>5</v>
      </c>
      <c r="I26">
        <v>50</v>
      </c>
      <c r="J26" s="333">
        <v>10</v>
      </c>
      <c r="K26" s="333">
        <v>50</v>
      </c>
      <c r="L26">
        <f t="shared" si="0"/>
        <v>2</v>
      </c>
      <c r="M26">
        <f t="shared" si="1"/>
        <v>50</v>
      </c>
      <c r="N26">
        <f t="shared" si="2"/>
        <v>0</v>
      </c>
      <c r="O26">
        <f t="shared" si="3"/>
        <v>0</v>
      </c>
      <c r="P26">
        <f t="shared" si="4"/>
        <v>2</v>
      </c>
      <c r="Q26">
        <f t="shared" si="5"/>
        <v>50</v>
      </c>
      <c r="R26">
        <v>10</v>
      </c>
      <c r="S26">
        <f>IF(Q26&gt;0,ROUND(24*(R26/10)*(P26/Q26)/(Gewicht/10),3),0)</f>
        <v>0.192</v>
      </c>
    </row>
    <row r="27" spans="1:19" ht="15.85" x14ac:dyDescent="0.5">
      <c r="A27">
        <v>25</v>
      </c>
      <c r="B27" s="332" t="s">
        <v>888</v>
      </c>
      <c r="C27" s="332" t="s">
        <v>1068</v>
      </c>
      <c r="D27" s="332" t="s">
        <v>560</v>
      </c>
      <c r="E27" s="332" t="s">
        <v>1233</v>
      </c>
      <c r="F27">
        <v>0.5</v>
      </c>
      <c r="G27" s="332">
        <v>1</v>
      </c>
      <c r="H27">
        <v>0.5</v>
      </c>
      <c r="I27">
        <v>1</v>
      </c>
      <c r="J27" s="333">
        <v>0.5</v>
      </c>
      <c r="K27" s="333">
        <v>1</v>
      </c>
      <c r="L27">
        <f t="shared" si="0"/>
        <v>0.5</v>
      </c>
      <c r="M27">
        <f t="shared" si="1"/>
        <v>1</v>
      </c>
      <c r="N27">
        <f t="shared" si="2"/>
        <v>0</v>
      </c>
      <c r="O27">
        <f t="shared" si="3"/>
        <v>0</v>
      </c>
      <c r="P27">
        <f t="shared" si="4"/>
        <v>0.5</v>
      </c>
      <c r="Q27">
        <f t="shared" si="5"/>
        <v>1</v>
      </c>
      <c r="R27">
        <v>10</v>
      </c>
      <c r="S27">
        <f>IF(Q27&gt;0,ROUND(24*(R27/10)*(P27/Q27)/(Gewicht/10),3),0)</f>
        <v>2.4</v>
      </c>
    </row>
    <row r="28" spans="1:19" ht="15.85" x14ac:dyDescent="0.5">
      <c r="A28">
        <v>26</v>
      </c>
      <c r="B28" t="s">
        <v>145</v>
      </c>
      <c r="C28" s="332" t="s">
        <v>1142</v>
      </c>
      <c r="D28" s="332" t="s">
        <v>147</v>
      </c>
      <c r="E28" s="332" t="s">
        <v>465</v>
      </c>
      <c r="F28">
        <v>10</v>
      </c>
      <c r="G28">
        <v>50</v>
      </c>
      <c r="H28">
        <v>20</v>
      </c>
      <c r="I28">
        <v>50</v>
      </c>
      <c r="J28" s="333">
        <v>40</v>
      </c>
      <c r="K28" s="333">
        <v>50</v>
      </c>
      <c r="L28">
        <f t="shared" si="0"/>
        <v>10</v>
      </c>
      <c r="M28">
        <f t="shared" si="1"/>
        <v>50</v>
      </c>
      <c r="N28">
        <f t="shared" si="2"/>
        <v>0</v>
      </c>
      <c r="O28">
        <f t="shared" si="3"/>
        <v>0</v>
      </c>
      <c r="P28">
        <f t="shared" si="4"/>
        <v>10</v>
      </c>
      <c r="Q28">
        <f t="shared" si="5"/>
        <v>50</v>
      </c>
      <c r="R28">
        <v>10</v>
      </c>
      <c r="S28">
        <f>IF(Q28&gt;0,ROUND(1000*R28/10*(P28/Q28)/(Gewicht/10)/60,3),0)</f>
        <v>0.66700000000000004</v>
      </c>
    </row>
    <row r="29" spans="1:19" ht="15.85" x14ac:dyDescent="0.5">
      <c r="A29">
        <v>27</v>
      </c>
      <c r="B29" t="s">
        <v>1066</v>
      </c>
      <c r="C29" s="332" t="s">
        <v>1142</v>
      </c>
      <c r="D29" s="332" t="s">
        <v>1067</v>
      </c>
      <c r="E29" s="332" t="s">
        <v>465</v>
      </c>
      <c r="F29">
        <v>1</v>
      </c>
      <c r="G29">
        <v>50</v>
      </c>
      <c r="H29">
        <v>2</v>
      </c>
      <c r="I29">
        <v>50</v>
      </c>
      <c r="J29" s="333">
        <v>5</v>
      </c>
      <c r="K29" s="333">
        <v>50</v>
      </c>
      <c r="L29">
        <f t="shared" si="0"/>
        <v>1</v>
      </c>
      <c r="M29">
        <f t="shared" si="1"/>
        <v>50</v>
      </c>
      <c r="N29">
        <f t="shared" si="2"/>
        <v>0</v>
      </c>
      <c r="O29">
        <f t="shared" si="3"/>
        <v>0</v>
      </c>
      <c r="P29">
        <f t="shared" si="4"/>
        <v>1</v>
      </c>
      <c r="Q29">
        <f t="shared" si="5"/>
        <v>50</v>
      </c>
      <c r="R29">
        <v>10</v>
      </c>
      <c r="S29">
        <f>IF(Q29&gt;0,ROUND(1000*R29/10*(P29/Q29)/(Gewicht/10)/60,3),0)</f>
        <v>6.7000000000000004E-2</v>
      </c>
    </row>
    <row r="30" spans="1:19" ht="15.85" x14ac:dyDescent="0.5">
      <c r="A30">
        <v>28</v>
      </c>
      <c r="B30" s="332" t="s">
        <v>854</v>
      </c>
      <c r="C30" s="332" t="s">
        <v>952</v>
      </c>
      <c r="D30" s="332" t="s">
        <v>1175</v>
      </c>
      <c r="E30" s="332" t="s">
        <v>465</v>
      </c>
      <c r="F30">
        <v>10</v>
      </c>
      <c r="G30">
        <v>1</v>
      </c>
      <c r="H30">
        <v>10</v>
      </c>
      <c r="I30">
        <v>1</v>
      </c>
      <c r="J30" s="333">
        <v>10</v>
      </c>
      <c r="K30" s="333">
        <v>1</v>
      </c>
      <c r="L30">
        <f t="shared" si="0"/>
        <v>10</v>
      </c>
      <c r="M30">
        <f t="shared" si="1"/>
        <v>1</v>
      </c>
      <c r="N30">
        <f t="shared" si="2"/>
        <v>0</v>
      </c>
      <c r="O30">
        <f t="shared" si="3"/>
        <v>0</v>
      </c>
      <c r="P30">
        <f t="shared" si="4"/>
        <v>10</v>
      </c>
      <c r="Q30">
        <f t="shared" si="5"/>
        <v>1</v>
      </c>
      <c r="R30">
        <v>10</v>
      </c>
      <c r="S30">
        <f>IF(Q30&gt;0,ROUND(R30/10*(P30/Q30)/(Gewicht/10),3),0)</f>
        <v>2</v>
      </c>
    </row>
    <row r="31" spans="1:19" ht="15.85" x14ac:dyDescent="0.5">
      <c r="A31">
        <v>29</v>
      </c>
      <c r="B31" s="332" t="s">
        <v>855</v>
      </c>
      <c r="C31" s="332" t="s">
        <v>952</v>
      </c>
      <c r="D31" s="332" t="s">
        <v>1175</v>
      </c>
      <c r="E31" s="332" t="s">
        <v>465</v>
      </c>
      <c r="F31">
        <v>20</v>
      </c>
      <c r="G31">
        <v>1</v>
      </c>
      <c r="H31">
        <v>20</v>
      </c>
      <c r="I31">
        <v>1</v>
      </c>
      <c r="J31" s="333">
        <v>20</v>
      </c>
      <c r="K31" s="333">
        <v>1</v>
      </c>
      <c r="L31">
        <f t="shared" si="0"/>
        <v>20</v>
      </c>
      <c r="M31">
        <f t="shared" si="1"/>
        <v>1</v>
      </c>
      <c r="N31">
        <f t="shared" si="2"/>
        <v>0</v>
      </c>
      <c r="O31">
        <f t="shared" si="3"/>
        <v>0</v>
      </c>
      <c r="P31">
        <f t="shared" si="4"/>
        <v>20</v>
      </c>
      <c r="Q31">
        <f t="shared" si="5"/>
        <v>1</v>
      </c>
      <c r="R31">
        <v>10</v>
      </c>
      <c r="S31">
        <f>IF(Q31&gt;0,ROUND(R31/10*(P31/Q31)/(Gewicht/10),3),0)</f>
        <v>4</v>
      </c>
    </row>
    <row r="32" spans="1:19" ht="15.85" x14ac:dyDescent="0.5">
      <c r="A32">
        <v>30</v>
      </c>
      <c r="B32" t="s">
        <v>756</v>
      </c>
      <c r="C32" s="332" t="s">
        <v>952</v>
      </c>
      <c r="D32" s="332" t="s">
        <v>861</v>
      </c>
      <c r="E32" s="332" t="s">
        <v>465</v>
      </c>
      <c r="F32">
        <v>50</v>
      </c>
      <c r="G32">
        <v>50</v>
      </c>
      <c r="H32">
        <v>100</v>
      </c>
      <c r="I32">
        <v>50</v>
      </c>
      <c r="J32" s="333">
        <v>200</v>
      </c>
      <c r="K32" s="333">
        <v>50</v>
      </c>
      <c r="L32">
        <f t="shared" si="0"/>
        <v>50</v>
      </c>
      <c r="M32">
        <f t="shared" si="1"/>
        <v>50</v>
      </c>
      <c r="N32">
        <f t="shared" si="2"/>
        <v>0</v>
      </c>
      <c r="O32">
        <f t="shared" si="3"/>
        <v>0</v>
      </c>
      <c r="P32">
        <f t="shared" si="4"/>
        <v>50</v>
      </c>
      <c r="Q32">
        <f t="shared" si="5"/>
        <v>50</v>
      </c>
      <c r="R32">
        <v>10</v>
      </c>
      <c r="S32">
        <f>IF(Q32&gt;0,ROUND(R32/10*(P32/Q32)/(Gewicht/10),3),0)</f>
        <v>0.2</v>
      </c>
    </row>
    <row r="33" spans="1:19" ht="15.85" x14ac:dyDescent="0.5">
      <c r="A33">
        <v>31</v>
      </c>
      <c r="B33" t="s">
        <v>72</v>
      </c>
      <c r="C33" s="332" t="s">
        <v>1142</v>
      </c>
      <c r="D33" s="332" t="s">
        <v>837</v>
      </c>
      <c r="E33" s="332" t="s">
        <v>465</v>
      </c>
      <c r="F33">
        <v>5</v>
      </c>
      <c r="G33">
        <v>50</v>
      </c>
      <c r="H33">
        <v>10</v>
      </c>
      <c r="I33">
        <v>50</v>
      </c>
      <c r="J33" s="333">
        <v>20</v>
      </c>
      <c r="K33" s="333">
        <v>50</v>
      </c>
      <c r="L33">
        <f t="shared" si="0"/>
        <v>5</v>
      </c>
      <c r="M33">
        <f t="shared" si="1"/>
        <v>50</v>
      </c>
      <c r="N33">
        <f t="shared" si="2"/>
        <v>0</v>
      </c>
      <c r="O33">
        <f t="shared" si="3"/>
        <v>0</v>
      </c>
      <c r="P33">
        <f t="shared" si="4"/>
        <v>5</v>
      </c>
      <c r="Q33">
        <f t="shared" si="5"/>
        <v>50</v>
      </c>
      <c r="R33">
        <v>10</v>
      </c>
      <c r="S33">
        <f>IF(Q33&gt;0,ROUND(1000*R33/10*(P33/Q33)/(Gewicht/10)/60,3),0)</f>
        <v>0.33300000000000002</v>
      </c>
    </row>
    <row r="34" spans="1:19" ht="15.85" x14ac:dyDescent="0.5">
      <c r="A34">
        <v>32</v>
      </c>
      <c r="B34" t="s">
        <v>937</v>
      </c>
      <c r="C34" s="332" t="s">
        <v>952</v>
      </c>
      <c r="D34" s="332" t="s">
        <v>1172</v>
      </c>
      <c r="E34" s="332" t="s">
        <v>465</v>
      </c>
      <c r="F34">
        <v>1000</v>
      </c>
      <c r="G34">
        <v>50</v>
      </c>
      <c r="H34">
        <v>2000</v>
      </c>
      <c r="I34">
        <v>50</v>
      </c>
      <c r="J34" s="333">
        <v>4000</v>
      </c>
      <c r="K34" s="333">
        <v>50</v>
      </c>
      <c r="L34">
        <f t="shared" si="0"/>
        <v>1000</v>
      </c>
      <c r="M34">
        <f t="shared" si="1"/>
        <v>50</v>
      </c>
      <c r="N34">
        <f t="shared" si="2"/>
        <v>0</v>
      </c>
      <c r="O34">
        <f t="shared" si="3"/>
        <v>0</v>
      </c>
      <c r="P34">
        <f t="shared" si="4"/>
        <v>1000</v>
      </c>
      <c r="Q34">
        <f t="shared" si="5"/>
        <v>50</v>
      </c>
      <c r="R34">
        <v>10</v>
      </c>
      <c r="S34">
        <f>IF(Q34&gt;0,ROUND(R34/10*(P34/Q34)/(Gewicht/10),3),0)</f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Q18"/>
  <sheetViews>
    <sheetView workbookViewId="0">
      <selection activeCell="D3" sqref="D3"/>
    </sheetView>
  </sheetViews>
  <sheetFormatPr defaultColWidth="9.1328125" defaultRowHeight="12.85" x14ac:dyDescent="0.35"/>
  <cols>
    <col min="1" max="4" width="7.33203125" customWidth="1"/>
    <col min="5" max="5" width="8.9296875" customWidth="1"/>
    <col min="6" max="17" width="7.33203125" customWidth="1"/>
  </cols>
  <sheetData>
    <row r="1" spans="1:17" s="27" customFormat="1" ht="25.65" x14ac:dyDescent="0.35">
      <c r="A1" s="334" t="s">
        <v>1228</v>
      </c>
      <c r="B1" s="27" t="s">
        <v>615</v>
      </c>
      <c r="C1" s="27" t="s">
        <v>1222</v>
      </c>
      <c r="D1" s="27" t="s">
        <v>544</v>
      </c>
      <c r="E1" s="334" t="s">
        <v>1223</v>
      </c>
      <c r="F1" s="334" t="s">
        <v>1224</v>
      </c>
      <c r="G1" s="334" t="s">
        <v>138</v>
      </c>
      <c r="H1" s="334" t="s">
        <v>1225</v>
      </c>
      <c r="I1" s="334" t="s">
        <v>1226</v>
      </c>
      <c r="J1" s="334" t="s">
        <v>1227</v>
      </c>
      <c r="K1" s="27" t="s">
        <v>765</v>
      </c>
      <c r="L1" s="27" t="s">
        <v>579</v>
      </c>
      <c r="M1" s="27" t="s">
        <v>580</v>
      </c>
      <c r="N1" s="27" t="s">
        <v>1069</v>
      </c>
      <c r="O1" s="27" t="s">
        <v>573</v>
      </c>
      <c r="Q1" s="27" t="s">
        <v>526</v>
      </c>
    </row>
    <row r="2" spans="1:17" x14ac:dyDescent="0.35">
      <c r="A2">
        <v>0</v>
      </c>
      <c r="B2">
        <v>0</v>
      </c>
      <c r="C2">
        <v>1</v>
      </c>
      <c r="D2">
        <v>0</v>
      </c>
      <c r="E2">
        <v>0</v>
      </c>
    </row>
    <row r="3" spans="1:17" x14ac:dyDescent="0.35">
      <c r="A3">
        <v>1</v>
      </c>
      <c r="B3">
        <v>15</v>
      </c>
      <c r="C3">
        <v>2</v>
      </c>
      <c r="D3">
        <v>0</v>
      </c>
      <c r="E3">
        <v>0</v>
      </c>
      <c r="F3">
        <v>1</v>
      </c>
      <c r="G3">
        <v>1</v>
      </c>
      <c r="H3">
        <f>IF(MedicatieIV!C8&lt;&gt;0,24*G3/10,0)</f>
        <v>2.4</v>
      </c>
      <c r="I3">
        <f>IF(ber_IVmed!$F3=3,ber_IVmed!H3*0.05,0)</f>
        <v>0</v>
      </c>
      <c r="J3">
        <f>IF(ber_IVmed!$F3=4,ber_IVmed!H3*0.1,0)</f>
        <v>0</v>
      </c>
      <c r="K3">
        <f>IF(ber_IVmed!$F3=2,ber_IVmed!H3*0.155,0)</f>
        <v>0</v>
      </c>
      <c r="L3">
        <f>IF(OR($B3=24),0.5*$H3,IF(B3=4,H3*145/1000,0))</f>
        <v>0</v>
      </c>
      <c r="M3">
        <f>IF(OR($B3=19),0,0)</f>
        <v>0</v>
      </c>
      <c r="N3">
        <f>IF(OR($B3=4),0.2*$H3,0)</f>
        <v>0</v>
      </c>
      <c r="O3">
        <f>IF(OR(B3=20,B3=21),0.1*H3,0)</f>
        <v>0</v>
      </c>
    </row>
    <row r="4" spans="1:17" x14ac:dyDescent="0.35">
      <c r="A4">
        <v>2</v>
      </c>
      <c r="B4">
        <v>17</v>
      </c>
      <c r="C4">
        <v>3</v>
      </c>
      <c r="D4">
        <v>0</v>
      </c>
      <c r="E4">
        <v>0</v>
      </c>
      <c r="F4">
        <v>2</v>
      </c>
      <c r="G4">
        <v>7</v>
      </c>
      <c r="H4">
        <f>IF(MedicatieIV!C9&lt;&gt;0,24*G4/10,0)</f>
        <v>16.8</v>
      </c>
      <c r="I4">
        <f>IF(ber_IVmed!$F4=3,ber_IVmed!H4*0.05,0)</f>
        <v>0</v>
      </c>
      <c r="J4">
        <f>IF(ber_IVmed!$F4=4,ber_IVmed!H4*0.1,0)</f>
        <v>0</v>
      </c>
      <c r="K4">
        <f>IF(ber_IVmed!$F4=2,ber_IVmed!H4*0.155,0)</f>
        <v>2.6040000000000001</v>
      </c>
      <c r="L4">
        <f t="shared" ref="L4:L17" si="0">IF(OR($B4=24),0.5*$H4,IF(B4=4,H4*145/1000,0))</f>
        <v>0</v>
      </c>
      <c r="M4">
        <f t="shared" ref="M4:M17" si="1">IF(OR($B4=19),0,0)</f>
        <v>0</v>
      </c>
      <c r="N4">
        <f t="shared" ref="N4:N17" si="2">IF(OR($B4=4),0.2*$H4,0)</f>
        <v>0</v>
      </c>
      <c r="O4">
        <f t="shared" ref="O4:O17" si="3">IF(OR(B4=20,B4=21),0.1*H4,0)</f>
        <v>0</v>
      </c>
      <c r="Q4" t="s">
        <v>765</v>
      </c>
    </row>
    <row r="5" spans="1:17" x14ac:dyDescent="0.35">
      <c r="A5">
        <v>3</v>
      </c>
      <c r="B5">
        <v>6</v>
      </c>
      <c r="C5">
        <v>4</v>
      </c>
      <c r="F5">
        <v>1</v>
      </c>
      <c r="G5">
        <v>0</v>
      </c>
      <c r="H5">
        <f>IF(MedicatieIV!C10&lt;&gt;0,24*G5/10,0)</f>
        <v>0</v>
      </c>
      <c r="I5">
        <f>IF(ber_IVmed!$F5=3,ber_IVmed!H5*0.05,0)</f>
        <v>0</v>
      </c>
      <c r="J5">
        <f>IF(ber_IVmed!$F5=4,ber_IVmed!H5*0.1,0)</f>
        <v>0</v>
      </c>
      <c r="K5">
        <f>IF(ber_IVmed!$F5=2,ber_IVmed!H5*0.155,0)</f>
        <v>0</v>
      </c>
      <c r="L5">
        <f t="shared" si="0"/>
        <v>0</v>
      </c>
      <c r="M5">
        <f t="shared" si="1"/>
        <v>0</v>
      </c>
      <c r="N5">
        <f t="shared" si="2"/>
        <v>0</v>
      </c>
      <c r="O5">
        <f t="shared" si="3"/>
        <v>0</v>
      </c>
      <c r="Q5" t="s">
        <v>766</v>
      </c>
    </row>
    <row r="6" spans="1:17" x14ac:dyDescent="0.35">
      <c r="A6">
        <v>4</v>
      </c>
      <c r="B6">
        <v>1</v>
      </c>
      <c r="C6">
        <v>5</v>
      </c>
      <c r="D6">
        <v>0</v>
      </c>
      <c r="E6">
        <v>2</v>
      </c>
      <c r="F6">
        <v>1</v>
      </c>
      <c r="G6">
        <v>2</v>
      </c>
      <c r="H6">
        <f>IF(MedicatieIV!C11&lt;&gt;0,24*G6/10,0)</f>
        <v>0</v>
      </c>
      <c r="I6">
        <f>IF(ber_IVmed!$F6=3,ber_IVmed!H6*0.05,0)</f>
        <v>0</v>
      </c>
      <c r="J6">
        <f>IF(ber_IVmed!$F6=4,ber_IVmed!H6*0.1,0)</f>
        <v>0</v>
      </c>
      <c r="K6">
        <f>IF(ber_IVmed!$F6=2,ber_IVmed!H6*0.155,0)</f>
        <v>0</v>
      </c>
      <c r="L6">
        <f t="shared" si="0"/>
        <v>0</v>
      </c>
      <c r="M6">
        <f t="shared" si="1"/>
        <v>0</v>
      </c>
      <c r="N6">
        <f t="shared" si="2"/>
        <v>0</v>
      </c>
      <c r="O6">
        <f t="shared" si="3"/>
        <v>0</v>
      </c>
      <c r="Q6" t="s">
        <v>767</v>
      </c>
    </row>
    <row r="7" spans="1:17" x14ac:dyDescent="0.35">
      <c r="A7">
        <v>5</v>
      </c>
      <c r="B7">
        <v>1</v>
      </c>
      <c r="C7">
        <v>6</v>
      </c>
      <c r="F7">
        <v>1</v>
      </c>
      <c r="G7">
        <v>0</v>
      </c>
      <c r="H7">
        <f>IF(MedicatieIV!C12&lt;&gt;0,24*G7/10,0)</f>
        <v>0</v>
      </c>
      <c r="I7">
        <f>IF(ber_IVmed!$F7=3,ber_IVmed!H7*0.05,0)</f>
        <v>0</v>
      </c>
      <c r="J7">
        <f>IF(ber_IVmed!$F7=4,ber_IVmed!H7*0.1,0)</f>
        <v>0</v>
      </c>
      <c r="K7">
        <f>IF(ber_IVmed!$F7=2,ber_IVmed!H7*0.155,0)</f>
        <v>0</v>
      </c>
      <c r="L7">
        <f t="shared" si="0"/>
        <v>0</v>
      </c>
      <c r="M7">
        <f t="shared" si="1"/>
        <v>0</v>
      </c>
      <c r="N7">
        <f t="shared" si="2"/>
        <v>0</v>
      </c>
      <c r="O7">
        <f t="shared" si="3"/>
        <v>0</v>
      </c>
    </row>
    <row r="8" spans="1:17" x14ac:dyDescent="0.35">
      <c r="A8">
        <v>6</v>
      </c>
      <c r="B8">
        <v>1</v>
      </c>
      <c r="C8">
        <v>7</v>
      </c>
      <c r="D8">
        <v>0</v>
      </c>
      <c r="E8">
        <v>1</v>
      </c>
      <c r="F8">
        <v>1</v>
      </c>
      <c r="G8">
        <v>1</v>
      </c>
      <c r="H8">
        <f>IF(MedicatieIV!C13&lt;&gt;0,24*G8/10,0)</f>
        <v>0</v>
      </c>
      <c r="I8">
        <f>IF(ber_IVmed!$F8=3,ber_IVmed!H8*0.05,0)</f>
        <v>0</v>
      </c>
      <c r="J8">
        <f>IF(ber_IVmed!$F8=4,ber_IVmed!H8*0.1,0)</f>
        <v>0</v>
      </c>
      <c r="K8">
        <f>IF(ber_IVmed!$F8=2,ber_IVmed!H8*0.155,0)</f>
        <v>0</v>
      </c>
      <c r="L8">
        <f t="shared" si="0"/>
        <v>0</v>
      </c>
      <c r="M8">
        <f t="shared" si="1"/>
        <v>0</v>
      </c>
      <c r="N8">
        <f t="shared" si="2"/>
        <v>0</v>
      </c>
      <c r="O8">
        <f t="shared" si="3"/>
        <v>0</v>
      </c>
    </row>
    <row r="9" spans="1:17" x14ac:dyDescent="0.35">
      <c r="A9">
        <v>7</v>
      </c>
      <c r="B9">
        <v>1</v>
      </c>
      <c r="C9">
        <v>8</v>
      </c>
      <c r="F9">
        <v>1</v>
      </c>
      <c r="G9">
        <v>0</v>
      </c>
      <c r="H9">
        <f>IF(MedicatieIV!C14&lt;&gt;0,24*G9/10,0)</f>
        <v>0</v>
      </c>
      <c r="I9">
        <f>IF(ber_IVmed!$F9=3,ber_IVmed!H9*0.05,0)</f>
        <v>0</v>
      </c>
      <c r="J9">
        <f>IF(ber_IVmed!$F9=4,ber_IVmed!H9*0.1,0)</f>
        <v>0</v>
      </c>
      <c r="K9">
        <f>IF(ber_IVmed!$F9=2,ber_IVmed!H9*0.155,0)</f>
        <v>0</v>
      </c>
      <c r="L9">
        <f t="shared" si="0"/>
        <v>0</v>
      </c>
      <c r="M9">
        <f t="shared" si="1"/>
        <v>0</v>
      </c>
      <c r="N9">
        <f t="shared" si="2"/>
        <v>0</v>
      </c>
      <c r="O9">
        <f t="shared" si="3"/>
        <v>0</v>
      </c>
    </row>
    <row r="10" spans="1:17" x14ac:dyDescent="0.35">
      <c r="A10">
        <v>8</v>
      </c>
      <c r="B10">
        <v>1</v>
      </c>
      <c r="C10">
        <v>9</v>
      </c>
      <c r="F10">
        <v>1</v>
      </c>
      <c r="G10">
        <v>0</v>
      </c>
      <c r="H10">
        <f>IF(MedicatieIV!C15&lt;&gt;0,24*G10/10,0)</f>
        <v>0</v>
      </c>
      <c r="I10">
        <f>IF(ber_IVmed!$F10=3,ber_IVmed!H10*0.05,0)</f>
        <v>0</v>
      </c>
      <c r="J10">
        <f>IF(ber_IVmed!$F10=4,ber_IVmed!H10*0.1,0)</f>
        <v>0</v>
      </c>
      <c r="K10">
        <f>IF(ber_IVmed!$F10=2,ber_IVmed!H10*0.155,0)</f>
        <v>0</v>
      </c>
      <c r="L10">
        <f t="shared" si="0"/>
        <v>0</v>
      </c>
      <c r="M10">
        <f t="shared" si="1"/>
        <v>0</v>
      </c>
      <c r="N10">
        <f t="shared" si="2"/>
        <v>0</v>
      </c>
      <c r="O10">
        <f t="shared" si="3"/>
        <v>0</v>
      </c>
    </row>
    <row r="11" spans="1:17" x14ac:dyDescent="0.35">
      <c r="A11">
        <v>9</v>
      </c>
      <c r="B11">
        <v>1</v>
      </c>
      <c r="C11">
        <v>10</v>
      </c>
      <c r="F11">
        <v>1</v>
      </c>
      <c r="G11">
        <v>0</v>
      </c>
      <c r="H11">
        <f>IF(MedicatieIV!C16&lt;&gt;0,24*G11/10,0)</f>
        <v>0</v>
      </c>
      <c r="I11">
        <f>IF(ber_IVmed!$F11=3,ber_IVmed!H11*0.05,0)</f>
        <v>0</v>
      </c>
      <c r="J11">
        <f>IF(ber_IVmed!$F11=4,ber_IVmed!H11*0.1,0)</f>
        <v>0</v>
      </c>
      <c r="K11">
        <f>IF(ber_IVmed!$F11=2,ber_IVmed!H11*0.155,0)</f>
        <v>0</v>
      </c>
      <c r="L11">
        <f t="shared" si="0"/>
        <v>0</v>
      </c>
      <c r="M11">
        <f t="shared" si="1"/>
        <v>0</v>
      </c>
      <c r="N11">
        <f t="shared" si="2"/>
        <v>0</v>
      </c>
      <c r="O11">
        <f t="shared" si="3"/>
        <v>0</v>
      </c>
    </row>
    <row r="12" spans="1:17" x14ac:dyDescent="0.35">
      <c r="A12">
        <v>10</v>
      </c>
      <c r="B12">
        <v>1</v>
      </c>
      <c r="C12">
        <v>11</v>
      </c>
      <c r="F12">
        <v>1</v>
      </c>
      <c r="G12">
        <v>0</v>
      </c>
      <c r="H12">
        <f>IF(MedicatieIV!C17&lt;&gt;0,24*G12/10,0)</f>
        <v>0</v>
      </c>
      <c r="I12">
        <f>IF(ber_IVmed!$F12=3,ber_IVmed!H12*0.05,0)</f>
        <v>0</v>
      </c>
      <c r="J12">
        <f>IF(ber_IVmed!$F12=4,ber_IVmed!H12*0.1,0)</f>
        <v>0</v>
      </c>
      <c r="K12">
        <f>IF(ber_IVmed!$F12=2,ber_IVmed!H12*0.155,0)</f>
        <v>0</v>
      </c>
      <c r="L12">
        <f t="shared" si="0"/>
        <v>0</v>
      </c>
      <c r="M12">
        <f t="shared" si="1"/>
        <v>0</v>
      </c>
      <c r="N12">
        <f t="shared" si="2"/>
        <v>0</v>
      </c>
      <c r="O12">
        <f t="shared" si="3"/>
        <v>0</v>
      </c>
    </row>
    <row r="13" spans="1:17" x14ac:dyDescent="0.35">
      <c r="A13">
        <v>11</v>
      </c>
      <c r="D13" t="s">
        <v>1273</v>
      </c>
      <c r="F13">
        <v>2</v>
      </c>
      <c r="G13">
        <v>10</v>
      </c>
      <c r="H13">
        <f>IF(MedicatieIV!C19&lt;&gt;"",G13/10*24,0)</f>
        <v>24</v>
      </c>
      <c r="I13">
        <f>IF(ber_IVmed!$F13=3,ber_IVmed!H13*0.05,0)</f>
        <v>0</v>
      </c>
      <c r="J13">
        <f>IF(ber_IVmed!$F13=4,ber_IVmed!H13*0.1,0)</f>
        <v>0</v>
      </c>
      <c r="K13">
        <f>IF(ber_IVmed!$F13=2,ber_IVmed!H13*0.155,0)</f>
        <v>3.7199999999999998</v>
      </c>
      <c r="L13">
        <f t="shared" si="0"/>
        <v>0</v>
      </c>
      <c r="M13">
        <f t="shared" si="1"/>
        <v>0</v>
      </c>
      <c r="N13">
        <f t="shared" si="2"/>
        <v>0</v>
      </c>
      <c r="O13">
        <f t="shared" si="3"/>
        <v>0</v>
      </c>
    </row>
    <row r="14" spans="1:17" x14ac:dyDescent="0.35">
      <c r="A14">
        <v>12</v>
      </c>
      <c r="F14">
        <v>1</v>
      </c>
      <c r="H14">
        <f>IF(MedicatieIV!C20&lt;&gt;"",G14/10*24,0)</f>
        <v>0</v>
      </c>
      <c r="I14">
        <f>IF(ber_IVmed!$F14=3,ber_IVmed!H14*0.05,0)</f>
        <v>0</v>
      </c>
      <c r="J14">
        <f>IF(ber_IVmed!$F14=4,ber_IVmed!H14*0.1,0)</f>
        <v>0</v>
      </c>
      <c r="K14">
        <f>IF(ber_IVmed!$F14=2,ber_IVmed!H14*0.155,0)</f>
        <v>0</v>
      </c>
      <c r="L14">
        <f t="shared" si="0"/>
        <v>0</v>
      </c>
      <c r="M14">
        <f t="shared" si="1"/>
        <v>0</v>
      </c>
      <c r="N14">
        <f t="shared" si="2"/>
        <v>0</v>
      </c>
      <c r="O14">
        <f t="shared" si="3"/>
        <v>0</v>
      </c>
    </row>
    <row r="15" spans="1:17" x14ac:dyDescent="0.35">
      <c r="A15">
        <v>13</v>
      </c>
      <c r="F15">
        <v>1</v>
      </c>
      <c r="H15">
        <f>IF(MedicatieIV!C21&lt;&gt;"",G15/10*24,0)</f>
        <v>0</v>
      </c>
      <c r="I15">
        <f>IF(ber_IVmed!$F15=3,ber_IVmed!H15*0.05,0)</f>
        <v>0</v>
      </c>
      <c r="J15">
        <f>IF(ber_IVmed!$F15=4,ber_IVmed!H15*0.1,0)</f>
        <v>0</v>
      </c>
      <c r="K15">
        <f>IF(ber_IVmed!$F15=2,ber_IVmed!H15*0.155,0)</f>
        <v>0</v>
      </c>
      <c r="L15">
        <f t="shared" si="0"/>
        <v>0</v>
      </c>
      <c r="M15">
        <f t="shared" si="1"/>
        <v>0</v>
      </c>
      <c r="N15">
        <f t="shared" si="2"/>
        <v>0</v>
      </c>
      <c r="O15">
        <f t="shared" si="3"/>
        <v>0</v>
      </c>
    </row>
    <row r="16" spans="1:17" x14ac:dyDescent="0.35">
      <c r="A16">
        <v>14</v>
      </c>
      <c r="F16">
        <v>1</v>
      </c>
      <c r="H16">
        <f>IF(MedicatieIV!C22&lt;&gt;"",G16/10*24,0)</f>
        <v>0</v>
      </c>
      <c r="I16">
        <f>IF(ber_IVmed!$F16=3,ber_IVmed!H16*0.05,0)</f>
        <v>0</v>
      </c>
      <c r="J16">
        <f>IF(ber_IVmed!$F16=4,ber_IVmed!H16*0.1,0)</f>
        <v>0</v>
      </c>
      <c r="K16">
        <f>IF(ber_IVmed!$F16=2,ber_IVmed!H16*0.155,0)</f>
        <v>0</v>
      </c>
      <c r="L16">
        <f t="shared" si="0"/>
        <v>0</v>
      </c>
      <c r="M16">
        <f t="shared" si="1"/>
        <v>0</v>
      </c>
      <c r="N16">
        <f t="shared" si="2"/>
        <v>0</v>
      </c>
      <c r="O16">
        <f t="shared" si="3"/>
        <v>0</v>
      </c>
    </row>
    <row r="17" spans="1:15" x14ac:dyDescent="0.35">
      <c r="A17">
        <v>15</v>
      </c>
      <c r="F17">
        <v>1</v>
      </c>
      <c r="H17">
        <f>IF(MedicatieIV!C23&lt;&gt;"",G17/10*24,0)</f>
        <v>0</v>
      </c>
      <c r="I17">
        <f>IF(ber_IVmed!$F17=3,ber_IVmed!H17*0.05,0)</f>
        <v>0</v>
      </c>
      <c r="J17">
        <f>IF(ber_IVmed!$F17=4,ber_IVmed!H17*0.1,0)</f>
        <v>0</v>
      </c>
      <c r="K17">
        <f>IF(ber_IVmed!$F17=2,ber_IVmed!H17*0.155,0)</f>
        <v>0</v>
      </c>
      <c r="L17">
        <f t="shared" si="0"/>
        <v>0</v>
      </c>
      <c r="M17">
        <f t="shared" si="1"/>
        <v>0</v>
      </c>
      <c r="N17">
        <f t="shared" si="2"/>
        <v>0</v>
      </c>
      <c r="O17">
        <f t="shared" si="3"/>
        <v>0</v>
      </c>
    </row>
    <row r="18" spans="1:15" x14ac:dyDescent="0.35">
      <c r="H18">
        <f>SUM(H3:H17)</f>
        <v>43.2</v>
      </c>
      <c r="I18">
        <f>SUM(I3:I17)</f>
        <v>0</v>
      </c>
      <c r="J18">
        <f>SUM(J3:J17)</f>
        <v>0</v>
      </c>
      <c r="L18">
        <f>SUM(L3:L17)+SUM(K3:K17)</f>
        <v>6.3239999999999998</v>
      </c>
      <c r="M18">
        <f>SUM(M3:M17)</f>
        <v>0</v>
      </c>
      <c r="N18">
        <f>SUM(N3:N17)</f>
        <v>0</v>
      </c>
      <c r="O18">
        <f>SUM(O3:O17)</f>
        <v>0</v>
      </c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>
    <outlinePr showOutlineSymbols="0"/>
  </sheetPr>
  <dimension ref="A1:BL128"/>
  <sheetViews>
    <sheetView showGridLines="0" showRowColHeaders="0" showZeros="0" showOutlineSymbols="0" workbookViewId="0">
      <pane ySplit="4" topLeftCell="A5" activePane="bottomLeft" state="frozenSplit"/>
      <selection sqref="A1:P3"/>
      <selection pane="bottomLeft" activeCell="E5" sqref="E5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  <c r="AH1" s="153"/>
      <c r="AI1" s="153"/>
      <c r="AJ1" s="153"/>
      <c r="AK1" s="153"/>
      <c r="AL1" s="153"/>
      <c r="AM1" s="153"/>
      <c r="AN1" s="153"/>
      <c r="AO1" s="153"/>
      <c r="AP1" s="153"/>
      <c r="AQ1" s="153"/>
      <c r="AR1" s="153"/>
      <c r="AS1" s="153"/>
      <c r="AT1" s="153"/>
      <c r="AU1" s="153"/>
      <c r="AV1" s="153"/>
      <c r="AW1" s="153"/>
      <c r="AX1" s="153"/>
      <c r="AY1" s="153"/>
      <c r="AZ1" s="153"/>
      <c r="BA1" s="153"/>
      <c r="BB1" s="153"/>
      <c r="BC1" s="153"/>
      <c r="BD1" s="153"/>
      <c r="BE1" s="153"/>
      <c r="BF1" s="153"/>
      <c r="BG1" s="153"/>
      <c r="BH1" s="153"/>
      <c r="BI1" s="153"/>
      <c r="BJ1" s="153"/>
      <c r="BK1" s="153"/>
    </row>
    <row r="2" spans="1:64" s="33" customFormat="1" ht="17.25" customHeight="1" x14ac:dyDescent="0.4">
      <c r="A2" s="153"/>
      <c r="B2" s="153"/>
      <c r="C2" s="154" t="s">
        <v>818</v>
      </c>
      <c r="D2" s="153"/>
      <c r="E2" s="155">
        <f ca="1">AfspraakDatum</f>
        <v>42251</v>
      </c>
      <c r="F2" s="156"/>
      <c r="G2" s="153"/>
      <c r="H2" s="154" t="s">
        <v>819</v>
      </c>
      <c r="I2" s="153"/>
      <c r="J2" s="157">
        <f>OpnDatum</f>
        <v>41363</v>
      </c>
      <c r="K2" s="154" t="str">
        <f ca="1">"ICU-dag: "&amp;AfspraakDatum-OpnDatum+1</f>
        <v>ICU-dag: 889</v>
      </c>
      <c r="L2" s="153"/>
      <c r="M2" s="154"/>
      <c r="N2" s="154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3"/>
      <c r="AR2" s="153"/>
      <c r="AS2" s="153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3"/>
    </row>
    <row r="3" spans="1:64" s="33" customFormat="1" ht="17.25" customHeight="1" x14ac:dyDescent="0.4">
      <c r="A3" s="153"/>
      <c r="B3" s="153"/>
      <c r="C3" s="154" t="s">
        <v>75</v>
      </c>
      <c r="D3" s="153"/>
      <c r="E3" s="158" t="str">
        <f>_AchterNaam&amp;", "&amp;_VoorNaam</f>
        <v>Achternaam, Voornaam</v>
      </c>
      <c r="F3" s="158"/>
      <c r="G3" s="153"/>
      <c r="H3" s="154" t="s">
        <v>833</v>
      </c>
      <c r="I3" s="153"/>
      <c r="J3" s="157">
        <f>GebDatum</f>
        <v>41732</v>
      </c>
      <c r="K3" s="159" t="str">
        <f>"Gewicht: "&amp;Gewicht/10&amp;" kg"</f>
        <v>Gewicht: 5 kg</v>
      </c>
      <c r="L3" s="154"/>
      <c r="M3" s="153"/>
      <c r="N3" s="159" t="str">
        <f>"Lengte: "&amp;Lengte&amp;" cm"</f>
        <v>Lengte: 61 cm</v>
      </c>
      <c r="O3" s="154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  <c r="AH3" s="153"/>
      <c r="AI3" s="153"/>
      <c r="AJ3" s="153"/>
      <c r="AK3" s="153"/>
      <c r="AL3" s="153"/>
      <c r="AM3" s="153"/>
      <c r="AN3" s="153"/>
      <c r="AO3" s="153"/>
      <c r="AP3" s="153"/>
      <c r="AQ3" s="153"/>
      <c r="AR3" s="153"/>
      <c r="AS3" s="153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</row>
    <row r="4" spans="1:64" s="33" customFormat="1" ht="17.25" customHeight="1" x14ac:dyDescent="0.4">
      <c r="A4" s="153"/>
      <c r="B4" s="153"/>
      <c r="C4" s="154" t="s">
        <v>912</v>
      </c>
      <c r="D4" s="160"/>
      <c r="E4" s="159">
        <f>PatNummer</f>
        <v>0</v>
      </c>
      <c r="F4" s="156"/>
      <c r="G4" s="160"/>
      <c r="H4" s="154" t="s">
        <v>760</v>
      </c>
      <c r="I4" s="160"/>
      <c r="J4" s="161" t="str">
        <f ca="1">TRUNC((AfspraakDatum-GebDatum)/365,0)&amp;" jaar en "&amp;TRUNC(((AfspraakDatum-GebDatum)-365*TRUNC((AfspraakDatum-GebDatum)/365,0))/30,0)&amp;" maand(-en)"</f>
        <v>1 jaar en 5 maand(-en)</v>
      </c>
      <c r="K4" s="154"/>
      <c r="L4" s="160"/>
      <c r="M4" s="154" t="str">
        <f>"Lichamelijk oppervlak: "&amp;ROUND(POWER(Gewicht/10,0.425)*POWER(((Lengte/100)*100),0.725)*0.007184,2)&amp;" m2"</f>
        <v>Lichamelijk oppervlak: 0,28 m2</v>
      </c>
      <c r="N4" s="154"/>
      <c r="O4" s="160"/>
      <c r="P4" s="160"/>
      <c r="Q4" s="160"/>
      <c r="R4" s="153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  <c r="AH4" s="153"/>
      <c r="AI4" s="153"/>
      <c r="AJ4" s="153"/>
      <c r="AK4" s="153"/>
      <c r="AL4" s="153"/>
      <c r="AM4" s="153"/>
      <c r="AN4" s="153"/>
      <c r="AO4" s="153"/>
      <c r="AP4" s="153"/>
      <c r="AQ4" s="153"/>
      <c r="AR4" s="153"/>
      <c r="AS4" s="153"/>
      <c r="AT4" s="153"/>
      <c r="AU4" s="153"/>
      <c r="AV4" s="153"/>
      <c r="AW4" s="153"/>
      <c r="AX4" s="153"/>
      <c r="AY4" s="153"/>
      <c r="AZ4" s="153"/>
      <c r="BA4" s="153"/>
      <c r="BB4" s="153"/>
      <c r="BC4" s="153"/>
      <c r="BD4" s="153"/>
      <c r="BE4" s="153"/>
      <c r="BF4" s="153"/>
      <c r="BG4" s="153"/>
      <c r="BH4" s="153"/>
      <c r="BI4" s="153"/>
      <c r="BJ4" s="153"/>
      <c r="BK4" s="153"/>
    </row>
    <row r="5" spans="1:64" s="313" customFormat="1" x14ac:dyDescent="0.35">
      <c r="A5" s="162"/>
      <c r="B5" s="162"/>
      <c r="C5" s="162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63"/>
      <c r="O5" s="162"/>
      <c r="P5" s="162"/>
      <c r="Q5" s="162"/>
      <c r="R5" s="162"/>
      <c r="S5" s="162"/>
      <c r="T5" s="162"/>
      <c r="U5" s="162"/>
      <c r="V5" s="162"/>
    </row>
    <row r="6" spans="1:64" s="313" customFormat="1" ht="19.55" customHeight="1" x14ac:dyDescent="0.4">
      <c r="A6" s="162"/>
      <c r="B6" s="164">
        <v>1</v>
      </c>
      <c r="C6" s="165"/>
      <c r="D6" s="316">
        <f>ber_Med_disc!C2</f>
        <v>0</v>
      </c>
      <c r="E6" s="316"/>
      <c r="F6" s="316"/>
      <c r="G6" s="316"/>
      <c r="H6" s="166" t="str">
        <f>IF(INDEX(ber_Med_disc!$D$27:$D$38,ber_Med_disc!I2,1)=0,"",INDEX(ber_Med_disc!$D$27:$D$38,ber_Med_disc!I2,1))</f>
        <v/>
      </c>
      <c r="I6" s="167" t="str">
        <f>IF(ber_Med_disc!C2&gt;1,ber_Med_disc!H2,"")</f>
        <v/>
      </c>
      <c r="J6" s="168" t="str">
        <f>IF(ber_Med_disc!C2&gt;1,ber_Med_disc!F2,"")</f>
        <v/>
      </c>
      <c r="K6" s="169">
        <f>ber_Med_disc!L2</f>
        <v>0</v>
      </c>
      <c r="L6" s="162" t="str">
        <f>IF(AND(ber_Med_disc!C2&gt;1,ber_Med_disc!O2&gt;1),ber_Med_disc!N2,"")</f>
        <v/>
      </c>
      <c r="M6" s="162" t="str">
        <f>IF(AND(ber_Med_disc!C2&gt;1,L6&lt;&gt;0,ber_Med_disc!O2&gt;1),"ml","")</f>
        <v/>
      </c>
      <c r="N6" s="162"/>
      <c r="O6" s="162" t="str">
        <f>IF(AND(L6&lt;&gt;"",ber_Med_disc!Q2&gt;0),ber_Med_disc!Q2&amp;" min","")</f>
        <v/>
      </c>
      <c r="P6" s="162"/>
      <c r="Q6" s="162"/>
      <c r="R6" s="162"/>
      <c r="S6" s="162"/>
      <c r="T6" s="162"/>
      <c r="U6" s="162"/>
      <c r="V6" s="162"/>
    </row>
    <row r="7" spans="1:64" s="313" customFormat="1" ht="19.55" customHeight="1" x14ac:dyDescent="0.35">
      <c r="A7" s="163"/>
      <c r="B7" s="170" t="s">
        <v>791</v>
      </c>
      <c r="C7" s="171"/>
      <c r="D7" s="173">
        <f>ber_Opm!C16</f>
        <v>0</v>
      </c>
      <c r="E7" s="173"/>
      <c r="F7" s="173"/>
      <c r="G7" s="173"/>
      <c r="H7" s="172" t="str">
        <f>IF(ber_Med_disc!C2&gt;1,"Dosering/kg/dag: ","")</f>
        <v/>
      </c>
      <c r="I7" s="171"/>
      <c r="J7" s="173" t="str">
        <f>IF(ber_Med_disc!C2&gt;1,ber_Med_disc!M2,"")</f>
        <v/>
      </c>
      <c r="K7" s="171" t="str">
        <f>IF(AND(ber_Med_disc!C2&gt;1),J6&amp;"/kg/dag ","")</f>
        <v/>
      </c>
      <c r="L7" s="171"/>
      <c r="M7" s="171" t="str">
        <f>IF(AND(ber_Med_disc!C2&gt;1,ber_Med_disc!O2&gt;1,ber_Med_disc!N2&gt;0),"Oplossing:","")</f>
        <v/>
      </c>
      <c r="N7" s="171" t="str">
        <f>IF(AND(ber_Med_disc!C2&gt;1,ber_Med_disc!O2&gt;1,ber_Med_disc!N2&gt;0),ROUND(ber_Med_disc!H2/ber_Med_disc!N2,2)&amp;" "&amp;ber_Med_disc!F2&amp;"/ml","")</f>
        <v/>
      </c>
      <c r="O7" s="171"/>
      <c r="P7" s="171"/>
      <c r="Q7" s="162"/>
      <c r="R7" s="162"/>
      <c r="S7" s="162"/>
      <c r="T7" s="162"/>
      <c r="U7" s="162"/>
      <c r="V7" s="162"/>
    </row>
    <row r="8" spans="1:64" s="313" customFormat="1" ht="19.55" customHeight="1" x14ac:dyDescent="0.4">
      <c r="A8" s="162"/>
      <c r="B8" s="164">
        <v>2</v>
      </c>
      <c r="C8" s="165"/>
      <c r="D8" s="362">
        <f>ber_Med_disc!C3</f>
        <v>0</v>
      </c>
      <c r="E8" s="362"/>
      <c r="F8" s="362"/>
      <c r="G8" s="362"/>
      <c r="H8" s="166" t="str">
        <f>IF(INDEX(ber_Med_disc!$D$27:$D$38,ber_Med_disc!I3,1)=0,"",INDEX(ber_Med_disc!$D$27:$D$38,ber_Med_disc!I3,1))</f>
        <v/>
      </c>
      <c r="I8" s="167" t="str">
        <f>IF(ber_Med_disc!C3&gt;1,ber_Med_disc!H3,"")</f>
        <v/>
      </c>
      <c r="J8" s="168" t="str">
        <f>IF(ber_Med_disc!C3&gt;1,ber_Med_disc!F3,"")</f>
        <v/>
      </c>
      <c r="K8" s="169">
        <f>ber_Med_disc!L3</f>
        <v>0</v>
      </c>
      <c r="L8" s="162" t="str">
        <f>IF(AND(ber_Med_disc!C3&gt;1,ber_Med_disc!O3&gt;1,H8&lt;&gt;"STOP"),ber_Med_disc!N3,"")</f>
        <v/>
      </c>
      <c r="M8" s="162" t="str">
        <f>IF(AND(ber_Med_disc!C3&gt;1,L8&lt;&gt;0,ber_Med_disc!O3&gt;1,H8&lt;&gt;"STOP"),"ml","")</f>
        <v/>
      </c>
      <c r="N8" s="162"/>
      <c r="O8" s="162" t="str">
        <f>IF(AND(L8&lt;&gt;"",ber_Med_disc!Q3&gt;0,H8&lt;&gt;"STOP"),ber_Med_disc!Q3&amp;" min","")</f>
        <v/>
      </c>
      <c r="P8" s="162"/>
      <c r="Q8" s="162"/>
      <c r="R8" s="162"/>
      <c r="S8" s="162"/>
      <c r="T8" s="162"/>
      <c r="U8" s="162"/>
      <c r="V8" s="162"/>
    </row>
    <row r="9" spans="1:64" s="313" customFormat="1" ht="19.55" customHeight="1" x14ac:dyDescent="0.35">
      <c r="A9" s="162"/>
      <c r="B9" s="170" t="s">
        <v>791</v>
      </c>
      <c r="C9" s="171"/>
      <c r="D9" s="173">
        <f>ber_Opm!C17</f>
        <v>0</v>
      </c>
      <c r="E9" s="173"/>
      <c r="F9" s="173"/>
      <c r="G9" s="173"/>
      <c r="H9" s="172" t="str">
        <f>IF(AND(ber_Med_disc!C3&gt;1,H8&lt;&gt;"STOP"),"Dosering/kg/dag: ","")</f>
        <v/>
      </c>
      <c r="I9" s="171"/>
      <c r="J9" s="173" t="str">
        <f>IF(ber_Med_disc!C3&gt;1,ber_Med_disc!M3,"")</f>
        <v/>
      </c>
      <c r="K9" s="171" t="str">
        <f>IF(AND(ber_Med_disc!C3&gt;1,H8&lt;&gt;"STOP"),J8&amp;"/kg/dag ","")</f>
        <v/>
      </c>
      <c r="L9" s="171"/>
      <c r="M9" s="171" t="str">
        <f>IF(AND(ber_Med_disc!C3&gt;1,ber_Med_disc!O3&gt;1,ber_Med_disc!N3&gt;0,H8&lt;&gt;"STOP"),"Oplossing:","")</f>
        <v/>
      </c>
      <c r="N9" s="171" t="str">
        <f>IF(AND(ber_Med_disc!C3&gt;1,ber_Med_disc!O3&gt;1,ber_Med_disc!N3&gt;0,H8&lt;&gt;"STOP"),ROUND(ber_Med_disc!H3/ber_Med_disc!N3,2)&amp;" "&amp;ber_Med_disc!F3&amp;"/ml","")</f>
        <v/>
      </c>
      <c r="O9" s="171"/>
      <c r="P9" s="171"/>
      <c r="Q9" s="162"/>
      <c r="R9" s="162"/>
      <c r="S9" s="162"/>
      <c r="T9" s="162"/>
      <c r="U9" s="162"/>
      <c r="V9" s="162"/>
    </row>
    <row r="10" spans="1:64" s="313" customFormat="1" ht="19.55" customHeight="1" x14ac:dyDescent="0.4">
      <c r="A10" s="162"/>
      <c r="B10" s="164">
        <v>3</v>
      </c>
      <c r="C10" s="165"/>
      <c r="D10" s="362">
        <f>ber_Med_disc!C4</f>
        <v>0</v>
      </c>
      <c r="E10" s="362"/>
      <c r="F10" s="362"/>
      <c r="G10" s="362"/>
      <c r="H10" s="166" t="str">
        <f>IF(INDEX(ber_Med_disc!$D$27:$D$38,ber_Med_disc!I4,1)=0,"",INDEX(ber_Med_disc!$D$27:$D$38,ber_Med_disc!I4,1))</f>
        <v/>
      </c>
      <c r="I10" s="167" t="str">
        <f>IF(ber_Med_disc!C4&gt;1,ber_Med_disc!H4,"")</f>
        <v/>
      </c>
      <c r="J10" s="168" t="str">
        <f>IF(ber_Med_disc!C4&gt;1,ber_Med_disc!F4,"")</f>
        <v/>
      </c>
      <c r="K10" s="169">
        <f>ber_Med_disc!L4</f>
        <v>0</v>
      </c>
      <c r="L10" s="162" t="str">
        <f>IF(AND(ber_Med_disc!C4&gt;1,ber_Med_disc!O4&gt;1,H10&lt;&gt;"STOP"),ber_Med_disc!N4,"")</f>
        <v/>
      </c>
      <c r="M10" s="162" t="str">
        <f>IF(AND(ber_Med_disc!C4&gt;1,L10&lt;&gt;0,ber_Med_disc!O4&gt;1,H10&lt;&gt;"STOP"),"ml","")</f>
        <v/>
      </c>
      <c r="N10" s="162"/>
      <c r="O10" s="162" t="str">
        <f>IF(AND(L10&lt;&gt;"",ber_Med_disc!Q4&gt;0,H10&lt;&gt;"STOP"),ber_Med_disc!Q4&amp;" min","")</f>
        <v/>
      </c>
      <c r="P10" s="162"/>
      <c r="Q10" s="162"/>
      <c r="R10" s="162"/>
      <c r="S10" s="162"/>
      <c r="T10" s="162"/>
      <c r="U10" s="162"/>
      <c r="V10" s="162"/>
    </row>
    <row r="11" spans="1:64" s="313" customFormat="1" ht="19.55" customHeight="1" x14ac:dyDescent="0.35">
      <c r="A11" s="162"/>
      <c r="B11" s="170" t="s">
        <v>791</v>
      </c>
      <c r="C11" s="171"/>
      <c r="D11" s="173">
        <f>ber_Opm!C18</f>
        <v>0</v>
      </c>
      <c r="E11" s="173"/>
      <c r="F11" s="173"/>
      <c r="G11" s="173"/>
      <c r="H11" s="172" t="str">
        <f>IF(AND(ber_Med_disc!C4&gt;1,H10&lt;&gt;"STOP"),"Dosering/kg/dag: ","")</f>
        <v/>
      </c>
      <c r="I11" s="171"/>
      <c r="J11" s="173" t="str">
        <f>IF(ber_Med_disc!C4&gt;1,ber_Med_disc!M4,"")</f>
        <v/>
      </c>
      <c r="K11" s="171" t="str">
        <f>IF(AND(ber_Med_disc!C4&gt;1,H10&lt;&gt;"STOP"),J10&amp;"/kg/dag ","")</f>
        <v/>
      </c>
      <c r="L11" s="171"/>
      <c r="M11" s="171" t="str">
        <f>IF(AND(ber_Med_disc!C4&gt;1,ber_Med_disc!O4&gt;1,ber_Med_disc!N4&gt;0,H10&lt;&gt;"STOP"),"Oplossing:","")</f>
        <v/>
      </c>
      <c r="N11" s="171" t="str">
        <f>IF(AND(ber_Med_disc!C4&gt;1,ber_Med_disc!O4&gt;1,ber_Med_disc!N4&gt;0,H10&lt;&gt;"STOP"),ROUND(ber_Med_disc!H4/ber_Med_disc!N4,2)&amp;" "&amp;ber_Med_disc!F4&amp;"/ml","")</f>
        <v/>
      </c>
      <c r="O11" s="171"/>
      <c r="P11" s="171"/>
      <c r="Q11" s="162"/>
      <c r="R11" s="162"/>
      <c r="S11" s="162"/>
      <c r="T11" s="162"/>
      <c r="U11" s="162"/>
      <c r="V11" s="162"/>
    </row>
    <row r="12" spans="1:64" s="313" customFormat="1" ht="19.55" customHeight="1" x14ac:dyDescent="0.4">
      <c r="A12" s="162"/>
      <c r="B12" s="164">
        <v>4</v>
      </c>
      <c r="C12" s="165"/>
      <c r="D12" s="362">
        <f>ber_Med_disc!C5</f>
        <v>0</v>
      </c>
      <c r="E12" s="362"/>
      <c r="F12" s="362"/>
      <c r="G12" s="362"/>
      <c r="H12" s="166" t="str">
        <f>IF(INDEX(ber_Med_disc!$D$27:$D$38,ber_Med_disc!I5,1)=0,"",INDEX(ber_Med_disc!$D$27:$D$38,ber_Med_disc!I5,1))</f>
        <v/>
      </c>
      <c r="I12" s="167" t="str">
        <f>IF(ber_Med_disc!C5&gt;1,ber_Med_disc!H5,"")</f>
        <v/>
      </c>
      <c r="J12" s="168" t="str">
        <f>IF(ber_Med_disc!C5&gt;1,ber_Med_disc!F5,"")</f>
        <v/>
      </c>
      <c r="K12" s="169">
        <f>ber_Med_disc!L5</f>
        <v>0</v>
      </c>
      <c r="L12" s="162" t="str">
        <f>IF(AND(ber_Med_disc!C5&gt;1,ber_Med_disc!O5&gt;1,H12&lt;&gt;"STOP"),ber_Med_disc!N5,"")</f>
        <v/>
      </c>
      <c r="M12" s="162" t="str">
        <f>IF(AND(ber_Med_disc!C5&gt;1,L12&lt;&gt;0,ber_Med_disc!O5&gt;1,H12&lt;&gt;"STOP"),"ml","")</f>
        <v/>
      </c>
      <c r="N12" s="162"/>
      <c r="O12" s="162" t="str">
        <f>IF(AND(L12&lt;&gt;"",ber_Med_disc!Q5&gt;0,H12&lt;&gt;"STOP"),ber_Med_disc!Q5&amp;" min","")</f>
        <v/>
      </c>
      <c r="P12" s="162"/>
      <c r="Q12" s="162"/>
      <c r="R12" s="162"/>
      <c r="S12" s="162"/>
      <c r="T12" s="162"/>
      <c r="U12" s="162"/>
      <c r="V12" s="162"/>
    </row>
    <row r="13" spans="1:64" s="313" customFormat="1" ht="19.55" customHeight="1" x14ac:dyDescent="0.35">
      <c r="A13" s="162"/>
      <c r="B13" s="170" t="s">
        <v>791</v>
      </c>
      <c r="C13" s="171"/>
      <c r="D13" s="173">
        <f>ber_Opm!C19</f>
        <v>0</v>
      </c>
      <c r="E13" s="173"/>
      <c r="F13" s="173"/>
      <c r="G13" s="173"/>
      <c r="H13" s="172" t="str">
        <f>IF(AND(ber_Med_disc!C5&gt;1,H12&lt;&gt;"STOP"),"Dosering/kg/dag: ","")</f>
        <v/>
      </c>
      <c r="I13" s="171"/>
      <c r="J13" s="173" t="str">
        <f>IF(ber_Med_disc!C5&gt;1,ber_Med_disc!M5,"")</f>
        <v/>
      </c>
      <c r="K13" s="171" t="str">
        <f>IF(AND(ber_Med_disc!C5&gt;1,H12&lt;&gt;"STOP"),J12&amp;"/kg/dag ","")</f>
        <v/>
      </c>
      <c r="L13" s="171"/>
      <c r="M13" s="171" t="str">
        <f>IF(AND(ber_Med_disc!C5&gt;1,ber_Med_disc!O5&gt;1,ber_Med_disc!N5&gt;0,H12&lt;&gt;"STOP"),"Oplossing:","")</f>
        <v/>
      </c>
      <c r="N13" s="171" t="str">
        <f>IF(AND(ber_Med_disc!C5&gt;1,ber_Med_disc!O5&gt;1,ber_Med_disc!N5&gt;0,H12&lt;&gt;"STOP"),ROUND(ber_Med_disc!H5/ber_Med_disc!N5,2)&amp;" "&amp;ber_Med_disc!F5&amp;"/ml","")</f>
        <v/>
      </c>
      <c r="O13" s="171"/>
      <c r="P13" s="171"/>
      <c r="Q13" s="162"/>
      <c r="R13" s="174"/>
      <c r="S13" s="174"/>
      <c r="T13" s="174"/>
      <c r="U13" s="174"/>
      <c r="V13" s="174"/>
      <c r="W13" s="314"/>
      <c r="X13" s="314"/>
      <c r="Y13" s="314"/>
      <c r="Z13" s="314"/>
      <c r="AA13" s="314"/>
      <c r="AB13" s="314"/>
      <c r="AC13" s="314"/>
      <c r="AD13" s="314"/>
      <c r="AE13" s="314"/>
      <c r="AF13" s="314"/>
      <c r="AG13" s="314"/>
      <c r="AH13" s="314"/>
      <c r="AI13" s="314"/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314"/>
      <c r="BG13" s="314"/>
      <c r="BH13" s="314"/>
      <c r="BI13" s="314"/>
      <c r="BJ13" s="314"/>
      <c r="BK13" s="314"/>
      <c r="BL13" s="314"/>
    </row>
    <row r="14" spans="1:64" s="314" customFormat="1" ht="19.55" customHeight="1" x14ac:dyDescent="0.4">
      <c r="A14" s="162"/>
      <c r="B14" s="164">
        <v>5</v>
      </c>
      <c r="C14" s="165"/>
      <c r="D14" s="362">
        <f>ber_Med_disc!C6</f>
        <v>0</v>
      </c>
      <c r="E14" s="362"/>
      <c r="F14" s="362"/>
      <c r="G14" s="362"/>
      <c r="H14" s="166" t="str">
        <f>IF(INDEX(ber_Med_disc!$D$27:$D$38,ber_Med_disc!I6,1)=0,"",INDEX(ber_Med_disc!$D$27:$D$38,ber_Med_disc!I6,1))</f>
        <v/>
      </c>
      <c r="I14" s="167" t="str">
        <f>IF(ber_Med_disc!C6&gt;1,ber_Med_disc!H6,"")</f>
        <v/>
      </c>
      <c r="J14" s="168" t="str">
        <f>IF(ber_Med_disc!C6&gt;1,ber_Med_disc!F6,"")</f>
        <v/>
      </c>
      <c r="K14" s="169">
        <f>ber_Med_disc!L6</f>
        <v>0</v>
      </c>
      <c r="L14" s="162" t="str">
        <f>IF(AND(ber_Med_disc!C6&gt;1,ber_Med_disc!O6&gt;1,H14&lt;&gt;"STOP"),ber_Med_disc!N6,"")</f>
        <v/>
      </c>
      <c r="M14" s="162" t="str">
        <f>IF(AND(ber_Med_disc!C6&gt;1,L14&lt;&gt;0,ber_Med_disc!O6&gt;1,H14&lt;&gt;"STOP"),"ml","")</f>
        <v/>
      </c>
      <c r="N14" s="162"/>
      <c r="O14" s="162" t="str">
        <f>IF(AND(L14&lt;&gt;"",ber_Med_disc!Q6&gt;0,H14&lt;&gt;"STOP"),ber_Med_disc!Q6&amp;" min","")</f>
        <v/>
      </c>
      <c r="P14" s="162"/>
      <c r="Q14" s="162"/>
      <c r="R14" s="162"/>
      <c r="S14" s="162"/>
      <c r="T14" s="162"/>
      <c r="U14" s="162"/>
      <c r="V14" s="162"/>
      <c r="W14" s="313"/>
      <c r="X14" s="313"/>
      <c r="Y14" s="313"/>
      <c r="Z14" s="313"/>
      <c r="AA14" s="313"/>
      <c r="AB14" s="313"/>
      <c r="AC14" s="313"/>
      <c r="AD14" s="313"/>
      <c r="AE14" s="313"/>
      <c r="AF14" s="313"/>
      <c r="AG14" s="313"/>
      <c r="AH14" s="313"/>
      <c r="AI14" s="313"/>
      <c r="AJ14" s="313"/>
      <c r="AK14" s="313"/>
      <c r="AL14" s="313"/>
      <c r="AM14" s="313"/>
      <c r="AN14" s="313"/>
      <c r="AO14" s="313"/>
      <c r="AP14" s="313"/>
      <c r="AQ14" s="313"/>
      <c r="AR14" s="313"/>
      <c r="AS14" s="313"/>
      <c r="AT14" s="313"/>
      <c r="AU14" s="313"/>
      <c r="AV14" s="313"/>
      <c r="AW14" s="313"/>
      <c r="AX14" s="313"/>
      <c r="AY14" s="313"/>
      <c r="AZ14" s="313"/>
      <c r="BA14" s="313"/>
      <c r="BB14" s="313"/>
      <c r="BC14" s="313"/>
      <c r="BD14" s="313"/>
      <c r="BE14" s="313"/>
      <c r="BF14" s="313"/>
      <c r="BG14" s="313"/>
      <c r="BH14" s="313"/>
      <c r="BI14" s="313"/>
      <c r="BJ14" s="313"/>
      <c r="BK14" s="313"/>
      <c r="BL14" s="313"/>
    </row>
    <row r="15" spans="1:64" s="313" customFormat="1" ht="19.55" customHeight="1" x14ac:dyDescent="0.35">
      <c r="A15" s="162"/>
      <c r="B15" s="170" t="s">
        <v>791</v>
      </c>
      <c r="C15" s="171"/>
      <c r="D15" s="173">
        <f>ber_Opm!C20</f>
        <v>0</v>
      </c>
      <c r="E15" s="173"/>
      <c r="F15" s="173"/>
      <c r="G15" s="173"/>
      <c r="H15" s="172" t="str">
        <f>IF(AND(ber_Med_disc!C6&gt;1,H14&lt;&gt;"STOP"),"Dosering/kg/dag: ","")</f>
        <v/>
      </c>
      <c r="I15" s="171"/>
      <c r="J15" s="173" t="str">
        <f>IF(ber_Med_disc!C6&gt;1,ber_Med_disc!M6,"")</f>
        <v/>
      </c>
      <c r="K15" s="171" t="str">
        <f>IF(AND(ber_Med_disc!C6&gt;1,H14&lt;&gt;"STOP"),J14&amp;"/kg/dag ","")</f>
        <v/>
      </c>
      <c r="L15" s="171"/>
      <c r="M15" s="171" t="str">
        <f>IF(AND(ber_Med_disc!C6&gt;1,ber_Med_disc!O6&gt;1,ber_Med_disc!N6&gt;0,H14&lt;&gt;"STOP"),"Oplossing:","")</f>
        <v/>
      </c>
      <c r="N15" s="171" t="str">
        <f>IF(AND(ber_Med_disc!C6&gt;1,ber_Med_disc!O6&gt;1,ber_Med_disc!N6&gt;0,H14&lt;&gt;"STOP"),ROUND(ber_Med_disc!H6/ber_Med_disc!N6,2)&amp;" "&amp;ber_Med_disc!F6&amp;"/ml","")</f>
        <v/>
      </c>
      <c r="O15" s="171"/>
      <c r="P15" s="171"/>
      <c r="Q15" s="162"/>
      <c r="R15" s="162"/>
      <c r="S15" s="162"/>
      <c r="T15" s="162"/>
      <c r="U15" s="162"/>
      <c r="V15" s="162"/>
    </row>
    <row r="16" spans="1:64" s="313" customFormat="1" ht="19.55" customHeight="1" x14ac:dyDescent="0.4">
      <c r="A16" s="162"/>
      <c r="B16" s="164">
        <v>6</v>
      </c>
      <c r="C16" s="165"/>
      <c r="D16" s="362">
        <f>ber_Med_disc!C7</f>
        <v>0</v>
      </c>
      <c r="E16" s="362"/>
      <c r="F16" s="362"/>
      <c r="G16" s="362"/>
      <c r="H16" s="166" t="str">
        <f>IF(INDEX(ber_Med_disc!$D$27:$D$38,ber_Med_disc!I7,1)=0,"",INDEX(ber_Med_disc!$D$27:$D$38,ber_Med_disc!I7,1))</f>
        <v/>
      </c>
      <c r="I16" s="167" t="str">
        <f>IF(ber_Med_disc!C7&gt;1,ber_Med_disc!H7,"")</f>
        <v/>
      </c>
      <c r="J16" s="168" t="str">
        <f>IF(ber_Med_disc!C7&gt;1,ber_Med_disc!F7,"")</f>
        <v/>
      </c>
      <c r="K16" s="169">
        <f>ber_Med_disc!L7</f>
        <v>0</v>
      </c>
      <c r="L16" s="162" t="str">
        <f>IF(AND(ber_Med_disc!C7&gt;1,ber_Med_disc!O7&gt;1,H16&lt;&gt;"STOP"),ber_Med_disc!N7,"")</f>
        <v/>
      </c>
      <c r="M16" s="162" t="str">
        <f>IF(AND(ber_Med_disc!C7&gt;1,L16&lt;&gt;0,ber_Med_disc!O7&gt;1,H16&lt;&gt;"STOP"),"ml","")</f>
        <v/>
      </c>
      <c r="N16" s="162"/>
      <c r="O16" s="162" t="str">
        <f>IF(AND(L16&lt;&gt;"",ber_Med_disc!Q7&gt;0,H16&lt;&gt;"STOP"),ber_Med_disc!Q7&amp;" min","")</f>
        <v/>
      </c>
      <c r="P16" s="162"/>
      <c r="Q16" s="162"/>
      <c r="R16" s="162"/>
      <c r="S16" s="162"/>
      <c r="T16" s="162"/>
      <c r="U16" s="162"/>
      <c r="V16" s="162"/>
    </row>
    <row r="17" spans="1:22" s="313" customFormat="1" ht="19.55" customHeight="1" x14ac:dyDescent="0.35">
      <c r="A17" s="162"/>
      <c r="B17" s="170" t="s">
        <v>791</v>
      </c>
      <c r="C17" s="171"/>
      <c r="D17" s="173">
        <f>ber_Opm!C21</f>
        <v>0</v>
      </c>
      <c r="E17" s="173"/>
      <c r="F17" s="173"/>
      <c r="G17" s="173"/>
      <c r="H17" s="172" t="str">
        <f>IF(AND(ber_Med_disc!C7&gt;1,H16&lt;&gt;"STOP"),"Dosering/kg/dag: ","")</f>
        <v/>
      </c>
      <c r="I17" s="171"/>
      <c r="J17" s="173" t="str">
        <f>IF(ber_Med_disc!C7&gt;1,ber_Med_disc!M7,"")</f>
        <v/>
      </c>
      <c r="K17" s="171" t="str">
        <f>IF(AND(ber_Med_disc!C7&gt;1,H16&lt;&gt;"STOP"),J16&amp;"/kg/dag ","")</f>
        <v/>
      </c>
      <c r="L17" s="171"/>
      <c r="M17" s="171" t="str">
        <f>IF(AND(ber_Med_disc!C7&gt;1,ber_Med_disc!O7&gt;1,ber_Med_disc!N7&gt;0,H16&lt;&gt;"STOP"),"Oplossing:","")</f>
        <v/>
      </c>
      <c r="N17" s="171" t="str">
        <f>IF(AND(ber_Med_disc!C7&gt;1,ber_Med_disc!O7&gt;1,ber_Med_disc!N7&gt;0,H16&lt;&gt;"STOP"),ROUND(ber_Med_disc!H7/ber_Med_disc!N7,2)&amp;" "&amp;ber_Med_disc!F7&amp;"/ml","")</f>
        <v/>
      </c>
      <c r="O17" s="171"/>
      <c r="P17" s="171"/>
      <c r="Q17" s="162"/>
      <c r="R17" s="162"/>
      <c r="S17" s="162"/>
      <c r="T17" s="162"/>
      <c r="U17" s="162"/>
      <c r="V17" s="162"/>
    </row>
    <row r="18" spans="1:22" s="313" customFormat="1" ht="19.55" customHeight="1" x14ac:dyDescent="0.4">
      <c r="A18" s="162"/>
      <c r="B18" s="164">
        <v>7</v>
      </c>
      <c r="C18" s="165"/>
      <c r="D18" s="362">
        <f>ber_Med_disc!C8</f>
        <v>0</v>
      </c>
      <c r="E18" s="362"/>
      <c r="F18" s="362"/>
      <c r="G18" s="362"/>
      <c r="H18" s="166" t="str">
        <f>IF(INDEX(ber_Med_disc!$D$27:$D$38,ber_Med_disc!I8,1)=0,"",INDEX(ber_Med_disc!$D$27:$D$38,ber_Med_disc!I8,1))</f>
        <v/>
      </c>
      <c r="I18" s="167" t="str">
        <f>IF(ber_Med_disc!C8&gt;1,ber_Med_disc!H8,"")</f>
        <v/>
      </c>
      <c r="J18" s="168" t="str">
        <f>IF(ber_Med_disc!C8&gt;1,ber_Med_disc!F8,"")</f>
        <v/>
      </c>
      <c r="K18" s="169">
        <f>ber_Med_disc!L8</f>
        <v>0</v>
      </c>
      <c r="L18" s="162" t="str">
        <f>IF(AND(ber_Med_disc!C8&gt;1,ber_Med_disc!O8&gt;1,H18&lt;&gt;"STOP"),ber_Med_disc!N8,"")</f>
        <v/>
      </c>
      <c r="M18" s="162" t="str">
        <f>IF(AND(ber_Med_disc!C8&gt;1,L18&lt;&gt;0,ber_Med_disc!O8&gt;1,H18&lt;&gt;"STOP"),"ml","")</f>
        <v/>
      </c>
      <c r="N18" s="162"/>
      <c r="O18" s="162" t="str">
        <f>IF(AND(L18&lt;&gt;"",ber_Med_disc!Q8&gt;0,H18&lt;&gt;"STOP"),ber_Med_disc!Q8&amp;" min","")</f>
        <v/>
      </c>
      <c r="P18" s="162"/>
      <c r="Q18" s="162"/>
      <c r="R18" s="162"/>
      <c r="S18" s="162"/>
      <c r="T18" s="162"/>
      <c r="U18" s="162"/>
      <c r="V18" s="162"/>
    </row>
    <row r="19" spans="1:22" s="313" customFormat="1" ht="19.55" customHeight="1" x14ac:dyDescent="0.35">
      <c r="A19" s="162"/>
      <c r="B19" s="170" t="s">
        <v>791</v>
      </c>
      <c r="C19" s="171"/>
      <c r="D19" s="173">
        <f>ber_Opm!C22</f>
        <v>0</v>
      </c>
      <c r="E19" s="173"/>
      <c r="F19" s="173"/>
      <c r="G19" s="173"/>
      <c r="H19" s="172" t="str">
        <f>IF(AND(ber_Med_disc!C8&gt;1,H18&lt;&gt;"STOP"),"Dosering/kg/dag: ","")</f>
        <v/>
      </c>
      <c r="I19" s="171"/>
      <c r="J19" s="173" t="str">
        <f>IF(ber_Med_disc!C8&gt;1,ber_Med_disc!M8,"")</f>
        <v/>
      </c>
      <c r="K19" s="171" t="str">
        <f>IF(AND(ber_Med_disc!C8&gt;1,H18&lt;&gt;"STOP"),J18&amp;"/kg/dag ","")</f>
        <v/>
      </c>
      <c r="L19" s="171"/>
      <c r="M19" s="171" t="str">
        <f>IF(AND(ber_Med_disc!C8&gt;1,ber_Med_disc!O8&gt;1,ber_Med_disc!N8&gt;0,H18&lt;&gt;"STOP"),"Oplossing:","")</f>
        <v/>
      </c>
      <c r="N19" s="171" t="str">
        <f>IF(AND(ber_Med_disc!C8&gt;1,ber_Med_disc!O8&gt;1,ber_Med_disc!N8&gt;0,H18&lt;&gt;"STOP"),ROUND(ber_Med_disc!H8/ber_Med_disc!N8,2)&amp;" "&amp;ber_Med_disc!F8&amp;"/ml","")</f>
        <v/>
      </c>
      <c r="O19" s="171"/>
      <c r="P19" s="171"/>
      <c r="Q19" s="162"/>
      <c r="R19" s="162"/>
      <c r="S19" s="162"/>
      <c r="T19" s="162"/>
      <c r="U19" s="162"/>
      <c r="V19" s="162"/>
    </row>
    <row r="20" spans="1:22" s="313" customFormat="1" ht="19.55" customHeight="1" x14ac:dyDescent="0.4">
      <c r="A20" s="162"/>
      <c r="B20" s="164">
        <v>8</v>
      </c>
      <c r="C20" s="165"/>
      <c r="D20" s="362">
        <f>ber_Med_disc!C9</f>
        <v>0</v>
      </c>
      <c r="E20" s="362"/>
      <c r="F20" s="362"/>
      <c r="G20" s="362"/>
      <c r="H20" s="166" t="str">
        <f>IF(INDEX(ber_Med_disc!$D$27:$D$38,ber_Med_disc!I9,1)=0,"",INDEX(ber_Med_disc!$D$27:$D$38,ber_Med_disc!I9,1))</f>
        <v/>
      </c>
      <c r="I20" s="167" t="str">
        <f>IF(ber_Med_disc!C9&gt;1,ber_Med_disc!H9,"")</f>
        <v/>
      </c>
      <c r="J20" s="168" t="str">
        <f>IF(ber_Med_disc!C9&gt;1,ber_Med_disc!F9,"")</f>
        <v/>
      </c>
      <c r="K20" s="169">
        <f>ber_Med_disc!L9</f>
        <v>0</v>
      </c>
      <c r="L20" s="162" t="str">
        <f>IF(AND(ber_Med_disc!C9&gt;1,ber_Med_disc!O9&gt;1,H20&lt;&gt;"STOP"),ber_Med_disc!N9,"")</f>
        <v/>
      </c>
      <c r="M20" s="162" t="str">
        <f>IF(AND(ber_Med_disc!C9&gt;1,L20&lt;&gt;0,ber_Med_disc!O9&gt;1,H20&lt;&gt;"STOP"),"ml","")</f>
        <v/>
      </c>
      <c r="N20" s="162"/>
      <c r="O20" s="162" t="str">
        <f>IF(AND(L20&lt;&gt;"",ber_Med_disc!Q9&gt;0,H20&lt;&gt;"STOP"),ber_Med_disc!Q9&amp;" min","")</f>
        <v/>
      </c>
      <c r="P20" s="162"/>
      <c r="Q20" s="162"/>
      <c r="R20" s="162"/>
      <c r="S20" s="162"/>
      <c r="T20" s="162"/>
      <c r="U20" s="162"/>
      <c r="V20" s="162"/>
    </row>
    <row r="21" spans="1:22" s="313" customFormat="1" ht="19.55" customHeight="1" x14ac:dyDescent="0.35">
      <c r="A21" s="162"/>
      <c r="B21" s="170" t="s">
        <v>791</v>
      </c>
      <c r="C21" s="171"/>
      <c r="D21" s="173">
        <f>ber_Opm!C23</f>
        <v>0</v>
      </c>
      <c r="E21" s="173"/>
      <c r="F21" s="173"/>
      <c r="G21" s="173"/>
      <c r="H21" s="172" t="str">
        <f>IF(AND(ber_Med_disc!C9&gt;1,H20&lt;&gt;"STOP"),"Dosering/kg/dag: ","")</f>
        <v/>
      </c>
      <c r="I21" s="171"/>
      <c r="J21" s="173" t="str">
        <f>IF(ber_Med_disc!C9&gt;1,ber_Med_disc!M9,"")</f>
        <v/>
      </c>
      <c r="K21" s="171" t="str">
        <f>IF(AND(ber_Med_disc!C9&gt;1,H20&lt;&gt;"STOP"),J20&amp;"/kg/dag ","")</f>
        <v/>
      </c>
      <c r="L21" s="171"/>
      <c r="M21" s="171" t="str">
        <f>IF(AND(ber_Med_disc!C9&gt;1,ber_Med_disc!O9&gt;1,ber_Med_disc!N9&gt;0,H20&lt;&gt;"STOP"),"Oplossing:","")</f>
        <v/>
      </c>
      <c r="N21" s="171" t="str">
        <f>IF(AND(ber_Med_disc!C9&gt;1,ber_Med_disc!O9&gt;1,ber_Med_disc!N9&gt;0,H20&lt;&gt;"STOP"),ROUND(ber_Med_disc!H9/ber_Med_disc!N9,2)&amp;" "&amp;ber_Med_disc!F9&amp;"/ml","")</f>
        <v/>
      </c>
      <c r="O21" s="171"/>
      <c r="P21" s="171"/>
      <c r="Q21" s="162"/>
      <c r="R21" s="162"/>
      <c r="S21" s="162"/>
      <c r="T21" s="162"/>
      <c r="U21" s="162"/>
      <c r="V21" s="162"/>
    </row>
    <row r="22" spans="1:22" s="313" customFormat="1" ht="19.55" customHeight="1" x14ac:dyDescent="0.4">
      <c r="A22" s="162"/>
      <c r="B22" s="164">
        <v>9</v>
      </c>
      <c r="C22" s="165"/>
      <c r="D22" s="362">
        <f>ber_Med_disc!C10</f>
        <v>0</v>
      </c>
      <c r="E22" s="362"/>
      <c r="F22" s="362"/>
      <c r="G22" s="362"/>
      <c r="H22" s="166" t="str">
        <f>IF(INDEX(ber_Med_disc!$D$27:$D$38,ber_Med_disc!I10,1)=0,"",INDEX(ber_Med_disc!$D$27:$D$38,ber_Med_disc!I10,1))</f>
        <v/>
      </c>
      <c r="I22" s="167" t="str">
        <f>IF(ber_Med_disc!C10&gt;1,ber_Med_disc!H10,"")</f>
        <v/>
      </c>
      <c r="J22" s="168" t="str">
        <f>IF(ber_Med_disc!C10&gt;1,ber_Med_disc!F10,"")</f>
        <v/>
      </c>
      <c r="K22" s="169">
        <f>ber_Med_disc!L10</f>
        <v>0</v>
      </c>
      <c r="L22" s="162" t="str">
        <f>IF(AND(ber_Med_disc!C10&gt;1,ber_Med_disc!O10&gt;1,H22&lt;&gt;"STOP"),ber_Med_disc!N10,"")</f>
        <v/>
      </c>
      <c r="M22" s="162" t="str">
        <f>IF(AND(ber_Med_disc!C10&gt;1,L22&lt;&gt;0,ber_Med_disc!O10&gt;1,H22&lt;&gt;"STOP"),"ml","")</f>
        <v/>
      </c>
      <c r="N22" s="162"/>
      <c r="O22" s="162" t="str">
        <f>IF(AND(L22&lt;&gt;"",ber_Med_disc!Q10&gt;0,H22&lt;&gt;"STOP"),ber_Med_disc!Q10&amp;" min","")</f>
        <v/>
      </c>
      <c r="P22" s="162"/>
      <c r="Q22" s="162"/>
      <c r="R22" s="162"/>
      <c r="S22" s="162"/>
      <c r="T22" s="162"/>
      <c r="U22" s="162"/>
      <c r="V22" s="162"/>
    </row>
    <row r="23" spans="1:22" s="313" customFormat="1" ht="19.55" customHeight="1" x14ac:dyDescent="0.35">
      <c r="A23" s="162"/>
      <c r="B23" s="170" t="s">
        <v>791</v>
      </c>
      <c r="C23" s="171"/>
      <c r="D23" s="173">
        <f>ber_Opm!C24</f>
        <v>0</v>
      </c>
      <c r="E23" s="173"/>
      <c r="F23" s="173"/>
      <c r="G23" s="173"/>
      <c r="H23" s="172" t="str">
        <f>IF(AND(ber_Med_disc!C10&gt;1,H22&lt;&gt;"STOP"),"Dosering/kg/dag: ","")</f>
        <v/>
      </c>
      <c r="I23" s="171"/>
      <c r="J23" s="173" t="str">
        <f>IF(ber_Med_disc!C10&gt;1,ber_Med_disc!M10,"")</f>
        <v/>
      </c>
      <c r="K23" s="171" t="str">
        <f>IF(AND(ber_Med_disc!C10&gt;1,H22&lt;&gt;"STOP"),J22&amp;"/kg/dag ","")</f>
        <v/>
      </c>
      <c r="L23" s="171"/>
      <c r="M23" s="171" t="str">
        <f>IF(AND(ber_Med_disc!C10&gt;1,ber_Med_disc!O10&gt;1,ber_Med_disc!N10&gt;0,H22&lt;&gt;"STOP"),"Oplossing:","")</f>
        <v/>
      </c>
      <c r="N23" s="171" t="str">
        <f>IF(AND(ber_Med_disc!C10&gt;1,ber_Med_disc!O10&gt;1,ber_Med_disc!N10&gt;0,H22&lt;&gt;"STOP"),ROUND(ber_Med_disc!H10/ber_Med_disc!N10,2)&amp;" "&amp;ber_Med_disc!F10&amp;"/ml","")</f>
        <v/>
      </c>
      <c r="O23" s="171"/>
      <c r="P23" s="171"/>
      <c r="Q23" s="162"/>
      <c r="R23" s="162"/>
      <c r="S23" s="162"/>
      <c r="T23" s="162"/>
      <c r="U23" s="162"/>
      <c r="V23" s="162"/>
    </row>
    <row r="24" spans="1:22" s="313" customFormat="1" ht="19.55" customHeight="1" x14ac:dyDescent="0.4">
      <c r="A24" s="162"/>
      <c r="B24" s="164">
        <v>10</v>
      </c>
      <c r="C24" s="165"/>
      <c r="D24" s="362">
        <f>ber_Med_disc!C11</f>
        <v>0</v>
      </c>
      <c r="E24" s="362"/>
      <c r="F24" s="362"/>
      <c r="G24" s="362"/>
      <c r="H24" s="166" t="str">
        <f>IF(INDEX(ber_Med_disc!$D$27:$D$38,ber_Med_disc!I11,1)=0,"",INDEX(ber_Med_disc!$D$27:$D$38,ber_Med_disc!I11,1))</f>
        <v/>
      </c>
      <c r="I24" s="167" t="str">
        <f>IF(ber_Med_disc!C11&gt;1,ber_Med_disc!H11,"")</f>
        <v/>
      </c>
      <c r="J24" s="168" t="str">
        <f>IF(ber_Med_disc!C11&gt;1,ber_Med_disc!F11,"")</f>
        <v/>
      </c>
      <c r="K24" s="169">
        <f>ber_Med_disc!L11</f>
        <v>0</v>
      </c>
      <c r="L24" s="162" t="str">
        <f>IF(AND(ber_Med_disc!C11&gt;1,ber_Med_disc!O11&gt;1,H24&lt;&gt;"STOP"),ber_Med_disc!N11,"")</f>
        <v/>
      </c>
      <c r="M24" s="162" t="str">
        <f>IF(AND(ber_Med_disc!C11&gt;1,L24&lt;&gt;0,ber_Med_disc!O11&gt;1,H24&lt;&gt;"STOP"),"ml","")</f>
        <v/>
      </c>
      <c r="N24" s="162"/>
      <c r="O24" s="162" t="str">
        <f>IF(AND(L24&lt;&gt;"",ber_Med_disc!Q11&gt;0,H24&lt;&gt;"STOP"),ber_Med_disc!Q11&amp;" min","")</f>
        <v/>
      </c>
      <c r="P24" s="162"/>
      <c r="Q24" s="162"/>
      <c r="R24" s="162"/>
      <c r="S24" s="162"/>
      <c r="T24" s="162"/>
      <c r="U24" s="162"/>
      <c r="V24" s="162"/>
    </row>
    <row r="25" spans="1:22" s="313" customFormat="1" ht="19.55" customHeight="1" x14ac:dyDescent="0.35">
      <c r="A25" s="162"/>
      <c r="B25" s="170" t="s">
        <v>791</v>
      </c>
      <c r="C25" s="171"/>
      <c r="D25" s="173">
        <f>ber_Opm!C25</f>
        <v>0</v>
      </c>
      <c r="E25" s="173"/>
      <c r="F25" s="173"/>
      <c r="G25" s="173"/>
      <c r="H25" s="172" t="str">
        <f>IF(AND(ber_Med_disc!C11&gt;1,H24&lt;&gt;"STOP"),"Dosering/kg/dag: ","")</f>
        <v/>
      </c>
      <c r="I25" s="171"/>
      <c r="J25" s="173" t="str">
        <f>IF(ber_Med_disc!C11&gt;1,ber_Med_disc!M11,"")</f>
        <v/>
      </c>
      <c r="K25" s="171" t="str">
        <f>IF(AND(ber_Med_disc!C11&gt;1,H24&lt;&gt;"STOP"),J24&amp;"/kg/dag ","")</f>
        <v/>
      </c>
      <c r="L25" s="171"/>
      <c r="M25" s="171" t="str">
        <f>IF(AND(ber_Med_disc!C11&gt;1,ber_Med_disc!O11&gt;1,ber_Med_disc!N11&gt;0,H24&lt;&gt;"STOP"),"Oplossing:","")</f>
        <v/>
      </c>
      <c r="N25" s="171" t="str">
        <f>IF(AND(ber_Med_disc!C11&gt;1,ber_Med_disc!O11&gt;1,ber_Med_disc!N11&gt;0,H24&lt;&gt;"STOP"),ROUND(ber_Med_disc!H11/ber_Med_disc!N11,2)&amp;" "&amp;ber_Med_disc!F11&amp;"/ml","")</f>
        <v/>
      </c>
      <c r="O25" s="171"/>
      <c r="P25" s="171"/>
      <c r="Q25" s="162"/>
      <c r="R25" s="162"/>
      <c r="S25" s="162"/>
      <c r="T25" s="162"/>
      <c r="U25" s="162"/>
      <c r="V25" s="162"/>
    </row>
    <row r="26" spans="1:22" s="313" customFormat="1" ht="19.55" customHeight="1" x14ac:dyDescent="0.4">
      <c r="A26" s="162"/>
      <c r="B26" s="164">
        <v>11</v>
      </c>
      <c r="C26" s="165"/>
      <c r="D26" s="362">
        <f>ber_Med_disc!C12</f>
        <v>0</v>
      </c>
      <c r="E26" s="362"/>
      <c r="F26" s="362"/>
      <c r="G26" s="362"/>
      <c r="H26" s="166" t="str">
        <f>IF(INDEX(ber_Med_disc!$D$27:$D$38,ber_Med_disc!I12,1)=0,"",INDEX(ber_Med_disc!$D$27:$D$38,ber_Med_disc!I12,1))</f>
        <v/>
      </c>
      <c r="I26" s="167" t="str">
        <f>IF(ber_Med_disc!C12&gt;1,ber_Med_disc!H12,"")</f>
        <v/>
      </c>
      <c r="J26" s="168" t="str">
        <f>IF(ber_Med_disc!C12&gt;1,ber_Med_disc!F12,"")</f>
        <v/>
      </c>
      <c r="K26" s="169">
        <f>ber_Med_disc!L12</f>
        <v>0</v>
      </c>
      <c r="L26" s="162" t="str">
        <f>IF(AND(ber_Med_disc!C12&gt;1,ber_Med_disc!O12&gt;1,H26&lt;&gt;"STOP"),ber_Med_disc!N12,"")</f>
        <v/>
      </c>
      <c r="M26" s="162" t="str">
        <f>IF(AND(ber_Med_disc!C12&gt;1,L26&lt;&gt;0,ber_Med_disc!O12&gt;1,H26&lt;&gt;"STOP"),"ml","")</f>
        <v/>
      </c>
      <c r="N26" s="162"/>
      <c r="O26" s="162" t="str">
        <f>IF(AND(L26&lt;&gt;"",ber_Med_disc!Q12&gt;0,H26&lt;&gt;"STOP"),ber_Med_disc!Q12&amp;" min","")</f>
        <v/>
      </c>
      <c r="P26" s="162"/>
      <c r="Q26" s="162"/>
      <c r="R26" s="162"/>
      <c r="S26" s="162"/>
      <c r="T26" s="162"/>
      <c r="U26" s="162"/>
      <c r="V26" s="162"/>
    </row>
    <row r="27" spans="1:22" s="313" customFormat="1" ht="19.55" customHeight="1" x14ac:dyDescent="0.35">
      <c r="A27" s="162"/>
      <c r="B27" s="170" t="s">
        <v>791</v>
      </c>
      <c r="C27" s="171"/>
      <c r="D27" s="173">
        <f>ber_Opm!C26</f>
        <v>0</v>
      </c>
      <c r="E27" s="173"/>
      <c r="F27" s="173"/>
      <c r="G27" s="173"/>
      <c r="H27" s="172" t="str">
        <f>IF(AND(ber_Med_disc!C12&gt;1,H26&lt;&gt;"STOP"),"Dosering/kg/dag: ","")</f>
        <v/>
      </c>
      <c r="I27" s="171"/>
      <c r="J27" s="173" t="str">
        <f>IF(ber_Med_disc!C12&gt;1,ber_Med_disc!M12,"")</f>
        <v/>
      </c>
      <c r="K27" s="171" t="str">
        <f>IF(AND(ber_Med_disc!C12&gt;1,H26&lt;&gt;"STOP"),J26&amp;"/kg/dag ","")</f>
        <v/>
      </c>
      <c r="L27" s="171"/>
      <c r="M27" s="171" t="str">
        <f>IF(AND(ber_Med_disc!C12&gt;1,ber_Med_disc!O12&gt;1,ber_Med_disc!N12&gt;0,H26&lt;&gt;"STOP"),"Oplossing:","")</f>
        <v/>
      </c>
      <c r="N27" s="171" t="str">
        <f>IF(AND(ber_Med_disc!C12&gt;1,ber_Med_disc!O12&gt;1,ber_Med_disc!N12&gt;0,H26&lt;&gt;"STOP"),ROUND(ber_Med_disc!H12/ber_Med_disc!N12,2)&amp;" "&amp;ber_Med_disc!F12&amp;"/ml","")</f>
        <v/>
      </c>
      <c r="O27" s="171"/>
      <c r="P27" s="171"/>
      <c r="Q27" s="162"/>
      <c r="R27" s="162"/>
      <c r="S27" s="162"/>
      <c r="T27" s="162"/>
      <c r="U27" s="162"/>
      <c r="V27" s="162"/>
    </row>
    <row r="28" spans="1:22" s="313" customFormat="1" ht="19.55" customHeight="1" x14ac:dyDescent="0.4">
      <c r="A28" s="162"/>
      <c r="B28" s="164">
        <v>12</v>
      </c>
      <c r="C28" s="165"/>
      <c r="D28" s="362">
        <f>ber_Med_disc!C13</f>
        <v>0</v>
      </c>
      <c r="E28" s="362"/>
      <c r="F28" s="362"/>
      <c r="G28" s="362"/>
      <c r="H28" s="166" t="str">
        <f>IF(INDEX(ber_Med_disc!$D$27:$D$38,ber_Med_disc!I13,1)=0,"",INDEX(ber_Med_disc!$D$27:$D$38,ber_Med_disc!I13,1))</f>
        <v/>
      </c>
      <c r="I28" s="167" t="str">
        <f>IF(ber_Med_disc!C13&gt;1,ber_Med_disc!H13,"")</f>
        <v/>
      </c>
      <c r="J28" s="168" t="str">
        <f>IF(ber_Med_disc!C13&gt;1,ber_Med_disc!F13,"")</f>
        <v/>
      </c>
      <c r="K28" s="169">
        <f>ber_Med_disc!L13</f>
        <v>0</v>
      </c>
      <c r="L28" s="162" t="str">
        <f>IF(AND(ber_Med_disc!C13&gt;1,ber_Med_disc!O13&gt;1,H28&lt;&gt;"STOP"),ber_Med_disc!N13,"")</f>
        <v/>
      </c>
      <c r="M28" s="162" t="str">
        <f>IF(AND(ber_Med_disc!C13&gt;1,L28&lt;&gt;0,ber_Med_disc!O13&gt;1,H28&lt;&gt;"STOP"),"ml","")</f>
        <v/>
      </c>
      <c r="N28" s="162"/>
      <c r="O28" s="162" t="str">
        <f>IF(AND(L28&lt;&gt;"",ber_Med_disc!Q13&gt;0,H28&lt;&gt;"STOP"),ber_Med_disc!Q13&amp;" min","")</f>
        <v/>
      </c>
      <c r="P28" s="162"/>
      <c r="Q28" s="162"/>
      <c r="R28" s="162"/>
      <c r="S28" s="162"/>
      <c r="T28" s="162"/>
      <c r="U28" s="162"/>
      <c r="V28" s="162"/>
    </row>
    <row r="29" spans="1:22" s="313" customFormat="1" ht="19.55" customHeight="1" x14ac:dyDescent="0.35">
      <c r="A29" s="162"/>
      <c r="B29" s="170" t="s">
        <v>791</v>
      </c>
      <c r="C29" s="171"/>
      <c r="D29" s="173">
        <f>ber_Opm!C27</f>
        <v>0</v>
      </c>
      <c r="E29" s="173"/>
      <c r="F29" s="173"/>
      <c r="G29" s="173"/>
      <c r="H29" s="172" t="str">
        <f>IF(AND(ber_Med_disc!C13&gt;1,H28&lt;&gt;"STOP"),"Dosering/kg/dag: ","")</f>
        <v/>
      </c>
      <c r="I29" s="171"/>
      <c r="J29" s="173" t="str">
        <f>IF(ber_Med_disc!C13&gt;1,ber_Med_disc!M13,"")</f>
        <v/>
      </c>
      <c r="K29" s="171" t="str">
        <f>IF(AND(ber_Med_disc!C13&gt;1,H28&lt;&gt;"STOP"),J28&amp;"/kg/dag ","")</f>
        <v/>
      </c>
      <c r="L29" s="171"/>
      <c r="M29" s="171" t="str">
        <f>IF(AND(ber_Med_disc!C13&gt;1,ber_Med_disc!O13&gt;1,ber_Med_disc!N13&gt;0,H28&lt;&gt;"STOP"),"Oplossing:","")</f>
        <v/>
      </c>
      <c r="N29" s="171" t="str">
        <f>IF(AND(ber_Med_disc!C13&gt;1,ber_Med_disc!O13&gt;1,ber_Med_disc!N13&gt;0,H28&lt;&gt;"STOP"),ROUND(ber_Med_disc!H13/ber_Med_disc!N13,2)&amp;" "&amp;ber_Med_disc!F13&amp;"/ml","")</f>
        <v/>
      </c>
      <c r="O29" s="171"/>
      <c r="P29" s="171"/>
      <c r="Q29" s="162"/>
      <c r="R29" s="162"/>
      <c r="S29" s="162"/>
      <c r="T29" s="162"/>
      <c r="U29" s="162"/>
      <c r="V29" s="162"/>
    </row>
    <row r="30" spans="1:22" s="313" customFormat="1" ht="19.55" customHeight="1" x14ac:dyDescent="0.4">
      <c r="A30" s="162"/>
      <c r="B30" s="164">
        <v>13</v>
      </c>
      <c r="C30" s="165"/>
      <c r="D30" s="362">
        <f>ber_Med_disc!C14</f>
        <v>0</v>
      </c>
      <c r="E30" s="362"/>
      <c r="F30" s="362"/>
      <c r="G30" s="362"/>
      <c r="H30" s="166" t="str">
        <f>IF(INDEX(ber_Med_disc!$D$27:$D$38,ber_Med_disc!I14,1)=0,"",INDEX(ber_Med_disc!$D$27:$D$38,ber_Med_disc!I14,1))</f>
        <v/>
      </c>
      <c r="I30" s="167" t="str">
        <f>IF(ber_Med_disc!C14&gt;1,ber_Med_disc!H14,"")</f>
        <v/>
      </c>
      <c r="J30" s="168" t="str">
        <f>IF(ber_Med_disc!C14&gt;1,ber_Med_disc!F14,"")</f>
        <v/>
      </c>
      <c r="K30" s="169">
        <f>ber_Med_disc!L14</f>
        <v>0</v>
      </c>
      <c r="L30" s="162" t="str">
        <f>IF(AND(ber_Med_disc!C14&gt;1,ber_Med_disc!O14&gt;1,H30&lt;&gt;"STOP"),ber_Med_disc!N14,"")</f>
        <v/>
      </c>
      <c r="M30" s="162" t="str">
        <f>IF(AND(ber_Med_disc!C14&gt;1,L30&lt;&gt;0,ber_Med_disc!O14&gt;1,H30&lt;&gt;"STOP"),"ml","")</f>
        <v/>
      </c>
      <c r="N30" s="162"/>
      <c r="O30" s="162" t="str">
        <f>IF(AND(L30&lt;&gt;"",ber_Med_disc!Q14&gt;0,H30&lt;&gt;"STOP"),ber_Med_disc!Q14&amp;" min","")</f>
        <v/>
      </c>
      <c r="P30" s="162"/>
      <c r="Q30" s="162"/>
      <c r="R30" s="162"/>
      <c r="S30" s="162"/>
      <c r="T30" s="162"/>
      <c r="U30" s="162"/>
      <c r="V30" s="162"/>
    </row>
    <row r="31" spans="1:22" s="313" customFormat="1" ht="19.55" customHeight="1" x14ac:dyDescent="0.35">
      <c r="A31" s="162"/>
      <c r="B31" s="170" t="s">
        <v>791</v>
      </c>
      <c r="C31" s="171"/>
      <c r="D31" s="173">
        <f>ber_Opm!C28</f>
        <v>0</v>
      </c>
      <c r="E31" s="173"/>
      <c r="F31" s="173"/>
      <c r="G31" s="173"/>
      <c r="H31" s="172" t="str">
        <f>IF(AND(ber_Med_disc!C14&gt;1,H30&lt;&gt;"STOP"),"Dosering/kg/dag: ","")</f>
        <v/>
      </c>
      <c r="I31" s="171"/>
      <c r="J31" s="173" t="str">
        <f>IF(ber_Med_disc!C14&gt;1,ber_Med_disc!M14,"")</f>
        <v/>
      </c>
      <c r="K31" s="171" t="str">
        <f>IF(AND(ber_Med_disc!C14&gt;1,H30&lt;&gt;"STOP"),J30&amp;"/kg/dag ","")</f>
        <v/>
      </c>
      <c r="L31" s="171"/>
      <c r="M31" s="171" t="str">
        <f>IF(AND(ber_Med_disc!C14&gt;1,ber_Med_disc!O14&gt;1,ber_Med_disc!N14&gt;0,H30&lt;&gt;"STOP"),"Oplossing:","")</f>
        <v/>
      </c>
      <c r="N31" s="171" t="str">
        <f>IF(AND(ber_Med_disc!C14&gt;1,ber_Med_disc!O14&gt;1,ber_Med_disc!N14&gt;0,H30&lt;&gt;"STOP"),ROUND(ber_Med_disc!H14/ber_Med_disc!N14,2)&amp;" "&amp;ber_Med_disc!F14&amp;"/ml","")</f>
        <v/>
      </c>
      <c r="O31" s="171"/>
      <c r="P31" s="171"/>
      <c r="Q31" s="162"/>
      <c r="R31" s="162"/>
      <c r="S31" s="162"/>
      <c r="T31" s="162"/>
      <c r="U31" s="162"/>
      <c r="V31" s="162"/>
    </row>
    <row r="32" spans="1:22" s="313" customFormat="1" ht="19.55" customHeight="1" x14ac:dyDescent="0.4">
      <c r="A32" s="162"/>
      <c r="B32" s="164">
        <v>14</v>
      </c>
      <c r="C32" s="165"/>
      <c r="D32" s="362">
        <f>ber_Med_disc!C15</f>
        <v>0</v>
      </c>
      <c r="E32" s="362"/>
      <c r="F32" s="362"/>
      <c r="G32" s="362"/>
      <c r="H32" s="166" t="str">
        <f>IF(INDEX(ber_Med_disc!$D$27:$D$38,ber_Med_disc!I15,1)=0,"",INDEX(ber_Med_disc!$D$27:$D$38,ber_Med_disc!I15,1))</f>
        <v/>
      </c>
      <c r="I32" s="167" t="str">
        <f>IF(ber_Med_disc!C15&gt;1,ber_Med_disc!H15,"")</f>
        <v/>
      </c>
      <c r="J32" s="168" t="str">
        <f>IF(ber_Med_disc!C15&gt;1,ber_Med_disc!F15,"")</f>
        <v/>
      </c>
      <c r="K32" s="169">
        <f>ber_Med_disc!L15</f>
        <v>0</v>
      </c>
      <c r="L32" s="162" t="str">
        <f>IF(AND(ber_Med_disc!C15&gt;1,ber_Med_disc!O15&gt;1,H32&lt;&gt;"STOP"),ber_Med_disc!N15,"")</f>
        <v/>
      </c>
      <c r="M32" s="162" t="str">
        <f>IF(AND(ber_Med_disc!C15&gt;1,L32&lt;&gt;0,ber_Med_disc!O15&gt;1,H32&lt;&gt;"STOP"),"ml","")</f>
        <v/>
      </c>
      <c r="N32" s="162"/>
      <c r="O32" s="162" t="str">
        <f>IF(AND(L32&lt;&gt;"",ber_Med_disc!Q15&gt;0,H32&lt;&gt;"STOP"),ber_Med_disc!Q15&amp;" min","")</f>
        <v/>
      </c>
      <c r="P32" s="162"/>
      <c r="Q32" s="162"/>
      <c r="R32" s="162"/>
      <c r="S32" s="162"/>
      <c r="T32" s="162"/>
      <c r="U32" s="162"/>
      <c r="V32" s="162"/>
    </row>
    <row r="33" spans="1:22" s="313" customFormat="1" ht="19.55" customHeight="1" x14ac:dyDescent="0.35">
      <c r="A33" s="162"/>
      <c r="B33" s="170" t="s">
        <v>791</v>
      </c>
      <c r="C33" s="171"/>
      <c r="D33" s="173">
        <f>ber_Opm!C29</f>
        <v>0</v>
      </c>
      <c r="E33" s="173"/>
      <c r="F33" s="173"/>
      <c r="G33" s="173"/>
      <c r="H33" s="172" t="str">
        <f>IF(AND(ber_Med_disc!C15&gt;1,H32&lt;&gt;"STOP"),"Dosering/kg/dag: ","")</f>
        <v/>
      </c>
      <c r="I33" s="171"/>
      <c r="J33" s="173" t="str">
        <f>IF(ber_Med_disc!C15&gt;1,ber_Med_disc!M15,"")</f>
        <v/>
      </c>
      <c r="K33" s="171" t="str">
        <f>IF(AND(ber_Med_disc!C15&gt;1,H32&lt;&gt;"STOP"),J32&amp;"/kg/dag ","")</f>
        <v/>
      </c>
      <c r="L33" s="171"/>
      <c r="M33" s="171" t="str">
        <f>IF(AND(ber_Med_disc!C15&gt;1,ber_Med_disc!O15&gt;1,ber_Med_disc!N15&gt;0,H32&lt;&gt;"STOP"),"Oplossing:","")</f>
        <v/>
      </c>
      <c r="N33" s="171" t="str">
        <f>IF(AND(ber_Med_disc!C15&gt;1,ber_Med_disc!O15&gt;1,ber_Med_disc!N15&gt;0,H32&lt;&gt;"STOP"),ROUND(ber_Med_disc!H15/ber_Med_disc!N15,2)&amp;" "&amp;ber_Med_disc!F15&amp;"/ml","")</f>
        <v/>
      </c>
      <c r="O33" s="171"/>
      <c r="P33" s="171"/>
      <c r="Q33" s="162"/>
      <c r="R33" s="162"/>
      <c r="S33" s="162"/>
      <c r="T33" s="162"/>
      <c r="U33" s="162"/>
      <c r="V33" s="162"/>
    </row>
    <row r="34" spans="1:22" s="313" customFormat="1" ht="19.55" customHeight="1" x14ac:dyDescent="0.4">
      <c r="A34" s="162"/>
      <c r="B34" s="164">
        <v>15</v>
      </c>
      <c r="C34" s="165"/>
      <c r="D34" s="362">
        <f>ber_Med_disc!C16</f>
        <v>0</v>
      </c>
      <c r="E34" s="362"/>
      <c r="F34" s="362"/>
      <c r="G34" s="362"/>
      <c r="H34" s="166" t="str">
        <f>IF(INDEX(ber_Med_disc!$D$27:$D$38,ber_Med_disc!I16,1)=0,"",INDEX(ber_Med_disc!$D$27:$D$38,ber_Med_disc!I16,1))</f>
        <v/>
      </c>
      <c r="I34" s="167" t="str">
        <f>IF(ber_Med_disc!C16&gt;1,ber_Med_disc!H16,"")</f>
        <v/>
      </c>
      <c r="J34" s="168" t="str">
        <f>IF(ber_Med_disc!C16&gt;1,ber_Med_disc!F16,"")</f>
        <v/>
      </c>
      <c r="K34" s="169">
        <f>ber_Med_disc!L16</f>
        <v>0</v>
      </c>
      <c r="L34" s="162" t="str">
        <f>IF(AND(ber_Med_disc!C16&gt;1,ber_Med_disc!O16&gt;1,H34&lt;&gt;"STOP"),ber_Med_disc!N16,"")</f>
        <v/>
      </c>
      <c r="M34" s="162" t="str">
        <f>IF(AND(ber_Med_disc!C16&gt;1,L34&lt;&gt;0,ber_Med_disc!O16&gt;1,H34&lt;&gt;"STOP"),"ml","")</f>
        <v/>
      </c>
      <c r="N34" s="162"/>
      <c r="O34" s="162" t="str">
        <f>IF(AND(L34&lt;&gt;"",ber_Med_disc!Q16&gt;0,H34&lt;&gt;"STOP"),ber_Med_disc!Q16&amp;" min","")</f>
        <v/>
      </c>
      <c r="P34" s="162"/>
      <c r="Q34" s="162"/>
      <c r="R34" s="162"/>
      <c r="S34" s="162"/>
      <c r="T34" s="162"/>
      <c r="U34" s="162"/>
      <c r="V34" s="162"/>
    </row>
    <row r="35" spans="1:22" s="313" customFormat="1" ht="19.55" customHeight="1" x14ac:dyDescent="0.35">
      <c r="A35" s="162"/>
      <c r="B35" s="170" t="s">
        <v>791</v>
      </c>
      <c r="C35" s="171"/>
      <c r="D35" s="173">
        <f>ber_Opm!C30</f>
        <v>0</v>
      </c>
      <c r="E35" s="173"/>
      <c r="F35" s="173"/>
      <c r="G35" s="173"/>
      <c r="H35" s="172" t="str">
        <f>IF(AND(ber_Med_disc!C16&gt;1,H34&lt;&gt;"STOP"),"Dosering/kg/dag: ","")</f>
        <v/>
      </c>
      <c r="I35" s="171"/>
      <c r="J35" s="173" t="str">
        <f>IF(ber_Med_disc!C16&gt;1,ber_Med_disc!M16,"")</f>
        <v/>
      </c>
      <c r="K35" s="171" t="str">
        <f>IF(AND(ber_Med_disc!C16&gt;1,H34&lt;&gt;"STOP"),J34&amp;"/kg/dag ","")</f>
        <v/>
      </c>
      <c r="L35" s="171"/>
      <c r="M35" s="171" t="str">
        <f>IF(AND(ber_Med_disc!C16&gt;1,ber_Med_disc!O16&gt;1,ber_Med_disc!N16&gt;0,H34&lt;&gt;"STOP"),"Oplossing:","")</f>
        <v/>
      </c>
      <c r="N35" s="171" t="str">
        <f>IF(AND(ber_Med_disc!C16&gt;1,ber_Med_disc!O16&gt;1,ber_Med_disc!N16&gt;0,H34&lt;&gt;"STOP"),ROUND(ber_Med_disc!H16/ber_Med_disc!N16,2)&amp;" "&amp;ber_Med_disc!F16&amp;"/ml","")</f>
        <v/>
      </c>
      <c r="O35" s="171"/>
      <c r="P35" s="171"/>
      <c r="Q35" s="162"/>
      <c r="R35" s="162"/>
      <c r="S35" s="162"/>
      <c r="T35" s="162"/>
      <c r="U35" s="162"/>
      <c r="V35" s="162"/>
    </row>
    <row r="36" spans="1:22" s="313" customFormat="1" ht="19.55" customHeight="1" x14ac:dyDescent="0.4">
      <c r="A36" s="162"/>
      <c r="B36" s="164">
        <v>16</v>
      </c>
      <c r="C36" s="165"/>
      <c r="D36" s="362">
        <f>ber_Med_disc!C17</f>
        <v>0</v>
      </c>
      <c r="E36" s="362"/>
      <c r="F36" s="362"/>
      <c r="G36" s="362"/>
      <c r="H36" s="166" t="str">
        <f>IF(INDEX(ber_Med_disc!$D$27:$D$38,ber_Med_disc!I17,1)=0,"",INDEX(ber_Med_disc!$D$27:$D$38,ber_Med_disc!I17,1))</f>
        <v/>
      </c>
      <c r="I36" s="167" t="str">
        <f>IF(ber_Med_disc!C17&gt;1,ber_Med_disc!H17,"")</f>
        <v/>
      </c>
      <c r="J36" s="168" t="str">
        <f>IF(ber_Med_disc!C17&gt;1,ber_Med_disc!F17,"")</f>
        <v/>
      </c>
      <c r="K36" s="169">
        <f>ber_Med_disc!L17</f>
        <v>0</v>
      </c>
      <c r="L36" s="162" t="str">
        <f>IF(AND(ber_Med_disc!C17&gt;1,ber_Med_disc!O17&gt;1),ber_Med_disc!N17,"")</f>
        <v/>
      </c>
      <c r="M36" s="162" t="str">
        <f>IF(AND(ber_Med_disc!C17&gt;1,L36&lt;&gt;0,ber_Med_disc!O17&gt;1),"ml","")</f>
        <v/>
      </c>
      <c r="N36" s="162"/>
      <c r="O36" s="162" t="str">
        <f>IF(AND(L36&lt;&gt;"",ber_Med_disc!Q17&gt;0),ber_Med_disc!Q17&amp;" min","")</f>
        <v/>
      </c>
      <c r="P36" s="162"/>
      <c r="Q36" s="162"/>
      <c r="R36" s="162"/>
      <c r="S36" s="162"/>
      <c r="T36" s="162"/>
      <c r="U36" s="162"/>
      <c r="V36" s="162"/>
    </row>
    <row r="37" spans="1:22" s="313" customFormat="1" ht="19.55" customHeight="1" x14ac:dyDescent="0.35">
      <c r="A37" s="162"/>
      <c r="B37" s="170" t="s">
        <v>791</v>
      </c>
      <c r="C37" s="171"/>
      <c r="D37" s="173">
        <f>ber_Opm!C31</f>
        <v>0</v>
      </c>
      <c r="E37" s="173"/>
      <c r="F37" s="173"/>
      <c r="G37" s="173"/>
      <c r="H37" s="172" t="str">
        <f>IF(ber_Med_disc!C17&gt;1,"Dosering/kg/dag: ","")</f>
        <v/>
      </c>
      <c r="I37" s="171"/>
      <c r="J37" s="173" t="str">
        <f>IF(ber_Med_disc!C17&gt;1,ber_Med_disc!M17,"")</f>
        <v/>
      </c>
      <c r="K37" s="171" t="str">
        <f>IF(AND(ber_Med_disc!C17&gt;1),INDEX(ber_Med_disc!E27:E32,J36,1)&amp;"/kg/dag ","")</f>
        <v/>
      </c>
      <c r="L37" s="171"/>
      <c r="M37" s="171" t="str">
        <f>IF(AND(ber_Med_disc!C17&gt;1,ber_Med_disc!O17&gt;1,ber_Med_disc!N17&gt;0),"Oplossing:","")</f>
        <v/>
      </c>
      <c r="N37" s="171" t="str">
        <f>IF(AND(ber_Med_disc!C17&gt;1,ber_Med_disc!O17&gt;1,ber_Med_disc!N17&gt;0),ROUND(ber_Med_disc!H17/ber_Med_disc!N17,2)&amp;" "&amp;ber_Med_disc!F17&amp;"/ml","")</f>
        <v/>
      </c>
      <c r="O37" s="171"/>
      <c r="P37" s="171"/>
      <c r="Q37" s="162"/>
      <c r="R37" s="162"/>
      <c r="S37" s="162"/>
      <c r="T37" s="162"/>
      <c r="U37" s="162"/>
      <c r="V37" s="162"/>
    </row>
    <row r="38" spans="1:22" s="313" customFormat="1" ht="19.55" customHeight="1" x14ac:dyDescent="0.4">
      <c r="A38" s="162"/>
      <c r="B38" s="164">
        <v>17</v>
      </c>
      <c r="C38" s="165"/>
      <c r="D38" s="362">
        <f>ber_Med_disc!C18</f>
        <v>0</v>
      </c>
      <c r="E38" s="362"/>
      <c r="F38" s="362"/>
      <c r="G38" s="362"/>
      <c r="H38" s="166" t="str">
        <f>IF(INDEX(ber_Med_disc!$D$27:$D$38,ber_Med_disc!I18,1)=0,"",INDEX(ber_Med_disc!$D$27:$D$38,ber_Med_disc!I18,1))</f>
        <v/>
      </c>
      <c r="I38" s="167" t="str">
        <f>IF(ber_Med_disc!C18&gt;1,ber_Med_disc!H18,"")</f>
        <v/>
      </c>
      <c r="J38" s="168" t="str">
        <f>IF(ber_Med_disc!C18&gt;1,ber_Med_disc!F18,"")</f>
        <v/>
      </c>
      <c r="K38" s="169">
        <f>ber_Med_disc!L18</f>
        <v>0</v>
      </c>
      <c r="L38" s="162" t="str">
        <f>IF(AND(ber_Med_disc!C18&gt;1,ber_Med_disc!O18&gt;1),ber_Med_disc!N18,"")</f>
        <v/>
      </c>
      <c r="M38" s="162" t="str">
        <f>IF(AND(ber_Med_disc!C18&gt;1,L38&lt;&gt;0,ber_Med_disc!O18&gt;1),"ml","")</f>
        <v/>
      </c>
      <c r="N38" s="162"/>
      <c r="O38" s="162" t="str">
        <f>IF(AND(L38&lt;&gt;"",ber_Med_disc!Q18&gt;0),ber_Med_disc!Q18&amp;" min","")</f>
        <v/>
      </c>
      <c r="P38" s="162"/>
      <c r="Q38" s="162"/>
      <c r="R38" s="162"/>
      <c r="S38" s="162"/>
      <c r="T38" s="162"/>
      <c r="U38" s="162"/>
      <c r="V38" s="162"/>
    </row>
    <row r="39" spans="1:22" s="313" customFormat="1" ht="19.55" customHeight="1" x14ac:dyDescent="0.35">
      <c r="A39" s="162"/>
      <c r="B39" s="170" t="s">
        <v>791</v>
      </c>
      <c r="C39" s="171"/>
      <c r="D39" s="173">
        <f>ber_Opm!C32</f>
        <v>0</v>
      </c>
      <c r="E39" s="173"/>
      <c r="F39" s="173"/>
      <c r="G39" s="173"/>
      <c r="H39" s="172" t="str">
        <f>IF(ber_Med_disc!C18&gt;1,"Dosering/kg/dag: ","")</f>
        <v/>
      </c>
      <c r="I39" s="171"/>
      <c r="J39" s="173" t="str">
        <f>IF(ber_Med_disc!C18&gt;1,ber_Med_disc!M18,"")</f>
        <v/>
      </c>
      <c r="K39" s="171" t="str">
        <f>IF(AND(ber_Med_disc!C18&gt;1),J38&amp;"/kg/dag ","")</f>
        <v/>
      </c>
      <c r="L39" s="171"/>
      <c r="M39" s="171" t="str">
        <f>IF(AND(ber_Med_disc!C18&gt;1,ber_Med_disc!O18&gt;1,ber_Med_disc!N18&gt;0),"Oplossing:","")</f>
        <v/>
      </c>
      <c r="N39" s="171" t="str">
        <f>IF(AND(ber_Med_disc!C18&gt;1,ber_Med_disc!O18&gt;1,ber_Med_disc!N18&gt;0),ROUND(ber_Med_disc!H18/ber_Med_disc!N18,2)&amp;" "&amp;ber_Med_disc!F18&amp;"/ml","")</f>
        <v/>
      </c>
      <c r="O39" s="171"/>
      <c r="P39" s="171"/>
      <c r="Q39" s="162"/>
      <c r="R39" s="162"/>
      <c r="S39" s="162"/>
      <c r="T39" s="162"/>
      <c r="U39" s="162"/>
      <c r="V39" s="162"/>
    </row>
    <row r="40" spans="1:22" s="313" customFormat="1" ht="19.55" customHeight="1" x14ac:dyDescent="0.4">
      <c r="A40" s="162"/>
      <c r="B40" s="164">
        <v>18</v>
      </c>
      <c r="C40" s="165"/>
      <c r="D40" s="362">
        <f>ber_Med_disc!C19</f>
        <v>0</v>
      </c>
      <c r="E40" s="362"/>
      <c r="F40" s="362"/>
      <c r="G40" s="362"/>
      <c r="H40" s="166" t="str">
        <f>IF(INDEX(ber_Med_disc!$D$27:$D$38,ber_Med_disc!I19,1)=0,"",INDEX(ber_Med_disc!$D$27:$D$38,ber_Med_disc!I19,1))</f>
        <v/>
      </c>
      <c r="I40" s="167" t="str">
        <f>IF(ber_Med_disc!C19&gt;1,ber_Med_disc!H19,"")</f>
        <v/>
      </c>
      <c r="J40" s="168" t="str">
        <f>IF(ber_Med_disc!C19&gt;1,ber_Med_disc!F19,"")</f>
        <v/>
      </c>
      <c r="K40" s="169">
        <f>ber_Med_disc!L19</f>
        <v>0</v>
      </c>
      <c r="L40" s="162" t="str">
        <f>IF(AND(ber_Med_disc!C19&gt;1,ber_Med_disc!O19&gt;1),ber_Med_disc!N19,"")</f>
        <v/>
      </c>
      <c r="M40" s="162" t="str">
        <f>IF(AND(ber_Med_disc!C19&gt;1,L40&lt;&gt;0,ber_Med_disc!O19&gt;1),"ml","")</f>
        <v/>
      </c>
      <c r="N40" s="162"/>
      <c r="O40" s="162" t="str">
        <f>IF(AND(L40&lt;&gt;"",ber_Med_disc!Q19&gt;0),ber_Med_disc!Q19&amp;" min","")</f>
        <v/>
      </c>
      <c r="P40" s="162"/>
      <c r="Q40" s="162"/>
      <c r="R40" s="162"/>
      <c r="S40" s="162"/>
      <c r="T40" s="162"/>
      <c r="U40" s="162"/>
      <c r="V40" s="162"/>
    </row>
    <row r="41" spans="1:22" s="313" customFormat="1" ht="19.55" customHeight="1" x14ac:dyDescent="0.35">
      <c r="A41" s="162"/>
      <c r="B41" s="170" t="s">
        <v>791</v>
      </c>
      <c r="C41" s="171"/>
      <c r="D41" s="173">
        <f>ber_Opm!C33</f>
        <v>0</v>
      </c>
      <c r="E41" s="173"/>
      <c r="F41" s="173"/>
      <c r="G41" s="173"/>
      <c r="H41" s="172" t="str">
        <f>IF(ber_Med_disc!C19&gt;1,"Dosering/kg/dag: ","")</f>
        <v/>
      </c>
      <c r="I41" s="171"/>
      <c r="J41" s="173" t="str">
        <f>IF(ber_Med_disc!C19&gt;1,ber_Med_disc!M19,"")</f>
        <v/>
      </c>
      <c r="K41" s="171" t="str">
        <f>IF(AND(ber_Med_disc!C19&gt;1),J40&amp;"/kg/dag ","")</f>
        <v/>
      </c>
      <c r="L41" s="171"/>
      <c r="M41" s="171" t="str">
        <f>IF(AND(ber_Med_disc!C19&gt;1,ber_Med_disc!O19&gt;1,ber_Med_disc!N19&gt;0),"Oplossing:","")</f>
        <v/>
      </c>
      <c r="N41" s="171" t="str">
        <f>IF(AND(ber_Med_disc!C19&gt;1,ber_Med_disc!O19&gt;1,ber_Med_disc!N19&gt;0),ROUND(ber_Med_disc!H19/ber_Med_disc!N19,2)&amp;" "&amp;ber_Med_disc!F19&amp;"/ml","")</f>
        <v/>
      </c>
      <c r="O41" s="171"/>
      <c r="P41" s="171"/>
      <c r="Q41" s="162"/>
      <c r="R41" s="162"/>
      <c r="S41" s="162"/>
      <c r="T41" s="162"/>
      <c r="U41" s="162"/>
      <c r="V41" s="162"/>
    </row>
    <row r="42" spans="1:22" s="313" customFormat="1" ht="19.55" customHeight="1" x14ac:dyDescent="0.4">
      <c r="A42" s="162"/>
      <c r="B42" s="164">
        <v>19</v>
      </c>
      <c r="C42" s="165"/>
      <c r="D42" s="362">
        <f>ber_Med_disc!C20</f>
        <v>0</v>
      </c>
      <c r="E42" s="362"/>
      <c r="F42" s="362"/>
      <c r="G42" s="362"/>
      <c r="H42" s="166" t="str">
        <f>IF(INDEX(ber_Med_disc!$D$27:$D$38,ber_Med_disc!I20,1)=0,"",INDEX(ber_Med_disc!$D$27:$D$38,ber_Med_disc!I20,1))</f>
        <v/>
      </c>
      <c r="I42" s="167" t="str">
        <f>IF(ber_Med_disc!C20&gt;1,ber_Med_disc!H20,"")</f>
        <v/>
      </c>
      <c r="J42" s="168" t="str">
        <f>IF(ber_Med_disc!C20&gt;1,ber_Med_disc!F20,"")</f>
        <v/>
      </c>
      <c r="K42" s="169">
        <f>ber_Med_disc!L20</f>
        <v>0</v>
      </c>
      <c r="L42" s="162" t="str">
        <f>IF(AND(ber_Med_disc!C20&gt;1,ber_Med_disc!O20&gt;1),ber_Med_disc!N20,"")</f>
        <v/>
      </c>
      <c r="M42" s="162" t="str">
        <f>IF(AND(ber_Med_disc!C20&gt;1,L42&lt;&gt;0,ber_Med_disc!O20&gt;1),"ml","")</f>
        <v/>
      </c>
      <c r="N42" s="162"/>
      <c r="O42" s="162" t="str">
        <f>IF(AND(L42&lt;&gt;"",ber_Med_disc!Q20&gt;0),ber_Med_disc!Q20&amp;" min","")</f>
        <v/>
      </c>
      <c r="P42" s="162"/>
      <c r="Q42" s="162"/>
      <c r="R42" s="162"/>
      <c r="S42" s="162"/>
      <c r="T42" s="162"/>
      <c r="U42" s="162"/>
      <c r="V42" s="162"/>
    </row>
    <row r="43" spans="1:22" s="313" customFormat="1" ht="19.55" customHeight="1" x14ac:dyDescent="0.35">
      <c r="A43" s="162"/>
      <c r="B43" s="170" t="s">
        <v>791</v>
      </c>
      <c r="C43" s="171"/>
      <c r="D43" s="173">
        <f>ber_Opm!C34</f>
        <v>0</v>
      </c>
      <c r="E43" s="173"/>
      <c r="F43" s="173"/>
      <c r="G43" s="173"/>
      <c r="H43" s="172" t="str">
        <f>IF(ber_Med_disc!C20&gt;1,"Dosering/kg/dag: ","")</f>
        <v/>
      </c>
      <c r="I43" s="171"/>
      <c r="J43" s="173" t="str">
        <f>IF(ber_Med_disc!C20&gt;1,ber_Med_disc!M20,"")</f>
        <v/>
      </c>
      <c r="K43" s="171" t="str">
        <f>IF(AND(ber_Med_disc!C20&gt;1),J42&amp;"/kg/dag ","")</f>
        <v/>
      </c>
      <c r="L43" s="171"/>
      <c r="M43" s="171" t="str">
        <f>IF(AND(ber_Med_disc!C20&gt;1,ber_Med_disc!O20&gt;1,ber_Med_disc!N20&gt;0),"Oplossing:","")</f>
        <v/>
      </c>
      <c r="N43" s="171" t="str">
        <f>IF(AND(ber_Med_disc!C20&gt;1,ber_Med_disc!O20&gt;1,ber_Med_disc!N20&gt;0),ROUND(ber_Med_disc!H20/ber_Med_disc!N20,2)&amp;" "&amp;ber_Med_disc!F20&amp;"/ml","")</f>
        <v/>
      </c>
      <c r="O43" s="171"/>
      <c r="P43" s="171"/>
      <c r="Q43" s="162"/>
      <c r="R43" s="162"/>
      <c r="S43" s="162"/>
      <c r="T43" s="162"/>
      <c r="U43" s="162"/>
      <c r="V43" s="162"/>
    </row>
    <row r="44" spans="1:22" s="313" customFormat="1" ht="19.55" customHeight="1" x14ac:dyDescent="0.4">
      <c r="A44" s="162"/>
      <c r="B44" s="164">
        <v>20</v>
      </c>
      <c r="C44" s="175"/>
      <c r="D44" s="362">
        <f>ber_Med_disc!C21</f>
        <v>0</v>
      </c>
      <c r="E44" s="362"/>
      <c r="F44" s="362"/>
      <c r="G44" s="362"/>
      <c r="H44" s="166" t="str">
        <f>IF(INDEX(ber_Med_disc!$D$27:$D$38,ber_Med_disc!I21,1)=0,"",INDEX(ber_Med_disc!$D$27:$D$38,ber_Med_disc!I21,1))</f>
        <v/>
      </c>
      <c r="I44" s="167" t="str">
        <f>IF(ber_Med_disc!C21&gt;1,ber_Med_disc!H21,"")</f>
        <v/>
      </c>
      <c r="J44" s="168" t="str">
        <f>IF(ber_Med_disc!C21&gt;1,ber_Med_disc!F21,"")</f>
        <v/>
      </c>
      <c r="K44" s="169">
        <f>ber_Med_disc!L21</f>
        <v>0</v>
      </c>
      <c r="L44" s="162" t="str">
        <f>IF(AND(ber_Med_disc!C21&gt;1,ber_Med_disc!O21&gt;1),ber_Med_disc!N21,"")</f>
        <v/>
      </c>
      <c r="M44" s="162" t="str">
        <f>IF(AND(ber_Med_disc!C21&gt;1,L44&lt;&gt;0,ber_Med_disc!O21&gt;1),"ml","")</f>
        <v/>
      </c>
      <c r="N44" s="162"/>
      <c r="O44" s="162" t="str">
        <f>IF(AND(L44&lt;&gt;"",ber_Med_disc!Q21&gt;0),ber_Med_disc!Q21&amp;" min","")</f>
        <v/>
      </c>
      <c r="P44" s="162"/>
      <c r="Q44" s="162"/>
      <c r="R44" s="162"/>
      <c r="S44" s="162"/>
      <c r="T44" s="162"/>
      <c r="U44" s="162"/>
      <c r="V44" s="162"/>
    </row>
    <row r="45" spans="1:22" s="313" customFormat="1" ht="19.55" customHeight="1" x14ac:dyDescent="0.35">
      <c r="A45" s="162"/>
      <c r="B45" s="170" t="s">
        <v>791</v>
      </c>
      <c r="C45" s="171"/>
      <c r="D45" s="173">
        <f>ber_Opm!C35</f>
        <v>0</v>
      </c>
      <c r="E45" s="173"/>
      <c r="F45" s="173"/>
      <c r="G45" s="173"/>
      <c r="H45" s="172" t="str">
        <f>IF(ber_Med_disc!C21&gt;1,"Dosering/kg/dag: ","")</f>
        <v/>
      </c>
      <c r="I45" s="171"/>
      <c r="J45" s="173" t="str">
        <f>IF(ber_Med_disc!C21&gt;1,ber_Med_disc!M21,"")</f>
        <v/>
      </c>
      <c r="K45" s="171" t="str">
        <f>IF(AND(ber_Med_disc!C21&gt;1),J44&amp;"/kg/dag ","")</f>
        <v/>
      </c>
      <c r="L45" s="171"/>
      <c r="M45" s="171" t="str">
        <f>IF(AND(ber_Med_disc!C21&gt;1,ber_Med_disc!O21&gt;1,ber_Med_disc!N21&gt;0),"Oplossing:","")</f>
        <v/>
      </c>
      <c r="N45" s="171" t="str">
        <f>IF(AND(ber_Med_disc!C21&gt;1,ber_Med_disc!O21&gt;1,ber_Med_disc!N21&gt;0),ROUND(ber_Med_disc!H21/ber_Med_disc!N21,2)&amp;" "&amp;ber_Med_disc!F21&amp;"/ml","")</f>
        <v/>
      </c>
      <c r="O45" s="171"/>
      <c r="P45" s="171"/>
      <c r="Q45" s="162"/>
      <c r="R45" s="162"/>
      <c r="S45" s="162"/>
      <c r="T45" s="162"/>
      <c r="U45" s="162"/>
      <c r="V45" s="162"/>
    </row>
    <row r="46" spans="1:22" s="313" customFormat="1" ht="19.55" customHeight="1" x14ac:dyDescent="0.35">
      <c r="A46" s="162"/>
      <c r="B46" s="162"/>
      <c r="C46" s="162"/>
      <c r="D46" s="162"/>
      <c r="E46" s="162"/>
      <c r="F46" s="162"/>
      <c r="G46" s="163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</row>
    <row r="47" spans="1:22" s="313" customFormat="1" ht="19.55" customHeight="1" x14ac:dyDescent="0.35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</row>
    <row r="48" spans="1:22" s="313" customFormat="1" ht="19.55" customHeight="1" x14ac:dyDescent="0.35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</row>
    <row r="49" spans="1:22" s="313" customFormat="1" ht="19.55" customHeight="1" x14ac:dyDescent="0.35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</row>
    <row r="50" spans="1:22" s="313" customFormat="1" ht="19.55" customHeight="1" x14ac:dyDescent="0.35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</row>
    <row r="51" spans="1:22" s="313" customFormat="1" ht="19.55" customHeight="1" x14ac:dyDescent="0.35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</row>
    <row r="52" spans="1:22" s="313" customFormat="1" ht="19.55" customHeight="1" x14ac:dyDescent="0.35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</row>
    <row r="53" spans="1:22" s="313" customFormat="1" ht="19.55" customHeight="1" x14ac:dyDescent="0.35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</row>
    <row r="54" spans="1:22" s="313" customFormat="1" ht="19.55" customHeight="1" x14ac:dyDescent="0.35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</row>
    <row r="55" spans="1:22" s="313" customFormat="1" ht="19.55" customHeight="1" x14ac:dyDescent="0.35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</row>
    <row r="56" spans="1:22" s="313" customFormat="1" ht="19.55" customHeight="1" x14ac:dyDescent="0.35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</row>
    <row r="57" spans="1:22" s="313" customFormat="1" ht="19.55" customHeight="1" x14ac:dyDescent="0.35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</row>
    <row r="58" spans="1:22" s="313" customFormat="1" x14ac:dyDescent="0.35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</row>
    <row r="59" spans="1:22" s="313" customFormat="1" x14ac:dyDescent="0.35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</row>
    <row r="60" spans="1:22" s="313" customFormat="1" x14ac:dyDescent="0.35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</row>
    <row r="61" spans="1:22" s="313" customFormat="1" x14ac:dyDescent="0.35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</row>
    <row r="62" spans="1:22" s="313" customFormat="1" x14ac:dyDescent="0.35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</row>
    <row r="63" spans="1:22" s="313" customFormat="1" x14ac:dyDescent="0.35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</row>
    <row r="64" spans="1:22" s="313" customFormat="1" x14ac:dyDescent="0.35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</row>
    <row r="65" spans="1:22" s="313" customFormat="1" x14ac:dyDescent="0.35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</row>
    <row r="66" spans="1:22" s="313" customFormat="1" x14ac:dyDescent="0.35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</row>
    <row r="67" spans="1:22" s="313" customFormat="1" x14ac:dyDescent="0.35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</row>
    <row r="68" spans="1:22" s="313" customFormat="1" x14ac:dyDescent="0.35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</row>
    <row r="69" spans="1:22" s="313" customFormat="1" x14ac:dyDescent="0.35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</row>
    <row r="70" spans="1:22" s="313" customFormat="1" x14ac:dyDescent="0.35"/>
    <row r="71" spans="1:22" s="313" customFormat="1" x14ac:dyDescent="0.35"/>
    <row r="72" spans="1:22" s="313" customFormat="1" x14ac:dyDescent="0.35"/>
    <row r="73" spans="1:22" s="313" customFormat="1" x14ac:dyDescent="0.35"/>
    <row r="74" spans="1:22" s="313" customFormat="1" x14ac:dyDescent="0.35"/>
    <row r="75" spans="1:22" s="313" customFormat="1" x14ac:dyDescent="0.35"/>
    <row r="76" spans="1:22" s="313" customFormat="1" x14ac:dyDescent="0.35"/>
    <row r="77" spans="1:22" s="313" customFormat="1" x14ac:dyDescent="0.35"/>
    <row r="78" spans="1:22" s="313" customFormat="1" x14ac:dyDescent="0.35"/>
    <row r="79" spans="1:22" s="313" customFormat="1" x14ac:dyDescent="0.35"/>
    <row r="80" spans="1:22" s="313" customFormat="1" x14ac:dyDescent="0.35"/>
    <row r="81" s="313" customFormat="1" x14ac:dyDescent="0.35"/>
    <row r="82" s="313" customFormat="1" x14ac:dyDescent="0.35"/>
    <row r="83" s="313" customFormat="1" x14ac:dyDescent="0.35"/>
    <row r="84" s="313" customFormat="1" x14ac:dyDescent="0.35"/>
    <row r="85" s="313" customFormat="1" x14ac:dyDescent="0.35"/>
    <row r="86" s="313" customFormat="1" x14ac:dyDescent="0.35"/>
    <row r="87" s="313" customFormat="1" x14ac:dyDescent="0.35"/>
    <row r="88" s="313" customFormat="1" x14ac:dyDescent="0.35"/>
    <row r="89" s="313" customFormat="1" x14ac:dyDescent="0.35"/>
    <row r="90" s="313" customFormat="1" x14ac:dyDescent="0.35"/>
    <row r="91" s="313" customFormat="1" x14ac:dyDescent="0.35"/>
    <row r="92" s="313" customFormat="1" x14ac:dyDescent="0.35"/>
    <row r="93" s="313" customFormat="1" x14ac:dyDescent="0.35"/>
    <row r="94" s="313" customFormat="1" x14ac:dyDescent="0.35"/>
    <row r="95" s="313" customFormat="1" x14ac:dyDescent="0.35"/>
    <row r="96" s="313" customFormat="1" x14ac:dyDescent="0.35"/>
    <row r="97" s="313" customFormat="1" x14ac:dyDescent="0.35"/>
    <row r="98" s="313" customFormat="1" x14ac:dyDescent="0.35"/>
    <row r="99" s="313" customFormat="1" x14ac:dyDescent="0.35"/>
    <row r="100" s="313" customFormat="1" x14ac:dyDescent="0.35"/>
    <row r="101" s="313" customFormat="1" x14ac:dyDescent="0.35"/>
    <row r="102" s="313" customFormat="1" x14ac:dyDescent="0.35"/>
    <row r="103" s="313" customFormat="1" x14ac:dyDescent="0.35"/>
    <row r="104" s="313" customFormat="1" x14ac:dyDescent="0.35"/>
    <row r="105" s="313" customFormat="1" x14ac:dyDescent="0.35"/>
    <row r="106" s="313" customFormat="1" x14ac:dyDescent="0.35"/>
    <row r="107" s="313" customFormat="1" x14ac:dyDescent="0.35"/>
    <row r="108" s="313" customFormat="1" x14ac:dyDescent="0.35"/>
    <row r="109" s="313" customFormat="1" x14ac:dyDescent="0.35"/>
    <row r="110" s="313" customFormat="1" x14ac:dyDescent="0.35"/>
    <row r="111" s="313" customFormat="1" x14ac:dyDescent="0.35"/>
    <row r="112" s="313" customFormat="1" x14ac:dyDescent="0.35"/>
    <row r="113" s="313" customFormat="1" x14ac:dyDescent="0.35"/>
    <row r="114" s="313" customFormat="1" x14ac:dyDescent="0.35"/>
    <row r="115" s="313" customFormat="1" x14ac:dyDescent="0.35"/>
    <row r="116" s="313" customFormat="1" x14ac:dyDescent="0.35"/>
    <row r="117" s="313" customFormat="1" x14ac:dyDescent="0.35"/>
    <row r="118" s="313" customFormat="1" x14ac:dyDescent="0.35"/>
    <row r="119" s="313" customFormat="1" x14ac:dyDescent="0.35"/>
    <row r="120" s="313" customFormat="1" x14ac:dyDescent="0.35"/>
    <row r="121" s="313" customFormat="1" x14ac:dyDescent="0.35"/>
    <row r="122" s="313" customFormat="1" x14ac:dyDescent="0.35"/>
    <row r="123" s="313" customFormat="1" x14ac:dyDescent="0.35"/>
    <row r="124" s="313" customFormat="1" x14ac:dyDescent="0.35"/>
    <row r="125" s="313" customFormat="1" x14ac:dyDescent="0.35"/>
    <row r="126" s="313" customFormat="1" x14ac:dyDescent="0.35"/>
    <row r="127" s="313" customFormat="1" x14ac:dyDescent="0.35"/>
    <row r="128" s="313" customFormat="1" x14ac:dyDescent="0.35"/>
  </sheetData>
  <sheetProtection algorithmName="SHA-512" hashValue="fDaYujN5KoFPIFYIgJinlc1svEav+9s6ImQYHLZVZMpotovfx+FahhLTahmtwHbR60c2AYcWG7r4Zp+AokqZMg==" saltValue="QQyT0H8810yUgy+w/Ei8YA==" spinCount="100000" sheet="1" objects="1" scenarios="1" selectLockedCells="1" selectUnlockedCells="1"/>
  <mergeCells count="19">
    <mergeCell ref="D34:G34"/>
    <mergeCell ref="D32:G32"/>
    <mergeCell ref="D30:G30"/>
    <mergeCell ref="D44:G44"/>
    <mergeCell ref="D36:G36"/>
    <mergeCell ref="D38:G38"/>
    <mergeCell ref="D40:G40"/>
    <mergeCell ref="D42:G42"/>
    <mergeCell ref="D28:G28"/>
    <mergeCell ref="D26:G26"/>
    <mergeCell ref="D24:G24"/>
    <mergeCell ref="D22:G22"/>
    <mergeCell ref="D20:G20"/>
    <mergeCell ref="D8:G8"/>
    <mergeCell ref="D18:G18"/>
    <mergeCell ref="D16:G16"/>
    <mergeCell ref="D14:G14"/>
    <mergeCell ref="D12:G12"/>
    <mergeCell ref="D10:G10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E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1" x14ac:dyDescent="0.35">
      <c r="B1" t="s">
        <v>1144</v>
      </c>
      <c r="C1" t="s">
        <v>884</v>
      </c>
      <c r="D1" s="317" t="s">
        <v>1196</v>
      </c>
      <c r="E1" t="s">
        <v>463</v>
      </c>
      <c r="F1" t="s">
        <v>464</v>
      </c>
      <c r="G1" t="s">
        <v>377</v>
      </c>
      <c r="H1" t="s">
        <v>885</v>
      </c>
      <c r="I1" t="s">
        <v>992</v>
      </c>
      <c r="J1" t="s">
        <v>548</v>
      </c>
      <c r="K1" t="s">
        <v>378</v>
      </c>
      <c r="L1" t="s">
        <v>379</v>
      </c>
      <c r="M1" t="s">
        <v>292</v>
      </c>
      <c r="N1" t="s">
        <v>973</v>
      </c>
      <c r="O1" t="s">
        <v>974</v>
      </c>
      <c r="P1" t="s">
        <v>976</v>
      </c>
      <c r="Q1" t="s">
        <v>993</v>
      </c>
      <c r="R1" t="s">
        <v>579</v>
      </c>
      <c r="S1" t="s">
        <v>987</v>
      </c>
      <c r="T1" t="s">
        <v>988</v>
      </c>
      <c r="U1" t="s">
        <v>144</v>
      </c>
      <c r="V1" t="s">
        <v>946</v>
      </c>
      <c r="W1" t="s">
        <v>1178</v>
      </c>
      <c r="X1" t="s">
        <v>885</v>
      </c>
      <c r="Y1" t="s">
        <v>1179</v>
      </c>
      <c r="Z1" t="s">
        <v>430</v>
      </c>
      <c r="AA1" t="s">
        <v>993</v>
      </c>
      <c r="AB1" t="s">
        <v>1180</v>
      </c>
      <c r="AC1" t="s">
        <v>1158</v>
      </c>
    </row>
    <row r="2" spans="1:31" x14ac:dyDescent="0.35">
      <c r="A2">
        <v>1</v>
      </c>
      <c r="B2">
        <v>1500</v>
      </c>
      <c r="D2" t="s">
        <v>1197</v>
      </c>
      <c r="E2" s="22"/>
      <c r="F2" t="s">
        <v>1271</v>
      </c>
      <c r="G2">
        <v>1</v>
      </c>
      <c r="H2">
        <f t="shared" ref="H2:H21" si="0">E2*G2</f>
        <v>0</v>
      </c>
      <c r="I2">
        <v>1</v>
      </c>
      <c r="J2">
        <f t="shared" ref="J2:J21" si="1">IF(AND(I2&gt;2,I2&lt;12),INDEX($C$27:$C$38,I2,1),)</f>
        <v>0</v>
      </c>
      <c r="K2">
        <f t="shared" ref="K2:K21" si="2">J2*H2</f>
        <v>0</v>
      </c>
      <c r="M2">
        <f t="shared" ref="M2:M21" si="3">IF(ROUND(10*K2/Gewicht,1) = 0,ROUND(10*K2/Gewicht,2),ROUND(10*K2/Gewicht,1) )</f>
        <v>0</v>
      </c>
      <c r="P2">
        <f>IF(O2&gt;1,N2*J2,0)</f>
        <v>0</v>
      </c>
      <c r="Q2">
        <v>0</v>
      </c>
      <c r="R2">
        <f t="shared" ref="R2:R21" si="4">IF(O2=2,P2*0.155,0)</f>
        <v>0</v>
      </c>
      <c r="S2">
        <f t="shared" ref="S2:S21" si="5">IF(O2=3,P2*0.05,0)</f>
        <v>0</v>
      </c>
      <c r="T2">
        <f t="shared" ref="T2:T21" si="6">IF(O2=4,P2*0.1,0)</f>
        <v>0</v>
      </c>
      <c r="V2" t="str">
        <f>IF(U2=0,"",IF(U2=-1,C2,D2))</f>
        <v/>
      </c>
      <c r="W2" t="str">
        <f>IF(U2=0,"",INDEX($C$27:$D$38,I2,2))</f>
        <v/>
      </c>
      <c r="X2" t="str">
        <f t="shared" ref="X2:X21" si="7">IF(U2=0,"",H2&amp;" "&amp;F2&amp;" ("&amp;ROUND(K2*10/Gewicht,AD2)&amp;" "&amp;F2&amp;"/kg/dag)")</f>
        <v/>
      </c>
      <c r="Y2" t="str">
        <f>IF(U2=0,"",TRIM(L2))</f>
        <v/>
      </c>
      <c r="Z2" t="str">
        <f>IF(P2=0,"","opl: "&amp;N2&amp;" mL "&amp;INDEX(B$27:B$38,O2,1)&amp;" "&amp;IF(Q2=0,"","("&amp;ROUND(ber_Med_disc!H2/ber_Med_disc!N2,2)&amp;" "&amp;ber_Med_disc!F2&amp;"/ml)"))</f>
        <v/>
      </c>
      <c r="AA2" t="str">
        <f>IF(OR(Q2=0,Z2=""),"","in "&amp;Q2&amp;" min")</f>
        <v/>
      </c>
      <c r="AB2" t="str">
        <f>IF(ber_Opm!C16=0,"",ber_Opm!C16)</f>
        <v/>
      </c>
      <c r="AC2" t="str">
        <f>IF(OR(V2="",V2=0),"",TRIM(V2)&amp;"||"&amp;TRIM(W2)&amp;"||"&amp;TRIM(X2)&amp;"||"&amp;TRIM(Y2)&amp;"||"&amp;TRIM(Z2)&amp;"||"&amp;TRIM(AA2)&amp;"||"&amp;TRIM(AB2))</f>
        <v/>
      </c>
      <c r="AD2">
        <f>IF(AE2&gt;=10,0,IF(AE2&gt;=1,1,IF(AE2&gt;=0,2,IF(AE2&gt;=0.1,3,IF(AE2&gt;=0.01,4,5)))))</f>
        <v>2</v>
      </c>
      <c r="AE2">
        <f t="shared" ref="AE2:AE21" si="8">K2*10/Gewicht</f>
        <v>0</v>
      </c>
    </row>
    <row r="3" spans="1:31" x14ac:dyDescent="0.35">
      <c r="A3">
        <v>2</v>
      </c>
      <c r="B3">
        <v>1500</v>
      </c>
      <c r="E3" s="22"/>
      <c r="F3" t="s">
        <v>1271</v>
      </c>
      <c r="G3">
        <v>1</v>
      </c>
      <c r="H3">
        <f t="shared" si="0"/>
        <v>0</v>
      </c>
      <c r="I3">
        <v>1</v>
      </c>
      <c r="J3">
        <f t="shared" si="1"/>
        <v>0</v>
      </c>
      <c r="K3">
        <f t="shared" si="2"/>
        <v>0</v>
      </c>
      <c r="M3">
        <f t="shared" si="3"/>
        <v>0</v>
      </c>
      <c r="P3">
        <f t="shared" ref="P3:P21" si="9">IF(O3&gt;1,N3*J3,0)</f>
        <v>0</v>
      </c>
      <c r="R3">
        <f t="shared" si="4"/>
        <v>0</v>
      </c>
      <c r="S3">
        <f t="shared" si="5"/>
        <v>0</v>
      </c>
      <c r="T3">
        <f t="shared" si="6"/>
        <v>0</v>
      </c>
      <c r="V3" t="str">
        <f t="shared" ref="V3:V21" si="10">IF(U3=0,"",IF(U3=-1,C3,D3))</f>
        <v/>
      </c>
      <c r="W3" t="str">
        <f t="shared" ref="W3:W21" si="11">IF(U3=0,"",INDEX($C$27:$D$38,I3,2))</f>
        <v/>
      </c>
      <c r="X3" t="str">
        <f t="shared" si="7"/>
        <v/>
      </c>
      <c r="Y3" t="str">
        <f t="shared" ref="Y3:Y21" si="12">IF(U3=0,"",TRIM(L3))</f>
        <v/>
      </c>
      <c r="Z3" t="str">
        <f>IF(P3=0,"","opl: "&amp;N3&amp;" mL "&amp;INDEX(B$27:B$38,O3,1)&amp;" "&amp;IF(Q3=0,"","("&amp;ROUND(ber_Med_disc!H3/ber_Med_disc!N3,2)&amp;" "&amp;ber_Med_disc!F3&amp;"/ml)"))</f>
        <v/>
      </c>
      <c r="AA3" t="str">
        <f t="shared" ref="AA3:AA21" si="13">IF(OR(Q3=0,Z3=""),"","in "&amp;Q3&amp;" min")</f>
        <v/>
      </c>
      <c r="AB3" t="str">
        <f>IF(ber_Opm!C17=0,"",ber_Opm!C17)</f>
        <v/>
      </c>
      <c r="AC3" t="str">
        <f t="shared" ref="AC3:AC21" si="14">IF(OR(V3="",V3=0),"",TRIM(V3)&amp;"||"&amp;TRIM(W3)&amp;"||"&amp;TRIM(X3)&amp;"||"&amp;TRIM(Y3)&amp;"||"&amp;TRIM(Z3)&amp;"||"&amp;TRIM(AA3)&amp;"||"&amp;TRIM(AB3))</f>
        <v/>
      </c>
      <c r="AD3">
        <f t="shared" ref="AD3:AD21" si="15">IF(AE3&gt;=10,0,IF(AE3&gt;=1,1,IF(AE3&gt;=0,2,IF(AE3&gt;=0.1,3,IF(AE3&gt;=0.01,4,5)))))</f>
        <v>2</v>
      </c>
      <c r="AE3">
        <f t="shared" si="8"/>
        <v>0</v>
      </c>
    </row>
    <row r="4" spans="1:31" x14ac:dyDescent="0.35">
      <c r="A4">
        <v>3</v>
      </c>
      <c r="B4">
        <v>1500</v>
      </c>
      <c r="E4" s="22"/>
      <c r="H4">
        <f t="shared" si="0"/>
        <v>0</v>
      </c>
      <c r="I4">
        <v>1</v>
      </c>
      <c r="J4">
        <f t="shared" si="1"/>
        <v>0</v>
      </c>
      <c r="K4">
        <f t="shared" si="2"/>
        <v>0</v>
      </c>
      <c r="M4">
        <f t="shared" si="3"/>
        <v>0</v>
      </c>
      <c r="P4">
        <f t="shared" si="9"/>
        <v>0</v>
      </c>
      <c r="Q4">
        <v>0</v>
      </c>
      <c r="R4">
        <f t="shared" si="4"/>
        <v>0</v>
      </c>
      <c r="S4">
        <f t="shared" si="5"/>
        <v>0</v>
      </c>
      <c r="T4">
        <f t="shared" si="6"/>
        <v>0</v>
      </c>
      <c r="V4" t="str">
        <f t="shared" si="10"/>
        <v/>
      </c>
      <c r="W4" t="str">
        <f t="shared" si="11"/>
        <v/>
      </c>
      <c r="X4" t="str">
        <f t="shared" si="7"/>
        <v/>
      </c>
      <c r="Y4" t="str">
        <f t="shared" si="12"/>
        <v/>
      </c>
      <c r="Z4" t="str">
        <f>IF(P4=0,"","opl: "&amp;N4&amp;" mL "&amp;INDEX(B$27:B$38,O4,1)&amp;" "&amp;IF(Q4=0,"","("&amp;ROUND(ber_Med_disc!H4/ber_Med_disc!N4,2)&amp;" "&amp;ber_Med_disc!F4&amp;"/ml)"))</f>
        <v/>
      </c>
      <c r="AA4" t="str">
        <f t="shared" si="13"/>
        <v/>
      </c>
      <c r="AB4" t="str">
        <f>IF(ber_Opm!C18=0,"",ber_Opm!C18)</f>
        <v/>
      </c>
      <c r="AC4" t="str">
        <f t="shared" si="14"/>
        <v/>
      </c>
      <c r="AD4">
        <f t="shared" si="15"/>
        <v>2</v>
      </c>
      <c r="AE4">
        <f t="shared" si="8"/>
        <v>0</v>
      </c>
    </row>
    <row r="5" spans="1:31" x14ac:dyDescent="0.35">
      <c r="A5">
        <v>4</v>
      </c>
      <c r="B5">
        <v>1500</v>
      </c>
      <c r="E5" s="22"/>
      <c r="F5" t="s">
        <v>465</v>
      </c>
      <c r="G5">
        <v>5</v>
      </c>
      <c r="H5">
        <f t="shared" si="0"/>
        <v>0</v>
      </c>
      <c r="I5">
        <v>1</v>
      </c>
      <c r="J5">
        <f t="shared" si="1"/>
        <v>0</v>
      </c>
      <c r="K5">
        <f t="shared" si="2"/>
        <v>0</v>
      </c>
      <c r="M5">
        <f t="shared" si="3"/>
        <v>0</v>
      </c>
      <c r="P5">
        <f t="shared" si="9"/>
        <v>0</v>
      </c>
      <c r="R5">
        <f t="shared" si="4"/>
        <v>0</v>
      </c>
      <c r="S5">
        <f t="shared" si="5"/>
        <v>0</v>
      </c>
      <c r="T5">
        <f t="shared" si="6"/>
        <v>0</v>
      </c>
      <c r="V5" t="str">
        <f t="shared" si="10"/>
        <v/>
      </c>
      <c r="W5" t="str">
        <f t="shared" si="11"/>
        <v/>
      </c>
      <c r="X5" t="str">
        <f t="shared" si="7"/>
        <v/>
      </c>
      <c r="Y5" t="str">
        <f t="shared" si="12"/>
        <v/>
      </c>
      <c r="Z5" t="str">
        <f>IF(P5=0,"","opl: "&amp;N5&amp;" mL "&amp;INDEX(B$27:B$38,O5,1)&amp;" "&amp;IF(Q5=0,"","("&amp;ROUND(ber_Med_disc!H5/ber_Med_disc!N5,2)&amp;" "&amp;ber_Med_disc!F5&amp;"/ml)"))</f>
        <v/>
      </c>
      <c r="AA5" t="str">
        <f t="shared" si="13"/>
        <v/>
      </c>
      <c r="AB5" t="str">
        <f>IF(ber_Opm!C19=0,"",ber_Opm!C19)</f>
        <v/>
      </c>
      <c r="AC5" t="str">
        <f t="shared" si="14"/>
        <v/>
      </c>
      <c r="AD5">
        <f t="shared" si="15"/>
        <v>2</v>
      </c>
      <c r="AE5">
        <f t="shared" si="8"/>
        <v>0</v>
      </c>
    </row>
    <row r="6" spans="1:31" x14ac:dyDescent="0.35">
      <c r="A6">
        <v>5</v>
      </c>
      <c r="B6">
        <v>1500</v>
      </c>
      <c r="E6" s="22"/>
      <c r="F6" t="s">
        <v>465</v>
      </c>
      <c r="G6">
        <v>1</v>
      </c>
      <c r="H6">
        <f t="shared" si="0"/>
        <v>0</v>
      </c>
      <c r="I6">
        <v>1</v>
      </c>
      <c r="J6">
        <f t="shared" si="1"/>
        <v>0</v>
      </c>
      <c r="K6">
        <f t="shared" si="2"/>
        <v>0</v>
      </c>
      <c r="M6">
        <f t="shared" si="3"/>
        <v>0</v>
      </c>
      <c r="P6">
        <f t="shared" si="9"/>
        <v>0</v>
      </c>
      <c r="Q6">
        <v>0</v>
      </c>
      <c r="R6">
        <f t="shared" si="4"/>
        <v>0</v>
      </c>
      <c r="S6">
        <f t="shared" si="5"/>
        <v>0</v>
      </c>
      <c r="T6">
        <f t="shared" si="6"/>
        <v>0</v>
      </c>
      <c r="V6" t="str">
        <f t="shared" si="10"/>
        <v/>
      </c>
      <c r="W6" t="str">
        <f t="shared" si="11"/>
        <v/>
      </c>
      <c r="X6" t="str">
        <f t="shared" si="7"/>
        <v/>
      </c>
      <c r="Y6" t="str">
        <f t="shared" si="12"/>
        <v/>
      </c>
      <c r="Z6" t="str">
        <f>IF(P6=0,"","opl: "&amp;N6&amp;" mL "&amp;INDEX(B$27:B$38,O6,1)&amp;" "&amp;IF(Q6=0,"","("&amp;ROUND(ber_Med_disc!H6/ber_Med_disc!N6,2)&amp;" "&amp;ber_Med_disc!F6&amp;"/ml)"))</f>
        <v/>
      </c>
      <c r="AA6" t="str">
        <f t="shared" si="13"/>
        <v/>
      </c>
      <c r="AB6" t="str">
        <f>IF(ber_Opm!C20=0,"",ber_Opm!C20)</f>
        <v/>
      </c>
      <c r="AC6" t="str">
        <f t="shared" si="14"/>
        <v/>
      </c>
      <c r="AD6">
        <f t="shared" si="15"/>
        <v>2</v>
      </c>
      <c r="AE6">
        <f t="shared" si="8"/>
        <v>0</v>
      </c>
    </row>
    <row r="7" spans="1:31" x14ac:dyDescent="0.35">
      <c r="A7">
        <v>6</v>
      </c>
      <c r="B7">
        <v>1500</v>
      </c>
      <c r="E7" s="22"/>
      <c r="F7" t="s">
        <v>465</v>
      </c>
      <c r="G7">
        <v>1</v>
      </c>
      <c r="H7">
        <f t="shared" si="0"/>
        <v>0</v>
      </c>
      <c r="I7">
        <v>1</v>
      </c>
      <c r="J7">
        <f t="shared" si="1"/>
        <v>0</v>
      </c>
      <c r="K7">
        <f t="shared" si="2"/>
        <v>0</v>
      </c>
      <c r="M7">
        <f t="shared" si="3"/>
        <v>0</v>
      </c>
      <c r="P7">
        <f t="shared" si="9"/>
        <v>0</v>
      </c>
      <c r="R7">
        <f t="shared" si="4"/>
        <v>0</v>
      </c>
      <c r="S7">
        <f t="shared" si="5"/>
        <v>0</v>
      </c>
      <c r="T7">
        <f t="shared" si="6"/>
        <v>0</v>
      </c>
      <c r="V7" t="str">
        <f t="shared" si="10"/>
        <v/>
      </c>
      <c r="W7" t="str">
        <f t="shared" si="11"/>
        <v/>
      </c>
      <c r="X7" t="str">
        <f t="shared" si="7"/>
        <v/>
      </c>
      <c r="Y7" t="str">
        <f t="shared" si="12"/>
        <v/>
      </c>
      <c r="Z7" t="str">
        <f>IF(P7=0,"","opl: "&amp;N7&amp;" mL "&amp;INDEX(B$27:B$38,O7,1)&amp;" "&amp;IF(Q7=0,"","("&amp;ROUND(ber_Med_disc!H7/ber_Med_disc!N7,2)&amp;" "&amp;ber_Med_disc!F7&amp;"/ml)"))</f>
        <v/>
      </c>
      <c r="AA7" t="str">
        <f t="shared" si="13"/>
        <v/>
      </c>
      <c r="AB7" t="str">
        <f>IF(ber_Opm!C21=0,"",ber_Opm!C21)</f>
        <v/>
      </c>
      <c r="AC7" t="str">
        <f t="shared" si="14"/>
        <v/>
      </c>
      <c r="AD7">
        <f t="shared" si="15"/>
        <v>2</v>
      </c>
      <c r="AE7">
        <f t="shared" si="8"/>
        <v>0</v>
      </c>
    </row>
    <row r="8" spans="1:31" x14ac:dyDescent="0.35">
      <c r="A8">
        <v>7</v>
      </c>
      <c r="B8">
        <v>1500</v>
      </c>
      <c r="E8" s="22"/>
      <c r="F8" t="s">
        <v>1272</v>
      </c>
      <c r="G8">
        <v>2</v>
      </c>
      <c r="H8">
        <f t="shared" si="0"/>
        <v>0</v>
      </c>
      <c r="I8">
        <v>1</v>
      </c>
      <c r="J8">
        <f t="shared" si="1"/>
        <v>0</v>
      </c>
      <c r="K8">
        <f t="shared" si="2"/>
        <v>0</v>
      </c>
      <c r="M8">
        <f t="shared" si="3"/>
        <v>0</v>
      </c>
      <c r="P8">
        <f t="shared" si="9"/>
        <v>0</v>
      </c>
      <c r="Q8">
        <v>0</v>
      </c>
      <c r="R8">
        <f t="shared" si="4"/>
        <v>0</v>
      </c>
      <c r="S8">
        <f t="shared" si="5"/>
        <v>0</v>
      </c>
      <c r="T8">
        <f t="shared" si="6"/>
        <v>0</v>
      </c>
      <c r="V8" t="str">
        <f t="shared" si="10"/>
        <v/>
      </c>
      <c r="W8" t="str">
        <f t="shared" si="11"/>
        <v/>
      </c>
      <c r="X8" t="str">
        <f t="shared" si="7"/>
        <v/>
      </c>
      <c r="Y8" t="str">
        <f t="shared" si="12"/>
        <v/>
      </c>
      <c r="Z8" t="str">
        <f>IF(P8=0,"","opl: "&amp;N8&amp;" mL "&amp;INDEX(B$27:B$38,O8,1)&amp;" "&amp;IF(Q8=0,"","("&amp;ROUND(ber_Med_disc!H8/ber_Med_disc!N8,2)&amp;" "&amp;ber_Med_disc!F8&amp;"/ml)"))</f>
        <v/>
      </c>
      <c r="AA8" t="str">
        <f t="shared" si="13"/>
        <v/>
      </c>
      <c r="AB8" t="str">
        <f>IF(ber_Opm!C22=0,"",ber_Opm!C22)</f>
        <v/>
      </c>
      <c r="AC8" t="str">
        <f t="shared" si="14"/>
        <v/>
      </c>
      <c r="AD8">
        <f t="shared" si="15"/>
        <v>2</v>
      </c>
      <c r="AE8">
        <f t="shared" si="8"/>
        <v>0</v>
      </c>
    </row>
    <row r="9" spans="1:31" x14ac:dyDescent="0.35">
      <c r="A9">
        <v>8</v>
      </c>
      <c r="B9">
        <v>1500</v>
      </c>
      <c r="E9" s="22"/>
      <c r="F9" t="s">
        <v>1271</v>
      </c>
      <c r="G9">
        <v>1</v>
      </c>
      <c r="H9">
        <f t="shared" si="0"/>
        <v>0</v>
      </c>
      <c r="I9">
        <v>1</v>
      </c>
      <c r="J9">
        <f t="shared" si="1"/>
        <v>0</v>
      </c>
      <c r="K9">
        <f t="shared" si="2"/>
        <v>0</v>
      </c>
      <c r="M9">
        <f t="shared" si="3"/>
        <v>0</v>
      </c>
      <c r="P9">
        <f t="shared" si="9"/>
        <v>0</v>
      </c>
      <c r="Q9">
        <v>0</v>
      </c>
      <c r="R9">
        <f t="shared" si="4"/>
        <v>0</v>
      </c>
      <c r="S9">
        <f t="shared" si="5"/>
        <v>0</v>
      </c>
      <c r="T9">
        <f t="shared" si="6"/>
        <v>0</v>
      </c>
      <c r="V9" t="str">
        <f t="shared" si="10"/>
        <v/>
      </c>
      <c r="W9" t="str">
        <f t="shared" si="11"/>
        <v/>
      </c>
      <c r="X9" t="str">
        <f t="shared" si="7"/>
        <v/>
      </c>
      <c r="Y9" t="str">
        <f t="shared" si="12"/>
        <v/>
      </c>
      <c r="Z9" t="str">
        <f>IF(P9=0,"","opl: "&amp;N9&amp;" mL "&amp;INDEX(B$27:B$38,O9,1)&amp;" "&amp;IF(Q9=0,"","("&amp;ROUND(ber_Med_disc!H9/ber_Med_disc!N9,2)&amp;" "&amp;ber_Med_disc!F9&amp;"/ml)"))</f>
        <v/>
      </c>
      <c r="AA9" t="str">
        <f t="shared" si="13"/>
        <v/>
      </c>
      <c r="AB9" t="str">
        <f>IF(ber_Opm!C23=0,"",ber_Opm!C23)</f>
        <v/>
      </c>
      <c r="AC9" t="str">
        <f t="shared" si="14"/>
        <v/>
      </c>
      <c r="AD9">
        <f t="shared" si="15"/>
        <v>2</v>
      </c>
      <c r="AE9">
        <f t="shared" si="8"/>
        <v>0</v>
      </c>
    </row>
    <row r="10" spans="1:31" x14ac:dyDescent="0.35">
      <c r="A10">
        <v>9</v>
      </c>
      <c r="B10">
        <v>1500</v>
      </c>
      <c r="E10" s="22"/>
      <c r="H10">
        <f t="shared" si="0"/>
        <v>0</v>
      </c>
      <c r="I10">
        <v>1</v>
      </c>
      <c r="J10">
        <f t="shared" si="1"/>
        <v>0</v>
      </c>
      <c r="K10">
        <f t="shared" si="2"/>
        <v>0</v>
      </c>
      <c r="M10">
        <f t="shared" si="3"/>
        <v>0</v>
      </c>
      <c r="P10">
        <f t="shared" si="9"/>
        <v>0</v>
      </c>
      <c r="Q10">
        <v>0</v>
      </c>
      <c r="R10">
        <f t="shared" si="4"/>
        <v>0</v>
      </c>
      <c r="S10">
        <f t="shared" si="5"/>
        <v>0</v>
      </c>
      <c r="T10">
        <f t="shared" si="6"/>
        <v>0</v>
      </c>
      <c r="V10" t="str">
        <f t="shared" si="10"/>
        <v/>
      </c>
      <c r="W10" t="str">
        <f t="shared" si="11"/>
        <v/>
      </c>
      <c r="X10" t="str">
        <f t="shared" si="7"/>
        <v/>
      </c>
      <c r="Y10" t="str">
        <f t="shared" si="12"/>
        <v/>
      </c>
      <c r="Z10" t="str">
        <f>IF(P10=0,"","opl: "&amp;N10&amp;" mL "&amp;INDEX(B$27:B$38,O10,1)&amp;" "&amp;IF(Q10=0,"","("&amp;ROUND(ber_Med_disc!H10/ber_Med_disc!N10,2)&amp;" "&amp;ber_Med_disc!F10&amp;"/ml)"))</f>
        <v/>
      </c>
      <c r="AA10" t="str">
        <f t="shared" si="13"/>
        <v/>
      </c>
      <c r="AB10" t="str">
        <f>IF(ber_Opm!C24=0,"",ber_Opm!C24)</f>
        <v/>
      </c>
      <c r="AC10" t="str">
        <f t="shared" si="14"/>
        <v/>
      </c>
      <c r="AD10">
        <f t="shared" si="15"/>
        <v>2</v>
      </c>
      <c r="AE10">
        <f t="shared" si="8"/>
        <v>0</v>
      </c>
    </row>
    <row r="11" spans="1:31" x14ac:dyDescent="0.35">
      <c r="A11">
        <v>10</v>
      </c>
      <c r="B11">
        <v>1500</v>
      </c>
      <c r="E11" s="22"/>
      <c r="F11" t="s">
        <v>465</v>
      </c>
      <c r="G11">
        <v>1</v>
      </c>
      <c r="H11">
        <f t="shared" si="0"/>
        <v>0</v>
      </c>
      <c r="I11">
        <v>1</v>
      </c>
      <c r="J11">
        <f t="shared" si="1"/>
        <v>0</v>
      </c>
      <c r="K11">
        <f t="shared" si="2"/>
        <v>0</v>
      </c>
      <c r="M11">
        <f t="shared" si="3"/>
        <v>0</v>
      </c>
      <c r="P11">
        <f t="shared" si="9"/>
        <v>0</v>
      </c>
      <c r="R11">
        <f t="shared" si="4"/>
        <v>0</v>
      </c>
      <c r="S11">
        <f t="shared" si="5"/>
        <v>0</v>
      </c>
      <c r="T11">
        <f t="shared" si="6"/>
        <v>0</v>
      </c>
      <c r="V11" t="str">
        <f t="shared" si="10"/>
        <v/>
      </c>
      <c r="W11" t="str">
        <f t="shared" si="11"/>
        <v/>
      </c>
      <c r="X11" t="str">
        <f t="shared" si="7"/>
        <v/>
      </c>
      <c r="Y11" t="str">
        <f t="shared" si="12"/>
        <v/>
      </c>
      <c r="Z11" t="str">
        <f>IF(P11=0,"","opl: "&amp;N11&amp;" mL "&amp;INDEX(B$27:B$38,O11,1)&amp;" "&amp;IF(Q11=0,"","("&amp;ROUND(ber_Med_disc!H11/ber_Med_disc!N11,2)&amp;" "&amp;ber_Med_disc!F11&amp;"/ml)"))</f>
        <v/>
      </c>
      <c r="AA11" t="str">
        <f t="shared" si="13"/>
        <v/>
      </c>
      <c r="AB11" t="str">
        <f>IF(ber_Opm!C25=0,"",ber_Opm!C25)</f>
        <v/>
      </c>
      <c r="AC11" t="str">
        <f t="shared" si="14"/>
        <v/>
      </c>
      <c r="AD11">
        <f t="shared" si="15"/>
        <v>2</v>
      </c>
      <c r="AE11">
        <f t="shared" si="8"/>
        <v>0</v>
      </c>
    </row>
    <row r="12" spans="1:31" x14ac:dyDescent="0.35">
      <c r="A12">
        <v>11</v>
      </c>
      <c r="B12">
        <v>1500</v>
      </c>
      <c r="E12" s="22"/>
      <c r="H12">
        <f t="shared" si="0"/>
        <v>0</v>
      </c>
      <c r="I12">
        <v>1</v>
      </c>
      <c r="J12">
        <f t="shared" si="1"/>
        <v>0</v>
      </c>
      <c r="K12">
        <f t="shared" si="2"/>
        <v>0</v>
      </c>
      <c r="M12">
        <f t="shared" si="3"/>
        <v>0</v>
      </c>
      <c r="P12">
        <f t="shared" si="9"/>
        <v>0</v>
      </c>
      <c r="R12">
        <f t="shared" si="4"/>
        <v>0</v>
      </c>
      <c r="S12">
        <f t="shared" si="5"/>
        <v>0</v>
      </c>
      <c r="T12">
        <f t="shared" si="6"/>
        <v>0</v>
      </c>
      <c r="V12" t="str">
        <f t="shared" si="10"/>
        <v/>
      </c>
      <c r="W12" t="str">
        <f t="shared" si="11"/>
        <v/>
      </c>
      <c r="X12" t="str">
        <f t="shared" si="7"/>
        <v/>
      </c>
      <c r="Y12" t="str">
        <f t="shared" si="12"/>
        <v/>
      </c>
      <c r="Z12" t="str">
        <f>IF(P12=0,"","opl: "&amp;N12&amp;" mL "&amp;INDEX(B$27:B$38,O12,1)&amp;" "&amp;IF(Q12=0,"","("&amp;ROUND(ber_Med_disc!H12/ber_Med_disc!N12,2)&amp;" "&amp;ber_Med_disc!F12&amp;"/ml)"))</f>
        <v/>
      </c>
      <c r="AA12" t="str">
        <f t="shared" si="13"/>
        <v/>
      </c>
      <c r="AB12" t="str">
        <f>IF(ber_Opm!C26=0,"",ber_Opm!C26)</f>
        <v/>
      </c>
      <c r="AC12" t="str">
        <f t="shared" si="14"/>
        <v/>
      </c>
      <c r="AD12">
        <f t="shared" si="15"/>
        <v>2</v>
      </c>
      <c r="AE12">
        <f t="shared" si="8"/>
        <v>0</v>
      </c>
    </row>
    <row r="13" spans="1:31" x14ac:dyDescent="0.35">
      <c r="A13">
        <v>12</v>
      </c>
      <c r="B13">
        <v>1500</v>
      </c>
      <c r="E13" s="22"/>
      <c r="H13">
        <f t="shared" si="0"/>
        <v>0</v>
      </c>
      <c r="I13">
        <v>1</v>
      </c>
      <c r="J13">
        <f t="shared" si="1"/>
        <v>0</v>
      </c>
      <c r="K13">
        <f t="shared" si="2"/>
        <v>0</v>
      </c>
      <c r="M13">
        <f t="shared" si="3"/>
        <v>0</v>
      </c>
      <c r="P13">
        <f t="shared" si="9"/>
        <v>0</v>
      </c>
      <c r="R13">
        <f t="shared" si="4"/>
        <v>0</v>
      </c>
      <c r="S13">
        <f t="shared" si="5"/>
        <v>0</v>
      </c>
      <c r="T13">
        <f t="shared" si="6"/>
        <v>0</v>
      </c>
      <c r="V13" t="str">
        <f t="shared" si="10"/>
        <v/>
      </c>
      <c r="W13" t="str">
        <f t="shared" si="11"/>
        <v/>
      </c>
      <c r="X13" t="str">
        <f t="shared" si="7"/>
        <v/>
      </c>
      <c r="Y13" t="str">
        <f t="shared" si="12"/>
        <v/>
      </c>
      <c r="Z13" t="str">
        <f>IF(P13=0,"","opl: "&amp;N13&amp;" mL "&amp;INDEX(B$27:B$38,O13,1)&amp;" "&amp;IF(Q13=0,"","("&amp;ROUND(ber_Med_disc!H13/ber_Med_disc!N13,2)&amp;" "&amp;ber_Med_disc!F13&amp;"/ml)"))</f>
        <v/>
      </c>
      <c r="AA13" t="str">
        <f t="shared" si="13"/>
        <v/>
      </c>
      <c r="AB13" t="str">
        <f>IF(ber_Opm!C27=0,"",ber_Opm!C27)</f>
        <v/>
      </c>
      <c r="AC13" t="str">
        <f t="shared" si="14"/>
        <v/>
      </c>
      <c r="AD13">
        <f t="shared" si="15"/>
        <v>2</v>
      </c>
      <c r="AE13">
        <f t="shared" si="8"/>
        <v>0</v>
      </c>
    </row>
    <row r="14" spans="1:31" x14ac:dyDescent="0.35">
      <c r="A14">
        <v>13</v>
      </c>
      <c r="B14">
        <v>1500</v>
      </c>
      <c r="E14" s="22"/>
      <c r="H14">
        <f t="shared" si="0"/>
        <v>0</v>
      </c>
      <c r="I14">
        <v>1</v>
      </c>
      <c r="J14">
        <f t="shared" si="1"/>
        <v>0</v>
      </c>
      <c r="K14">
        <f t="shared" si="2"/>
        <v>0</v>
      </c>
      <c r="M14">
        <f t="shared" si="3"/>
        <v>0</v>
      </c>
      <c r="P14">
        <f t="shared" si="9"/>
        <v>0</v>
      </c>
      <c r="R14">
        <f t="shared" si="4"/>
        <v>0</v>
      </c>
      <c r="S14">
        <f t="shared" si="5"/>
        <v>0</v>
      </c>
      <c r="T14">
        <f t="shared" si="6"/>
        <v>0</v>
      </c>
      <c r="V14" t="str">
        <f t="shared" si="10"/>
        <v/>
      </c>
      <c r="W14" t="str">
        <f t="shared" si="11"/>
        <v/>
      </c>
      <c r="X14" t="str">
        <f t="shared" si="7"/>
        <v/>
      </c>
      <c r="Y14" t="str">
        <f t="shared" si="12"/>
        <v/>
      </c>
      <c r="Z14" t="str">
        <f>IF(P14=0,"","opl: "&amp;N14&amp;" mL "&amp;INDEX(B$27:B$38,O14,1)&amp;" "&amp;IF(Q14=0,"","("&amp;ROUND(ber_Med_disc!H14/ber_Med_disc!N14,2)&amp;" "&amp;ber_Med_disc!F14&amp;"/ml)"))</f>
        <v/>
      </c>
      <c r="AA14" t="str">
        <f t="shared" si="13"/>
        <v/>
      </c>
      <c r="AB14" t="str">
        <f>IF(ber_Opm!C28=0,"",ber_Opm!C28)</f>
        <v/>
      </c>
      <c r="AC14" t="str">
        <f t="shared" si="14"/>
        <v/>
      </c>
      <c r="AD14">
        <f t="shared" si="15"/>
        <v>2</v>
      </c>
      <c r="AE14">
        <f t="shared" si="8"/>
        <v>0</v>
      </c>
    </row>
    <row r="15" spans="1:31" x14ac:dyDescent="0.35">
      <c r="A15">
        <v>14</v>
      </c>
      <c r="B15">
        <v>1500</v>
      </c>
      <c r="E15" s="22"/>
      <c r="H15">
        <f t="shared" si="0"/>
        <v>0</v>
      </c>
      <c r="I15">
        <v>1</v>
      </c>
      <c r="J15">
        <f t="shared" si="1"/>
        <v>0</v>
      </c>
      <c r="K15">
        <f t="shared" si="2"/>
        <v>0</v>
      </c>
      <c r="M15">
        <f t="shared" si="3"/>
        <v>0</v>
      </c>
      <c r="P15">
        <f t="shared" si="9"/>
        <v>0</v>
      </c>
      <c r="R15">
        <f t="shared" si="4"/>
        <v>0</v>
      </c>
      <c r="S15">
        <f t="shared" si="5"/>
        <v>0</v>
      </c>
      <c r="T15">
        <f t="shared" si="6"/>
        <v>0</v>
      </c>
      <c r="V15" t="str">
        <f t="shared" si="10"/>
        <v/>
      </c>
      <c r="W15" t="str">
        <f t="shared" si="11"/>
        <v/>
      </c>
      <c r="X15" t="str">
        <f t="shared" si="7"/>
        <v/>
      </c>
      <c r="Y15" t="str">
        <f t="shared" si="12"/>
        <v/>
      </c>
      <c r="Z15" t="str">
        <f>IF(P15=0,"","opl: "&amp;N15&amp;" mL "&amp;INDEX(B$27:B$38,O15,1)&amp;" "&amp;IF(Q15=0,"","("&amp;ROUND(ber_Med_disc!H15/ber_Med_disc!N15,2)&amp;" "&amp;ber_Med_disc!F15&amp;"/ml)"))</f>
        <v/>
      </c>
      <c r="AA15" t="str">
        <f t="shared" si="13"/>
        <v/>
      </c>
      <c r="AB15" t="str">
        <f>IF(ber_Opm!C29=0,"",ber_Opm!C29)</f>
        <v/>
      </c>
      <c r="AC15" t="str">
        <f t="shared" si="14"/>
        <v/>
      </c>
      <c r="AD15">
        <f t="shared" si="15"/>
        <v>2</v>
      </c>
      <c r="AE15">
        <f t="shared" si="8"/>
        <v>0</v>
      </c>
    </row>
    <row r="16" spans="1:31" x14ac:dyDescent="0.35">
      <c r="A16">
        <v>15</v>
      </c>
      <c r="B16">
        <v>1500</v>
      </c>
      <c r="E16" s="22"/>
      <c r="H16">
        <f t="shared" si="0"/>
        <v>0</v>
      </c>
      <c r="I16">
        <v>1</v>
      </c>
      <c r="J16">
        <f t="shared" si="1"/>
        <v>0</v>
      </c>
      <c r="K16">
        <f t="shared" si="2"/>
        <v>0</v>
      </c>
      <c r="M16">
        <f t="shared" si="3"/>
        <v>0</v>
      </c>
      <c r="P16">
        <f t="shared" si="9"/>
        <v>0</v>
      </c>
      <c r="R16">
        <f t="shared" si="4"/>
        <v>0</v>
      </c>
      <c r="S16">
        <f t="shared" si="5"/>
        <v>0</v>
      </c>
      <c r="T16">
        <f t="shared" si="6"/>
        <v>0</v>
      </c>
      <c r="V16" t="str">
        <f t="shared" si="10"/>
        <v/>
      </c>
      <c r="W16" t="str">
        <f t="shared" si="11"/>
        <v/>
      </c>
      <c r="X16" t="str">
        <f t="shared" si="7"/>
        <v/>
      </c>
      <c r="Y16" t="str">
        <f t="shared" si="12"/>
        <v/>
      </c>
      <c r="Z16" t="str">
        <f>IF(P16=0,"","opl: "&amp;N16&amp;" mL "&amp;INDEX(B$27:B$38,O16,1)&amp;" "&amp;IF(Q16=0,"","("&amp;ROUND(ber_Med_disc!H16/ber_Med_disc!N16,2)&amp;" "&amp;ber_Med_disc!F16&amp;"/ml)"))</f>
        <v/>
      </c>
      <c r="AA16" t="str">
        <f t="shared" si="13"/>
        <v/>
      </c>
      <c r="AB16" t="str">
        <f>IF(ber_Opm!C30=0,"",ber_Opm!C30)</f>
        <v/>
      </c>
      <c r="AC16" t="str">
        <f t="shared" si="14"/>
        <v/>
      </c>
      <c r="AD16">
        <f t="shared" si="15"/>
        <v>2</v>
      </c>
      <c r="AE16">
        <f t="shared" si="8"/>
        <v>0</v>
      </c>
    </row>
    <row r="17" spans="1:31" x14ac:dyDescent="0.35">
      <c r="A17">
        <v>16</v>
      </c>
      <c r="B17">
        <v>1500</v>
      </c>
      <c r="E17" s="22"/>
      <c r="H17">
        <f t="shared" si="0"/>
        <v>0</v>
      </c>
      <c r="I17">
        <v>1</v>
      </c>
      <c r="J17">
        <f t="shared" si="1"/>
        <v>0</v>
      </c>
      <c r="K17">
        <f t="shared" si="2"/>
        <v>0</v>
      </c>
      <c r="M17">
        <f t="shared" si="3"/>
        <v>0</v>
      </c>
      <c r="P17">
        <f t="shared" si="9"/>
        <v>0</v>
      </c>
      <c r="R17">
        <f t="shared" si="4"/>
        <v>0</v>
      </c>
      <c r="S17">
        <f t="shared" si="5"/>
        <v>0</v>
      </c>
      <c r="T17">
        <f t="shared" si="6"/>
        <v>0</v>
      </c>
      <c r="V17" t="str">
        <f t="shared" si="10"/>
        <v/>
      </c>
      <c r="W17" t="str">
        <f t="shared" si="11"/>
        <v/>
      </c>
      <c r="X17" t="str">
        <f t="shared" si="7"/>
        <v/>
      </c>
      <c r="Y17" t="str">
        <f t="shared" si="12"/>
        <v/>
      </c>
      <c r="Z17" t="str">
        <f>IF(P17=0,"","opl: "&amp;N17&amp;" mL "&amp;INDEX(B$27:B$38,O17,1)&amp;" "&amp;IF(Q17=0,"","("&amp;ROUND(ber_Med_disc!H17/ber_Med_disc!N17,2)&amp;" "&amp;ber_Med_disc!F17&amp;"/ml)"))</f>
        <v/>
      </c>
      <c r="AA17" t="str">
        <f t="shared" si="13"/>
        <v/>
      </c>
      <c r="AB17" t="str">
        <f>IF(ber_Opm!C31=0,"",ber_Opm!C31)</f>
        <v/>
      </c>
      <c r="AC17" t="str">
        <f t="shared" si="14"/>
        <v/>
      </c>
      <c r="AD17">
        <f t="shared" si="15"/>
        <v>2</v>
      </c>
      <c r="AE17">
        <f t="shared" si="8"/>
        <v>0</v>
      </c>
    </row>
    <row r="18" spans="1:31" x14ac:dyDescent="0.35">
      <c r="A18">
        <v>17</v>
      </c>
      <c r="B18">
        <v>1500</v>
      </c>
      <c r="E18" s="22"/>
      <c r="H18">
        <f t="shared" si="0"/>
        <v>0</v>
      </c>
      <c r="I18">
        <v>1</v>
      </c>
      <c r="J18">
        <f t="shared" si="1"/>
        <v>0</v>
      </c>
      <c r="K18">
        <f t="shared" si="2"/>
        <v>0</v>
      </c>
      <c r="M18">
        <f t="shared" si="3"/>
        <v>0</v>
      </c>
      <c r="P18">
        <f t="shared" si="9"/>
        <v>0</v>
      </c>
      <c r="R18">
        <f t="shared" si="4"/>
        <v>0</v>
      </c>
      <c r="S18">
        <f t="shared" si="5"/>
        <v>0</v>
      </c>
      <c r="T18">
        <f t="shared" si="6"/>
        <v>0</v>
      </c>
      <c r="V18" t="str">
        <f t="shared" si="10"/>
        <v/>
      </c>
      <c r="W18" t="str">
        <f t="shared" si="11"/>
        <v/>
      </c>
      <c r="X18" t="str">
        <f t="shared" si="7"/>
        <v/>
      </c>
      <c r="Y18" t="str">
        <f t="shared" si="12"/>
        <v/>
      </c>
      <c r="Z18" t="str">
        <f>IF(P18=0,"","opl: "&amp;N18&amp;" mL "&amp;INDEX(B$27:B$38,O18,1)&amp;" "&amp;IF(Q18=0,"","("&amp;ROUND(ber_Med_disc!H18/ber_Med_disc!N18,2)&amp;" "&amp;ber_Med_disc!F18&amp;"/ml)"))</f>
        <v/>
      </c>
      <c r="AA18" t="str">
        <f t="shared" si="13"/>
        <v/>
      </c>
      <c r="AB18" t="str">
        <f>IF(ber_Opm!C32=0,"",ber_Opm!C32)</f>
        <v/>
      </c>
      <c r="AC18" t="str">
        <f t="shared" si="14"/>
        <v/>
      </c>
      <c r="AD18">
        <f t="shared" si="15"/>
        <v>2</v>
      </c>
      <c r="AE18">
        <f t="shared" si="8"/>
        <v>0</v>
      </c>
    </row>
    <row r="19" spans="1:31" x14ac:dyDescent="0.35">
      <c r="A19">
        <v>18</v>
      </c>
      <c r="B19">
        <v>1500</v>
      </c>
      <c r="E19" s="22"/>
      <c r="H19">
        <f t="shared" si="0"/>
        <v>0</v>
      </c>
      <c r="I19">
        <v>1</v>
      </c>
      <c r="J19">
        <f t="shared" si="1"/>
        <v>0</v>
      </c>
      <c r="K19">
        <f t="shared" si="2"/>
        <v>0</v>
      </c>
      <c r="M19">
        <f t="shared" si="3"/>
        <v>0</v>
      </c>
      <c r="P19">
        <f t="shared" si="9"/>
        <v>0</v>
      </c>
      <c r="R19">
        <f t="shared" si="4"/>
        <v>0</v>
      </c>
      <c r="S19">
        <f t="shared" si="5"/>
        <v>0</v>
      </c>
      <c r="T19">
        <f t="shared" si="6"/>
        <v>0</v>
      </c>
      <c r="V19" t="str">
        <f t="shared" si="10"/>
        <v/>
      </c>
      <c r="W19" t="str">
        <f t="shared" si="11"/>
        <v/>
      </c>
      <c r="X19" t="str">
        <f t="shared" si="7"/>
        <v/>
      </c>
      <c r="Y19" t="str">
        <f t="shared" si="12"/>
        <v/>
      </c>
      <c r="Z19" t="str">
        <f>IF(P19=0,"","opl: "&amp;N19&amp;" mL "&amp;INDEX(B$27:B$38,O19,1)&amp;" "&amp;IF(Q19=0,"","("&amp;ROUND(ber_Med_disc!H19/ber_Med_disc!N19,2)&amp;" "&amp;ber_Med_disc!F19&amp;"/ml)"))</f>
        <v/>
      </c>
      <c r="AA19" t="str">
        <f t="shared" si="13"/>
        <v/>
      </c>
      <c r="AB19" t="str">
        <f>IF(ber_Opm!C33=0,"",ber_Opm!C33)</f>
        <v/>
      </c>
      <c r="AC19" t="str">
        <f t="shared" si="14"/>
        <v/>
      </c>
      <c r="AD19">
        <f t="shared" si="15"/>
        <v>2</v>
      </c>
      <c r="AE19">
        <f t="shared" si="8"/>
        <v>0</v>
      </c>
    </row>
    <row r="20" spans="1:31" x14ac:dyDescent="0.35">
      <c r="A20">
        <v>19</v>
      </c>
      <c r="B20">
        <v>1500</v>
      </c>
      <c r="E20" s="22"/>
      <c r="H20">
        <f t="shared" si="0"/>
        <v>0</v>
      </c>
      <c r="I20">
        <v>1</v>
      </c>
      <c r="J20">
        <f t="shared" si="1"/>
        <v>0</v>
      </c>
      <c r="K20">
        <f t="shared" si="2"/>
        <v>0</v>
      </c>
      <c r="M20">
        <f t="shared" si="3"/>
        <v>0</v>
      </c>
      <c r="P20">
        <f t="shared" si="9"/>
        <v>0</v>
      </c>
      <c r="R20">
        <f t="shared" si="4"/>
        <v>0</v>
      </c>
      <c r="S20">
        <f t="shared" si="5"/>
        <v>0</v>
      </c>
      <c r="T20">
        <f t="shared" si="6"/>
        <v>0</v>
      </c>
      <c r="V20" t="str">
        <f t="shared" si="10"/>
        <v/>
      </c>
      <c r="W20" t="str">
        <f t="shared" si="11"/>
        <v/>
      </c>
      <c r="X20" t="str">
        <f t="shared" si="7"/>
        <v/>
      </c>
      <c r="Y20" t="str">
        <f t="shared" si="12"/>
        <v/>
      </c>
      <c r="Z20" t="str">
        <f>IF(P20=0,"","opl: "&amp;N20&amp;" mL "&amp;INDEX(B$27:B$38,O20,1)&amp;" "&amp;IF(Q20=0,"","("&amp;ROUND(ber_Med_disc!H20/ber_Med_disc!N20,2)&amp;" "&amp;ber_Med_disc!F20&amp;"/ml)"))</f>
        <v/>
      </c>
      <c r="AA20" t="str">
        <f t="shared" si="13"/>
        <v/>
      </c>
      <c r="AB20" t="str">
        <f>IF(ber_Opm!C34=0,"",ber_Opm!C34)</f>
        <v/>
      </c>
      <c r="AC20" t="str">
        <f t="shared" si="14"/>
        <v/>
      </c>
      <c r="AD20">
        <f t="shared" si="15"/>
        <v>2</v>
      </c>
      <c r="AE20">
        <f t="shared" si="8"/>
        <v>0</v>
      </c>
    </row>
    <row r="21" spans="1:31" x14ac:dyDescent="0.35">
      <c r="A21">
        <v>20</v>
      </c>
      <c r="B21">
        <v>1500</v>
      </c>
      <c r="E21" s="22"/>
      <c r="H21">
        <f t="shared" si="0"/>
        <v>0</v>
      </c>
      <c r="I21">
        <v>1</v>
      </c>
      <c r="J21">
        <f t="shared" si="1"/>
        <v>0</v>
      </c>
      <c r="K21">
        <f t="shared" si="2"/>
        <v>0</v>
      </c>
      <c r="M21">
        <f t="shared" si="3"/>
        <v>0</v>
      </c>
      <c r="P21">
        <f t="shared" si="9"/>
        <v>0</v>
      </c>
      <c r="R21">
        <f t="shared" si="4"/>
        <v>0</v>
      </c>
      <c r="S21">
        <f t="shared" si="5"/>
        <v>0</v>
      </c>
      <c r="T21">
        <f t="shared" si="6"/>
        <v>0</v>
      </c>
      <c r="V21" t="str">
        <f t="shared" si="10"/>
        <v/>
      </c>
      <c r="W21" t="str">
        <f t="shared" si="11"/>
        <v/>
      </c>
      <c r="X21" t="str">
        <f t="shared" si="7"/>
        <v/>
      </c>
      <c r="Y21" t="str">
        <f t="shared" si="12"/>
        <v/>
      </c>
      <c r="Z21" t="str">
        <f>IF(P21=0,"","opl: "&amp;N21&amp;" mL "&amp;INDEX(B$27:B$38,O21,1)&amp;" "&amp;IF(Q21=0,"","("&amp;ROUND(ber_Med_disc!H21/ber_Med_disc!N21,2)&amp;" "&amp;ber_Med_disc!F21&amp;"/ml)"))</f>
        <v/>
      </c>
      <c r="AA21" t="str">
        <f t="shared" si="13"/>
        <v/>
      </c>
      <c r="AB21" t="str">
        <f>IF(ber_Opm!C35=0,"",ber_Opm!C35)</f>
        <v/>
      </c>
      <c r="AC21" t="str">
        <f t="shared" si="14"/>
        <v/>
      </c>
      <c r="AD21">
        <f t="shared" si="15"/>
        <v>2</v>
      </c>
      <c r="AE21">
        <f t="shared" si="8"/>
        <v>0</v>
      </c>
    </row>
    <row r="23" spans="1:31" x14ac:dyDescent="0.35">
      <c r="O23">
        <f>SUM(P2:P21)</f>
        <v>0</v>
      </c>
      <c r="Q23">
        <f>SUM(R2:R21)</f>
        <v>0</v>
      </c>
      <c r="S23">
        <f>SUM(S2:T21)</f>
        <v>0</v>
      </c>
    </row>
    <row r="25" spans="1:31" x14ac:dyDescent="0.35">
      <c r="A25" t="s">
        <v>169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#NAME?</v>
      </c>
    </row>
    <row r="26" spans="1:31" x14ac:dyDescent="0.35">
      <c r="A26" t="s">
        <v>969</v>
      </c>
      <c r="B26" t="s">
        <v>975</v>
      </c>
      <c r="D26" t="s">
        <v>991</v>
      </c>
      <c r="E26" t="s">
        <v>866</v>
      </c>
    </row>
    <row r="28" spans="1:31" x14ac:dyDescent="0.35">
      <c r="A28" t="s">
        <v>251</v>
      </c>
      <c r="B28" t="s">
        <v>765</v>
      </c>
      <c r="C28">
        <v>0</v>
      </c>
      <c r="D28" t="s">
        <v>1174</v>
      </c>
      <c r="E28" t="s">
        <v>473</v>
      </c>
    </row>
    <row r="29" spans="1:31" x14ac:dyDescent="0.35">
      <c r="A29" t="s">
        <v>250</v>
      </c>
      <c r="B29" t="s">
        <v>766</v>
      </c>
      <c r="C29">
        <v>1</v>
      </c>
      <c r="D29" t="s">
        <v>990</v>
      </c>
      <c r="E29" t="s">
        <v>465</v>
      </c>
    </row>
    <row r="30" spans="1:31" x14ac:dyDescent="0.35">
      <c r="A30" t="s">
        <v>125</v>
      </c>
      <c r="B30" t="s">
        <v>767</v>
      </c>
      <c r="C30">
        <v>1</v>
      </c>
      <c r="D30" t="s">
        <v>1083</v>
      </c>
      <c r="E30" t="s">
        <v>84</v>
      </c>
    </row>
    <row r="31" spans="1:31" x14ac:dyDescent="0.35">
      <c r="A31" t="s">
        <v>821</v>
      </c>
      <c r="C31">
        <v>2</v>
      </c>
      <c r="D31" t="s">
        <v>1084</v>
      </c>
      <c r="E31" t="s">
        <v>175</v>
      </c>
    </row>
    <row r="32" spans="1:31" x14ac:dyDescent="0.35">
      <c r="A32" t="s">
        <v>126</v>
      </c>
      <c r="C32">
        <v>3</v>
      </c>
      <c r="D32" t="s">
        <v>1085</v>
      </c>
      <c r="E32" t="s">
        <v>466</v>
      </c>
    </row>
    <row r="33" spans="1:4" x14ac:dyDescent="0.35">
      <c r="A33" t="s">
        <v>545</v>
      </c>
      <c r="C33">
        <v>4</v>
      </c>
      <c r="D33" t="s">
        <v>1086</v>
      </c>
    </row>
    <row r="34" spans="1:4" x14ac:dyDescent="0.35">
      <c r="A34" t="s">
        <v>970</v>
      </c>
      <c r="C34">
        <v>5</v>
      </c>
      <c r="D34" t="s">
        <v>1173</v>
      </c>
    </row>
    <row r="35" spans="1:4" x14ac:dyDescent="0.35">
      <c r="A35" t="s">
        <v>971</v>
      </c>
      <c r="C35">
        <v>6</v>
      </c>
      <c r="D35" t="s">
        <v>494</v>
      </c>
    </row>
    <row r="36" spans="1:4" x14ac:dyDescent="0.35">
      <c r="A36" t="s">
        <v>972</v>
      </c>
      <c r="C36">
        <v>8</v>
      </c>
      <c r="D36" t="s">
        <v>495</v>
      </c>
    </row>
    <row r="37" spans="1:4" x14ac:dyDescent="0.35">
      <c r="A37" t="s">
        <v>137</v>
      </c>
      <c r="C37">
        <v>12</v>
      </c>
      <c r="D37" t="s">
        <v>496</v>
      </c>
    </row>
    <row r="38" spans="1:4" x14ac:dyDescent="0.35">
      <c r="A38" t="s">
        <v>426</v>
      </c>
      <c r="C38">
        <v>24</v>
      </c>
      <c r="D38" t="s">
        <v>71</v>
      </c>
    </row>
  </sheetData>
  <phoneticPr fontId="26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1082</v>
      </c>
    </row>
    <row r="2" spans="1:24" x14ac:dyDescent="0.35">
      <c r="A2" t="s">
        <v>1031</v>
      </c>
      <c r="B2">
        <v>20</v>
      </c>
    </row>
    <row r="3" spans="1:24" x14ac:dyDescent="0.35">
      <c r="A3" t="s">
        <v>1083</v>
      </c>
      <c r="B3">
        <v>10</v>
      </c>
    </row>
    <row r="4" spans="1:24" x14ac:dyDescent="0.35">
      <c r="A4" t="s">
        <v>1084</v>
      </c>
      <c r="B4">
        <v>10</v>
      </c>
      <c r="C4">
        <v>22</v>
      </c>
    </row>
    <row r="5" spans="1:24" x14ac:dyDescent="0.35">
      <c r="A5" t="s">
        <v>1085</v>
      </c>
      <c r="B5">
        <v>10</v>
      </c>
      <c r="C5">
        <v>18</v>
      </c>
      <c r="D5">
        <v>2</v>
      </c>
    </row>
    <row r="6" spans="1:24" x14ac:dyDescent="0.35">
      <c r="A6" t="s">
        <v>1086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494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495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496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71</v>
      </c>
    </row>
    <row r="12" spans="1:24" x14ac:dyDescent="0.35">
      <c r="A12">
        <v>10</v>
      </c>
      <c r="B12" t="s">
        <v>1083</v>
      </c>
      <c r="C12" t="s">
        <v>1084</v>
      </c>
      <c r="D12" t="s">
        <v>1085</v>
      </c>
      <c r="E12" t="s">
        <v>1086</v>
      </c>
      <c r="F12" t="s">
        <v>494</v>
      </c>
      <c r="G12" t="s">
        <v>496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989</v>
      </c>
      <c r="B16" s="29"/>
      <c r="C16" s="29"/>
      <c r="D16" s="31" t="s">
        <v>497</v>
      </c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30"/>
      <c r="S16" s="30"/>
      <c r="T16" s="30"/>
      <c r="U16" s="30"/>
      <c r="V16" s="30"/>
      <c r="W16" s="30"/>
      <c r="X16" s="30"/>
    </row>
    <row r="17" spans="1:24" x14ac:dyDescent="0.35">
      <c r="A17" t="s">
        <v>990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31" t="s">
        <v>497</v>
      </c>
      <c r="M17" s="29"/>
      <c r="N17" s="31"/>
      <c r="O17" s="29"/>
      <c r="P17" s="29"/>
      <c r="Q17" s="29"/>
      <c r="R17" s="30"/>
      <c r="S17" s="30"/>
      <c r="T17" s="30"/>
      <c r="U17" s="30"/>
      <c r="V17" s="30"/>
      <c r="W17" s="30"/>
      <c r="X17" s="30"/>
    </row>
    <row r="18" spans="1:24" x14ac:dyDescent="0.35">
      <c r="A18" t="s">
        <v>1083</v>
      </c>
      <c r="B18" s="17" t="s">
        <v>497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1084</v>
      </c>
      <c r="B19" s="17" t="s">
        <v>497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497</v>
      </c>
      <c r="O19" s="17"/>
      <c r="P19" s="17"/>
      <c r="Q19" s="17"/>
    </row>
    <row r="20" spans="1:24" x14ac:dyDescent="0.35">
      <c r="A20" t="s">
        <v>1085</v>
      </c>
      <c r="B20" s="17" t="s">
        <v>497</v>
      </c>
      <c r="C20" s="17"/>
      <c r="D20" s="17"/>
      <c r="E20" s="17"/>
      <c r="F20" s="17"/>
      <c r="G20" s="17"/>
      <c r="H20" s="17"/>
      <c r="I20" s="17"/>
      <c r="J20" s="17" t="s">
        <v>497</v>
      </c>
      <c r="K20" s="17"/>
      <c r="L20" s="17"/>
      <c r="M20" s="17"/>
      <c r="N20" s="17"/>
      <c r="O20" s="17"/>
      <c r="P20" s="17"/>
      <c r="Q20" s="17"/>
      <c r="R20" t="s">
        <v>497</v>
      </c>
    </row>
    <row r="21" spans="1:24" x14ac:dyDescent="0.35">
      <c r="A21" t="s">
        <v>1086</v>
      </c>
      <c r="B21" s="17"/>
      <c r="C21" s="17"/>
      <c r="D21" s="17" t="s">
        <v>497</v>
      </c>
      <c r="E21" s="17"/>
      <c r="F21" s="17"/>
      <c r="G21" s="17"/>
      <c r="H21" s="17"/>
      <c r="I21" s="17"/>
      <c r="J21" s="17" t="s">
        <v>497</v>
      </c>
      <c r="K21" s="17"/>
      <c r="L21" s="17"/>
      <c r="M21" s="17"/>
      <c r="N21" s="17"/>
      <c r="O21" s="17"/>
      <c r="P21" s="17" t="s">
        <v>497</v>
      </c>
      <c r="Q21" s="17"/>
      <c r="V21" t="s">
        <v>497</v>
      </c>
    </row>
    <row r="22" spans="1:24" x14ac:dyDescent="0.35">
      <c r="A22" t="s">
        <v>494</v>
      </c>
      <c r="B22" s="17" t="s">
        <v>497</v>
      </c>
      <c r="C22" s="17"/>
      <c r="D22" s="17"/>
      <c r="E22" s="17"/>
      <c r="F22" s="17" t="s">
        <v>497</v>
      </c>
      <c r="G22" s="17"/>
      <c r="H22" s="17"/>
      <c r="I22" s="17"/>
      <c r="J22" s="17" t="s">
        <v>497</v>
      </c>
      <c r="K22" s="17"/>
      <c r="L22" s="17"/>
      <c r="M22" s="17"/>
      <c r="N22" s="17" t="s">
        <v>497</v>
      </c>
      <c r="O22" s="17"/>
      <c r="P22" s="17"/>
      <c r="Q22" s="17"/>
      <c r="R22" t="s">
        <v>497</v>
      </c>
      <c r="V22" t="s">
        <v>497</v>
      </c>
    </row>
    <row r="23" spans="1:24" x14ac:dyDescent="0.35">
      <c r="A23" t="s">
        <v>495</v>
      </c>
      <c r="B23" s="17"/>
      <c r="C23" s="17" t="s">
        <v>497</v>
      </c>
      <c r="D23" s="17"/>
      <c r="E23" s="17"/>
      <c r="F23" s="17" t="s">
        <v>497</v>
      </c>
      <c r="G23" s="17"/>
      <c r="H23" s="17"/>
      <c r="I23" s="17" t="s">
        <v>497</v>
      </c>
      <c r="J23" s="17"/>
      <c r="K23" s="17"/>
      <c r="L23" s="17" t="s">
        <v>497</v>
      </c>
      <c r="M23" s="17"/>
      <c r="N23" s="17"/>
      <c r="O23" s="17" t="s">
        <v>497</v>
      </c>
      <c r="P23" s="17"/>
      <c r="Q23" s="17"/>
      <c r="R23" t="s">
        <v>497</v>
      </c>
      <c r="U23" t="s">
        <v>497</v>
      </c>
      <c r="X23" t="s">
        <v>497</v>
      </c>
    </row>
    <row r="24" spans="1:24" x14ac:dyDescent="0.35">
      <c r="A24" t="s">
        <v>496</v>
      </c>
      <c r="B24" s="17" t="s">
        <v>497</v>
      </c>
      <c r="C24" s="17"/>
      <c r="D24" s="17" t="s">
        <v>497</v>
      </c>
      <c r="E24" s="17"/>
      <c r="F24" s="17" t="s">
        <v>497</v>
      </c>
      <c r="G24" s="17"/>
      <c r="H24" s="17" t="s">
        <v>497</v>
      </c>
      <c r="I24" s="17"/>
      <c r="J24" s="17" t="s">
        <v>497</v>
      </c>
      <c r="K24" s="17"/>
      <c r="L24" s="17" t="s">
        <v>497</v>
      </c>
      <c r="M24" s="17"/>
      <c r="N24" s="17" t="s">
        <v>497</v>
      </c>
      <c r="O24" s="17"/>
      <c r="P24" s="17" t="s">
        <v>497</v>
      </c>
      <c r="Q24" s="17"/>
      <c r="R24" t="s">
        <v>497</v>
      </c>
      <c r="T24" t="s">
        <v>497</v>
      </c>
      <c r="V24" t="s">
        <v>497</v>
      </c>
      <c r="X24" t="s">
        <v>497</v>
      </c>
    </row>
    <row r="25" spans="1:24" x14ac:dyDescent="0.35">
      <c r="A25" t="s">
        <v>71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"&amp;_AchterNaam&amp;", "&amp;_VoorNaam</f>
        <v>Naam: Achternaam, Voornaam</v>
      </c>
      <c r="D1" t="str">
        <f>"Geboortedatum: "</f>
        <v xml:space="preserve">Geboortedatum: </v>
      </c>
      <c r="F1" s="365">
        <f>GebDatum</f>
        <v>41732</v>
      </c>
      <c r="G1" s="365"/>
      <c r="I1" s="11" t="str">
        <f>"Gewicht: "&amp;ROUND(Gewicht/10,1)&amp;"kg"</f>
        <v>Gewicht: 5kg</v>
      </c>
      <c r="P1" s="11" t="s">
        <v>498</v>
      </c>
      <c r="R1" s="363"/>
      <c r="S1" s="363"/>
      <c r="T1" s="363"/>
      <c r="U1" s="363"/>
      <c r="V1" s="363"/>
      <c r="W1" s="363"/>
      <c r="Y1" t="s">
        <v>818</v>
      </c>
      <c r="AB1" s="364">
        <f ca="1">TODAY()</f>
        <v>42251</v>
      </c>
      <c r="AC1" s="364"/>
      <c r="AD1" s="364"/>
      <c r="AE1" s="364"/>
      <c r="AF1" s="364"/>
    </row>
    <row r="2" spans="2:33" ht="26.1" customHeight="1" x14ac:dyDescent="0.35">
      <c r="B2" s="144" t="s">
        <v>1144</v>
      </c>
      <c r="C2" s="145" t="s">
        <v>884</v>
      </c>
      <c r="D2" s="146" t="s">
        <v>885</v>
      </c>
      <c r="E2" s="146"/>
      <c r="F2" s="146"/>
      <c r="G2" s="147" t="s">
        <v>826</v>
      </c>
      <c r="H2" s="148">
        <v>10</v>
      </c>
      <c r="I2" s="148">
        <v>11</v>
      </c>
      <c r="J2" s="148">
        <v>12</v>
      </c>
      <c r="K2" s="148">
        <v>13</v>
      </c>
      <c r="L2" s="148">
        <v>14</v>
      </c>
      <c r="M2" s="148">
        <v>15</v>
      </c>
      <c r="N2" s="148">
        <v>16</v>
      </c>
      <c r="O2" s="148">
        <v>17</v>
      </c>
      <c r="P2" s="148">
        <v>18</v>
      </c>
      <c r="Q2" s="148">
        <v>19</v>
      </c>
      <c r="R2" s="149">
        <v>20</v>
      </c>
      <c r="S2" s="149">
        <v>21</v>
      </c>
      <c r="T2" s="149">
        <v>22</v>
      </c>
      <c r="U2" s="149">
        <v>23</v>
      </c>
      <c r="V2" s="149">
        <v>24</v>
      </c>
      <c r="W2" s="149">
        <v>1</v>
      </c>
      <c r="X2" s="148">
        <v>2</v>
      </c>
      <c r="Y2" s="148">
        <v>3</v>
      </c>
      <c r="Z2" s="148">
        <v>4</v>
      </c>
      <c r="AA2" s="148">
        <v>5</v>
      </c>
      <c r="AB2" s="148">
        <v>6</v>
      </c>
      <c r="AC2" s="148">
        <v>7</v>
      </c>
      <c r="AD2" s="148">
        <v>8</v>
      </c>
      <c r="AE2" s="150"/>
      <c r="AF2" s="150"/>
      <c r="AG2" s="150"/>
    </row>
    <row r="3" spans="2:33" ht="26.1" customHeight="1" x14ac:dyDescent="0.35">
      <c r="B3" s="152">
        <f>IF(C3&lt;&gt;" ",Med_disc!C6,"")</f>
        <v>0</v>
      </c>
      <c r="C3" s="298" t="str">
        <f>IF(ber_Med_disc!C2&lt;&gt;"",IF(ber_Med_disc!C2&gt;1,TRIM(ber_Med_disc!C2)&amp;", "&amp;ber_Opm!C16&amp;" ("&amp;ber_Med_disc!M2&amp;" "&amp;ber_Med_disc!F2&amp;"/kg/dag)",TRIM(ber_Med_disc!C2)&amp;", "&amp;ber_Opm!C16),"")</f>
        <v/>
      </c>
      <c r="D3" s="299" t="str">
        <f>IF(Med_disc!H6&lt;&gt;"",Med_disc!H6,"")</f>
        <v/>
      </c>
      <c r="E3" s="300" t="str">
        <f>IF(AND(D3&lt;&gt;"",D3&lt;&gt;"STOP"),ber_Med_disc!H2&amp;" "&amp;ber_Med_disc!F2,"")</f>
        <v/>
      </c>
      <c r="F3" s="300" t="str">
        <f>IF(AND(D3&lt;&gt;"",D3&lt;&gt;"STOP"),ber_Med_disc!L2," ")</f>
        <v xml:space="preserve"> </v>
      </c>
      <c r="G3" s="300" t="str">
        <f>IF(Med_disc!L6&lt;&gt;"",Med_disc!L6&amp;" "&amp;Med_disc!M6&amp;" "&amp;INDEX(ber_Med_disc!$B$27:$B$30,ber_Med_disc!O2,1)&amp;" in "&amp;Med_disc!$O$6,"")</f>
        <v/>
      </c>
      <c r="H3" s="151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51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51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51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51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51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51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51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51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51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51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51" t="str">
        <f>IF(OR($D3="1 dd",$D3="2 dd",$D3="3 dd",$D3="4 dd",$D3="6 dd",$D3="8 dd",$D3="12 dd",$D3="an",$D3="1 X"),VLOOKUP($D3,ber_tijden!$A$16:$X$25,ber_tijden!X$14,FALSE),"")</f>
        <v/>
      </c>
      <c r="AE3" s="19"/>
      <c r="AF3" s="150"/>
      <c r="AG3" s="19"/>
    </row>
    <row r="4" spans="2:33" ht="26.1" customHeight="1" x14ac:dyDescent="0.35">
      <c r="B4" s="152">
        <f>IF(C4&lt;&gt;" ",Med_disc!C8,"")</f>
        <v>0</v>
      </c>
      <c r="C4" s="298" t="str">
        <f>IF(ber_Med_disc!C3&lt;&gt;"",IF(ber_Med_disc!C3&gt;1,TRIM(ber_Med_disc!C3)&amp;", "&amp;ber_Opm!C17&amp;" ("&amp;ber_Med_disc!M3&amp;" "&amp;ber_Med_disc!F3&amp;"/kg/dag)",TRIM(ber_Med_disc!C3)&amp;", "&amp;ber_Opm!C17),"")</f>
        <v/>
      </c>
      <c r="D4" s="299" t="str">
        <f>IF(Med_disc!H8&lt;&gt;"",Med_disc!H8,"")</f>
        <v/>
      </c>
      <c r="E4" s="300" t="str">
        <f>IF(AND(D4&lt;&gt;"",D4&lt;&gt;"STOP"),ber_Med_disc!H3&amp;" "&amp;ber_Med_disc!F3,"")</f>
        <v/>
      </c>
      <c r="F4" s="300" t="str">
        <f>IF(AND(D4&lt;&gt;"",D4&lt;&gt;"STOP"),ber_Med_disc!L3," ")</f>
        <v xml:space="preserve"> </v>
      </c>
      <c r="G4" s="300" t="str">
        <f>IF(Med_disc!L8&lt;&gt;"",Med_disc!L8&amp;" "&amp;Med_disc!M8&amp;" "&amp;INDEX(ber_Med_disc!$B$27:$B$30,ber_Med_disc!O3,1)&amp;" in "&amp;Med_disc!$O$8,"")</f>
        <v/>
      </c>
      <c r="H4" s="151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51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51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51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51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51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51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51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51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51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51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51" t="str">
        <f>IF(OR($D4="1 dd",$D4="2 dd",$D4="3 dd",$D4="4 dd",$D4="6 dd",$D4="8 dd",$D4="12 dd",$D4="an",$D4="1 X"),VLOOKUP($D4,ber_tijden!$A$16:$X$25,ber_tijden!X$14,FALSE),"")</f>
        <v/>
      </c>
      <c r="AE4" s="19"/>
      <c r="AF4" s="150"/>
      <c r="AG4" s="19"/>
    </row>
    <row r="5" spans="2:33" ht="26.1" customHeight="1" x14ac:dyDescent="0.35">
      <c r="B5" s="152">
        <f>IF(C5&lt;&gt;" ",Med_disc!C10,"")</f>
        <v>0</v>
      </c>
      <c r="C5" s="298" t="str">
        <f>IF(ber_Med_disc!C4&lt;&gt;"",IF(ber_Med_disc!C4&gt;1,TRIM(ber_Med_disc!C4)&amp;", "&amp;ber_Opm!C18&amp;" ("&amp;ber_Med_disc!M4&amp;" "&amp;ber_Med_disc!F4&amp;"/kg/dag)",TRIM(ber_Med_disc!C4)&amp;", "&amp;ber_Opm!C18),"")</f>
        <v/>
      </c>
      <c r="D5" s="299" t="str">
        <f>IF(Med_disc!H10&lt;&gt;"",Med_disc!H10,"")</f>
        <v/>
      </c>
      <c r="E5" s="300" t="str">
        <f>IF(AND(D5&lt;&gt;"",D5&lt;&gt;"STOP"),ber_Med_disc!H4&amp;" "&amp;ber_Med_disc!F4,"")</f>
        <v/>
      </c>
      <c r="F5" s="300" t="str">
        <f>IF(AND(D5&lt;&gt;"",D5&lt;&gt;"STOP"),ber_Med_disc!L4," ")</f>
        <v xml:space="preserve"> </v>
      </c>
      <c r="G5" s="300" t="str">
        <f>IF(Med_disc!L10&lt;&gt;"",Med_disc!L10&amp;" "&amp;Med_disc!M10&amp;" "&amp;INDEX(ber_Med_disc!$B$27:$B$30,ber_Med_disc!O4,1)&amp;" in "&amp;Med_disc!$O$10,"")</f>
        <v/>
      </c>
      <c r="H5" s="151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51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51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51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51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51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51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51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51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51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51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51" t="str">
        <f>IF(OR($D5="1 dd",$D5="2 dd",$D5="3 dd",$D5="4 dd",$D5="6 dd",$D5="8 dd",$D5="12 dd",$D5="an",$D5="1 X"),VLOOKUP($D5,ber_tijden!$A$16:$X$25,ber_tijden!X$14,FALSE),"")</f>
        <v/>
      </c>
      <c r="AE5" s="19"/>
      <c r="AF5" s="150"/>
      <c r="AG5" s="19"/>
    </row>
    <row r="6" spans="2:33" ht="26.1" customHeight="1" x14ac:dyDescent="0.35">
      <c r="B6" s="152">
        <f>IF(C6&lt;&gt;" ",Med_disc!C12,"")</f>
        <v>0</v>
      </c>
      <c r="C6" s="298" t="str">
        <f>IF(ber_Med_disc!C5&lt;&gt;"",IF(ber_Med_disc!C5&gt;1,TRIM(ber_Med_disc!C5)&amp;", "&amp;ber_Opm!C19&amp;" ("&amp;ber_Med_disc!M5&amp;" "&amp;ber_Med_disc!F5&amp;"/kg/dag)",TRIM(ber_Med_disc!C5)&amp;", "&amp;ber_Opm!C19),"")</f>
        <v/>
      </c>
      <c r="D6" s="299" t="str">
        <f>IF(Med_disc!H12&lt;&gt;"",Med_disc!H12,"")</f>
        <v/>
      </c>
      <c r="E6" s="300" t="str">
        <f>IF(AND(D6&lt;&gt;"",D6&lt;&gt;"STOP"),ber_Med_disc!H5&amp;" "&amp;ber_Med_disc!F5,"")</f>
        <v/>
      </c>
      <c r="F6" s="300" t="str">
        <f>IF(AND(D6&lt;&gt;"",D6&lt;&gt;"STOP"),ber_Med_disc!L5," ")</f>
        <v xml:space="preserve"> </v>
      </c>
      <c r="G6" s="300" t="str">
        <f>IF(Med_disc!L12&lt;&gt;"",Med_disc!L12&amp;" "&amp;Med_disc!M12&amp;" "&amp;INDEX(ber_Med_disc!$B$27:$B$30,ber_Med_disc!O5,1)&amp;" in "&amp;Med_disc!$O$12,"")</f>
        <v/>
      </c>
      <c r="H6" s="151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51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51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51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51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51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51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51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51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51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51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51" t="str">
        <f>IF(OR($D6="1 dd",$D6="2 dd",$D6="3 dd",$D6="4 dd",$D6="6 dd",$D6="8 dd",$D6="12 dd",$D6="an",$D6="1 X"),VLOOKUP($D6,ber_tijden!$A$16:$X$25,ber_tijden!X$14,FALSE),"")</f>
        <v/>
      </c>
      <c r="AE6" s="19"/>
      <c r="AF6" s="150"/>
      <c r="AG6" s="19"/>
    </row>
    <row r="7" spans="2:33" ht="26.1" customHeight="1" x14ac:dyDescent="0.35">
      <c r="B7" s="152">
        <f>IF(C7&lt;&gt;" ",Med_disc!C14,"")</f>
        <v>0</v>
      </c>
      <c r="C7" s="298" t="str">
        <f>IF(ber_Med_disc!C6&lt;&gt;"",IF(ber_Med_disc!C6&gt;1,TRIM(ber_Med_disc!C6)&amp;", "&amp;ber_Opm!C20&amp;" ("&amp;ber_Med_disc!M6&amp;" "&amp;ber_Med_disc!F6&amp;"/kg/dag)",TRIM(ber_Med_disc!C6)&amp;", "&amp;ber_Opm!C20),"")</f>
        <v/>
      </c>
      <c r="D7" s="299" t="str">
        <f>IF(Med_disc!H14&lt;&gt;"",Med_disc!H14,"")</f>
        <v/>
      </c>
      <c r="E7" s="300" t="str">
        <f>IF(AND(D7&lt;&gt;"",D7&lt;&gt;"STOP"),ber_Med_disc!H6&amp;" "&amp;ber_Med_disc!F6,"")</f>
        <v/>
      </c>
      <c r="F7" s="300" t="str">
        <f>IF(AND(D7&lt;&gt;"",D7&lt;&gt;"STOP"),ber_Med_disc!L6," ")</f>
        <v xml:space="preserve"> </v>
      </c>
      <c r="G7" s="300" t="str">
        <f>IF(Med_disc!L14&lt;&gt;"",Med_disc!L14&amp;" "&amp;Med_disc!M14&amp;" "&amp;INDEX(ber_Med_disc!$B$27:$B$30,ber_Med_disc!O6,1)&amp;" in "&amp;Med_disc!$O$14,"")</f>
        <v/>
      </c>
      <c r="H7" s="151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51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51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51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51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51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51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51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51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51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51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51" t="str">
        <f>IF(OR($D7="1 dd",$D7="2 dd",$D7="3 dd",$D7="4 dd",$D7="6 dd",$D7="8 dd",$D7="12 dd",$D7="an",$D7="1 X"),VLOOKUP($D7,ber_tijden!$A$16:$X$25,ber_tijden!X$14,FALSE),"")</f>
        <v/>
      </c>
      <c r="AE7" s="19"/>
      <c r="AF7" s="150"/>
      <c r="AG7" s="19"/>
    </row>
    <row r="8" spans="2:33" ht="26.1" customHeight="1" x14ac:dyDescent="0.35">
      <c r="B8" s="152">
        <f>IF(C8&lt;&gt;" ",Med_disc!C16,"")</f>
        <v>0</v>
      </c>
      <c r="C8" s="298" t="str">
        <f>IF(ber_Med_disc!C7&lt;&gt;"",IF(ber_Med_disc!C7&gt;1,TRIM(ber_Med_disc!C7)&amp;", "&amp;ber_Opm!C21&amp;" ("&amp;ber_Med_disc!M7&amp;" "&amp;ber_Med_disc!F7&amp;"/kg/dag)",TRIM(ber_Med_disc!C7)&amp;", "&amp;ber_Opm!C21),"")</f>
        <v/>
      </c>
      <c r="D8" s="299" t="str">
        <f>IF(Med_disc!H16&lt;&gt;"",Med_disc!H16,"")</f>
        <v/>
      </c>
      <c r="E8" s="300" t="str">
        <f>IF(AND(D8&lt;&gt;"",D8&lt;&gt;"STOP"),ber_Med_disc!H7&amp;" "&amp;ber_Med_disc!F7,"")</f>
        <v/>
      </c>
      <c r="F8" s="300" t="str">
        <f>IF(AND(D8&lt;&gt;"",D8&lt;&gt;"STOP"),ber_Med_disc!L7," ")</f>
        <v xml:space="preserve"> </v>
      </c>
      <c r="G8" s="300" t="str">
        <f>IF(Med_disc!L16&lt;&gt;"",Med_disc!L16&amp;" "&amp;Med_disc!M16&amp;" "&amp;INDEX(ber_Med_disc!$B$27:$B$30,ber_Med_disc!O7,1)&amp;" in "&amp;Med_disc!$O$16,"")</f>
        <v/>
      </c>
      <c r="H8" s="151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51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51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51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51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51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51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51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51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51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51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51" t="str">
        <f>IF(OR($D8="1 dd",$D8="2 dd",$D8="3 dd",$D8="4 dd",$D8="6 dd",$D8="8 dd",$D8="12 dd",$D8="an",$D8="1 X"),VLOOKUP($D8,ber_tijden!$A$16:$X$25,ber_tijden!X$14,FALSE),"")</f>
        <v/>
      </c>
      <c r="AE8" s="19"/>
      <c r="AF8" s="150"/>
      <c r="AG8" s="19"/>
    </row>
    <row r="9" spans="2:33" ht="26.1" customHeight="1" x14ac:dyDescent="0.35">
      <c r="B9" s="152">
        <f>IF(C9&lt;&gt;" ",Med_disc!C18,"")</f>
        <v>0</v>
      </c>
      <c r="C9" s="298" t="str">
        <f>IF(ber_Med_disc!C8&lt;&gt;"",IF(ber_Med_disc!C8&gt;1,TRIM(ber_Med_disc!C8)&amp;", "&amp;ber_Opm!C22&amp;" ("&amp;ber_Med_disc!M8&amp;" "&amp;ber_Med_disc!F8&amp;"/kg/dag)",TRIM(ber_Med_disc!C8)&amp;", "&amp;ber_Opm!C22),"")</f>
        <v/>
      </c>
      <c r="D9" s="299" t="str">
        <f>IF(Med_disc!H18&lt;&gt;"",Med_disc!H18,"")</f>
        <v/>
      </c>
      <c r="E9" s="300" t="str">
        <f>IF(AND(D9&lt;&gt;"",D9&lt;&gt;"STOP"),ber_Med_disc!H8&amp;" "&amp;ber_Med_disc!F8,"")</f>
        <v/>
      </c>
      <c r="F9" s="300" t="str">
        <f>IF(AND(D9&lt;&gt;"",D9&lt;&gt;"STOP"),ber_Med_disc!L8," ")</f>
        <v xml:space="preserve"> </v>
      </c>
      <c r="G9" s="300" t="str">
        <f>IF(Med_disc!L18&lt;&gt;"",Med_disc!L18&amp;" "&amp;Med_disc!M18&amp;" "&amp;INDEX(ber_Med_disc!$B$27:$B$30,ber_Med_disc!O8,1)&amp;" in "&amp;Med_disc!$O$18,"")</f>
        <v/>
      </c>
      <c r="H9" s="151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51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51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51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51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51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51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51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51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51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51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51" t="str">
        <f>IF(OR($D9="1 dd",$D9="2 dd",$D9="3 dd",$D9="4 dd",$D9="6 dd",$D9="8 dd",$D9="12 dd",$D9="an",$D9="1 X"),VLOOKUP($D9,ber_tijden!$A$16:$X$25,ber_tijden!X$14,FALSE),"")</f>
        <v/>
      </c>
      <c r="AE9" s="19"/>
      <c r="AF9" s="150"/>
      <c r="AG9" s="19"/>
    </row>
    <row r="10" spans="2:33" ht="26.1" customHeight="1" x14ac:dyDescent="0.35">
      <c r="B10" s="152">
        <f>IF(C10&lt;&gt;" ",Med_disc!C20,"")</f>
        <v>0</v>
      </c>
      <c r="C10" s="298" t="str">
        <f>IF(ber_Med_disc!C9&lt;&gt;"",IF(ber_Med_disc!C9&gt;1,TRIM(ber_Med_disc!C9)&amp;", "&amp;ber_Opm!C23&amp;" ("&amp;ber_Med_disc!M9&amp;" "&amp;ber_Med_disc!F9&amp;"/kg/dag)",TRIM(ber_Med_disc!C9)&amp;", "&amp;ber_Opm!C23),"")</f>
        <v/>
      </c>
      <c r="D10" s="299" t="str">
        <f>IF(Med_disc!H20&lt;&gt;"",Med_disc!H20,"")</f>
        <v/>
      </c>
      <c r="E10" s="300" t="str">
        <f>IF(AND(D10&lt;&gt;"",D10&lt;&gt;"STOP"),ber_Med_disc!H9&amp;" "&amp;ber_Med_disc!F9,"")</f>
        <v/>
      </c>
      <c r="F10" s="300" t="str">
        <f>IF(AND(D10&lt;&gt;"",D10&lt;&gt;"STOP"),ber_Med_disc!L9," ")</f>
        <v xml:space="preserve"> </v>
      </c>
      <c r="G10" s="300" t="str">
        <f>IF(Med_disc!L20&lt;&gt;"",Med_disc!L20&amp;" "&amp;Med_disc!M20&amp;" "&amp;INDEX(ber_Med_disc!$B$27:$B$30,ber_Med_disc!O9,1)&amp;" in "&amp;Med_disc!$O$20,"")</f>
        <v/>
      </c>
      <c r="H10" s="151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51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51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51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51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51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51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51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51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51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51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51" t="str">
        <f>IF(OR($D10="1 dd",$D10="2 dd",$D10="3 dd",$D10="4 dd",$D10="6 dd",$D10="8 dd",$D10="12 dd",$D10="an",$D10="1 X"),VLOOKUP($D10,ber_tijden!$A$16:$X$25,ber_tijden!X$14,FALSE),"")</f>
        <v/>
      </c>
      <c r="AE10" s="19"/>
      <c r="AF10" s="150"/>
      <c r="AG10" s="19"/>
    </row>
    <row r="11" spans="2:33" ht="26.1" customHeight="1" x14ac:dyDescent="0.35">
      <c r="B11" s="152">
        <f>IF(C11&lt;&gt;" ",Med_disc!C22,"")</f>
        <v>0</v>
      </c>
      <c r="C11" s="298" t="str">
        <f>IF(ber_Med_disc!C10&lt;&gt;"",IF(ber_Med_disc!C10&gt;1,TRIM(ber_Med_disc!C10)&amp;", "&amp;ber_Opm!C24&amp;" ("&amp;ber_Med_disc!M10&amp;" "&amp;ber_Med_disc!F10&amp;"/kg/dag)",TRIM(ber_Med_disc!C10)&amp;", "&amp;ber_Opm!C24),"")</f>
        <v/>
      </c>
      <c r="D11" s="299" t="str">
        <f>IF(Med_disc!H22&lt;&gt;"",Med_disc!H22,"")</f>
        <v/>
      </c>
      <c r="E11" s="300" t="str">
        <f>IF(AND(D11&lt;&gt;"",D11&lt;&gt;"STOP"),ber_Med_disc!H10&amp;" "&amp;ber_Med_disc!F10,"")</f>
        <v/>
      </c>
      <c r="F11" s="300" t="str">
        <f>IF(AND(D11&lt;&gt;"",D11&lt;&gt;"STOP"),ber_Med_disc!L10," ")</f>
        <v xml:space="preserve"> </v>
      </c>
      <c r="G11" s="300" t="str">
        <f>IF(Med_disc!L22&lt;&gt;"",Med_disc!L22&amp;" "&amp;Med_disc!M22&amp;" "&amp;INDEX(ber_Med_disc!$B$27:$B$30,ber_Med_disc!O10,1)&amp;" in "&amp;Med_disc!$O$22,"")</f>
        <v/>
      </c>
      <c r="H11" s="151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51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51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51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51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51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51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51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51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51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51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51" t="str">
        <f>IF(OR($D11="1 dd",$D11="2 dd",$D11="3 dd",$D11="4 dd",$D11="6 dd",$D11="8 dd",$D11="12 dd",$D11="an",$D11="1 X"),VLOOKUP($D11,ber_tijden!$A$16:$X$25,ber_tijden!X$14,FALSE),"")</f>
        <v/>
      </c>
      <c r="AE11" s="19"/>
      <c r="AF11" s="150"/>
      <c r="AG11" s="19"/>
    </row>
    <row r="12" spans="2:33" ht="26.1" customHeight="1" x14ac:dyDescent="0.35">
      <c r="B12" s="152">
        <f>IF(C12&lt;&gt;" ",Med_disc!C24,"")</f>
        <v>0</v>
      </c>
      <c r="C12" s="298" t="str">
        <f>IF(ber_Med_disc!C11&lt;&gt;"",IF(ber_Med_disc!C11&gt;1,TRIM(ber_Med_disc!C11)&amp;", "&amp;ber_Opm!C25&amp;" ("&amp;ber_Med_disc!M11&amp;" "&amp;ber_Med_disc!F11&amp;"/kg/dag)",TRIM(ber_Med_disc!C11)&amp;", "&amp;ber_Opm!C25),"")</f>
        <v/>
      </c>
      <c r="D12" s="299" t="str">
        <f>IF(Med_disc!H24&lt;&gt;"",Med_disc!H24,"")</f>
        <v/>
      </c>
      <c r="E12" s="300" t="str">
        <f>IF(AND(D12&lt;&gt;"",D12&lt;&gt;"STOP"),ber_Med_disc!H11&amp;" "&amp;ber_Med_disc!F11,"")</f>
        <v/>
      </c>
      <c r="F12" s="300" t="str">
        <f>IF(AND(D12&lt;&gt;"",D12&lt;&gt;"STOP"),ber_Med_disc!L11," ")</f>
        <v xml:space="preserve"> </v>
      </c>
      <c r="G12" s="300" t="str">
        <f>IF(Med_disc!L24&lt;&gt;"",Med_disc!L24&amp;" "&amp;Med_disc!M24&amp;" "&amp;INDEX(ber_Med_disc!$B$27:$B$30,ber_Med_disc!O11,1)&amp;" in "&amp;Med_disc!$O$1424,"")</f>
        <v/>
      </c>
      <c r="H12" s="151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51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51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51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51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51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51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51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51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51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51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51" t="str">
        <f>IF(OR($D12="1 dd",$D12="2 dd",$D12="3 dd",$D12="4 dd",$D12="6 dd",$D12="8 dd",$D12="12 dd",$D12="an",$D12="1 X"),VLOOKUP($D12,ber_tijden!$A$16:$X$25,ber_tijden!X$14,FALSE),"")</f>
        <v/>
      </c>
      <c r="AE12" s="19"/>
      <c r="AF12" s="150"/>
      <c r="AG12" s="19"/>
    </row>
    <row r="13" spans="2:33" ht="26.1" customHeight="1" x14ac:dyDescent="0.35">
      <c r="B13" s="152">
        <f>IF(C13&lt;&gt;" ",Med_disc!C26,"")</f>
        <v>0</v>
      </c>
      <c r="C13" s="298" t="str">
        <f>IF(ber_Med_disc!C12&lt;&gt;"",IF(ber_Med_disc!C12&gt;1,TRIM(ber_Med_disc!C12)&amp;", "&amp;ber_Opm!C26&amp;" ("&amp;ber_Med_disc!M12&amp;" "&amp;ber_Med_disc!F12&amp;"/kg/dag)",TRIM(ber_Med_disc!C12)&amp;", "&amp;ber_Opm!C26),"")</f>
        <v/>
      </c>
      <c r="D13" s="299" t="str">
        <f>IF(Med_disc!H26&lt;&gt;"",Med_disc!H26,"")</f>
        <v/>
      </c>
      <c r="E13" s="300" t="str">
        <f>IF(AND(D13&lt;&gt;"",D13&lt;&gt;"STOP"),ber_Med_disc!H12&amp;" "&amp;ber_Med_disc!F12,"")</f>
        <v/>
      </c>
      <c r="F13" s="300" t="str">
        <f>IF(AND(D13&lt;&gt;"",D13&lt;&gt;"STOP"),ber_Med_disc!L12," ")</f>
        <v xml:space="preserve"> </v>
      </c>
      <c r="G13" s="300" t="str">
        <f>IF(Med_disc!L26&lt;&gt;"",Med_disc!L26&amp;" "&amp;Med_disc!M26&amp;" "&amp;INDEX(ber_Med_disc!$B$27:$B$30,ber_Med_disc!O12,1)&amp;" in "&amp;Med_disc!$O$26,"")</f>
        <v/>
      </c>
      <c r="H13" s="151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51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51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51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51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51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51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51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51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51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51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51" t="str">
        <f>IF(OR($D13="1 dd",$D13="2 dd",$D13="3 dd",$D13="4 dd",$D13="6 dd",$D13="8 dd",$D13="12 dd",$D13="an",$D13="1 X"),VLOOKUP($D13,ber_tijden!$A$16:$X$25,ber_tijden!X$14,FALSE),"")</f>
        <v/>
      </c>
      <c r="AE13" s="19"/>
      <c r="AF13" s="150"/>
      <c r="AG13" s="19"/>
    </row>
    <row r="14" spans="2:33" ht="26.1" customHeight="1" x14ac:dyDescent="0.35">
      <c r="B14" s="152">
        <f>IF(C14&lt;&gt;" ",Med_disc!C28,"")</f>
        <v>0</v>
      </c>
      <c r="C14" s="298" t="str">
        <f>IF(ber_Med_disc!C13&lt;&gt;"",IF(ber_Med_disc!C13&gt;1,TRIM(ber_Med_disc!C13)&amp;", "&amp;ber_Opm!C27&amp;" ("&amp;ber_Med_disc!M13&amp;" "&amp;ber_Med_disc!F13&amp;"/kg/dag)",TRIM(ber_Med_disc!C13)&amp;", "&amp;ber_Opm!C27),"")</f>
        <v/>
      </c>
      <c r="D14" s="299" t="str">
        <f>IF(Med_disc!H28&lt;&gt;"",Med_disc!H28,"")</f>
        <v/>
      </c>
      <c r="E14" s="300" t="str">
        <f>IF(AND(D14&lt;&gt;"",D14&lt;&gt;"STOP"),ber_Med_disc!H13&amp;" "&amp;ber_Med_disc!F13,"")</f>
        <v/>
      </c>
      <c r="F14" s="300" t="str">
        <f>IF(AND(D14&lt;&gt;"",D14&lt;&gt;"STOP"),ber_Med_disc!L13," ")</f>
        <v xml:space="preserve"> </v>
      </c>
      <c r="G14" s="300" t="str">
        <f>IF(Med_disc!L28&lt;&gt;"",Med_disc!L28&amp;" "&amp;Med_disc!M28&amp;" "&amp;INDEX(ber_Med_disc!$B$27:$B$30,ber_Med_disc!O13,1)&amp;" in "&amp;Med_disc!$O$28,"")</f>
        <v/>
      </c>
      <c r="H14" s="151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51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51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51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51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51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51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51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51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51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51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51" t="str">
        <f>IF(OR($D14="1 dd",$D14="2 dd",$D14="3 dd",$D14="4 dd",$D14="6 dd",$D14="8 dd",$D14="12 dd",$D14="an",$D14="1 X"),VLOOKUP($D14,ber_tijden!$A$16:$X$25,ber_tijden!X$14,FALSE),"")</f>
        <v/>
      </c>
      <c r="AE14" s="19"/>
      <c r="AF14" s="150"/>
      <c r="AG14" s="19"/>
    </row>
    <row r="15" spans="2:33" ht="26.1" customHeight="1" x14ac:dyDescent="0.35">
      <c r="B15" s="152">
        <f>IF(C15&lt;&gt;" ",Med_disc!C30,"")</f>
        <v>0</v>
      </c>
      <c r="C15" s="298" t="str">
        <f>IF(ber_Med_disc!C14&lt;&gt;"",IF(ber_Med_disc!C14&gt;1,TRIM(ber_Med_disc!C14)&amp;", "&amp;ber_Opm!C28&amp;" ("&amp;ber_Med_disc!M14&amp;" "&amp;ber_Med_disc!F14&amp;"/kg/dag)",TRIM(ber_Med_disc!C14)&amp;", "&amp;ber_Opm!C28),"")</f>
        <v/>
      </c>
      <c r="D15" s="299" t="str">
        <f>IF(Med_disc!H30&lt;&gt;"",Med_disc!H30,"")</f>
        <v/>
      </c>
      <c r="E15" s="300" t="str">
        <f>IF(AND(D15&lt;&gt;"",D15&lt;&gt;"STOP"),ber_Med_disc!H14&amp;" "&amp;ber_Med_disc!F14,"")</f>
        <v/>
      </c>
      <c r="F15" s="300" t="str">
        <f>IF(AND(D15&lt;&gt;"",D15&lt;&gt;"STOP"),ber_Med_disc!L14," ")</f>
        <v xml:space="preserve"> </v>
      </c>
      <c r="G15" s="300" t="str">
        <f>IF(Med_disc!L30&lt;&gt;"",Med_disc!L30&amp;" "&amp;Med_disc!M30&amp;" "&amp;INDEX(ber_Med_disc!$B$27:$B$30,ber_Med_disc!O14,1)&amp;" in "&amp;Med_disc!$O$30,"")</f>
        <v/>
      </c>
      <c r="H15" s="151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51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51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51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51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51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51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51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51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51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51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51" t="str">
        <f>IF(OR($D15="1 dd",$D15="2 dd",$D15="3 dd",$D15="4 dd",$D15="6 dd",$D15="8 dd",$D15="12 dd",$D15="an",$D15="1 X"),VLOOKUP($D15,ber_tijden!$A$16:$X$25,ber_tijden!X$14,FALSE),"")</f>
        <v/>
      </c>
      <c r="AE15" s="19"/>
      <c r="AF15" s="150"/>
      <c r="AG15" s="19"/>
    </row>
    <row r="16" spans="2:33" ht="26.1" customHeight="1" x14ac:dyDescent="0.35">
      <c r="B16" s="152">
        <f>IF(C16&lt;&gt;" ",Med_disc!C32,"")</f>
        <v>0</v>
      </c>
      <c r="C16" s="298" t="str">
        <f>IF(ber_Med_disc!C15&lt;&gt;"",IF(ber_Med_disc!C15&gt;1,TRIM(ber_Med_disc!C15)&amp;", "&amp;ber_Opm!C29&amp;" ("&amp;ber_Med_disc!M15&amp;" "&amp;ber_Med_disc!F15&amp;"/kg/dag)",TRIM(ber_Med_disc!C15)&amp;", "&amp;ber_Opm!C29),"")</f>
        <v/>
      </c>
      <c r="D16" s="299" t="str">
        <f>IF(Med_disc!H32&lt;&gt;"",Med_disc!H32,"")</f>
        <v/>
      </c>
      <c r="E16" s="300" t="str">
        <f>IF(AND(D16&lt;&gt;"",D16&lt;&gt;"STOP"),ber_Med_disc!H15&amp;" "&amp;ber_Med_disc!F15,"")</f>
        <v/>
      </c>
      <c r="F16" s="300" t="str">
        <f>IF(AND(D16&lt;&gt;"",D16&lt;&gt;"STOP"),ber_Med_disc!L15," ")</f>
        <v xml:space="preserve"> </v>
      </c>
      <c r="G16" s="300" t="str">
        <f>IF(Med_disc!L32&lt;&gt;"",Med_disc!L32&amp;" "&amp;Med_disc!M32&amp;" "&amp;INDEX(ber_Med_disc!$B$27:$B$30,ber_Med_disc!O15,1)&amp;" in "&amp;Med_disc!$O$32,"")</f>
        <v/>
      </c>
      <c r="H16" s="151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51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51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51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51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51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51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51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51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51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51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51" t="str">
        <f>IF(OR($D16="1 dd",$D16="2 dd",$D16="3 dd",$D16="4 dd",$D16="6 dd",$D16="8 dd",$D16="12 dd",$D16="an",$D16="1 X"),VLOOKUP($D16,ber_tijden!$A$16:$X$25,ber_tijden!X$14,FALSE),"")</f>
        <v/>
      </c>
      <c r="AE16" s="19"/>
      <c r="AF16" s="150"/>
      <c r="AG16" s="19"/>
    </row>
    <row r="17" spans="2:33" ht="26.1" customHeight="1" x14ac:dyDescent="0.35">
      <c r="B17" s="152">
        <f>IF(C17&lt;&gt;" ",Med_disc!C34,"")</f>
        <v>0</v>
      </c>
      <c r="C17" s="298" t="str">
        <f>IF(ber_Med_disc!C16&lt;&gt;"",IF(ber_Med_disc!C16&gt;1,TRIM(ber_Med_disc!C16)&amp;", "&amp;ber_Opm!C30&amp;" ("&amp;ber_Med_disc!M16&amp;" "&amp;ber_Med_disc!F16&amp;"/kg/dag)",TRIM(ber_Med_disc!C16)&amp;", "&amp;ber_Opm!C30),"")</f>
        <v/>
      </c>
      <c r="D17" s="299" t="str">
        <f>IF(Med_disc!H34&lt;&gt;"",Med_disc!H34,"")</f>
        <v/>
      </c>
      <c r="E17" s="300" t="str">
        <f>IF(AND(D17&lt;&gt;"",D17&lt;&gt;"STOP"),ber_Med_disc!H16&amp;" "&amp;ber_Med_disc!F16,"")</f>
        <v/>
      </c>
      <c r="F17" s="300" t="str">
        <f>IF(AND(D17&lt;&gt;"",D17&lt;&gt;"STOP"),ber_Med_disc!L16," ")</f>
        <v xml:space="preserve"> </v>
      </c>
      <c r="G17" s="300" t="str">
        <f>IF(Med_disc!L34&lt;&gt;"",Med_disc!L34&amp;" "&amp;Med_disc!M34&amp;" "&amp;INDEX(ber_Med_disc!$B$27:$B$30,ber_Med_disc!O16,1)&amp;" in "&amp;Med_disc!$O$34,"")</f>
        <v/>
      </c>
      <c r="H17" s="151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51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51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51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51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51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51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51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51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51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51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51" t="str">
        <f>IF(OR($D17="1 dd",$D17="2 dd",$D17="3 dd",$D17="4 dd",$D17="6 dd",$D17="8 dd",$D17="12 dd",$D17="an",$D17="1 X"),VLOOKUP($D17,ber_tijden!$A$16:$X$25,ber_tijden!X$14,FALSE),"")</f>
        <v/>
      </c>
      <c r="AE17" s="19"/>
      <c r="AF17" s="150"/>
      <c r="AG17" s="19"/>
    </row>
    <row r="18" spans="2:33" ht="26.1" customHeight="1" x14ac:dyDescent="0.35">
      <c r="B18" s="152">
        <f>IF(C18&lt;&gt;" ",Med_disc!C36,"")</f>
        <v>0</v>
      </c>
      <c r="C18" s="298" t="str">
        <f>IF(ber_Med_disc!C17&lt;&gt;"",IF(ber_Med_disc!C17&gt;1,TRIM(ber_Med_disc!C17)&amp;", "&amp;ber_Opm!C31&amp;" ("&amp;ber_Med_disc!M17&amp;" "&amp;ber_Med_disc!F17&amp;"/kg/dag)",TRIM(ber_Med_disc!C17)&amp;", "&amp;ber_Opm!C31),"")</f>
        <v/>
      </c>
      <c r="D18" s="299" t="str">
        <f>IF(Med_disc!H36&lt;&gt;"",Med_disc!H36,"")</f>
        <v/>
      </c>
      <c r="E18" s="300" t="str">
        <f>IF(AND(D18&lt;&gt;"",D18&lt;&gt;"STOP"),ber_Med_disc!H17&amp;" "&amp;ber_Med_disc!F17,"")</f>
        <v/>
      </c>
      <c r="F18" s="300" t="str">
        <f>IF(AND(D18&lt;&gt;"",D18&lt;&gt;"STOP"),ber_Med_disc!L17," ")</f>
        <v xml:space="preserve"> </v>
      </c>
      <c r="G18" s="300" t="str">
        <f>IF(Med_disc!L36&lt;&gt;"",Med_disc!L36&amp;" "&amp;Med_disc!M36&amp;" "&amp;INDEX(ber_Med_disc!$B$27:$B$30,ber_Med_disc!O17,1)&amp;" in "&amp;Med_disc!$O$36,"")</f>
        <v/>
      </c>
      <c r="H18" s="151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51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51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51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51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51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51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51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51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51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51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51" t="str">
        <f>IF(OR($D18="1 dd",$D18="2 dd",$D18="3 dd",$D18="4 dd",$D18="6 dd",$D18="8 dd",$D18="12 dd",$D18="an",$D18="1 X"),VLOOKUP($D18,ber_tijden!$A$16:$X$25,ber_tijden!X$14,FALSE),"")</f>
        <v/>
      </c>
      <c r="AE18" s="19"/>
      <c r="AF18" s="150"/>
      <c r="AG18" s="19"/>
    </row>
    <row r="19" spans="2:33" ht="26.1" customHeight="1" x14ac:dyDescent="0.35">
      <c r="B19" s="152">
        <f>IF(C19&lt;&gt;" ",Med_disc!C38,"")</f>
        <v>0</v>
      </c>
      <c r="C19" s="298" t="str">
        <f>IF(ber_Med_disc!C18&lt;&gt;"",IF(ber_Med_disc!C18&gt;1,TRIM(ber_Med_disc!C18)&amp;", "&amp;ber_Opm!C32&amp;" ("&amp;ber_Med_disc!M18&amp;" "&amp;ber_Med_disc!F18&amp;"/kg/dag)",TRIM(ber_Med_disc!C18)&amp;", "&amp;ber_Opm!C32),"")</f>
        <v/>
      </c>
      <c r="D19" s="299" t="str">
        <f>IF(Med_disc!H38&lt;&gt;"",Med_disc!H38,"")</f>
        <v/>
      </c>
      <c r="E19" s="300" t="str">
        <f>IF(AND(D19&lt;&gt;"",D19&lt;&gt;"STOP"),ber_Med_disc!H18&amp;" "&amp;ber_Med_disc!F18,"")</f>
        <v/>
      </c>
      <c r="F19" s="300" t="str">
        <f>IF(AND(D19&lt;&gt;"",D19&lt;&gt;"STOP"),ber_Med_disc!L18," ")</f>
        <v xml:space="preserve"> </v>
      </c>
      <c r="G19" s="300" t="str">
        <f>IF(Med_disc!L38&lt;&gt;"",Med_disc!L38&amp;" "&amp;Med_disc!M38&amp;" "&amp;INDEX(ber_Med_disc!$B$27:$B$30,ber_Med_disc!O18,1)&amp;" in "&amp;Med_disc!$O$38,"")</f>
        <v/>
      </c>
      <c r="H19" s="151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51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51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51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51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51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51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51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51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51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51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51" t="str">
        <f>IF(OR($D19="1 dd",$D19="2 dd",$D19="3 dd",$D19="4 dd",$D19="6 dd",$D19="8 dd",$D19="12 dd",$D19="an",$D19="1 X"),VLOOKUP($D19,ber_tijden!$A$16:$X$25,ber_tijden!X$14,FALSE),"")</f>
        <v/>
      </c>
      <c r="AE19" s="19"/>
      <c r="AF19" s="150"/>
      <c r="AG19" s="19"/>
    </row>
    <row r="20" spans="2:33" ht="26.1" customHeight="1" x14ac:dyDescent="0.35">
      <c r="B20" s="152">
        <f>IF(C20&lt;&gt;" ",Med_disc!C40,"")</f>
        <v>0</v>
      </c>
      <c r="C20" s="298" t="str">
        <f>IF(ber_Med_disc!C19&lt;&gt;"",IF(ber_Med_disc!C19&gt;1,TRIM(ber_Med_disc!C19)&amp;", "&amp;ber_Opm!C33&amp;" ("&amp;ber_Med_disc!M19&amp;" "&amp;ber_Med_disc!F19&amp;"/kg/dag)",TRIM(ber_Med_disc!C19)&amp;", "&amp;ber_Opm!C33),"")</f>
        <v/>
      </c>
      <c r="D20" s="299" t="str">
        <f>IF(Med_disc!H40&lt;&gt;"",Med_disc!H40,"")</f>
        <v/>
      </c>
      <c r="E20" s="300" t="str">
        <f>IF(AND(D20&lt;&gt;"",D20&lt;&gt;"STOP"),ber_Med_disc!H19&amp;" "&amp;ber_Med_disc!F19,"")</f>
        <v/>
      </c>
      <c r="F20" s="300" t="str">
        <f>IF(AND(D20&lt;&gt;"",D20&lt;&gt;"STOP"),ber_Med_disc!L19," ")</f>
        <v xml:space="preserve"> </v>
      </c>
      <c r="G20" s="300" t="str">
        <f>IF(Med_disc!L40&lt;&gt;"",Med_disc!L40&amp;" "&amp;Med_disc!M40&amp;" "&amp;INDEX(ber_Med_disc!$B$27:$B$30,ber_Med_disc!O19,1)&amp;" in "&amp;Med_disc!$O$40,"")</f>
        <v/>
      </c>
      <c r="H20" s="151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51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51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51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51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51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51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51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51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51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51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51" t="str">
        <f>IF(OR($D20="1 dd",$D20="2 dd",$D20="3 dd",$D20="4 dd",$D20="6 dd",$D20="8 dd",$D20="12 dd",$D20="an",$D20="1 X"),VLOOKUP($D20,ber_tijden!$A$16:$X$25,ber_tijden!X$14,FALSE),"")</f>
        <v/>
      </c>
      <c r="AE20" s="19"/>
      <c r="AF20" s="150"/>
      <c r="AG20" s="19"/>
    </row>
    <row r="21" spans="2:33" ht="26.1" customHeight="1" x14ac:dyDescent="0.35">
      <c r="B21" s="152">
        <f>IF(C21&lt;&gt;" ",Med_disc!C42,"")</f>
        <v>0</v>
      </c>
      <c r="C21" s="298" t="str">
        <f>IF(ber_Med_disc!C20&lt;&gt;"",IF(ber_Med_disc!C20&gt;1,TRIM(ber_Med_disc!C20)&amp;", "&amp;ber_Opm!C34&amp;" ("&amp;ber_Med_disc!M20&amp;" "&amp;ber_Med_disc!F20&amp;"/kg/dag)",TRIM(ber_Med_disc!C20)&amp;", "&amp;ber_Opm!C34),"")</f>
        <v/>
      </c>
      <c r="D21" s="299" t="str">
        <f>IF(Med_disc!H42&lt;&gt;"",Med_disc!H42,"")</f>
        <v/>
      </c>
      <c r="E21" s="300" t="str">
        <f>IF(AND(D21&lt;&gt;"",D21&lt;&gt;"STOP"),ber_Med_disc!H20&amp;" "&amp;ber_Med_disc!F20,"")</f>
        <v/>
      </c>
      <c r="F21" s="300" t="str">
        <f>IF(AND(D21&lt;&gt;"",D21&lt;&gt;"STOP"),ber_Med_disc!L20," ")</f>
        <v xml:space="preserve"> </v>
      </c>
      <c r="G21" s="300" t="str">
        <f>IF(Med_disc!L42&lt;&gt;"",Med_disc!L42&amp;" "&amp;Med_disc!M42&amp;" "&amp;INDEX(ber_Med_disc!$B$27:$B$30,ber_Med_disc!O20,1)&amp;" in "&amp;Med_disc!$O$42,"")</f>
        <v/>
      </c>
      <c r="H21" s="151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51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51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51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51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51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51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51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51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51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51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51" t="str">
        <f>IF(OR($D21="1 dd",$D21="2 dd",$D21="3 dd",$D21="4 dd",$D21="6 dd",$D21="8 dd",$D21="12 dd",$D21="an",$D21="1 X"),VLOOKUP($D21,ber_tijden!$A$16:$X$25,ber_tijden!X$14,FALSE),"")</f>
        <v/>
      </c>
      <c r="AE21" s="19"/>
      <c r="AF21" s="150"/>
      <c r="AG21" s="19"/>
    </row>
    <row r="22" spans="2:33" ht="26.1" customHeight="1" x14ac:dyDescent="0.35">
      <c r="B22" s="152">
        <f>IF(C22&lt;&gt;" ",Med_disc!C44,"")</f>
        <v>0</v>
      </c>
      <c r="C22" s="298" t="str">
        <f>IF(ber_Med_disc!C21&lt;&gt;"",IF(ber_Med_disc!C21&gt;1,TRIM(ber_Med_disc!C21)&amp;", "&amp;ber_Opm!C35&amp;" ("&amp;ber_Med_disc!M21&amp;" "&amp;ber_Med_disc!F21&amp;"/kg/dag)",TRIM(ber_Med_disc!C21)&amp;", "&amp;ber_Opm!C35),"")</f>
        <v/>
      </c>
      <c r="D22" s="299" t="str">
        <f>IF(Med_disc!H44&lt;&gt;"",Med_disc!H44,"")</f>
        <v/>
      </c>
      <c r="E22" s="300" t="str">
        <f>IF(AND(D22&lt;&gt;"",D22&lt;&gt;"STOP"),ber_Med_disc!H21&amp;" "&amp;ber_Med_disc!F21,"")</f>
        <v/>
      </c>
      <c r="F22" s="300" t="str">
        <f>IF(AND(D22&lt;&gt;"",D22&lt;&gt;"STOP"),ber_Med_disc!L21," ")</f>
        <v xml:space="preserve"> </v>
      </c>
      <c r="G22" s="300" t="str">
        <f>IF(Med_disc!L44&lt;&gt;"",Med_disc!L44&amp;" "&amp;Med_disc!M44&amp;" "&amp;INDEX(ber_Med_disc!$B$27:$B$30,ber_Med_disc!O21,1)&amp;" in "&amp;Med_disc!$O$44,"")</f>
        <v/>
      </c>
      <c r="H22" s="151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51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51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51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51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51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51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51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51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51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51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51" t="str">
        <f>IF(OR($D22="1 dd",$D22="2 dd",$D22="3 dd",$D22="4 dd",$D22="6 dd",$D22="8 dd",$D22="12 dd",$D22="an",$D22="1 X"),VLOOKUP($D22,ber_tijden!$A$16:$X$25,ber_tijden!X$14,FALSE),"")</f>
        <v/>
      </c>
      <c r="AE22" s="19"/>
      <c r="AF22" s="150"/>
      <c r="AG22" s="19"/>
    </row>
  </sheetData>
  <sheetProtection algorithmName="SHA-512" hashValue="SnrRcTjYjGCkJCBVg73VXEcsfza/hBZKck/6Xs42WcASE0M0mONy9IzDAv3Egf8IEnwNVIWzJIRGOftgTzL1kw==" saltValue="8srdUQw77KWx50SXvZ1Q5A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Zeros="0" showOutlineSymbols="0" workbookViewId="0">
      <pane ySplit="4" topLeftCell="A20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5" customWidth="1"/>
    <col min="2" max="2" width="16.59765625" style="25" customWidth="1"/>
    <col min="3" max="3" width="17.265625" style="25" customWidth="1"/>
    <col min="4" max="4" width="17.59765625" style="25" customWidth="1"/>
    <col min="5" max="5" width="18.59765625" style="25" customWidth="1"/>
    <col min="6" max="6" width="18.265625" style="25" customWidth="1"/>
    <col min="7" max="7" width="14.73046875" style="25" customWidth="1"/>
    <col min="8" max="8" width="9.1328125" style="25"/>
    <col min="9" max="9" width="9.3984375" style="25" bestFit="1" customWidth="1"/>
    <col min="10" max="10" width="9.265625" style="25" bestFit="1" customWidth="1"/>
    <col min="11" max="16384" width="9.1328125" style="25"/>
  </cols>
  <sheetData>
    <row r="1" spans="1:10" s="178" customFormat="1" x14ac:dyDescent="0.35"/>
    <row r="2" spans="1:10" s="178" customFormat="1" ht="17.25" customHeight="1" x14ac:dyDescent="0.4">
      <c r="B2" s="179" t="s">
        <v>818</v>
      </c>
      <c r="C2" s="180">
        <f ca="1">AfspraakDatum</f>
        <v>42251</v>
      </c>
      <c r="D2" s="181"/>
      <c r="E2" s="179" t="s">
        <v>819</v>
      </c>
      <c r="F2" s="182">
        <f>OpnDatum</f>
        <v>41363</v>
      </c>
      <c r="G2" s="179" t="str">
        <f ca="1">"ICU-dag: "&amp;AfspraakDatum-OpnDatum+1</f>
        <v>ICU-dag: 889</v>
      </c>
      <c r="H2" s="179"/>
      <c r="I2" s="179"/>
      <c r="J2" s="179"/>
    </row>
    <row r="3" spans="1:10" s="178" customFormat="1" ht="17.25" customHeight="1" x14ac:dyDescent="0.4">
      <c r="B3" s="179" t="s">
        <v>75</v>
      </c>
      <c r="C3" s="183" t="str">
        <f>_AchterNaam&amp;", "&amp;_VoorNaam</f>
        <v>Achternaam, Voornaam</v>
      </c>
      <c r="D3" s="183"/>
      <c r="E3" s="179" t="s">
        <v>833</v>
      </c>
      <c r="F3" s="182">
        <f>GebDatum</f>
        <v>41732</v>
      </c>
      <c r="G3" s="184" t="str">
        <f>"Gewicht: "&amp;Gewicht/10&amp;" kg"</f>
        <v>Gewicht: 5 kg</v>
      </c>
      <c r="H3" s="179"/>
      <c r="I3" s="184" t="str">
        <f>"Lengte: "&amp;Lengte&amp;" cm"</f>
        <v>Lengte: 61 cm</v>
      </c>
      <c r="J3" s="179"/>
    </row>
    <row r="4" spans="1:10" s="178" customFormat="1" ht="17.25" customHeight="1" x14ac:dyDescent="0.4">
      <c r="A4" s="209"/>
      <c r="B4" s="179" t="s">
        <v>912</v>
      </c>
      <c r="C4" s="184">
        <f>PatNummer</f>
        <v>0</v>
      </c>
      <c r="D4" s="181"/>
      <c r="E4" s="179" t="s">
        <v>760</v>
      </c>
      <c r="F4" s="186" t="str">
        <f ca="1">TRUNC((AfspraakDatum-GebDatum)/365,0)&amp;" jaar en "&amp;TRUNC(((AfspraakDatum-GebDatum)-365*TRUNC((AfspraakDatum-GebDatum)/365,0))/30,0)&amp;" maand(-en)"</f>
        <v>1 jaar en 5 maand(-en)</v>
      </c>
      <c r="G4" s="179"/>
      <c r="H4" s="179" t="str">
        <f>"Lichamelijk oppervlak: "&amp;ROUND(POWER(Gewicht/10,0.425)*POWER(((Lengte/100)*100),0.725)*0.007184,2)&amp;" m2"</f>
        <v>Lichamelijk oppervlak: 0,28 m2</v>
      </c>
      <c r="I4" s="179"/>
      <c r="J4" s="179"/>
    </row>
    <row r="5" spans="1:10" ht="12.75" customHeight="1" x14ac:dyDescent="0.35"/>
    <row r="6" spans="1:10" ht="17.25" customHeight="1" x14ac:dyDescent="0.4">
      <c r="B6" s="249" t="s">
        <v>68</v>
      </c>
    </row>
    <row r="7" spans="1:10" ht="9.0500000000000007" customHeight="1" x14ac:dyDescent="0.35">
      <c r="I7" s="105" t="s">
        <v>336</v>
      </c>
      <c r="J7" s="105" t="s">
        <v>890</v>
      </c>
    </row>
    <row r="8" spans="1:10" ht="17.25" customHeight="1" x14ac:dyDescent="0.35">
      <c r="A8" s="25">
        <v>1</v>
      </c>
      <c r="C8" s="242"/>
      <c r="E8" s="26"/>
      <c r="F8" s="243" t="str">
        <f>IF(INDEX(ber_Infusen!A1:C34,ber_Infusen!E2,2)&lt;&gt;0,INDEX(ber_Infusen!$A$1:$C$34,ber_Infusen!E2,2)&amp;" ml","")</f>
        <v/>
      </c>
      <c r="I8" s="105" t="b">
        <f>IF(INDEX(ber_Infusen!$A$1:$C$34,ber_Infusen!E2,2)&lt;&gt;0,INDEX(ber_Infusen!$A$1:$C$34,ber_Infusen!E2,3))</f>
        <v>0</v>
      </c>
      <c r="J8" s="105">
        <f>IF(INDEX(ber_Infusen!$A$1:$C$34,ber_Infusen!E2,2)&lt;&gt;0,INDEX(ber_Infusen!$A$1:$C$34,ber_Infusen!E2,2),0)</f>
        <v>0</v>
      </c>
    </row>
    <row r="9" spans="1:10" ht="17.25" customHeight="1" x14ac:dyDescent="0.35">
      <c r="A9" s="25">
        <v>2</v>
      </c>
      <c r="E9" s="26"/>
      <c r="F9" s="244" t="str">
        <f>IF(INDEX(ber_Infusen!$A$1:$C$34,ber_Infusen!E3,2)&lt;&gt;0,INDEX(ber_Infusen!$A$1:$C$34,ber_Infusen!E3,2)&amp;" ml","")</f>
        <v>72 ml</v>
      </c>
      <c r="I9" s="105">
        <f>IF(INDEX(ber_Infusen!$A$1:$C$34,ber_Infusen!E3,2)&lt;&gt;0,INDEX(ber_Infusen!$A$1:$C$34,ber_Infusen!E3,3))</f>
        <v>11.16</v>
      </c>
      <c r="J9" s="105">
        <f>IF(INDEX(ber_Infusen!$A$1:$C$34,ber_Infusen!E3,2)&lt;&gt;0,INDEX(ber_Infusen!$A$1:$C$34,ber_Infusen!E3,2),0)</f>
        <v>72</v>
      </c>
    </row>
    <row r="10" spans="1:10" ht="17.25" customHeight="1" x14ac:dyDescent="0.35">
      <c r="A10" s="25">
        <v>3</v>
      </c>
      <c r="E10" s="26"/>
      <c r="F10" s="244" t="str">
        <f>IF(INDEX(ber_Infusen!$A$1:$C$34,ber_Infusen!E4,2)&lt;&gt;0,INDEX(ber_Infusen!$A$1:$C$34,ber_Infusen!E4,2)&amp;" ml","")</f>
        <v/>
      </c>
      <c r="I10" s="105" t="b">
        <f>IF(INDEX(ber_Infusen!$A$1:$C$34,ber_Infusen!E4,2)&lt;&gt;0,INDEX(ber_Infusen!$A$1:$C$34,ber_Infusen!E4,3))</f>
        <v>0</v>
      </c>
      <c r="J10" s="105">
        <f>IF(INDEX(ber_Infusen!$A$1:$C$34,ber_Infusen!E4,2)&lt;&gt;0,INDEX(ber_Infusen!$A$1:$C$34,ber_Infusen!E4,2),0)</f>
        <v>0</v>
      </c>
    </row>
    <row r="11" spans="1:10" ht="17.25" customHeight="1" x14ac:dyDescent="0.35">
      <c r="A11" s="25">
        <v>4</v>
      </c>
      <c r="E11" s="26"/>
      <c r="F11" s="244" t="str">
        <f>IF(INDEX(ber_Infusen!$A$1:$C$34,ber_Infusen!E5,2)&lt;&gt;0,INDEX(ber_Infusen!$A$1:$C$34,ber_Infusen!E5,2)&amp;" ml","")</f>
        <v/>
      </c>
      <c r="I11" s="105" t="b">
        <f>IF(INDEX(ber_Infusen!$A$1:$C$34,ber_Infusen!E5,2)&lt;&gt;0,INDEX(ber_Infusen!$A$1:$C$34,ber_Infusen!E5,3))</f>
        <v>0</v>
      </c>
      <c r="J11" s="105">
        <f>IF(INDEX(ber_Infusen!$A$1:$C$34,ber_Infusen!E5,2)&lt;&gt;0,INDEX(ber_Infusen!$A$1:$C$34,ber_Infusen!E5,2),0)</f>
        <v>0</v>
      </c>
    </row>
    <row r="12" spans="1:10" ht="17.25" customHeight="1" x14ac:dyDescent="0.35">
      <c r="A12" s="25">
        <v>5</v>
      </c>
      <c r="E12" s="26"/>
      <c r="F12" s="244" t="str">
        <f>IF(INDEX(ber_Infusen!$A$1:$C$34,ber_Infusen!E6,2)&lt;&gt;0,INDEX(ber_Infusen!$A$1:$C$34,ber_Infusen!E6,2)&amp;" ml","")</f>
        <v/>
      </c>
      <c r="I12" s="105" t="b">
        <f>IF(INDEX(ber_Infusen!$A$1:$C$34,ber_Infusen!E6,2)&lt;&gt;0,INDEX(ber_Infusen!$A$1:$C$34,ber_Infusen!E6,3))</f>
        <v>0</v>
      </c>
      <c r="J12" s="105">
        <f>IF(INDEX(ber_Infusen!$A$1:$C$34,ber_Infusen!E6,2)&lt;&gt;0,INDEX(ber_Infusen!$A$1:$C$34,ber_Infusen!E6,2),0)</f>
        <v>0</v>
      </c>
    </row>
    <row r="13" spans="1:10" ht="17.25" customHeight="1" x14ac:dyDescent="0.35">
      <c r="A13" s="25">
        <v>6</v>
      </c>
      <c r="E13" s="26"/>
      <c r="F13" s="244" t="str">
        <f>IF(INDEX(ber_Infusen!$A$1:$C$34,ber_Infusen!E7,2)&lt;&gt;0,INDEX(ber_Infusen!$A$1:$C$34,ber_Infusen!E7,2)&amp;" ml","")</f>
        <v/>
      </c>
      <c r="I13" s="105" t="b">
        <f>IF(INDEX(ber_Infusen!$A$1:$C$34,ber_Infusen!E7,2)&lt;&gt;0,INDEX(ber_Infusen!$A$1:$C$34,ber_Infusen!E7,3))</f>
        <v>0</v>
      </c>
      <c r="J13" s="105">
        <f>IF(INDEX(ber_Infusen!$A$1:$C$34,ber_Infusen!E7,2)&lt;&gt;0,INDEX(ber_Infusen!$A$1:$C$34,ber_Infusen!E7,2),0)</f>
        <v>0</v>
      </c>
    </row>
    <row r="14" spans="1:10" ht="17.25" customHeight="1" x14ac:dyDescent="0.35">
      <c r="I14" s="105" t="b">
        <f>IF(INDEX(ber_Infusen!$A$1:$C$34,ber_Infusen!E8,2)&lt;&gt;0,INDEX(ber_Infusen!$A$1:$C$34,ber_Infusen!E8,3))</f>
        <v>0</v>
      </c>
      <c r="J14" s="105">
        <f>IF(INDEX(ber_Infusen!$A$1:$C$34,ber_Infusen!E8,2)&lt;&gt;0,INDEX(ber_Infusen!$A$1:$C$34,ber_Infusen!E8,2),0)</f>
        <v>0</v>
      </c>
    </row>
    <row r="15" spans="1:10" ht="17.25" customHeight="1" x14ac:dyDescent="0.35">
      <c r="B15" s="271" t="s">
        <v>791</v>
      </c>
      <c r="C15" s="279">
        <f>ber_Opm!C3</f>
        <v>0</v>
      </c>
      <c r="D15" s="280"/>
      <c r="E15" s="280"/>
      <c r="F15" s="280"/>
      <c r="G15" s="280"/>
      <c r="H15" s="280"/>
      <c r="I15" s="281">
        <f>SUM(I8:I14)</f>
        <v>11.16</v>
      </c>
      <c r="J15" s="281">
        <f>SUM(J8:J14)</f>
        <v>72</v>
      </c>
    </row>
    <row r="16" spans="1:10" ht="17.25" customHeight="1" x14ac:dyDescent="0.35"/>
    <row r="17" spans="1:10" ht="17.25" customHeight="1" x14ac:dyDescent="0.4">
      <c r="A17" s="26"/>
      <c r="B17" s="249" t="s">
        <v>177</v>
      </c>
    </row>
    <row r="18" spans="1:10" ht="8.3000000000000007" customHeight="1" x14ac:dyDescent="0.35">
      <c r="A18" s="26"/>
    </row>
    <row r="19" spans="1:10" ht="17.25" customHeight="1" x14ac:dyDescent="0.4">
      <c r="A19" s="25">
        <v>1</v>
      </c>
      <c r="C19" s="242"/>
      <c r="E19" s="26"/>
      <c r="H19" s="207" t="s">
        <v>77</v>
      </c>
      <c r="I19" s="178"/>
      <c r="J19" s="178"/>
    </row>
    <row r="20" spans="1:10" ht="17.25" customHeight="1" x14ac:dyDescent="0.35">
      <c r="A20" s="25">
        <v>2</v>
      </c>
      <c r="E20" s="26"/>
      <c r="H20" s="209" t="s">
        <v>752</v>
      </c>
      <c r="I20" s="178"/>
      <c r="J20" s="178"/>
    </row>
    <row r="21" spans="1:10" ht="17.25" customHeight="1" x14ac:dyDescent="0.4">
      <c r="A21" s="25">
        <v>3</v>
      </c>
      <c r="E21" s="26"/>
      <c r="H21" s="248" t="str">
        <f>IF(Comfort,"Ja","Nee")</f>
        <v>Ja</v>
      </c>
    </row>
    <row r="22" spans="1:10" ht="17.25" customHeight="1" x14ac:dyDescent="0.35">
      <c r="A22" s="25">
        <v>4</v>
      </c>
      <c r="E22" s="26"/>
    </row>
    <row r="23" spans="1:10" ht="17.25" customHeight="1" x14ac:dyDescent="0.35">
      <c r="B23" s="178" t="s">
        <v>1102</v>
      </c>
      <c r="C23" s="25" t="str">
        <f>IF(Controle_3&gt;0,"om de "&amp;Controle_3&amp;" uur","")</f>
        <v/>
      </c>
      <c r="E23" s="209" t="s">
        <v>1104</v>
      </c>
      <c r="F23" s="25" t="str">
        <f>IF(Controle_2&gt;0,"om de "&amp;Controle_2&amp;" uur","")</f>
        <v>om de 8 uur</v>
      </c>
    </row>
    <row r="24" spans="1:10" ht="17.25" customHeight="1" x14ac:dyDescent="0.35">
      <c r="B24" s="178" t="s">
        <v>1105</v>
      </c>
      <c r="C24" s="25" t="str">
        <f>IF(Controle_6&gt;0,"om de "&amp;Controle_6&amp;" uur","")</f>
        <v>om de 3 uur</v>
      </c>
      <c r="E24" s="209" t="s">
        <v>1103</v>
      </c>
      <c r="F24" s="25" t="str">
        <f>IF(Controle_8&gt;0,"om de "&amp;Controle_8&amp;" uur","")</f>
        <v/>
      </c>
    </row>
    <row r="25" spans="1:10" ht="18" customHeight="1" x14ac:dyDescent="0.35">
      <c r="A25" s="239">
        <v>6</v>
      </c>
      <c r="B25" s="366">
        <f>ber_Opm!C11</f>
        <v>0</v>
      </c>
      <c r="C25" s="361"/>
      <c r="D25" s="361"/>
      <c r="E25" s="361"/>
      <c r="F25" s="361"/>
      <c r="G25" s="241"/>
      <c r="H25" s="26"/>
    </row>
    <row r="26" spans="1:10" ht="17.25" customHeight="1" x14ac:dyDescent="0.35">
      <c r="B26" s="361"/>
      <c r="C26" s="361"/>
      <c r="D26" s="361"/>
      <c r="E26" s="361"/>
      <c r="F26" s="361"/>
      <c r="G26" s="241"/>
      <c r="H26" s="241"/>
      <c r="I26" s="241"/>
      <c r="J26" s="245"/>
    </row>
    <row r="27" spans="1:10" ht="17.25" customHeight="1" x14ac:dyDescent="0.35">
      <c r="B27" s="361"/>
      <c r="C27" s="361"/>
      <c r="D27" s="361"/>
      <c r="E27" s="361"/>
      <c r="F27" s="361"/>
      <c r="G27" s="241"/>
      <c r="H27" s="241"/>
      <c r="I27" s="241"/>
      <c r="J27" s="246"/>
    </row>
    <row r="28" spans="1:10" ht="20.100000000000001" customHeight="1" x14ac:dyDescent="0.35">
      <c r="B28" s="276"/>
      <c r="C28" s="277"/>
      <c r="D28" s="277"/>
      <c r="E28" s="277"/>
      <c r="F28" s="277"/>
      <c r="G28" s="277"/>
      <c r="H28" s="278"/>
      <c r="I28" s="278"/>
      <c r="J28" s="277"/>
    </row>
    <row r="29" spans="1:10" ht="20.100000000000001" customHeight="1" x14ac:dyDescent="0.4">
      <c r="B29" s="249" t="s">
        <v>48</v>
      </c>
      <c r="H29" s="245"/>
      <c r="I29" s="245"/>
      <c r="J29" s="245"/>
    </row>
    <row r="30" spans="1:10" ht="20.100000000000001" customHeight="1" x14ac:dyDescent="0.35"/>
    <row r="31" spans="1:10" ht="20.100000000000001" customHeight="1" x14ac:dyDescent="0.35">
      <c r="B31" s="178" t="s">
        <v>666</v>
      </c>
      <c r="E31" s="178" t="s">
        <v>150</v>
      </c>
    </row>
    <row r="32" spans="1:10" ht="20.100000000000001" customHeight="1" x14ac:dyDescent="0.35"/>
    <row r="33" spans="2:3" ht="13.2" x14ac:dyDescent="0.4">
      <c r="B33" s="178" t="s">
        <v>797</v>
      </c>
      <c r="C33" s="247" t="str">
        <f>IF(ber_Infusen!O1&gt;1,ber_Infusen!R1&amp;" /min","")</f>
        <v/>
      </c>
    </row>
    <row r="34" spans="2:3" ht="17.25" customHeight="1" x14ac:dyDescent="0.4">
      <c r="C34" s="247"/>
    </row>
    <row r="35" spans="2:3" ht="17.25" customHeight="1" x14ac:dyDescent="0.4">
      <c r="B35" s="178" t="s">
        <v>151</v>
      </c>
      <c r="C35" s="247" t="str">
        <f>IF(ber_Infusen!O1&gt;1,ber_Infusen!R2&amp;" mA","")</f>
        <v/>
      </c>
    </row>
    <row r="36" spans="2:3" ht="17.25" customHeight="1" x14ac:dyDescent="0.4">
      <c r="B36" s="178" t="s">
        <v>152</v>
      </c>
      <c r="C36" s="247" t="str">
        <f>IF(ber_Infusen!O1&gt;1,ber_Infusen!R3&amp;" mA","")</f>
        <v/>
      </c>
    </row>
    <row r="37" spans="2:3" ht="17.25" customHeight="1" x14ac:dyDescent="0.4">
      <c r="C37" s="247"/>
    </row>
    <row r="38" spans="2:3" ht="17.25" customHeight="1" x14ac:dyDescent="0.4">
      <c r="B38" s="178" t="s">
        <v>153</v>
      </c>
      <c r="C38" s="247" t="str">
        <f>IF(ber_Infusen!O1&gt;1,ber_Infusen!R4&amp;" msec","")</f>
        <v/>
      </c>
    </row>
    <row r="39" spans="2:3" ht="17.25" customHeight="1" x14ac:dyDescent="0.4">
      <c r="C39" s="247"/>
    </row>
    <row r="40" spans="2:3" ht="17.25" customHeight="1" x14ac:dyDescent="0.4">
      <c r="B40" s="178" t="s">
        <v>154</v>
      </c>
      <c r="C40" s="247" t="str">
        <f>IF(ber_Infusen!O1&gt;1,ber_Infusen!R5/10&amp;" mV","")</f>
        <v/>
      </c>
    </row>
    <row r="41" spans="2:3" ht="17.25" customHeight="1" x14ac:dyDescent="0.4">
      <c r="B41" s="178" t="s">
        <v>155</v>
      </c>
      <c r="C41" s="247" t="str">
        <f>IF(ber_Infusen!O1&gt;1,ber_Infusen!R6/10&amp;" mV","")</f>
        <v/>
      </c>
    </row>
    <row r="42" spans="2:3" ht="17.25" customHeight="1" x14ac:dyDescent="0.35"/>
  </sheetData>
  <sheetProtection algorithmName="SHA-512" hashValue="sqpsNxSHiAOzEj9KMHP0onAFclNZOcnH7DB2EEMcB/EMYgvf8japb/7a67+krAuC1aVqAtyChdA3uElxpPmlVg==" saltValue="SiBhYYmDccW/nzi/HCbZbg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topLeftCell="H1" workbookViewId="0">
      <selection activeCell="R1" sqref="R1:R6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337</v>
      </c>
      <c r="L1">
        <v>1</v>
      </c>
      <c r="M1">
        <v>1</v>
      </c>
      <c r="Q1" t="s">
        <v>665</v>
      </c>
      <c r="S1">
        <v>70</v>
      </c>
    </row>
    <row r="2" spans="1:19" x14ac:dyDescent="0.35">
      <c r="A2" s="11" t="s">
        <v>446</v>
      </c>
      <c r="D2">
        <v>1</v>
      </c>
      <c r="E2">
        <v>1</v>
      </c>
      <c r="G2" s="8" t="s">
        <v>338</v>
      </c>
      <c r="H2">
        <v>8</v>
      </c>
      <c r="J2" t="s">
        <v>1108</v>
      </c>
      <c r="L2">
        <v>2</v>
      </c>
      <c r="M2">
        <v>1</v>
      </c>
      <c r="Q2" t="s">
        <v>661</v>
      </c>
      <c r="S2">
        <v>10</v>
      </c>
    </row>
    <row r="3" spans="1:19" x14ac:dyDescent="0.35">
      <c r="A3" s="11" t="s">
        <v>528</v>
      </c>
      <c r="B3">
        <v>12</v>
      </c>
      <c r="C3">
        <f>B3*0.155</f>
        <v>1.8599999999999999</v>
      </c>
      <c r="D3">
        <v>2</v>
      </c>
      <c r="E3">
        <v>17</v>
      </c>
      <c r="G3" s="9" t="s">
        <v>776</v>
      </c>
      <c r="J3" t="s">
        <v>1109</v>
      </c>
      <c r="L3">
        <v>3</v>
      </c>
      <c r="M3">
        <v>1</v>
      </c>
      <c r="O3" t="s">
        <v>963</v>
      </c>
      <c r="P3" t="s">
        <v>658</v>
      </c>
      <c r="Q3" t="s">
        <v>662</v>
      </c>
      <c r="S3">
        <v>10</v>
      </c>
    </row>
    <row r="4" spans="1:19" x14ac:dyDescent="0.35">
      <c r="A4" s="11" t="s">
        <v>947</v>
      </c>
      <c r="B4">
        <v>72</v>
      </c>
      <c r="C4">
        <f>B4*0.155</f>
        <v>11.16</v>
      </c>
      <c r="D4">
        <v>3</v>
      </c>
      <c r="E4">
        <v>18</v>
      </c>
      <c r="G4" s="8" t="s">
        <v>777</v>
      </c>
      <c r="J4" t="s">
        <v>1095</v>
      </c>
      <c r="L4">
        <v>4</v>
      </c>
      <c r="M4">
        <v>1</v>
      </c>
      <c r="O4" t="s">
        <v>656</v>
      </c>
      <c r="P4" t="s">
        <v>659</v>
      </c>
      <c r="Q4" t="s">
        <v>663</v>
      </c>
      <c r="S4">
        <v>170</v>
      </c>
    </row>
    <row r="5" spans="1:19" x14ac:dyDescent="0.35">
      <c r="A5" s="11" t="s">
        <v>948</v>
      </c>
      <c r="B5">
        <v>12</v>
      </c>
      <c r="C5">
        <f>B5*0.155</f>
        <v>1.8599999999999999</v>
      </c>
      <c r="D5">
        <v>4</v>
      </c>
      <c r="E5">
        <v>1</v>
      </c>
      <c r="G5" s="8" t="s">
        <v>778</v>
      </c>
      <c r="J5" t="s">
        <v>1092</v>
      </c>
      <c r="L5">
        <v>5</v>
      </c>
      <c r="M5">
        <v>1</v>
      </c>
      <c r="O5" t="s">
        <v>657</v>
      </c>
      <c r="P5" t="s">
        <v>660</v>
      </c>
      <c r="Q5" t="s">
        <v>664</v>
      </c>
      <c r="S5">
        <v>20</v>
      </c>
    </row>
    <row r="6" spans="1:19" x14ac:dyDescent="0.35">
      <c r="A6" s="11" t="s">
        <v>333</v>
      </c>
      <c r="B6">
        <v>72</v>
      </c>
      <c r="C6">
        <f>B6*0.155</f>
        <v>11.16</v>
      </c>
      <c r="D6">
        <v>5</v>
      </c>
      <c r="E6">
        <v>1</v>
      </c>
      <c r="G6" s="9" t="s">
        <v>779</v>
      </c>
      <c r="H6">
        <v>3</v>
      </c>
      <c r="J6" t="s">
        <v>86</v>
      </c>
      <c r="L6">
        <v>6</v>
      </c>
      <c r="M6">
        <v>1</v>
      </c>
      <c r="Q6" t="s">
        <v>811</v>
      </c>
      <c r="S6">
        <v>20</v>
      </c>
    </row>
    <row r="7" spans="1:19" x14ac:dyDescent="0.35">
      <c r="A7" s="11" t="s">
        <v>334</v>
      </c>
      <c r="D7">
        <v>6</v>
      </c>
      <c r="E7">
        <v>1</v>
      </c>
      <c r="G7" s="8" t="s">
        <v>780</v>
      </c>
      <c r="J7" t="s">
        <v>1088</v>
      </c>
    </row>
    <row r="8" spans="1:19" x14ac:dyDescent="0.35">
      <c r="A8" s="11" t="s">
        <v>92</v>
      </c>
      <c r="B8">
        <v>12</v>
      </c>
      <c r="C8">
        <f>B8*0.155</f>
        <v>1.8599999999999999</v>
      </c>
      <c r="G8" s="9" t="s">
        <v>781</v>
      </c>
      <c r="J8" t="s">
        <v>1089</v>
      </c>
      <c r="O8" t="s">
        <v>753</v>
      </c>
      <c r="P8" t="b">
        <v>1</v>
      </c>
    </row>
    <row r="9" spans="1:19" x14ac:dyDescent="0.35">
      <c r="A9" s="11" t="s">
        <v>93</v>
      </c>
      <c r="B9">
        <v>72</v>
      </c>
      <c r="C9">
        <f>B9*0.155</f>
        <v>11.16</v>
      </c>
      <c r="G9" s="9" t="s">
        <v>782</v>
      </c>
      <c r="J9" t="s">
        <v>846</v>
      </c>
    </row>
    <row r="10" spans="1:19" x14ac:dyDescent="0.35">
      <c r="A10" s="11" t="s">
        <v>241</v>
      </c>
      <c r="G10" s="9" t="s">
        <v>380</v>
      </c>
      <c r="J10" t="s">
        <v>1098</v>
      </c>
    </row>
    <row r="11" spans="1:19" x14ac:dyDescent="0.35">
      <c r="A11" s="11" t="s">
        <v>1117</v>
      </c>
      <c r="J11" t="s">
        <v>1097</v>
      </c>
    </row>
    <row r="12" spans="1:19" x14ac:dyDescent="0.35">
      <c r="A12" s="11" t="s">
        <v>1118</v>
      </c>
      <c r="J12" t="s">
        <v>1087</v>
      </c>
    </row>
    <row r="13" spans="1:19" x14ac:dyDescent="0.35">
      <c r="A13" s="11" t="s">
        <v>897</v>
      </c>
      <c r="G13" s="9"/>
      <c r="J13" t="s">
        <v>1099</v>
      </c>
    </row>
    <row r="14" spans="1:19" x14ac:dyDescent="0.35">
      <c r="A14" s="11" t="s">
        <v>898</v>
      </c>
      <c r="G14" s="9"/>
      <c r="J14" t="s">
        <v>1107</v>
      </c>
    </row>
    <row r="15" spans="1:19" x14ac:dyDescent="0.35">
      <c r="A15" s="11" t="s">
        <v>335</v>
      </c>
      <c r="G15" s="9" t="s">
        <v>381</v>
      </c>
      <c r="H15">
        <v>8</v>
      </c>
      <c r="J15" t="s">
        <v>1096</v>
      </c>
    </row>
    <row r="16" spans="1:19" x14ac:dyDescent="0.35">
      <c r="A16" s="11" t="s">
        <v>94</v>
      </c>
      <c r="B16">
        <v>12</v>
      </c>
      <c r="C16">
        <f>B16*0.155</f>
        <v>1.8599999999999999</v>
      </c>
      <c r="G16" s="9" t="s">
        <v>382</v>
      </c>
      <c r="H16">
        <v>3</v>
      </c>
      <c r="J16" t="s">
        <v>1090</v>
      </c>
    </row>
    <row r="17" spans="1:10" x14ac:dyDescent="0.35">
      <c r="A17" s="11" t="s">
        <v>95</v>
      </c>
      <c r="B17">
        <v>72</v>
      </c>
      <c r="C17">
        <f>B17*0.155</f>
        <v>11.16</v>
      </c>
      <c r="J17" t="s">
        <v>1094</v>
      </c>
    </row>
    <row r="18" spans="1:10" x14ac:dyDescent="0.35">
      <c r="A18" s="11" t="s">
        <v>519</v>
      </c>
      <c r="J18" t="s">
        <v>1093</v>
      </c>
    </row>
    <row r="19" spans="1:10" x14ac:dyDescent="0.35">
      <c r="A19" s="11" t="s">
        <v>1117</v>
      </c>
      <c r="J19" t="s">
        <v>1106</v>
      </c>
    </row>
    <row r="20" spans="1:10" x14ac:dyDescent="0.35">
      <c r="A20" s="11" t="s">
        <v>1118</v>
      </c>
      <c r="J20" t="s">
        <v>1091</v>
      </c>
    </row>
    <row r="21" spans="1:10" x14ac:dyDescent="0.35">
      <c r="A21" s="11" t="s">
        <v>899</v>
      </c>
      <c r="J21" t="s">
        <v>1110</v>
      </c>
    </row>
    <row r="22" spans="1:10" x14ac:dyDescent="0.35">
      <c r="A22" s="11" t="s">
        <v>842</v>
      </c>
      <c r="J22" t="s">
        <v>924</v>
      </c>
    </row>
    <row r="23" spans="1:10" x14ac:dyDescent="0.35">
      <c r="A23" s="11" t="s">
        <v>445</v>
      </c>
      <c r="J23" t="s">
        <v>1100</v>
      </c>
    </row>
    <row r="24" spans="1:10" x14ac:dyDescent="0.35">
      <c r="A24" s="11" t="s">
        <v>843</v>
      </c>
      <c r="J24" t="s">
        <v>925</v>
      </c>
    </row>
    <row r="25" spans="1:10" x14ac:dyDescent="0.35">
      <c r="A25" s="11" t="s">
        <v>820</v>
      </c>
      <c r="J25" t="s">
        <v>1101</v>
      </c>
    </row>
    <row r="26" spans="1:10" x14ac:dyDescent="0.35">
      <c r="A26" s="11" t="s">
        <v>1170</v>
      </c>
      <c r="J26" t="s">
        <v>926</v>
      </c>
    </row>
    <row r="27" spans="1:10" x14ac:dyDescent="0.35">
      <c r="A27" s="11" t="s">
        <v>1024</v>
      </c>
      <c r="J27" t="s">
        <v>927</v>
      </c>
    </row>
    <row r="28" spans="1:10" x14ac:dyDescent="0.35">
      <c r="A28" s="11" t="s">
        <v>1022</v>
      </c>
      <c r="J28" t="s">
        <v>928</v>
      </c>
    </row>
    <row r="29" spans="1:10" x14ac:dyDescent="0.35">
      <c r="A29" s="11" t="s">
        <v>1023</v>
      </c>
      <c r="J29" t="s">
        <v>240</v>
      </c>
    </row>
    <row r="30" spans="1:10" x14ac:dyDescent="0.35">
      <c r="A30" s="11" t="s">
        <v>1171</v>
      </c>
      <c r="J30" t="s">
        <v>85</v>
      </c>
    </row>
    <row r="31" spans="1:10" x14ac:dyDescent="0.35">
      <c r="A31" s="11" t="s">
        <v>1148</v>
      </c>
      <c r="J31" t="s">
        <v>47</v>
      </c>
    </row>
    <row r="32" spans="1:10" x14ac:dyDescent="0.35">
      <c r="A32" s="11" t="s">
        <v>1149</v>
      </c>
    </row>
    <row r="33" spans="1:1" x14ac:dyDescent="0.35">
      <c r="A33" s="11" t="s">
        <v>1150</v>
      </c>
    </row>
    <row r="34" spans="1:1" x14ac:dyDescent="0.35">
      <c r="A34" s="11" t="s">
        <v>847</v>
      </c>
    </row>
  </sheetData>
  <phoneticPr fontId="26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931</v>
      </c>
      <c r="E17" t="s">
        <v>932</v>
      </c>
      <c r="F17" s="22">
        <f ca="1">TODAY()-GebDatum+1</f>
        <v>520</v>
      </c>
    </row>
    <row r="18" spans="1:6" x14ac:dyDescent="0.35">
      <c r="A18" s="23">
        <f ca="1">IF(F17&lt;6,VLOOKUP(F17,A1:B5,2),IF(F18&lt;6,150,IF(F18&lt;8,125,IF(F18&lt;10,100,IF(F18&lt;20,(1000+(F18-10)*50)/F18,IF(F18&lt;30,(1500+(F18-20)*20)/F18,(1700+(F18-30)*10)/F18))))))</f>
        <v>150</v>
      </c>
      <c r="E18" t="s">
        <v>933</v>
      </c>
      <c r="F18">
        <f>Gewicht/10</f>
        <v>5</v>
      </c>
    </row>
    <row r="20" spans="1:6" x14ac:dyDescent="0.35">
      <c r="A20" t="s">
        <v>322</v>
      </c>
    </row>
    <row r="21" spans="1:6" x14ac:dyDescent="0.35">
      <c r="A21">
        <f ca="1">ROUND((100-F17/365*(60/17))/5,0)*5</f>
        <v>95</v>
      </c>
    </row>
  </sheetData>
  <phoneticPr fontId="26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6"/>
  <sheetViews>
    <sheetView showGridLines="0" showRowColHeaders="0" showZeros="0" showOutlineSymbols="0" zoomScale="91" workbookViewId="0">
      <pane ySplit="4" topLeftCell="A5" activePane="bottomLeft" state="frozen"/>
      <selection pane="bottomLeft" activeCell="E6" sqref="E6"/>
    </sheetView>
  </sheetViews>
  <sheetFormatPr defaultColWidth="9.1328125" defaultRowHeight="12.85" x14ac:dyDescent="0.35"/>
  <cols>
    <col min="1" max="1" width="2.265625" style="26" customWidth="1"/>
    <col min="2" max="2" width="3.1328125" style="25" customWidth="1"/>
    <col min="3" max="3" width="14.265625" style="25" customWidth="1"/>
    <col min="4" max="4" width="14.3984375" style="25" customWidth="1"/>
    <col min="5" max="5" width="12.1328125" style="25" customWidth="1"/>
    <col min="6" max="6" width="15" style="25" customWidth="1"/>
    <col min="7" max="7" width="13.86328125" style="25" customWidth="1"/>
    <col min="8" max="8" width="15.265625" style="25" customWidth="1"/>
    <col min="9" max="9" width="15.1328125" style="25" customWidth="1"/>
    <col min="10" max="15" width="9.1328125" style="25"/>
    <col min="16" max="16" width="10.73046875" style="25" bestFit="1" customWidth="1"/>
    <col min="17" max="18" width="9.1328125" style="25"/>
    <col min="19" max="19" width="10.73046875" style="25" bestFit="1" customWidth="1"/>
    <col min="20" max="16384" width="9.1328125" style="25"/>
  </cols>
  <sheetData>
    <row r="1" spans="1:22" s="178" customFormat="1" x14ac:dyDescent="0.35">
      <c r="A1" s="209"/>
    </row>
    <row r="2" spans="1:22" s="178" customFormat="1" ht="13.2" x14ac:dyDescent="0.4">
      <c r="A2" s="209"/>
      <c r="B2" s="179" t="s">
        <v>818</v>
      </c>
      <c r="D2" s="180">
        <f ca="1">AfspraakDatum</f>
        <v>42251</v>
      </c>
      <c r="E2" s="181"/>
      <c r="F2" s="179" t="s">
        <v>819</v>
      </c>
      <c r="G2" s="182">
        <f>OpnDatum</f>
        <v>41363</v>
      </c>
      <c r="H2" s="179" t="str">
        <f ca="1">"ICU-dag: "&amp;AfspraakDatum-OpnDatum+1</f>
        <v>ICU-dag: 889</v>
      </c>
      <c r="I2" s="179"/>
      <c r="J2" s="179"/>
      <c r="K2" s="179"/>
    </row>
    <row r="3" spans="1:22" s="178" customFormat="1" ht="13.2" x14ac:dyDescent="0.4">
      <c r="A3" s="209"/>
      <c r="B3" s="179" t="s">
        <v>75</v>
      </c>
      <c r="D3" s="183" t="str">
        <f>_AchterNaam&amp;", "&amp;_VoorNaam</f>
        <v>Achternaam, Voornaam</v>
      </c>
      <c r="E3" s="183"/>
      <c r="F3" s="179" t="s">
        <v>833</v>
      </c>
      <c r="G3" s="182">
        <f>GebDatum</f>
        <v>41732</v>
      </c>
      <c r="H3" s="184" t="str">
        <f>"Gewicht: "&amp;Gewicht/10&amp;" kg"</f>
        <v>Gewicht: 5 kg</v>
      </c>
      <c r="I3" s="179"/>
      <c r="J3" s="184" t="str">
        <f>"Lengte: "&amp;Lengte&amp;" cm"</f>
        <v>Lengte: 61 cm</v>
      </c>
      <c r="K3" s="179"/>
    </row>
    <row r="4" spans="1:22" s="178" customFormat="1" ht="13.2" x14ac:dyDescent="0.4">
      <c r="A4" s="209"/>
      <c r="B4" s="179" t="s">
        <v>912</v>
      </c>
      <c r="D4" s="184">
        <f>PatNummer</f>
        <v>0</v>
      </c>
      <c r="E4" s="181"/>
      <c r="F4" s="179" t="s">
        <v>760</v>
      </c>
      <c r="G4" s="186" t="str">
        <f ca="1">TRUNC((AfspraakDatum-GebDatum)/365,0)&amp;" jaar en "&amp;TRUNC(((AfspraakDatum-GebDatum)-365*TRUNC((AfspraakDatum-GebDatum)/365,0))/30,0)&amp;" maand(-en)"</f>
        <v>1 jaar en 5 maand(-en)</v>
      </c>
      <c r="H4" s="179"/>
      <c r="I4" s="179" t="str">
        <f>"Lichamelijk oppervlak: "&amp;ROUND(POWER(Gewicht/10,0.425)*POWER(((Lengte/100)*100),0.725)*0.007184,2)&amp;" m2"</f>
        <v>Lichamelijk oppervlak: 0,28 m2</v>
      </c>
      <c r="J4" s="179"/>
      <c r="K4" s="179"/>
    </row>
    <row r="5" spans="1:22" ht="13.2" x14ac:dyDescent="0.4">
      <c r="C5" s="104"/>
      <c r="D5" s="190"/>
      <c r="E5" s="91"/>
      <c r="F5" s="104"/>
      <c r="G5" s="191"/>
      <c r="H5" s="104"/>
      <c r="I5" s="104"/>
      <c r="J5" s="104"/>
      <c r="K5" s="104"/>
    </row>
    <row r="6" spans="1:22" ht="17.25" customHeight="1" x14ac:dyDescent="0.4">
      <c r="C6" s="249" t="s">
        <v>454</v>
      </c>
      <c r="D6" s="25" t="e">
        <f>INDEX(tblSonde,ber_PO!O2,1)</f>
        <v>#REF!</v>
      </c>
      <c r="I6" s="26"/>
      <c r="J6" s="26"/>
      <c r="K6" s="26"/>
      <c r="L6" s="262" t="s">
        <v>475</v>
      </c>
      <c r="N6" s="240"/>
    </row>
    <row r="7" spans="1:22" ht="19.55" customHeight="1" x14ac:dyDescent="0.4">
      <c r="B7" s="26"/>
      <c r="C7" s="262" t="s">
        <v>769</v>
      </c>
      <c r="D7" s="26"/>
      <c r="E7" s="26"/>
      <c r="F7" s="26"/>
      <c r="G7" s="26"/>
      <c r="H7" s="26"/>
      <c r="I7" s="26"/>
      <c r="J7" s="26"/>
      <c r="K7" s="26"/>
      <c r="L7" s="25" t="s">
        <v>316</v>
      </c>
      <c r="O7" s="26"/>
    </row>
    <row r="8" spans="1:22" ht="19.55" customHeight="1" x14ac:dyDescent="0.35">
      <c r="B8" s="243"/>
      <c r="C8" s="251" t="str">
        <f>IF(ber_PO!N2&lt;&gt;0,ber_PO!K2&amp;" dd","")</f>
        <v/>
      </c>
      <c r="D8" s="252" t="str">
        <f>IF(ber_PO!N2&lt;&gt;0,ber_PO!M2&amp;" ml","")</f>
        <v/>
      </c>
      <c r="E8" s="243"/>
      <c r="F8" s="243"/>
      <c r="G8" s="243" t="str">
        <f>IF(C8="24 dd","continue drip","")</f>
        <v/>
      </c>
      <c r="H8" s="243" t="str">
        <f>IF(ber_PO!O2&gt;1,ber_PO!N2&amp;" ml per dag","")</f>
        <v>0 ml per dag</v>
      </c>
      <c r="I8" s="243"/>
      <c r="J8" s="26"/>
      <c r="L8" s="178"/>
      <c r="M8" s="237" t="s">
        <v>476</v>
      </c>
      <c r="N8" s="273">
        <f>ber_PO!I2</f>
        <v>0</v>
      </c>
      <c r="O8" s="26"/>
      <c r="P8" s="28"/>
      <c r="Q8" s="28"/>
      <c r="R8" s="28"/>
      <c r="S8" s="28"/>
      <c r="T8" s="28"/>
      <c r="U8" s="28"/>
      <c r="V8" s="28"/>
    </row>
    <row r="9" spans="1:22" ht="19.55" customHeight="1" x14ac:dyDescent="0.35">
      <c r="B9" s="243"/>
      <c r="C9" s="251" t="str">
        <f>IF(ber_PO!O3&gt;1,ber_PO!K3&amp;" dd","")</f>
        <v/>
      </c>
      <c r="D9" s="252" t="str">
        <f>IF(ber_PO!O3&gt;1,ber_PO!M3&amp;" gram","")</f>
        <v/>
      </c>
      <c r="E9" s="243"/>
      <c r="F9" s="243"/>
      <c r="G9" s="243"/>
      <c r="H9" s="243" t="str">
        <f>IF(ber_PO!O3&gt;1,ber_PO!N3&amp;" gram/dag","")</f>
        <v/>
      </c>
      <c r="I9" s="244" t="str">
        <f>IF(AND(ber_PO!N3&lt;&gt;0,ber_PO!N2&lt;&gt;0),"= "&amp;ROUND(ber_PO!N3*100/ber_PO!N2,1)&amp;"% extra","")</f>
        <v/>
      </c>
      <c r="J9" s="26"/>
      <c r="L9" s="178"/>
      <c r="M9" s="237" t="s">
        <v>572</v>
      </c>
      <c r="N9" s="273">
        <f>ber_PO!I3</f>
        <v>0</v>
      </c>
      <c r="O9" s="28" t="s">
        <v>84</v>
      </c>
      <c r="P9" s="28"/>
      <c r="Q9" s="28"/>
      <c r="R9" s="28"/>
      <c r="S9" s="28"/>
      <c r="T9" s="28"/>
      <c r="U9" s="28"/>
      <c r="V9" s="28"/>
    </row>
    <row r="10" spans="1:22" ht="19.55" customHeight="1" x14ac:dyDescent="0.35">
      <c r="B10" s="243"/>
      <c r="C10" s="251" t="str">
        <f>IF(ber_PO!O4&gt;1,ber_PO!K4&amp;" dd","")</f>
        <v/>
      </c>
      <c r="D10" s="252" t="str">
        <f>IF(ber_PO!O4&gt;1,ber_PO!M4&amp;" gram","")</f>
        <v/>
      </c>
      <c r="E10" s="243"/>
      <c r="F10" s="243"/>
      <c r="G10" s="243"/>
      <c r="H10" s="243" t="str">
        <f>IF(ber_PO!O4&gt;1,ber_PO!N4&amp;" gram per dag","")</f>
        <v/>
      </c>
      <c r="I10" s="244" t="str">
        <f>IF(AND(ber_PO!N4&lt;&gt;0,ber_PO!N3&lt;&gt;0),"= "&amp;ROUND(ber_PO!N4*100/ber_PO!N2,1)&amp;"% extra","")</f>
        <v/>
      </c>
      <c r="J10" s="26"/>
      <c r="L10" s="178"/>
      <c r="M10" s="237" t="s">
        <v>477</v>
      </c>
      <c r="N10" s="273">
        <f>ber_PO!I4</f>
        <v>0</v>
      </c>
      <c r="O10" s="28" t="s">
        <v>84</v>
      </c>
      <c r="P10" s="28"/>
      <c r="Q10" s="28"/>
      <c r="R10" s="28"/>
      <c r="S10" s="28"/>
      <c r="T10" s="28"/>
      <c r="U10" s="28"/>
      <c r="V10" s="28"/>
    </row>
    <row r="11" spans="1:22" ht="19.55" customHeight="1" x14ac:dyDescent="0.35">
      <c r="B11" s="243"/>
      <c r="C11" s="251" t="str">
        <f>IF(ber_PO!O5&gt;1,ber_PO!K5&amp;" dd","")</f>
        <v/>
      </c>
      <c r="D11" s="252" t="str">
        <f>IF(ber_PO!O5&gt;1,ber_PO!M5&amp;" gram","")</f>
        <v/>
      </c>
      <c r="E11" s="243"/>
      <c r="F11" s="243"/>
      <c r="G11" s="243"/>
      <c r="H11" s="243" t="str">
        <f>IF(ber_PO!O5&gt;1,ber_PO!N5&amp;" gram per dag","")</f>
        <v/>
      </c>
      <c r="I11" s="244" t="str">
        <f>IF(AND(ber_PO!N5&lt;&gt;0,ber_PO!N4&lt;&gt;0),"= "&amp;ROUND(ber_PO!N5*100/ber_PO!N2,1)&amp;"% extra","")</f>
        <v/>
      </c>
      <c r="J11" s="26"/>
      <c r="L11" s="178"/>
      <c r="M11" s="266" t="s">
        <v>573</v>
      </c>
      <c r="N11" s="273">
        <f>ber_PO!I5</f>
        <v>0</v>
      </c>
      <c r="O11" s="28" t="s">
        <v>84</v>
      </c>
      <c r="P11" s="28"/>
      <c r="Q11" s="28"/>
      <c r="R11" s="28"/>
      <c r="S11" s="28"/>
      <c r="T11" s="28"/>
      <c r="U11" s="28"/>
      <c r="V11" s="28"/>
    </row>
    <row r="12" spans="1:22" ht="19.55" customHeight="1" x14ac:dyDescent="0.35">
      <c r="B12" s="26"/>
      <c r="C12" s="189"/>
      <c r="D12" s="104"/>
      <c r="E12" s="26"/>
      <c r="F12" s="26"/>
      <c r="G12" s="26"/>
      <c r="H12" s="26"/>
      <c r="I12" s="26"/>
      <c r="J12" s="26"/>
      <c r="L12" s="178"/>
      <c r="M12" s="266" t="s">
        <v>478</v>
      </c>
      <c r="N12" s="273">
        <f>ber_PO!I6</f>
        <v>0</v>
      </c>
      <c r="O12" s="28" t="s">
        <v>465</v>
      </c>
      <c r="P12" s="28"/>
      <c r="Q12" s="28"/>
      <c r="R12" s="28"/>
      <c r="S12" s="28"/>
      <c r="T12" s="28"/>
      <c r="U12" s="28"/>
      <c r="V12" s="28"/>
    </row>
    <row r="13" spans="1:22" ht="19.55" customHeight="1" x14ac:dyDescent="0.35">
      <c r="B13" s="271"/>
      <c r="C13" s="238" t="s">
        <v>791</v>
      </c>
      <c r="D13" s="272">
        <f>ber_Opm!C15</f>
        <v>0</v>
      </c>
      <c r="E13" s="273"/>
      <c r="F13" s="273"/>
      <c r="G13" s="273"/>
      <c r="H13" s="273"/>
      <c r="I13" s="273"/>
      <c r="J13" s="273"/>
      <c r="K13" s="273"/>
      <c r="L13" s="267"/>
      <c r="M13" s="266" t="s">
        <v>764</v>
      </c>
      <c r="N13" s="273">
        <f>ber_PO!I7</f>
        <v>0</v>
      </c>
      <c r="O13" s="28" t="s">
        <v>465</v>
      </c>
      <c r="P13" s="28"/>
      <c r="Q13" s="28"/>
      <c r="R13" s="28"/>
      <c r="S13" s="28"/>
      <c r="T13" s="28"/>
      <c r="U13" s="28"/>
      <c r="V13" s="28"/>
    </row>
    <row r="14" spans="1:22" ht="21.8" customHeight="1" x14ac:dyDescent="0.4">
      <c r="B14" s="26"/>
      <c r="C14" s="262" t="s">
        <v>770</v>
      </c>
      <c r="H14" s="250"/>
      <c r="J14" s="28"/>
      <c r="K14" s="28"/>
      <c r="L14" s="267"/>
      <c r="M14" s="266" t="s">
        <v>574</v>
      </c>
      <c r="N14" s="273">
        <f>ber_PO!I8</f>
        <v>0</v>
      </c>
      <c r="O14" s="28" t="s">
        <v>465</v>
      </c>
      <c r="P14" s="28"/>
      <c r="Q14" s="28"/>
      <c r="R14" s="28"/>
      <c r="S14" s="28"/>
      <c r="T14" s="28"/>
      <c r="U14" s="28"/>
      <c r="V14" s="28"/>
    </row>
    <row r="15" spans="1:22" ht="23.3" customHeight="1" x14ac:dyDescent="0.4">
      <c r="B15" s="209"/>
      <c r="C15" s="275" t="s">
        <v>895</v>
      </c>
      <c r="D15" s="240" t="str">
        <f>IF(ber_TPN!F3&lt;&gt;0,IF(ber_TPN!F3/24&gt;=10,ROUND(ber_TPN!F3/24,1),ROUND(ber_TPN!F3/24,1))&amp;" ml/uur","")</f>
        <v/>
      </c>
      <c r="E15" s="104" t="str">
        <f>IF(D15&lt;&gt;"",ber_TPN!F3&amp;" ml per dag","")</f>
        <v/>
      </c>
      <c r="F15" s="26"/>
      <c r="G15" s="243"/>
      <c r="H15" s="275" t="s">
        <v>896</v>
      </c>
      <c r="I15" s="240" t="str">
        <f>IF(ber_TPN!D18&lt;&gt;0,ber_TPN!E18&amp;" ml/uur","")</f>
        <v/>
      </c>
      <c r="J15" s="104" t="str">
        <f>IF(I15&lt;&gt;"",ber_TPN!F18&amp;" ml per dag","")</f>
        <v/>
      </c>
      <c r="K15" s="26"/>
      <c r="L15" s="267"/>
      <c r="M15" s="268" t="s">
        <v>479</v>
      </c>
      <c r="N15" s="273">
        <f>ber_PO!I9</f>
        <v>0</v>
      </c>
      <c r="O15" s="28" t="s">
        <v>465</v>
      </c>
      <c r="P15" s="28"/>
      <c r="T15" s="28"/>
      <c r="U15" s="28"/>
      <c r="V15" s="28"/>
    </row>
    <row r="16" spans="1:22" ht="23.3" customHeight="1" x14ac:dyDescent="0.4">
      <c r="B16" s="209"/>
      <c r="C16" s="275"/>
      <c r="D16" s="26"/>
      <c r="E16" s="240" t="str">
        <f>IF(AND(ber_TPN!E4&lt;&gt;0,ber_TPN!E4&lt;&gt;"",ber_TPN!B4&lt;&gt;1,ber_TPN!F4&lt;&gt;0),ber_TPN!F4&amp;" ml","")</f>
        <v/>
      </c>
      <c r="F16" s="239" t="str">
        <f>IF(AND(Gewicht/10&gt;=16,TPN=2),"Peditrace","")</f>
        <v/>
      </c>
      <c r="G16" s="255" t="str">
        <f>IF(AND(Gewicht/10&gt;=16,ber_TPN!F5&gt;0),ber_TPN!F5&amp;" ml","")</f>
        <v/>
      </c>
      <c r="H16" s="209"/>
      <c r="I16" s="26"/>
      <c r="J16" s="257"/>
      <c r="K16" s="258"/>
      <c r="L16" s="209"/>
      <c r="M16" s="266" t="s">
        <v>839</v>
      </c>
      <c r="N16" s="273">
        <f>ber_PO!I10</f>
        <v>0</v>
      </c>
      <c r="O16" s="28" t="s">
        <v>465</v>
      </c>
      <c r="P16" s="28"/>
      <c r="T16" s="28"/>
      <c r="U16" s="28"/>
      <c r="V16" s="28"/>
    </row>
    <row r="17" spans="2:22" ht="23.3" customHeight="1" x14ac:dyDescent="0.4">
      <c r="B17" s="209"/>
      <c r="C17" s="209"/>
      <c r="D17" s="26"/>
      <c r="E17" s="240" t="str">
        <f>IF(ber_TPN!F6&lt;&gt;0,ROUND(ber_TPN!F6,1)&amp;" ml","")</f>
        <v/>
      </c>
      <c r="F17" s="367" t="str">
        <f>IF(AND(Gewicht/10&gt;50,TPN=2),"in 100 ml glucose 10%, "&amp;ROUND((ber_TPN!F5+ber_TPN!F16)/24,1)&amp;" ml/uur","")</f>
        <v/>
      </c>
      <c r="G17" s="367"/>
      <c r="H17" s="209"/>
      <c r="I17" s="26"/>
      <c r="J17" s="240" t="str">
        <f>IF(ber_TPN!F19&lt;&gt;0,ROUND(ber_TPN!F19,1)&amp;" ml","")</f>
        <v/>
      </c>
      <c r="K17" s="256"/>
      <c r="N17" s="273"/>
      <c r="P17" s="28"/>
      <c r="T17" s="28"/>
      <c r="U17" s="28"/>
      <c r="V17" s="28"/>
    </row>
    <row r="18" spans="2:22" ht="19.55" customHeight="1" x14ac:dyDescent="0.4">
      <c r="B18" s="209"/>
      <c r="C18" s="209" t="s">
        <v>888</v>
      </c>
      <c r="D18" s="26"/>
      <c r="E18" s="240" t="str">
        <f>IF(ber_TPN!C7,ber_TPN!F7&amp;" ml","")</f>
        <v/>
      </c>
      <c r="F18" s="26"/>
      <c r="G18" s="26"/>
      <c r="H18" s="265" t="s">
        <v>888</v>
      </c>
      <c r="I18" s="26"/>
      <c r="J18" s="240" t="str">
        <f>IF(ber_TPN!C20,ber_TPN!F20&amp;" ml","")</f>
        <v/>
      </c>
      <c r="K18" s="256"/>
      <c r="L18" s="26"/>
      <c r="P18" s="28"/>
      <c r="T18" s="28"/>
      <c r="U18" s="28"/>
      <c r="V18" s="28"/>
    </row>
    <row r="19" spans="2:22" ht="19.55" customHeight="1" x14ac:dyDescent="0.4">
      <c r="B19" s="209"/>
      <c r="C19" s="209" t="s">
        <v>576</v>
      </c>
      <c r="D19" s="26"/>
      <c r="E19" s="240" t="str">
        <f>IF(ber_TPN!C8,ber_TPN!F8&amp;" ml","")</f>
        <v/>
      </c>
      <c r="F19" s="26"/>
      <c r="G19" s="26"/>
      <c r="H19" s="265" t="s">
        <v>576</v>
      </c>
      <c r="I19" s="26"/>
      <c r="J19" s="240" t="str">
        <f>IF(ber_TPN!C21,ber_TPN!F21&amp;" ml","")</f>
        <v/>
      </c>
      <c r="K19" s="256"/>
      <c r="L19" s="26"/>
      <c r="P19" s="28"/>
      <c r="T19" s="28"/>
      <c r="U19" s="28"/>
      <c r="V19" s="28"/>
    </row>
    <row r="20" spans="2:22" ht="19.55" customHeight="1" x14ac:dyDescent="0.4">
      <c r="B20" s="26"/>
      <c r="C20" s="26"/>
      <c r="D20" s="26"/>
      <c r="E20" s="240"/>
      <c r="F20" s="26"/>
      <c r="G20" s="26"/>
      <c r="H20" s="189"/>
      <c r="I20" s="26"/>
      <c r="J20" s="240"/>
      <c r="K20" s="256"/>
      <c r="L20" s="26"/>
      <c r="P20" s="28"/>
      <c r="T20" s="28"/>
      <c r="U20" s="28"/>
      <c r="V20" s="28"/>
    </row>
    <row r="21" spans="2:22" ht="19.55" customHeight="1" x14ac:dyDescent="0.4">
      <c r="B21" s="209"/>
      <c r="C21" s="209" t="s">
        <v>889</v>
      </c>
      <c r="D21" s="26"/>
      <c r="E21" s="240" t="str">
        <f>IF(ber_TPN!C9,ber_TPN!D9&amp;" ml","")</f>
        <v/>
      </c>
      <c r="F21" s="26"/>
      <c r="G21" s="240" t="str">
        <f>IF(AND(Gewicht/10&lt;=50,SSTglucose&lt;11,TPN=2),"in "&amp;ber_TPN!F16&amp;" ml glucose 10% ="&amp;ROUND((ber_TPN!F16+ber_TPN!F10+ber_TPN!F9)/24,1)&amp;" ml/uur","")</f>
        <v/>
      </c>
      <c r="H21" s="189"/>
      <c r="I21" s="26"/>
      <c r="J21" s="257"/>
      <c r="K21" s="258"/>
      <c r="L21" s="28"/>
      <c r="M21" s="26"/>
      <c r="N21" s="28"/>
      <c r="O21" s="28"/>
      <c r="P21" s="28"/>
      <c r="T21" s="28"/>
      <c r="U21" s="28"/>
      <c r="V21" s="28"/>
    </row>
    <row r="22" spans="2:22" s="26" customFormat="1" ht="19.55" customHeight="1" x14ac:dyDescent="0.4">
      <c r="B22" s="209"/>
      <c r="C22" s="209" t="s">
        <v>840</v>
      </c>
      <c r="E22" s="240" t="str">
        <f>IF(ber_TPN!C10,ber_TPN!D10&amp;" ml","")</f>
        <v/>
      </c>
      <c r="J22" s="257"/>
      <c r="K22" s="258"/>
      <c r="L22" s="257"/>
      <c r="M22" s="257"/>
      <c r="N22" s="257"/>
      <c r="O22" s="257"/>
      <c r="P22" s="257"/>
      <c r="T22" s="257"/>
      <c r="U22" s="257"/>
      <c r="V22" s="257"/>
    </row>
    <row r="23" spans="2:22" s="26" customFormat="1" ht="9.0500000000000007" customHeight="1" x14ac:dyDescent="0.4">
      <c r="E23" s="240"/>
      <c r="J23" s="257"/>
      <c r="K23" s="257"/>
      <c r="L23" s="257"/>
      <c r="M23" s="257"/>
      <c r="N23" s="257"/>
      <c r="O23" s="257"/>
      <c r="P23" s="257"/>
      <c r="T23" s="257"/>
      <c r="U23" s="257"/>
      <c r="V23" s="257"/>
    </row>
    <row r="24" spans="2:22" ht="24.05" customHeight="1" x14ac:dyDescent="0.4">
      <c r="B24" s="263"/>
      <c r="C24" s="263" t="s">
        <v>838</v>
      </c>
      <c r="D24" s="243"/>
      <c r="E24" s="253" t="str">
        <f>IF(ber_TPN!C11,ber_TPN!F11&amp;" ml","")</f>
        <v/>
      </c>
      <c r="F24" s="243"/>
      <c r="G24" s="243" t="str">
        <f>IF(ber_TPN!F11&gt;0,ROUND(ber_TPN!F11*1.5/(Gewicht/10),2)&amp;" mmol/kg","")</f>
        <v/>
      </c>
      <c r="H24" s="243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4" s="243"/>
      <c r="J24" s="28"/>
      <c r="K24" s="28"/>
      <c r="L24" s="28"/>
      <c r="M24" s="28"/>
      <c r="N24" s="28"/>
      <c r="O24" s="28"/>
      <c r="P24" s="28"/>
      <c r="T24" s="28"/>
      <c r="U24" s="28"/>
      <c r="V24" s="28"/>
    </row>
    <row r="25" spans="2:22" ht="23.3" customHeight="1" x14ac:dyDescent="0.4">
      <c r="B25" s="26"/>
      <c r="C25" s="240" t="s">
        <v>536</v>
      </c>
      <c r="D25" s="240" t="str">
        <f>IF(ber_TPN!D12&lt;&gt;0,ber_TPN!E12&amp;" ml/uur","")</f>
        <v/>
      </c>
      <c r="E25" s="240"/>
      <c r="F25" s="26"/>
      <c r="G25" s="26"/>
      <c r="H25" s="26" t="str">
        <f>IF(ber_TPN!F12&lt;&gt;0,ber_TPN!F12&amp;" ml per dag","")</f>
        <v/>
      </c>
      <c r="I25" s="26"/>
      <c r="J25" s="28"/>
      <c r="K25" s="28"/>
      <c r="L25" s="28"/>
      <c r="M25" s="28"/>
      <c r="N25" s="28"/>
      <c r="O25" s="28"/>
      <c r="P25" s="28"/>
      <c r="T25" s="28"/>
      <c r="U25" s="28"/>
      <c r="V25" s="28"/>
    </row>
    <row r="26" spans="2:22" ht="19.55" customHeight="1" x14ac:dyDescent="0.4">
      <c r="B26" s="264"/>
      <c r="C26" s="264" t="s">
        <v>537</v>
      </c>
      <c r="D26" s="255"/>
      <c r="E26" s="254" t="str">
        <f>IF(ber_TPN!F13&lt;&gt;0,ROUND(ber_TPN!F13,0)&amp;" ml","")</f>
        <v/>
      </c>
      <c r="F26" s="255"/>
      <c r="G26" s="255"/>
      <c r="H26" s="255"/>
      <c r="I26" s="259"/>
      <c r="J26" s="28"/>
      <c r="K26" s="28"/>
      <c r="L26" s="28"/>
      <c r="M26" s="28"/>
      <c r="N26" s="28"/>
      <c r="O26" s="28"/>
      <c r="P26" s="28"/>
      <c r="T26" s="28"/>
      <c r="U26" s="28"/>
      <c r="V26" s="28"/>
    </row>
    <row r="27" spans="2:22" ht="18.75" customHeight="1" x14ac:dyDescent="0.4">
      <c r="B27" s="209"/>
      <c r="C27" s="209" t="s">
        <v>538</v>
      </c>
      <c r="D27" s="26"/>
      <c r="E27" s="240" t="str">
        <f>IF(ber_TPN!C14,ber_TPN!F14&amp;" ml","")</f>
        <v/>
      </c>
      <c r="F27" s="26"/>
      <c r="G27" s="26"/>
      <c r="H27" s="26"/>
      <c r="I27" s="260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</row>
    <row r="28" spans="2:22" ht="19.55" customHeight="1" x14ac:dyDescent="0.4">
      <c r="B28" s="263"/>
      <c r="C28" s="263" t="s">
        <v>539</v>
      </c>
      <c r="D28" s="243"/>
      <c r="E28" s="253" t="str">
        <f>IF(ber_TPN!C15,ber_TPN!F15&amp;" ml","")</f>
        <v/>
      </c>
      <c r="F28" s="243"/>
      <c r="G28" s="243"/>
      <c r="H28" s="243"/>
      <c r="I28" s="261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</row>
    <row r="29" spans="2:22" ht="19.55" customHeight="1" x14ac:dyDescent="0.4">
      <c r="B29" s="26"/>
      <c r="C29" s="26"/>
      <c r="D29" s="26"/>
      <c r="E29" s="240"/>
      <c r="F29" s="26"/>
      <c r="G29" s="26"/>
      <c r="H29" s="26"/>
      <c r="I29" s="26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</row>
    <row r="30" spans="2:22" ht="19.55" customHeight="1" x14ac:dyDescent="0.35">
      <c r="B30" s="271"/>
      <c r="C30" s="238" t="s">
        <v>791</v>
      </c>
      <c r="D30" s="272">
        <f>ber_Opm!C9</f>
        <v>0</v>
      </c>
      <c r="E30" s="273"/>
      <c r="F30" s="273"/>
      <c r="G30" s="273"/>
      <c r="H30" s="273"/>
      <c r="I30" s="273"/>
      <c r="J30" s="274"/>
      <c r="K30" s="274"/>
      <c r="L30" s="274"/>
      <c r="M30" s="274"/>
      <c r="N30" s="274"/>
      <c r="O30" s="274"/>
      <c r="P30" s="274"/>
      <c r="Q30" s="28"/>
      <c r="R30" s="28"/>
      <c r="S30" s="28"/>
      <c r="T30" s="28"/>
      <c r="U30" s="28"/>
      <c r="V30" s="28"/>
    </row>
    <row r="31" spans="2:22" ht="10.5" customHeight="1" x14ac:dyDescent="0.4">
      <c r="B31" s="26"/>
      <c r="C31" s="240"/>
      <c r="D31" s="26"/>
      <c r="E31" s="240"/>
      <c r="F31" s="26"/>
      <c r="G31" s="26"/>
      <c r="H31" s="26"/>
      <c r="I31" s="26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</row>
    <row r="32" spans="2:22" ht="13.2" x14ac:dyDescent="0.4">
      <c r="B32" s="269" t="s">
        <v>761</v>
      </c>
      <c r="C32" s="269"/>
      <c r="D32" s="270" t="str">
        <f>ROUND(ber_totalen!C2,0)&amp;" ml/kg"</f>
        <v>23 ml/kg</v>
      </c>
      <c r="E32" s="269" t="str">
        <f ca="1">ROUND(ber_normaal!$A$18,0)&amp;" ml/kg"</f>
        <v>150 ml/kg</v>
      </c>
      <c r="F32" s="269" t="str">
        <f>"= "&amp;ROUND(ber_totalen!C2*Gewicht/10,0)&amp;" ml/dag"</f>
        <v>= 115 ml/dag</v>
      </c>
      <c r="G32" s="269"/>
      <c r="H32" s="269" t="s">
        <v>572</v>
      </c>
      <c r="I32" s="270" t="str">
        <f>ROUND(ber_totalen!$C$9,1)&amp;"  gram/kg"</f>
        <v>0  gram/kg</v>
      </c>
      <c r="J32" s="269" t="str">
        <f>IF(Gewicht/10&lt;30,"2-2,5 g/kg","1,5 g/kg")</f>
        <v>2-2,5 g/kg</v>
      </c>
      <c r="K32" s="269"/>
      <c r="L32" s="296"/>
      <c r="M32" s="297"/>
      <c r="N32" s="297"/>
      <c r="O32" s="297"/>
      <c r="P32" s="297"/>
    </row>
    <row r="33" spans="2:16" ht="13.2" x14ac:dyDescent="0.4">
      <c r="B33" s="269" t="s">
        <v>762</v>
      </c>
      <c r="C33" s="269"/>
      <c r="D33" s="270" t="str">
        <f>ROUND(ber_totalen!E38,0)&amp;" kCal/kg"</f>
        <v>0 kCal/kg</v>
      </c>
      <c r="E33" s="269" t="str">
        <f ca="1">ber_normaal!$A$21&amp;" kCal/kg"</f>
        <v>95 kCal/kg</v>
      </c>
      <c r="F33" s="269"/>
      <c r="G33" s="269"/>
      <c r="H33" s="269" t="s">
        <v>573</v>
      </c>
      <c r="I33" s="270" t="str">
        <f>ROUND(ber_totalen!$C$13,1)&amp;" gram/kg"</f>
        <v>0 gram/kg</v>
      </c>
      <c r="J33" s="269" t="str">
        <f>IF(Gewicht/10&lt;30,"4 g/kg","2 g/kg")</f>
        <v>4 g/kg</v>
      </c>
      <c r="K33" s="269"/>
      <c r="L33" s="296"/>
      <c r="M33" s="297"/>
      <c r="N33" s="297"/>
      <c r="O33" s="297"/>
      <c r="P33" s="297"/>
    </row>
    <row r="34" spans="2:16" ht="13.2" x14ac:dyDescent="0.4">
      <c r="B34" s="269" t="s">
        <v>613</v>
      </c>
      <c r="C34" s="269"/>
      <c r="D34" s="270" t="str">
        <f>ROUND(ber_totalen!C5,1)&amp;" g/kg"</f>
        <v>0 g/kg</v>
      </c>
      <c r="E34" s="269" t="s">
        <v>936</v>
      </c>
      <c r="F34" s="269" t="str">
        <f>"= "&amp;ROUND(ber_totalen!C5/1.4,1)&amp;" mg/kg/min"</f>
        <v>= 0 mg/kg/min</v>
      </c>
      <c r="G34" s="269"/>
      <c r="H34" s="269" t="s">
        <v>574</v>
      </c>
      <c r="I34" s="270" t="str">
        <f>ROUND(ber_totalen!$C$27,1)&amp;" mmol/kg"</f>
        <v>0 mmol/kg</v>
      </c>
      <c r="J34" s="269" t="s">
        <v>1157</v>
      </c>
      <c r="K34" s="269"/>
      <c r="L34" s="296"/>
      <c r="M34" s="297"/>
      <c r="N34" s="297"/>
      <c r="O34" s="297"/>
      <c r="P34" s="297"/>
    </row>
    <row r="35" spans="2:16" ht="13.2" x14ac:dyDescent="0.4">
      <c r="B35" s="269" t="s">
        <v>763</v>
      </c>
      <c r="C35" s="269"/>
      <c r="D35" s="270" t="str">
        <f>ROUND(ber_totalen!C17,1)&amp;" mmol/kg"</f>
        <v>3,5 mmol/kg</v>
      </c>
      <c r="E35" s="269" t="s">
        <v>930</v>
      </c>
      <c r="F35" s="269"/>
      <c r="G35" s="269"/>
      <c r="H35" s="269" t="s">
        <v>839</v>
      </c>
      <c r="I35" s="270" t="str">
        <f>ROUND(ber_totalen!$C$33,1)&amp;" mmol/kg"</f>
        <v>0 mmol/kg</v>
      </c>
      <c r="J35" s="269" t="s">
        <v>935</v>
      </c>
      <c r="K35" s="269"/>
      <c r="L35" s="296"/>
      <c r="M35" s="297"/>
      <c r="N35" s="297"/>
      <c r="O35" s="297"/>
      <c r="P35" s="297"/>
    </row>
    <row r="36" spans="2:16" ht="13.2" x14ac:dyDescent="0.4">
      <c r="B36" s="269" t="s">
        <v>764</v>
      </c>
      <c r="C36" s="269"/>
      <c r="D36" s="270" t="str">
        <f>ROUND(ber_totalen!C23,1)&amp;" mmol/kg"</f>
        <v>0 mmol/kg</v>
      </c>
      <c r="E36" s="269" t="s">
        <v>929</v>
      </c>
      <c r="F36" s="269"/>
      <c r="G36" s="269"/>
      <c r="H36" s="269" t="s">
        <v>575</v>
      </c>
      <c r="I36" s="270" t="str">
        <f>ROUND(ber_totalen!$C$30,1)&amp;" mmol/kg"</f>
        <v>0 mmol/kg</v>
      </c>
      <c r="J36" s="269" t="s">
        <v>934</v>
      </c>
      <c r="K36" s="269"/>
      <c r="L36" s="296"/>
      <c r="M36" s="297"/>
      <c r="N36" s="297"/>
      <c r="O36" s="297"/>
      <c r="P36" s="297"/>
    </row>
  </sheetData>
  <sheetProtection algorithmName="SHA-512" hashValue="ochmE5mBy7+rTXHXijXCK3emu4iwQqSD6r1dL1yZCNbT0ggGrvK2ozLjGRhe/Mava9zW0afoilGN598h17fVdQ==" saltValue="61flhxfFQppue4lyC/UtwA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23937</xdr:rowOff>
                  </from>
                  <to>
                    <xdr:col>5</xdr:col>
                    <xdr:colOff>1072385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24</xdr:row>
                    <xdr:rowOff>76599</xdr:rowOff>
                  </from>
                  <to>
                    <xdr:col>4</xdr:col>
                    <xdr:colOff>134048</xdr:colOff>
                    <xdr:row>24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27</xdr:row>
                    <xdr:rowOff>47874</xdr:rowOff>
                  </from>
                  <to>
                    <xdr:col>2</xdr:col>
                    <xdr:colOff>124473</xdr:colOff>
                    <xdr:row>28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27</xdr:row>
                    <xdr:rowOff>28725</xdr:rowOff>
                  </from>
                  <to>
                    <xdr:col>5</xdr:col>
                    <xdr:colOff>229797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23</xdr:row>
                    <xdr:rowOff>95749</xdr:rowOff>
                  </from>
                  <to>
                    <xdr:col>2</xdr:col>
                    <xdr:colOff>114898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23</xdr:row>
                    <xdr:rowOff>124473</xdr:rowOff>
                  </from>
                  <to>
                    <xdr:col>5</xdr:col>
                    <xdr:colOff>229797</xdr:colOff>
                    <xdr:row>24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23937</xdr:rowOff>
                  </from>
                  <to>
                    <xdr:col>5</xdr:col>
                    <xdr:colOff>1072385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23937</xdr:rowOff>
                  </from>
                  <to>
                    <xdr:col>5</xdr:col>
                    <xdr:colOff>1072385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23937</xdr:rowOff>
                  </from>
                  <to>
                    <xdr:col>5</xdr:col>
                    <xdr:colOff>1072385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615</v>
      </c>
      <c r="C2" t="s">
        <v>325</v>
      </c>
      <c r="D2" s="27" t="s">
        <v>793</v>
      </c>
      <c r="E2" s="27" t="s">
        <v>319</v>
      </c>
      <c r="F2" t="s">
        <v>826</v>
      </c>
      <c r="G2" t="s">
        <v>529</v>
      </c>
      <c r="H2" t="s">
        <v>321</v>
      </c>
      <c r="I2" t="s">
        <v>579</v>
      </c>
      <c r="J2" t="s">
        <v>580</v>
      </c>
      <c r="K2" t="s">
        <v>581</v>
      </c>
      <c r="L2" t="s">
        <v>582</v>
      </c>
      <c r="M2" t="s">
        <v>532</v>
      </c>
      <c r="N2" t="s">
        <v>322</v>
      </c>
      <c r="O2" t="s">
        <v>535</v>
      </c>
    </row>
    <row r="3" spans="1:15" x14ac:dyDescent="0.35">
      <c r="A3" t="s">
        <v>893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585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825</v>
      </c>
      <c r="F5">
        <f>IF(AND(Gewicht/10&gt;=16,TPN&gt;1,OR(SSTglucose&lt;11,Gewicht/10&gt;50)),E5,0)</f>
        <v>0</v>
      </c>
    </row>
    <row r="6" spans="1:15" x14ac:dyDescent="0.35">
      <c r="A6" t="s">
        <v>794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888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576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889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840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838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536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537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538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539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453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320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894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794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888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576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323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89"/>
      <c r="B25" s="89" t="s">
        <v>577</v>
      </c>
      <c r="C25" s="89" t="s">
        <v>578</v>
      </c>
      <c r="D25" s="89" t="s">
        <v>579</v>
      </c>
      <c r="E25" s="89" t="s">
        <v>580</v>
      </c>
      <c r="F25" s="89" t="s">
        <v>581</v>
      </c>
      <c r="G25" s="89" t="s">
        <v>582</v>
      </c>
      <c r="H25" s="89" t="s">
        <v>583</v>
      </c>
      <c r="I25" s="89" t="s">
        <v>584</v>
      </c>
      <c r="L25" t="s">
        <v>317</v>
      </c>
      <c r="M25" t="s">
        <v>318</v>
      </c>
      <c r="N25" t="s">
        <v>245</v>
      </c>
    </row>
    <row r="26" spans="1:15" x14ac:dyDescent="0.35">
      <c r="J26">
        <v>1</v>
      </c>
      <c r="K26" t="s">
        <v>815</v>
      </c>
      <c r="L26">
        <v>0.05</v>
      </c>
      <c r="M26">
        <v>0</v>
      </c>
    </row>
    <row r="27" spans="1:15" x14ac:dyDescent="0.35">
      <c r="A27" s="89" t="s">
        <v>886</v>
      </c>
      <c r="B27" s="89">
        <v>7.3999999999999996E-2</v>
      </c>
      <c r="C27" s="89">
        <v>0</v>
      </c>
      <c r="D27" s="89">
        <v>7.1428571428571426E-3</v>
      </c>
      <c r="E27" s="89">
        <v>1.7000000000000001E-2</v>
      </c>
      <c r="F27" s="89">
        <v>2.5000000000000001E-2</v>
      </c>
      <c r="G27" s="89">
        <v>6.0000000000000001E-3</v>
      </c>
      <c r="H27" s="89">
        <v>2.1000000000000001E-2</v>
      </c>
      <c r="I27" s="89">
        <v>0.28999999999999998</v>
      </c>
      <c r="J27">
        <v>2</v>
      </c>
      <c r="K27" t="s">
        <v>816</v>
      </c>
      <c r="L27">
        <v>0.1</v>
      </c>
      <c r="M27">
        <v>0</v>
      </c>
    </row>
    <row r="28" spans="1:15" x14ac:dyDescent="0.35">
      <c r="A28" s="89" t="s">
        <v>886</v>
      </c>
      <c r="B28" s="89">
        <v>7.3999999999999996E-2</v>
      </c>
      <c r="C28" s="89">
        <v>0</v>
      </c>
      <c r="D28" s="89">
        <f>(0.5*0.5)/35</f>
        <v>7.1428571428571426E-3</v>
      </c>
      <c r="E28" s="89">
        <f>1.7/100</f>
        <v>1.7000000000000001E-2</v>
      </c>
      <c r="F28" s="89">
        <v>2.5000000000000001E-2</v>
      </c>
      <c r="G28" s="89">
        <f>0.6/100</f>
        <v>6.0000000000000001E-3</v>
      </c>
      <c r="H28" s="89">
        <v>2.1000000000000001E-2</v>
      </c>
      <c r="I28" s="89">
        <v>0.28999999999999998</v>
      </c>
      <c r="J28">
        <v>3</v>
      </c>
      <c r="K28" t="s">
        <v>244</v>
      </c>
      <c r="L28">
        <v>0.125</v>
      </c>
    </row>
    <row r="29" spans="1:15" x14ac:dyDescent="0.35">
      <c r="A29" s="89" t="s">
        <v>887</v>
      </c>
      <c r="B29" s="89">
        <v>0.08</v>
      </c>
      <c r="C29" s="89">
        <v>0</v>
      </c>
      <c r="D29" s="89">
        <f>0.4*0.5/25</f>
        <v>8.0000000000000002E-3</v>
      </c>
      <c r="E29" s="89">
        <f>0.5/25</f>
        <v>0.02</v>
      </c>
      <c r="F29" s="89">
        <v>2.8000000000000001E-2</v>
      </c>
      <c r="G29" s="89">
        <v>8.0000000000000002E-3</v>
      </c>
      <c r="H29" s="89">
        <v>2.4E-2</v>
      </c>
      <c r="I29" s="89">
        <v>0.32</v>
      </c>
      <c r="J29">
        <v>4</v>
      </c>
      <c r="K29" t="s">
        <v>257</v>
      </c>
      <c r="L29">
        <v>0.15</v>
      </c>
      <c r="M29">
        <v>0</v>
      </c>
    </row>
    <row r="30" spans="1:15" x14ac:dyDescent="0.35">
      <c r="A30" s="89" t="s">
        <v>128</v>
      </c>
      <c r="B30" s="89">
        <v>8.7999999999999995E-2</v>
      </c>
      <c r="C30" s="89">
        <v>0</v>
      </c>
      <c r="D30" s="89">
        <f>0.5*0.4/20</f>
        <v>0.01</v>
      </c>
      <c r="E30" s="89">
        <v>2.5000000000000001E-2</v>
      </c>
      <c r="F30" s="89">
        <v>1.7999999999999999E-2</v>
      </c>
      <c r="G30" s="89">
        <v>0.01</v>
      </c>
      <c r="H30" s="89">
        <v>0.03</v>
      </c>
      <c r="I30" s="89">
        <v>0.35</v>
      </c>
      <c r="J30">
        <v>5</v>
      </c>
      <c r="K30" t="s">
        <v>243</v>
      </c>
      <c r="L30">
        <v>0.17499999999999999</v>
      </c>
    </row>
    <row r="31" spans="1:15" x14ac:dyDescent="0.35">
      <c r="A31" s="89" t="s">
        <v>129</v>
      </c>
      <c r="B31" s="89">
        <v>8.3000000000000004E-2</v>
      </c>
      <c r="C31" s="89">
        <v>0</v>
      </c>
      <c r="D31" s="89">
        <f>0.3*0.5/12</f>
        <v>1.2499999999999999E-2</v>
      </c>
      <c r="E31" s="89">
        <v>3.1E-2</v>
      </c>
      <c r="F31" s="89">
        <v>2.5999999999999999E-2</v>
      </c>
      <c r="G31" s="89">
        <v>1.2500000000000001E-2</v>
      </c>
      <c r="H31" s="89">
        <v>3.7999999999999999E-2</v>
      </c>
      <c r="I31" s="89">
        <v>0.33</v>
      </c>
      <c r="J31">
        <v>6</v>
      </c>
      <c r="K31" t="s">
        <v>255</v>
      </c>
      <c r="L31">
        <v>0.2</v>
      </c>
      <c r="M31">
        <v>0</v>
      </c>
    </row>
    <row r="32" spans="1:15" x14ac:dyDescent="0.35">
      <c r="A32" s="89" t="s">
        <v>237</v>
      </c>
      <c r="B32" s="89">
        <v>7.0000000000000007E-2</v>
      </c>
      <c r="C32" s="89">
        <v>0.24</v>
      </c>
      <c r="D32" s="89">
        <v>4.0500000000000001E-2</v>
      </c>
      <c r="E32" s="89">
        <v>2.5700000000000001E-2</v>
      </c>
      <c r="F32" s="89">
        <v>4.1000000000000003E-3</v>
      </c>
      <c r="G32" s="89">
        <v>5.0000000000000001E-3</v>
      </c>
      <c r="H32" s="89">
        <v>1.47E-2</v>
      </c>
      <c r="I32" s="89">
        <v>0.96</v>
      </c>
      <c r="J32">
        <v>7</v>
      </c>
      <c r="K32" t="s">
        <v>567</v>
      </c>
      <c r="L32">
        <v>0.25</v>
      </c>
      <c r="M32">
        <v>0</v>
      </c>
    </row>
    <row r="33" spans="1:15" x14ac:dyDescent="0.35">
      <c r="J33">
        <v>8</v>
      </c>
      <c r="K33" t="s">
        <v>566</v>
      </c>
      <c r="L33">
        <v>0.3</v>
      </c>
      <c r="M33">
        <v>0</v>
      </c>
    </row>
    <row r="34" spans="1:15" x14ac:dyDescent="0.35">
      <c r="J34">
        <v>9</v>
      </c>
      <c r="K34" t="s">
        <v>748</v>
      </c>
      <c r="L34">
        <v>0.4</v>
      </c>
      <c r="M34">
        <v>0</v>
      </c>
      <c r="N34">
        <v>0</v>
      </c>
    </row>
    <row r="35" spans="1:15" x14ac:dyDescent="0.35">
      <c r="A35" s="89" t="s">
        <v>886</v>
      </c>
      <c r="J35">
        <v>10</v>
      </c>
      <c r="K35" t="s">
        <v>256</v>
      </c>
      <c r="L35">
        <v>0.5</v>
      </c>
      <c r="M35">
        <v>0</v>
      </c>
    </row>
    <row r="36" spans="1:15" x14ac:dyDescent="0.35">
      <c r="A36" s="89" t="s">
        <v>887</v>
      </c>
      <c r="J36">
        <v>11</v>
      </c>
      <c r="K36" t="s">
        <v>1190</v>
      </c>
      <c r="L36">
        <v>0.05</v>
      </c>
      <c r="M36">
        <v>7.6999999999999999E-2</v>
      </c>
      <c r="O36">
        <v>0</v>
      </c>
    </row>
    <row r="37" spans="1:15" x14ac:dyDescent="0.35">
      <c r="A37" s="89" t="s">
        <v>128</v>
      </c>
      <c r="J37">
        <v>12</v>
      </c>
      <c r="K37" t="s">
        <v>1191</v>
      </c>
      <c r="L37">
        <v>0.05</v>
      </c>
      <c r="M37">
        <v>0.155</v>
      </c>
      <c r="O37">
        <v>0</v>
      </c>
    </row>
    <row r="38" spans="1:15" x14ac:dyDescent="0.35">
      <c r="A38" s="89" t="s">
        <v>129</v>
      </c>
      <c r="J38">
        <v>13</v>
      </c>
      <c r="K38" t="s">
        <v>824</v>
      </c>
      <c r="L38">
        <v>0</v>
      </c>
      <c r="M38">
        <v>0.155</v>
      </c>
      <c r="O38">
        <v>0</v>
      </c>
    </row>
    <row r="39" spans="1:15" x14ac:dyDescent="0.35">
      <c r="A39" s="89" t="s">
        <v>237</v>
      </c>
      <c r="J39">
        <v>14</v>
      </c>
      <c r="K39" s="11" t="s">
        <v>1192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995</v>
      </c>
      <c r="D4" t="s">
        <v>384</v>
      </c>
      <c r="F4" t="s">
        <v>385</v>
      </c>
      <c r="H4" t="s">
        <v>386</v>
      </c>
      <c r="J4" t="s">
        <v>387</v>
      </c>
      <c r="L4" t="s">
        <v>43</v>
      </c>
      <c r="N4" t="s">
        <v>44</v>
      </c>
      <c r="P4" t="s">
        <v>45</v>
      </c>
    </row>
    <row r="5" spans="2:16" x14ac:dyDescent="0.35">
      <c r="B5" t="str">
        <f>IF(C5,"A","")</f>
        <v/>
      </c>
      <c r="D5" t="str">
        <f>IF(E5,"A","")</f>
        <v/>
      </c>
      <c r="E5" t="b">
        <v>0</v>
      </c>
      <c r="F5" t="str">
        <f>IF(G5,"A","")</f>
        <v/>
      </c>
      <c r="G5" t="b">
        <v>0</v>
      </c>
      <c r="H5" t="str">
        <f>IF(I5,"A","")</f>
        <v/>
      </c>
      <c r="I5" t="b">
        <v>0</v>
      </c>
      <c r="J5" t="str">
        <f>IF(K5,"A","")</f>
        <v/>
      </c>
      <c r="L5" t="str">
        <f>IF(M5,"A","")</f>
        <v/>
      </c>
      <c r="M5" t="b">
        <v>0</v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E6" t="b">
        <v>0</v>
      </c>
      <c r="F6" t="str">
        <f>IF(G6,"Na K","")</f>
        <v/>
      </c>
      <c r="G6" t="b">
        <v>0</v>
      </c>
      <c r="H6" t="str">
        <f>IF(I6,"Na K","")</f>
        <v/>
      </c>
      <c r="I6" t="b">
        <v>0</v>
      </c>
      <c r="J6" t="str">
        <f>IF(K6,"Na K","")</f>
        <v/>
      </c>
      <c r="L6" t="str">
        <f>IF(M6,"Na K","")</f>
        <v/>
      </c>
      <c r="M6" t="b">
        <v>0</v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G7" t="b">
        <v>0</v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E8" t="b">
        <v>0</v>
      </c>
      <c r="F8" t="str">
        <f>IF(G8,"Gluc","")</f>
        <v/>
      </c>
      <c r="G8" t="b">
        <v>0</v>
      </c>
      <c r="H8" t="str">
        <f>IF(I8,"Gluc","")</f>
        <v/>
      </c>
      <c r="I8" t="b">
        <v>0</v>
      </c>
      <c r="J8" t="str">
        <f>IF(K8,"Gluc","")</f>
        <v/>
      </c>
      <c r="L8" t="str">
        <f>IF(M8,"Gluc","")</f>
        <v/>
      </c>
      <c r="M8" t="b">
        <v>0</v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E9" t="b">
        <v>0</v>
      </c>
      <c r="F9" t="str">
        <f>IF(G9,"Hb Ht","")</f>
        <v/>
      </c>
      <c r="G9" t="b">
        <v>0</v>
      </c>
      <c r="H9" t="str">
        <f>IF(I9,"Hb Ht","")</f>
        <v/>
      </c>
      <c r="J9" t="str">
        <f>IF(K9,"Hb Ht","")</f>
        <v/>
      </c>
      <c r="L9" t="str">
        <f>IF(M9,"Hb Ht","")</f>
        <v/>
      </c>
      <c r="M9" t="b">
        <v>0</v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M10" t="b">
        <v>0</v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M11" t="b">
        <v>0</v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M12" t="b">
        <v>0</v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I13" t="b">
        <v>0</v>
      </c>
      <c r="J13" t="str">
        <f>IF(K13,"Lac","")</f>
        <v/>
      </c>
      <c r="L13" t="str">
        <f>IF(M13,"Lac","")</f>
        <v/>
      </c>
      <c r="M13" t="b">
        <v>0</v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M14" t="b">
        <v>0</v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G15" t="b">
        <v>0</v>
      </c>
      <c r="H15" t="str">
        <f>IF(I15,"Kr","")</f>
        <v/>
      </c>
      <c r="J15" t="str">
        <f>IF(K15,"Kr","")</f>
        <v/>
      </c>
      <c r="L15" t="str">
        <f>IF(M15,"Kr","")</f>
        <v/>
      </c>
      <c r="M15" t="b">
        <v>0</v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M16" t="b">
        <v>0</v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M17" t="b">
        <v>0</v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M20" t="b">
        <v>0</v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M21" t="b">
        <v>0</v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M22" t="b">
        <v>0</v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M23" t="b">
        <v>0</v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M24" t="b">
        <v>0</v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M26" t="b">
        <v>0</v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M27" t="b">
        <v>0</v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Zero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5" customWidth="1"/>
    <col min="2" max="9" width="10.73046875" style="25" customWidth="1"/>
    <col min="10" max="11" width="2.1328125" style="25" customWidth="1"/>
    <col min="12" max="14" width="10.73046875" style="25" customWidth="1"/>
    <col min="15" max="15" width="10.86328125" style="25" customWidth="1"/>
    <col min="16" max="17" width="10.73046875" style="25" customWidth="1"/>
    <col min="18" max="16384" width="9.1328125" style="25"/>
  </cols>
  <sheetData>
    <row r="1" spans="1:17" ht="11.25" customHeight="1" x14ac:dyDescent="0.4">
      <c r="A1" s="26"/>
      <c r="B1" s="262" t="s">
        <v>383</v>
      </c>
      <c r="C1" s="283"/>
      <c r="D1" s="295" t="s">
        <v>1182</v>
      </c>
      <c r="E1" s="283"/>
      <c r="F1" s="283"/>
      <c r="G1" s="26"/>
      <c r="H1" s="104"/>
      <c r="I1" s="26"/>
      <c r="J1" s="26"/>
    </row>
    <row r="2" spans="1:17" ht="13.2" x14ac:dyDescent="0.4">
      <c r="A2" s="26"/>
      <c r="B2" s="249"/>
    </row>
    <row r="3" spans="1:17" ht="18.75" customHeight="1" x14ac:dyDescent="0.4">
      <c r="A3" s="26"/>
      <c r="B3" s="275" t="s">
        <v>995</v>
      </c>
      <c r="C3" s="209"/>
      <c r="D3" s="275" t="s">
        <v>1183</v>
      </c>
      <c r="E3" s="209"/>
      <c r="F3" s="275" t="s">
        <v>1184</v>
      </c>
      <c r="G3" s="209"/>
      <c r="H3" s="275" t="s">
        <v>387</v>
      </c>
      <c r="I3" s="209"/>
      <c r="J3" s="275"/>
      <c r="K3" s="209"/>
      <c r="L3" s="275" t="s">
        <v>43</v>
      </c>
      <c r="M3" s="209"/>
      <c r="N3" s="275" t="s">
        <v>44</v>
      </c>
      <c r="O3" s="209"/>
      <c r="P3" s="275" t="s">
        <v>45</v>
      </c>
      <c r="Q3" s="209"/>
    </row>
    <row r="4" spans="1:17" ht="26.3" customHeight="1" x14ac:dyDescent="0.35">
      <c r="B4" s="293"/>
      <c r="C4" s="294"/>
      <c r="D4" s="293"/>
      <c r="E4" s="293"/>
      <c r="F4" s="293"/>
      <c r="G4" s="293"/>
      <c r="H4" s="293"/>
      <c r="I4" s="293"/>
      <c r="J4" s="293"/>
      <c r="K4" s="293"/>
      <c r="L4" s="293"/>
      <c r="M4" s="293"/>
      <c r="N4" s="293"/>
      <c r="O4" s="293"/>
      <c r="P4" s="293"/>
      <c r="Q4" s="293"/>
    </row>
    <row r="5" spans="1:17" ht="26.3" customHeight="1" x14ac:dyDescent="0.35">
      <c r="B5" s="293"/>
      <c r="C5" s="294"/>
      <c r="D5" s="293"/>
      <c r="E5" s="293"/>
      <c r="F5" s="293"/>
      <c r="G5" s="293"/>
      <c r="H5" s="293"/>
      <c r="I5" s="293"/>
      <c r="J5" s="293"/>
      <c r="K5" s="293"/>
      <c r="L5" s="293"/>
      <c r="M5" s="293"/>
      <c r="N5" s="293"/>
      <c r="O5" s="293"/>
      <c r="P5" s="293"/>
      <c r="Q5" s="293"/>
    </row>
    <row r="6" spans="1:17" ht="26.3" customHeight="1" x14ac:dyDescent="0.35">
      <c r="B6" s="293"/>
      <c r="C6" s="294"/>
      <c r="D6" s="293"/>
      <c r="E6" s="293"/>
      <c r="F6" s="293"/>
      <c r="G6" s="293"/>
      <c r="H6" s="293"/>
      <c r="I6" s="293"/>
      <c r="J6" s="293"/>
      <c r="K6" s="293"/>
      <c r="L6" s="293"/>
      <c r="M6" s="293"/>
      <c r="N6" s="293"/>
      <c r="O6" s="293"/>
      <c r="P6" s="293"/>
      <c r="Q6" s="293"/>
    </row>
    <row r="7" spans="1:17" ht="26.3" customHeight="1" x14ac:dyDescent="0.35">
      <c r="B7" s="293"/>
      <c r="C7" s="294"/>
      <c r="D7" s="293"/>
      <c r="E7" s="293"/>
      <c r="F7" s="293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</row>
    <row r="8" spans="1:17" ht="26.3" customHeight="1" x14ac:dyDescent="0.35">
      <c r="B8" s="293"/>
      <c r="C8" s="294"/>
      <c r="D8" s="293"/>
      <c r="E8" s="293"/>
      <c r="F8" s="293"/>
      <c r="G8" s="293"/>
      <c r="H8" s="293"/>
      <c r="I8" s="293"/>
      <c r="J8" s="293"/>
      <c r="K8" s="293"/>
      <c r="L8" s="293"/>
      <c r="M8" s="293"/>
      <c r="N8" s="293"/>
      <c r="O8" s="293"/>
      <c r="P8" s="293"/>
      <c r="Q8" s="293"/>
    </row>
    <row r="9" spans="1:17" ht="26.3" customHeight="1" x14ac:dyDescent="0.35">
      <c r="B9" s="293"/>
      <c r="C9" s="294"/>
      <c r="D9" s="293"/>
      <c r="E9" s="293"/>
      <c r="F9" s="293"/>
      <c r="G9" s="293"/>
      <c r="H9" s="293"/>
      <c r="I9" s="293"/>
      <c r="J9" s="293"/>
      <c r="K9" s="293"/>
      <c r="L9" s="293"/>
      <c r="M9" s="293"/>
      <c r="N9" s="293"/>
      <c r="O9" s="293"/>
      <c r="P9" s="293"/>
      <c r="Q9" s="293"/>
    </row>
    <row r="10" spans="1:17" ht="26.3" customHeight="1" x14ac:dyDescent="0.35">
      <c r="B10" s="293"/>
      <c r="C10" s="294"/>
      <c r="D10" s="293"/>
      <c r="E10" s="293"/>
      <c r="F10" s="293"/>
      <c r="G10" s="293"/>
      <c r="H10" s="293"/>
      <c r="I10" s="293"/>
      <c r="J10" s="293"/>
      <c r="K10" s="293"/>
      <c r="L10" s="293"/>
      <c r="M10" s="293"/>
      <c r="N10" s="293"/>
      <c r="O10" s="293"/>
      <c r="P10" s="293"/>
      <c r="Q10" s="293"/>
    </row>
    <row r="11" spans="1:17" ht="26.3" customHeight="1" x14ac:dyDescent="0.35">
      <c r="B11" s="293"/>
      <c r="C11" s="294"/>
      <c r="D11" s="293"/>
      <c r="E11" s="293"/>
      <c r="F11" s="293"/>
      <c r="G11" s="293"/>
      <c r="H11" s="293"/>
      <c r="I11" s="293"/>
      <c r="J11" s="293"/>
      <c r="K11" s="293"/>
      <c r="L11" s="293"/>
      <c r="M11" s="293"/>
      <c r="N11" s="293"/>
      <c r="O11" s="293"/>
      <c r="P11" s="293"/>
      <c r="Q11" s="293"/>
    </row>
    <row r="12" spans="1:17" ht="26.3" customHeight="1" x14ac:dyDescent="0.35">
      <c r="B12" s="293"/>
      <c r="C12" s="294"/>
      <c r="D12" s="293"/>
      <c r="E12" s="293"/>
      <c r="F12" s="293"/>
      <c r="G12" s="293"/>
      <c r="H12" s="293"/>
      <c r="I12" s="293"/>
      <c r="J12" s="293"/>
      <c r="K12" s="293"/>
      <c r="L12" s="293"/>
      <c r="M12" s="293"/>
      <c r="N12" s="293"/>
      <c r="O12" s="293"/>
      <c r="P12" s="293"/>
      <c r="Q12" s="293"/>
    </row>
    <row r="13" spans="1:17" ht="26.3" customHeight="1" x14ac:dyDescent="0.35">
      <c r="B13" s="293"/>
      <c r="C13" s="294"/>
      <c r="D13" s="293"/>
      <c r="E13" s="293"/>
      <c r="F13" s="293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</row>
    <row r="14" spans="1:17" ht="26.3" customHeight="1" x14ac:dyDescent="0.35">
      <c r="B14" s="293"/>
      <c r="C14" s="294"/>
      <c r="D14" s="293"/>
      <c r="E14" s="293"/>
      <c r="F14" s="293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</row>
    <row r="15" spans="1:17" ht="26.3" customHeight="1" x14ac:dyDescent="0.35">
      <c r="B15" s="293"/>
      <c r="C15" s="294"/>
      <c r="D15" s="293"/>
      <c r="E15" s="293"/>
      <c r="F15" s="293"/>
      <c r="G15" s="293"/>
      <c r="H15" s="293"/>
      <c r="I15" s="293"/>
      <c r="J15" s="293"/>
      <c r="K15" s="293"/>
      <c r="L15" s="293"/>
      <c r="M15" s="293"/>
      <c r="N15" s="293"/>
      <c r="O15" s="293"/>
      <c r="P15" s="293"/>
      <c r="Q15" s="293"/>
    </row>
    <row r="16" spans="1:17" ht="26.3" customHeight="1" x14ac:dyDescent="0.35">
      <c r="B16" s="293"/>
      <c r="C16" s="294"/>
      <c r="D16" s="293"/>
      <c r="E16" s="293"/>
      <c r="F16" s="293"/>
      <c r="G16" s="293"/>
      <c r="H16" s="293"/>
      <c r="I16" s="293"/>
      <c r="J16" s="293"/>
      <c r="K16" s="293"/>
      <c r="L16" s="293"/>
      <c r="M16" s="293"/>
      <c r="N16" s="293"/>
      <c r="O16" s="293"/>
      <c r="P16" s="293"/>
      <c r="Q16" s="293"/>
    </row>
    <row r="17" spans="2:17" ht="26.3" customHeight="1" x14ac:dyDescent="0.35">
      <c r="B17" s="293"/>
      <c r="C17" s="294"/>
      <c r="D17" s="293"/>
      <c r="E17" s="293"/>
      <c r="F17" s="293"/>
      <c r="G17" s="293"/>
      <c r="H17" s="293"/>
      <c r="I17" s="293"/>
      <c r="J17" s="293"/>
      <c r="K17" s="293"/>
      <c r="L17" s="293"/>
      <c r="M17" s="293"/>
      <c r="N17" s="293"/>
      <c r="O17" s="293"/>
      <c r="P17" s="293"/>
      <c r="Q17" s="293"/>
    </row>
    <row r="18" spans="2:17" ht="26.3" customHeight="1" x14ac:dyDescent="0.35">
      <c r="B18" s="293"/>
      <c r="C18" s="294"/>
      <c r="D18" s="293"/>
      <c r="E18" s="293"/>
      <c r="F18" s="293"/>
      <c r="G18" s="293"/>
      <c r="H18" s="293"/>
      <c r="I18" s="293"/>
      <c r="J18" s="293"/>
      <c r="K18" s="293"/>
      <c r="L18" s="293"/>
      <c r="M18" s="293"/>
      <c r="N18" s="293"/>
      <c r="O18" s="293"/>
      <c r="P18" s="293"/>
      <c r="Q18" s="293"/>
    </row>
    <row r="19" spans="2:17" ht="26.3" customHeight="1" x14ac:dyDescent="0.35">
      <c r="B19" s="293"/>
      <c r="C19" s="294"/>
      <c r="D19" s="293"/>
      <c r="E19" s="293"/>
      <c r="F19" s="293"/>
      <c r="G19" s="293"/>
      <c r="H19" s="293"/>
      <c r="I19" s="293"/>
      <c r="J19" s="293"/>
      <c r="K19" s="293"/>
      <c r="L19" s="293"/>
      <c r="M19" s="293"/>
      <c r="N19" s="293"/>
      <c r="O19" s="293"/>
      <c r="P19" s="293"/>
      <c r="Q19" s="293"/>
    </row>
    <row r="20" spans="2:17" ht="26.3" customHeight="1" x14ac:dyDescent="0.35">
      <c r="B20" s="293"/>
      <c r="C20" s="294"/>
      <c r="D20" s="293"/>
      <c r="E20" s="293"/>
      <c r="F20" s="293"/>
      <c r="G20" s="293"/>
      <c r="H20" s="293"/>
      <c r="I20" s="293"/>
      <c r="J20" s="293"/>
      <c r="K20" s="293"/>
      <c r="L20" s="293"/>
      <c r="M20" s="293"/>
      <c r="N20" s="293"/>
      <c r="O20" s="293"/>
      <c r="P20" s="293"/>
      <c r="Q20" s="293"/>
    </row>
    <row r="21" spans="2:17" ht="26.3" customHeight="1" x14ac:dyDescent="0.35">
      <c r="B21" s="293"/>
      <c r="C21" s="294"/>
      <c r="D21" s="293"/>
      <c r="E21" s="293"/>
      <c r="F21" s="293"/>
      <c r="G21" s="293"/>
      <c r="H21" s="293"/>
      <c r="I21" s="293"/>
      <c r="J21" s="293"/>
      <c r="K21" s="293"/>
      <c r="L21" s="293"/>
      <c r="M21" s="293"/>
      <c r="N21" s="293"/>
      <c r="O21" s="293"/>
      <c r="P21" s="293"/>
      <c r="Q21" s="293"/>
    </row>
    <row r="22" spans="2:17" ht="26.3" customHeight="1" x14ac:dyDescent="0.35">
      <c r="B22" s="293"/>
      <c r="C22" s="294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</row>
    <row r="23" spans="2:17" ht="26.3" customHeight="1" x14ac:dyDescent="0.35">
      <c r="B23" s="293"/>
      <c r="C23" s="294"/>
      <c r="D23" s="293"/>
      <c r="E23" s="293"/>
      <c r="F23" s="293"/>
      <c r="G23" s="293"/>
      <c r="H23" s="293"/>
      <c r="I23" s="293"/>
      <c r="J23" s="293"/>
      <c r="K23" s="293"/>
      <c r="L23" s="293"/>
      <c r="M23" s="293"/>
      <c r="N23" s="293"/>
      <c r="O23" s="293"/>
      <c r="P23" s="293"/>
      <c r="Q23" s="293"/>
    </row>
    <row r="24" spans="2:17" ht="26.3" customHeight="1" x14ac:dyDescent="0.35">
      <c r="B24" s="293"/>
      <c r="C24" s="294"/>
      <c r="D24" s="293"/>
      <c r="E24" s="293"/>
      <c r="F24" s="293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</row>
    <row r="25" spans="2:17" ht="26.3" customHeight="1" x14ac:dyDescent="0.35">
      <c r="B25" s="293"/>
      <c r="C25" s="294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3"/>
    </row>
    <row r="26" spans="2:17" ht="26.3" customHeight="1" x14ac:dyDescent="0.35">
      <c r="B26" s="293"/>
      <c r="C26" s="294"/>
      <c r="D26" s="293"/>
      <c r="E26" s="293"/>
      <c r="F26" s="293"/>
      <c r="G26" s="293"/>
      <c r="H26" s="293"/>
      <c r="I26" s="293"/>
      <c r="J26" s="293"/>
      <c r="K26" s="293"/>
      <c r="L26" s="293"/>
      <c r="M26" s="293"/>
      <c r="N26" s="293"/>
      <c r="O26" s="293"/>
      <c r="P26" s="293"/>
      <c r="Q26" s="293"/>
    </row>
    <row r="27" spans="2:17" ht="26.3" customHeight="1" x14ac:dyDescent="0.35">
      <c r="B27" s="293"/>
      <c r="C27" s="294"/>
      <c r="D27" s="293"/>
      <c r="E27" s="293"/>
      <c r="F27" s="293"/>
      <c r="G27" s="293"/>
      <c r="H27" s="293"/>
      <c r="I27" s="293"/>
      <c r="J27" s="293"/>
      <c r="K27" s="293"/>
      <c r="L27" s="293"/>
      <c r="M27" s="293"/>
      <c r="N27" s="293"/>
      <c r="O27" s="293"/>
      <c r="P27" s="293"/>
      <c r="Q27" s="293"/>
    </row>
    <row r="28" spans="2:17" ht="26.3" customHeight="1" x14ac:dyDescent="0.35">
      <c r="B28" s="293"/>
      <c r="C28" s="294"/>
      <c r="D28" s="293"/>
      <c r="E28" s="293"/>
      <c r="F28" s="293"/>
      <c r="G28" s="293"/>
      <c r="H28" s="293"/>
      <c r="I28" s="293"/>
      <c r="J28" s="293"/>
      <c r="K28" s="293"/>
      <c r="L28" s="293"/>
      <c r="M28" s="293"/>
      <c r="N28" s="293"/>
      <c r="O28" s="293"/>
      <c r="P28" s="293"/>
      <c r="Q28" s="293"/>
    </row>
    <row r="29" spans="2:17" ht="26.3" customHeight="1" x14ac:dyDescent="0.35">
      <c r="B29" s="293"/>
      <c r="C29" s="294"/>
      <c r="D29" s="293"/>
      <c r="E29" s="293"/>
      <c r="F29" s="293"/>
      <c r="G29" s="293"/>
      <c r="H29" s="293"/>
      <c r="I29" s="293"/>
      <c r="J29" s="293"/>
      <c r="K29" s="293"/>
      <c r="L29" s="293"/>
      <c r="M29" s="293"/>
      <c r="N29" s="293"/>
      <c r="O29" s="293"/>
      <c r="P29" s="293"/>
      <c r="Q29" s="293"/>
    </row>
    <row r="30" spans="2:17" ht="26.3" customHeight="1" x14ac:dyDescent="0.35">
      <c r="B30" s="293"/>
      <c r="C30" s="294"/>
      <c r="D30" s="293"/>
      <c r="E30" s="293"/>
      <c r="F30" s="293"/>
      <c r="G30" s="293"/>
      <c r="H30" s="293"/>
      <c r="I30" s="293"/>
      <c r="J30" s="293"/>
      <c r="K30" s="293"/>
      <c r="L30" s="293"/>
      <c r="M30" s="293"/>
      <c r="N30" s="293"/>
      <c r="O30" s="293"/>
      <c r="P30" s="293"/>
      <c r="Q30" s="293"/>
    </row>
    <row r="33" spans="2:3" x14ac:dyDescent="0.35">
      <c r="B33" s="178" t="s">
        <v>791</v>
      </c>
      <c r="C33" s="25">
        <f>opmAfsprBlad__9</f>
        <v>0</v>
      </c>
    </row>
  </sheetData>
  <sheetProtection algorithmName="SHA-512" hashValue="BoYQ67QoYZKXsNXF8LtcaU++ErnVovwU2ecqNZtONoYOeho421ecn9qwLnV5gVV9yz3NxX6sFOaFyJ1fLV8rng==" saltValue="OwYhyejSivxqIQcsQkq62g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D36" sqref="D36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455</v>
      </c>
      <c r="C1" t="s">
        <v>530</v>
      </c>
      <c r="D1" t="s">
        <v>762</v>
      </c>
      <c r="E1" t="s">
        <v>530</v>
      </c>
    </row>
    <row r="2" spans="1:5" ht="13.2" x14ac:dyDescent="0.4">
      <c r="A2" s="12" t="s">
        <v>890</v>
      </c>
      <c r="B2" s="13">
        <f>SUM(B3:B4)</f>
        <v>115.2</v>
      </c>
      <c r="C2" s="13">
        <f>10*B2/Gewicht</f>
        <v>23.04</v>
      </c>
      <c r="D2" s="13"/>
      <c r="E2" s="14"/>
    </row>
    <row r="3" spans="1:5" x14ac:dyDescent="0.35">
      <c r="A3" s="5" t="s">
        <v>542</v>
      </c>
      <c r="B3">
        <f>ber_PO!N2</f>
        <v>0</v>
      </c>
    </row>
    <row r="4" spans="1:5" x14ac:dyDescent="0.35">
      <c r="A4" s="5" t="s">
        <v>540</v>
      </c>
      <c r="B4">
        <f>(ber_IVmed!H18+ber_TPN!F23+Infusen!J15+ber_Med_disc!O23)</f>
        <v>115.2</v>
      </c>
    </row>
    <row r="5" spans="1:5" ht="13.2" x14ac:dyDescent="0.4">
      <c r="A5" s="12" t="s">
        <v>529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542</v>
      </c>
      <c r="B6">
        <f>ber_PO!H4</f>
        <v>0</v>
      </c>
      <c r="C6" s="10" t="s">
        <v>547</v>
      </c>
      <c r="D6" s="10" t="s">
        <v>547</v>
      </c>
    </row>
    <row r="7" spans="1:5" x14ac:dyDescent="0.35">
      <c r="A7" s="5" t="s">
        <v>546</v>
      </c>
      <c r="B7">
        <f>ber_Med_disc!S23+ber_IVmed!I18+ber_IVmed!J18</f>
        <v>0</v>
      </c>
      <c r="D7">
        <f>B7*4</f>
        <v>0</v>
      </c>
    </row>
    <row r="8" spans="1:5" ht="13.2" x14ac:dyDescent="0.4">
      <c r="A8" s="5" t="s">
        <v>585</v>
      </c>
      <c r="B8">
        <f>ber_TPN!G23</f>
        <v>0</v>
      </c>
      <c r="C8" s="10" t="s">
        <v>547</v>
      </c>
      <c r="D8" s="10" t="s">
        <v>547</v>
      </c>
    </row>
    <row r="9" spans="1:5" ht="13.2" x14ac:dyDescent="0.4">
      <c r="A9" s="12" t="s">
        <v>534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542</v>
      </c>
      <c r="B10">
        <f>ber_PO!H3</f>
        <v>0</v>
      </c>
      <c r="C10" s="10" t="s">
        <v>547</v>
      </c>
      <c r="D10" s="10" t="s">
        <v>547</v>
      </c>
    </row>
    <row r="11" spans="1:5" ht="13.2" x14ac:dyDescent="0.4">
      <c r="A11" s="5" t="s">
        <v>540</v>
      </c>
      <c r="B11">
        <f>ber_TPN!H23</f>
        <v>0</v>
      </c>
      <c r="C11" s="10" t="s">
        <v>547</v>
      </c>
      <c r="D11" s="10" t="s">
        <v>547</v>
      </c>
    </row>
    <row r="12" spans="1:5" ht="13.2" x14ac:dyDescent="0.4">
      <c r="A12" s="5" t="s">
        <v>148</v>
      </c>
      <c r="B12">
        <f>ber_IVmed!N18</f>
        <v>0</v>
      </c>
      <c r="C12" s="10"/>
      <c r="D12" s="10"/>
    </row>
    <row r="13" spans="1:5" ht="13.2" x14ac:dyDescent="0.4">
      <c r="A13" s="12" t="s">
        <v>535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542</v>
      </c>
      <c r="B14">
        <f>ber_PO!H5</f>
        <v>0</v>
      </c>
      <c r="C14">
        <f>B14/(Gewicht/10)</f>
        <v>0</v>
      </c>
      <c r="D14" s="10" t="s">
        <v>547</v>
      </c>
    </row>
    <row r="15" spans="1:5" ht="13.2" x14ac:dyDescent="0.4">
      <c r="A15" s="5" t="s">
        <v>540</v>
      </c>
      <c r="B15">
        <f>ber_TPN!O23</f>
        <v>0</v>
      </c>
      <c r="C15">
        <f>B15/(Gewicht/10)</f>
        <v>0</v>
      </c>
      <c r="D15" s="10" t="s">
        <v>547</v>
      </c>
    </row>
    <row r="16" spans="1:5" x14ac:dyDescent="0.35">
      <c r="A16" s="5" t="s">
        <v>541</v>
      </c>
      <c r="B16">
        <f>ber_IVmed!O18</f>
        <v>0</v>
      </c>
      <c r="D16">
        <f>B16*9</f>
        <v>0</v>
      </c>
    </row>
    <row r="17" spans="1:5" ht="13.2" x14ac:dyDescent="0.4">
      <c r="A17" s="12" t="s">
        <v>891</v>
      </c>
      <c r="B17" s="13">
        <f>SUM(B18:B22)</f>
        <v>17.484000000000002</v>
      </c>
      <c r="C17" s="13">
        <f>SUM(C18:C22)</f>
        <v>3.4968000000000004</v>
      </c>
      <c r="D17" s="13"/>
      <c r="E17" s="14"/>
    </row>
    <row r="18" spans="1:5" x14ac:dyDescent="0.35">
      <c r="A18" s="5" t="s">
        <v>542</v>
      </c>
      <c r="B18">
        <f>ber_PO!H6</f>
        <v>0</v>
      </c>
      <c r="C18">
        <f>B18/(Gewicht/10)</f>
        <v>0</v>
      </c>
    </row>
    <row r="19" spans="1:5" x14ac:dyDescent="0.35">
      <c r="A19" s="5" t="s">
        <v>616</v>
      </c>
      <c r="B19">
        <f>Infusen!I15</f>
        <v>11.16</v>
      </c>
      <c r="C19">
        <f>B19/(Gewicht/10)</f>
        <v>2.2320000000000002</v>
      </c>
    </row>
    <row r="20" spans="1:5" x14ac:dyDescent="0.35">
      <c r="A20" s="5" t="s">
        <v>546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ber_IVmed!L18</f>
        <v>6.3239999999999998</v>
      </c>
      <c r="C21">
        <f>B21/(Gewicht/10)</f>
        <v>1.2647999999999999</v>
      </c>
    </row>
    <row r="22" spans="1:5" x14ac:dyDescent="0.35">
      <c r="A22" s="4" t="s">
        <v>585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892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542</v>
      </c>
      <c r="B24">
        <f>ber_PO!H7</f>
        <v>0</v>
      </c>
      <c r="C24">
        <f>B24/(Gewicht/10)</f>
        <v>0</v>
      </c>
    </row>
    <row r="25" spans="1:5" x14ac:dyDescent="0.35">
      <c r="A25" s="5" t="s">
        <v>585</v>
      </c>
      <c r="B25">
        <f>ber_TPN!J23</f>
        <v>0</v>
      </c>
      <c r="C25">
        <f>B25/(Gewicht/10)</f>
        <v>0</v>
      </c>
    </row>
    <row r="26" spans="1:5" x14ac:dyDescent="0.35">
      <c r="A26" s="5" t="s">
        <v>546</v>
      </c>
      <c r="B26">
        <f>ber_IVmed!M18</f>
        <v>0</v>
      </c>
      <c r="C26">
        <f>B26/(Gewicht/10)</f>
        <v>0</v>
      </c>
    </row>
    <row r="27" spans="1:5" ht="13.2" x14ac:dyDescent="0.4">
      <c r="A27" s="12" t="s">
        <v>531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542</v>
      </c>
      <c r="B28">
        <f>ber_PO!H8</f>
        <v>0</v>
      </c>
      <c r="C28">
        <f>B28/(Gewicht/10)</f>
        <v>0</v>
      </c>
    </row>
    <row r="29" spans="1:5" x14ac:dyDescent="0.35">
      <c r="A29" s="5" t="s">
        <v>585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532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542</v>
      </c>
      <c r="B31">
        <f>ber_PO!H9</f>
        <v>0</v>
      </c>
      <c r="C31">
        <f>B31/(Gewicht/10)</f>
        <v>0</v>
      </c>
    </row>
    <row r="32" spans="1:5" x14ac:dyDescent="0.35">
      <c r="A32" s="5" t="s">
        <v>585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533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542</v>
      </c>
      <c r="B34">
        <f>ber_PO!H10</f>
        <v>0</v>
      </c>
      <c r="C34">
        <f>B34/(Gewicht/10)</f>
        <v>0</v>
      </c>
    </row>
    <row r="35" spans="1:5" x14ac:dyDescent="0.35">
      <c r="A35" s="5" t="s">
        <v>540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585</v>
      </c>
      <c r="B36" s="13"/>
      <c r="C36" s="13"/>
      <c r="D36" s="13">
        <f>ber_TPN!N23+ber_PO!H2</f>
        <v>0</v>
      </c>
      <c r="E36" s="14">
        <f>D36/(Gewicht/10)</f>
        <v>0</v>
      </c>
    </row>
    <row r="38" spans="1:5" x14ac:dyDescent="0.35">
      <c r="A38" s="5" t="s">
        <v>571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D1" sqref="D1:E8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149</v>
      </c>
      <c r="E1" s="1" t="s">
        <v>431</v>
      </c>
    </row>
    <row r="2" spans="3:8" x14ac:dyDescent="0.35">
      <c r="D2" t="s">
        <v>104</v>
      </c>
    </row>
    <row r="4" spans="3:8" x14ac:dyDescent="0.35">
      <c r="C4" s="6"/>
      <c r="D4" s="62" t="s">
        <v>579</v>
      </c>
      <c r="E4" s="62">
        <v>4.3478000000000003E-2</v>
      </c>
      <c r="H4" s="62"/>
    </row>
    <row r="5" spans="3:8" x14ac:dyDescent="0.35">
      <c r="C5" s="6"/>
      <c r="D5" s="62" t="s">
        <v>580</v>
      </c>
      <c r="E5" s="62">
        <v>2.5641000000000001E-2</v>
      </c>
      <c r="H5" s="62"/>
    </row>
    <row r="6" spans="3:8" x14ac:dyDescent="0.35">
      <c r="D6" s="62" t="s">
        <v>581</v>
      </c>
      <c r="E6" s="62">
        <v>2.5000000000000001E-2</v>
      </c>
      <c r="H6" s="62"/>
    </row>
    <row r="7" spans="3:8" x14ac:dyDescent="0.35">
      <c r="D7" s="62" t="s">
        <v>588</v>
      </c>
      <c r="E7" s="62">
        <v>3.2288999999999998E-2</v>
      </c>
      <c r="H7" s="62"/>
    </row>
    <row r="8" spans="3:8" x14ac:dyDescent="0.35">
      <c r="D8" s="62" t="s">
        <v>582</v>
      </c>
      <c r="E8" s="62">
        <v>4.1140999999999997E-2</v>
      </c>
      <c r="H8" s="62"/>
    </row>
    <row r="9" spans="3:8" x14ac:dyDescent="0.35">
      <c r="D9" s="62"/>
      <c r="E9" s="62"/>
      <c r="H9" s="62"/>
    </row>
    <row r="10" spans="3:8" x14ac:dyDescent="0.35">
      <c r="D10" s="62"/>
      <c r="E10" s="62"/>
      <c r="H10" s="62"/>
    </row>
    <row r="11" spans="3:8" x14ac:dyDescent="0.35">
      <c r="D11" s="62"/>
      <c r="E11" s="62"/>
      <c r="H11" s="62"/>
    </row>
    <row r="12" spans="3:8" x14ac:dyDescent="0.35">
      <c r="D12" s="62"/>
      <c r="E12" s="62"/>
      <c r="H12" s="62"/>
    </row>
    <row r="13" spans="3:8" x14ac:dyDescent="0.35">
      <c r="D13" s="62"/>
      <c r="E13" s="62"/>
      <c r="H13" s="62"/>
    </row>
    <row r="14" spans="3:8" x14ac:dyDescent="0.35">
      <c r="D14" s="62"/>
      <c r="E14" s="62"/>
      <c r="H14" s="62"/>
    </row>
    <row r="15" spans="3:8" x14ac:dyDescent="0.35">
      <c r="D15" s="62"/>
      <c r="E15" s="62"/>
      <c r="H15" s="62"/>
    </row>
    <row r="16" spans="3:8" x14ac:dyDescent="0.35">
      <c r="D16" s="62"/>
      <c r="E16" s="62"/>
      <c r="H16" s="62"/>
    </row>
    <row r="17" spans="4:8" x14ac:dyDescent="0.35">
      <c r="D17" s="62"/>
      <c r="E17" s="62"/>
      <c r="H17" s="62"/>
    </row>
    <row r="18" spans="4:8" x14ac:dyDescent="0.35">
      <c r="D18" s="62"/>
      <c r="E18" s="62"/>
      <c r="H18" s="62"/>
    </row>
    <row r="19" spans="4:8" x14ac:dyDescent="0.35">
      <c r="D19" s="62"/>
      <c r="E19" s="62"/>
      <c r="H19" s="62"/>
    </row>
    <row r="20" spans="4:8" x14ac:dyDescent="0.35">
      <c r="D20" s="62"/>
      <c r="E20" s="62"/>
      <c r="H20" s="62"/>
    </row>
  </sheetData>
  <phoneticPr fontId="26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howOutlineSymbols="0"/>
  </sheetPr>
  <dimension ref="A1:AE40"/>
  <sheetViews>
    <sheetView showRowColHeaders="0" showZeros="0" showOutlineSymbols="0" topLeftCell="A2" workbookViewId="0">
      <selection activeCell="B22" sqref="B22"/>
    </sheetView>
  </sheetViews>
  <sheetFormatPr defaultRowHeight="12.85" x14ac:dyDescent="0.35"/>
  <cols>
    <col min="1" max="1" width="11.265625" customWidth="1"/>
    <col min="2" max="2" width="32.73046875" customWidth="1"/>
    <col min="3" max="3" width="38.3984375" customWidth="1"/>
    <col min="13" max="13" width="5.86328125" customWidth="1"/>
  </cols>
  <sheetData>
    <row r="1" spans="1:31" x14ac:dyDescent="0.35">
      <c r="D1" s="317" t="s">
        <v>1242</v>
      </c>
      <c r="N1" s="317" t="s">
        <v>1243</v>
      </c>
      <c r="AA1" t="s">
        <v>149</v>
      </c>
      <c r="AB1" s="1" t="s">
        <v>431</v>
      </c>
    </row>
    <row r="2" spans="1:31" x14ac:dyDescent="0.35">
      <c r="D2" t="s">
        <v>586</v>
      </c>
      <c r="E2" t="s">
        <v>534</v>
      </c>
      <c r="F2" t="s">
        <v>587</v>
      </c>
      <c r="G2" t="s">
        <v>535</v>
      </c>
      <c r="H2" t="s">
        <v>579</v>
      </c>
      <c r="I2" t="s">
        <v>580</v>
      </c>
      <c r="J2" t="s">
        <v>581</v>
      </c>
      <c r="K2" t="s">
        <v>588</v>
      </c>
      <c r="L2" t="s">
        <v>582</v>
      </c>
      <c r="N2" t="s">
        <v>586</v>
      </c>
      <c r="O2" t="s">
        <v>534</v>
      </c>
      <c r="P2" t="s">
        <v>587</v>
      </c>
      <c r="Q2" t="s">
        <v>535</v>
      </c>
      <c r="R2" t="s">
        <v>579</v>
      </c>
      <c r="S2" t="s">
        <v>580</v>
      </c>
      <c r="T2" t="s">
        <v>581</v>
      </c>
      <c r="U2" t="s">
        <v>588</v>
      </c>
      <c r="V2" t="s">
        <v>582</v>
      </c>
      <c r="AA2" s="62" t="s">
        <v>579</v>
      </c>
      <c r="AB2" s="62" t="s">
        <v>580</v>
      </c>
      <c r="AC2" s="62" t="s">
        <v>581</v>
      </c>
      <c r="AD2" s="62" t="s">
        <v>588</v>
      </c>
      <c r="AE2" s="62" t="s">
        <v>582</v>
      </c>
    </row>
    <row r="3" spans="1:31" x14ac:dyDescent="0.35">
      <c r="AA3" s="62"/>
      <c r="AB3" s="62"/>
      <c r="AC3" s="62"/>
      <c r="AD3" s="62"/>
      <c r="AE3" s="62"/>
    </row>
    <row r="4" spans="1:31" x14ac:dyDescent="0.35">
      <c r="A4" s="317" t="s">
        <v>1239</v>
      </c>
      <c r="B4" s="317" t="s">
        <v>474</v>
      </c>
      <c r="C4" s="317" t="str">
        <f>IF(A4&lt;&gt;"",A4&amp;": "&amp;B4,B4)</f>
        <v>3,5-10 kg: MM</v>
      </c>
      <c r="D4">
        <f>N4/100</f>
        <v>0.68</v>
      </c>
      <c r="E4">
        <f>O4/100</f>
        <v>0.01</v>
      </c>
      <c r="F4">
        <f>P4/100</f>
        <v>7.0000000000000007E-2</v>
      </c>
      <c r="G4">
        <f>Q4/100</f>
        <v>0.04</v>
      </c>
      <c r="H4">
        <f>R4*AA$4/100</f>
        <v>8.6956000000000012E-3</v>
      </c>
      <c r="I4">
        <f>S4*AB$4/100</f>
        <v>1.2820500000000002E-2</v>
      </c>
      <c r="J4">
        <f>T4*AC$4/100</f>
        <v>7.4999999999999997E-3</v>
      </c>
      <c r="K4">
        <f>U4*AD$4/100</f>
        <v>4.8433499999999997E-3</v>
      </c>
      <c r="L4">
        <f>V4*AE$4/100</f>
        <v>1.23423E-3</v>
      </c>
      <c r="N4">
        <v>68</v>
      </c>
      <c r="O4">
        <v>1</v>
      </c>
      <c r="P4">
        <v>7.0000000000000009</v>
      </c>
      <c r="Q4">
        <v>4</v>
      </c>
      <c r="R4">
        <v>20</v>
      </c>
      <c r="S4">
        <v>50.000000000000007</v>
      </c>
      <c r="T4">
        <v>30</v>
      </c>
      <c r="U4">
        <v>15</v>
      </c>
      <c r="V4">
        <v>3.0000000000000004</v>
      </c>
      <c r="AA4" s="62">
        <v>4.3478000000000003E-2</v>
      </c>
      <c r="AB4" s="62">
        <v>2.5641000000000001E-2</v>
      </c>
      <c r="AC4" s="62">
        <v>2.5000000000000001E-2</v>
      </c>
      <c r="AD4" s="62">
        <v>3.2288999999999998E-2</v>
      </c>
      <c r="AE4" s="62">
        <v>4.1140999999999997E-2</v>
      </c>
    </row>
    <row r="5" spans="1:31" x14ac:dyDescent="0.35">
      <c r="A5" s="317" t="s">
        <v>1239</v>
      </c>
      <c r="B5" s="317" t="s">
        <v>1240</v>
      </c>
      <c r="C5" s="317" t="str">
        <f t="shared" ref="C5:C21" si="0">IF(A5&lt;&gt;"",A5&amp;": "&amp;B5,B5)</f>
        <v>3,5-10 kg: Nutrilon Standaard 1 (&lt; 6 mnd)</v>
      </c>
      <c r="D5">
        <f t="shared" ref="D5:D23" si="1">N5/100</f>
        <v>0.66</v>
      </c>
      <c r="E5">
        <f t="shared" ref="E5:E23" si="2">O5/100</f>
        <v>1.3000000000000001E-2</v>
      </c>
      <c r="F5">
        <f t="shared" ref="F5:F23" si="3">P5/100</f>
        <v>7.2999999999999995E-2</v>
      </c>
      <c r="G5">
        <f t="shared" ref="G5:G23" si="4">Q5/100</f>
        <v>3.4000000000000002E-2</v>
      </c>
      <c r="H5">
        <f t="shared" ref="H5:H23" si="5">R5*AA$4/100</f>
        <v>7.3912600000000002E-3</v>
      </c>
      <c r="I5">
        <f t="shared" ref="I5:I23" si="6">S5*AB$4/100</f>
        <v>1.7435880000000001E-2</v>
      </c>
      <c r="J5">
        <f t="shared" ref="J5:J23" si="7">T5*AC$4/100</f>
        <v>1.4250000000000001E-2</v>
      </c>
      <c r="K5">
        <f t="shared" ref="K5:K23" si="8">U5*AD$4/100</f>
        <v>1.033248E-2</v>
      </c>
      <c r="L5">
        <f t="shared" ref="L5:L23" si="9">V5*AE$4/100</f>
        <v>2.0981909999999997E-3</v>
      </c>
      <c r="N5">
        <v>66</v>
      </c>
      <c r="O5">
        <v>1.3</v>
      </c>
      <c r="P5">
        <v>7.3</v>
      </c>
      <c r="Q5">
        <v>3.4</v>
      </c>
      <c r="R5">
        <v>17</v>
      </c>
      <c r="S5">
        <v>68</v>
      </c>
      <c r="T5">
        <v>57</v>
      </c>
      <c r="U5">
        <v>32</v>
      </c>
      <c r="V5">
        <v>5.0999999999999996</v>
      </c>
      <c r="AA5" s="62"/>
      <c r="AB5" s="62"/>
    </row>
    <row r="6" spans="1:31" x14ac:dyDescent="0.35">
      <c r="A6" s="317" t="s">
        <v>1239</v>
      </c>
      <c r="B6" s="317" t="s">
        <v>1241</v>
      </c>
      <c r="C6" s="317" t="str">
        <f t="shared" si="0"/>
        <v>3,5-10 kg: Nutrilon Standaard 2 (&gt; 6 mnd)</v>
      </c>
      <c r="D6">
        <f t="shared" si="1"/>
        <v>0.68</v>
      </c>
      <c r="E6">
        <f t="shared" si="2"/>
        <v>1.3999999999999999E-2</v>
      </c>
      <c r="F6">
        <f t="shared" si="3"/>
        <v>8.5999999999999993E-2</v>
      </c>
      <c r="G6">
        <f t="shared" si="4"/>
        <v>0.03</v>
      </c>
      <c r="H6">
        <f t="shared" si="5"/>
        <v>9.9999400000000006E-3</v>
      </c>
      <c r="I6">
        <f t="shared" si="6"/>
        <v>1.8974339999999999E-2</v>
      </c>
      <c r="J6">
        <f t="shared" si="7"/>
        <v>1.6250000000000001E-2</v>
      </c>
      <c r="K6">
        <f t="shared" si="8"/>
        <v>1.162404E-2</v>
      </c>
      <c r="L6">
        <f t="shared" si="9"/>
        <v>1.974768E-3</v>
      </c>
      <c r="N6">
        <v>68</v>
      </c>
      <c r="O6">
        <v>1.4</v>
      </c>
      <c r="P6">
        <v>8.6</v>
      </c>
      <c r="Q6">
        <v>3</v>
      </c>
      <c r="R6">
        <v>23</v>
      </c>
      <c r="S6">
        <v>74</v>
      </c>
      <c r="T6">
        <v>65</v>
      </c>
      <c r="U6">
        <v>36</v>
      </c>
      <c r="V6">
        <v>4.8</v>
      </c>
      <c r="AA6" s="62"/>
      <c r="AB6" s="62"/>
    </row>
    <row r="7" spans="1:31" x14ac:dyDescent="0.35">
      <c r="A7" s="317" t="s">
        <v>1239</v>
      </c>
      <c r="B7" s="317" t="s">
        <v>42</v>
      </c>
      <c r="C7" s="317" t="str">
        <f t="shared" si="0"/>
        <v>3,5-10 kg: Infatrini</v>
      </c>
      <c r="D7">
        <f t="shared" si="1"/>
        <v>1.01</v>
      </c>
      <c r="E7">
        <f t="shared" si="2"/>
        <v>2.6000000000000002E-2</v>
      </c>
      <c r="F7">
        <f t="shared" si="3"/>
        <v>0.10300000000000001</v>
      </c>
      <c r="G7">
        <f t="shared" si="4"/>
        <v>5.4000000000000006E-2</v>
      </c>
      <c r="H7">
        <f t="shared" si="5"/>
        <v>1.6086860000000001E-2</v>
      </c>
      <c r="I7">
        <f t="shared" si="6"/>
        <v>2.4358950000000001E-2</v>
      </c>
      <c r="J7">
        <f t="shared" si="7"/>
        <v>2.5000000000000001E-2</v>
      </c>
      <c r="K7">
        <f t="shared" si="8"/>
        <v>1.6144499999999999E-2</v>
      </c>
      <c r="L7">
        <f t="shared" si="9"/>
        <v>3.7026899999999998E-3</v>
      </c>
      <c r="N7">
        <v>101</v>
      </c>
      <c r="O7">
        <v>2.6</v>
      </c>
      <c r="P7">
        <v>10.3</v>
      </c>
      <c r="Q7">
        <v>5.4</v>
      </c>
      <c r="R7">
        <v>37</v>
      </c>
      <c r="S7">
        <v>95</v>
      </c>
      <c r="T7">
        <v>100</v>
      </c>
      <c r="U7">
        <v>50</v>
      </c>
      <c r="V7">
        <v>9</v>
      </c>
      <c r="AA7" s="62"/>
      <c r="AB7" s="62"/>
    </row>
    <row r="8" spans="1:31" x14ac:dyDescent="0.35">
      <c r="A8" s="317" t="s">
        <v>1239</v>
      </c>
      <c r="B8" s="317" t="s">
        <v>1244</v>
      </c>
      <c r="C8" s="317" t="str">
        <f t="shared" si="0"/>
        <v>3,5-10 kg: Infatrini Peptisorb (resorptie)</v>
      </c>
      <c r="D8">
        <f t="shared" si="1"/>
        <v>1</v>
      </c>
      <c r="E8">
        <f t="shared" si="2"/>
        <v>2.6000000000000002E-2</v>
      </c>
      <c r="F8">
        <f t="shared" si="3"/>
        <v>0.10300000000000001</v>
      </c>
      <c r="G8">
        <f t="shared" si="4"/>
        <v>5.4000000000000006E-2</v>
      </c>
      <c r="H8">
        <f t="shared" si="5"/>
        <v>1.391296E-2</v>
      </c>
      <c r="I8">
        <f t="shared" si="6"/>
        <v>2.769228E-2</v>
      </c>
      <c r="J8">
        <f t="shared" si="7"/>
        <v>0.02</v>
      </c>
      <c r="K8">
        <f t="shared" si="8"/>
        <v>1.2915600000000001E-2</v>
      </c>
      <c r="L8">
        <f t="shared" si="9"/>
        <v>3.2912799999999997E-3</v>
      </c>
      <c r="N8">
        <v>100</v>
      </c>
      <c r="O8">
        <v>2.6</v>
      </c>
      <c r="P8">
        <v>10.3</v>
      </c>
      <c r="Q8">
        <v>5.4</v>
      </c>
      <c r="R8">
        <v>32</v>
      </c>
      <c r="S8">
        <v>108</v>
      </c>
      <c r="T8">
        <v>80</v>
      </c>
      <c r="U8">
        <v>40</v>
      </c>
      <c r="V8">
        <v>8</v>
      </c>
      <c r="AA8" s="62"/>
      <c r="AB8" s="62"/>
    </row>
    <row r="9" spans="1:31" x14ac:dyDescent="0.35">
      <c r="A9" s="317" t="s">
        <v>1239</v>
      </c>
      <c r="B9" s="317" t="s">
        <v>1245</v>
      </c>
      <c r="C9" s="317" t="str">
        <f t="shared" si="0"/>
        <v>3,5-10 kg: Nutrilon Pepti 1 (allergie)</v>
      </c>
      <c r="D9">
        <f t="shared" si="1"/>
        <v>0.67</v>
      </c>
      <c r="E9">
        <f t="shared" si="2"/>
        <v>1.6E-2</v>
      </c>
      <c r="F9">
        <f t="shared" si="3"/>
        <v>7.0000000000000007E-2</v>
      </c>
      <c r="G9">
        <f t="shared" si="4"/>
        <v>3.5000000000000003E-2</v>
      </c>
      <c r="H9">
        <f t="shared" si="5"/>
        <v>8.6956000000000012E-3</v>
      </c>
      <c r="I9">
        <f t="shared" si="6"/>
        <v>2.076921E-2</v>
      </c>
      <c r="J9">
        <f t="shared" si="7"/>
        <v>1.175E-2</v>
      </c>
      <c r="K9">
        <f t="shared" si="8"/>
        <v>8.3951400000000006E-3</v>
      </c>
      <c r="L9">
        <f t="shared" si="9"/>
        <v>2.1804729999999996E-3</v>
      </c>
      <c r="N9">
        <v>67</v>
      </c>
      <c r="O9">
        <v>1.6</v>
      </c>
      <c r="P9">
        <v>7</v>
      </c>
      <c r="Q9">
        <v>3.5</v>
      </c>
      <c r="R9">
        <v>20</v>
      </c>
      <c r="S9">
        <v>81</v>
      </c>
      <c r="T9">
        <v>47</v>
      </c>
      <c r="U9">
        <v>26</v>
      </c>
      <c r="V9">
        <v>5.3</v>
      </c>
    </row>
    <row r="10" spans="1:31" x14ac:dyDescent="0.35">
      <c r="A10" s="317" t="s">
        <v>1246</v>
      </c>
      <c r="B10" s="317" t="s">
        <v>1247</v>
      </c>
      <c r="C10" s="317" t="str">
        <f t="shared" si="0"/>
        <v>10-20 kg: Nutrini Multi Fibre</v>
      </c>
      <c r="D10">
        <f t="shared" si="1"/>
        <v>1.01</v>
      </c>
      <c r="E10">
        <f t="shared" si="2"/>
        <v>2.7000000000000003E-2</v>
      </c>
      <c r="F10">
        <f t="shared" si="3"/>
        <v>0.12300000000000001</v>
      </c>
      <c r="G10">
        <f t="shared" si="4"/>
        <v>4.4000000000000004E-2</v>
      </c>
      <c r="H10">
        <f t="shared" si="5"/>
        <v>2.60868E-2</v>
      </c>
      <c r="I10">
        <f t="shared" si="6"/>
        <v>2.82051E-2</v>
      </c>
      <c r="J10">
        <f t="shared" si="7"/>
        <v>1.4999999999999999E-2</v>
      </c>
      <c r="K10">
        <f t="shared" si="8"/>
        <v>1.6144499999999999E-2</v>
      </c>
      <c r="L10">
        <f t="shared" si="9"/>
        <v>4.5255099999999999E-3</v>
      </c>
      <c r="N10">
        <v>101</v>
      </c>
      <c r="O10">
        <v>2.7</v>
      </c>
      <c r="P10">
        <v>12.3</v>
      </c>
      <c r="Q10">
        <v>4.4000000000000004</v>
      </c>
      <c r="R10">
        <v>60</v>
      </c>
      <c r="S10">
        <v>110</v>
      </c>
      <c r="T10">
        <v>60</v>
      </c>
      <c r="U10">
        <v>50</v>
      </c>
      <c r="V10">
        <v>11</v>
      </c>
    </row>
    <row r="11" spans="1:31" x14ac:dyDescent="0.35">
      <c r="A11" s="317" t="s">
        <v>1246</v>
      </c>
      <c r="B11" s="317" t="s">
        <v>1248</v>
      </c>
      <c r="C11" s="317" t="str">
        <f t="shared" si="0"/>
        <v>10-20 kg: Nutrini Energy Multi Fibre</v>
      </c>
      <c r="D11">
        <f t="shared" si="1"/>
        <v>1.51</v>
      </c>
      <c r="E11">
        <f t="shared" si="2"/>
        <v>0.04</v>
      </c>
      <c r="F11">
        <f t="shared" si="3"/>
        <v>0.185</v>
      </c>
      <c r="G11">
        <f t="shared" si="4"/>
        <v>6.7000000000000004E-2</v>
      </c>
      <c r="H11">
        <f t="shared" si="5"/>
        <v>3.9130200000000004E-2</v>
      </c>
      <c r="I11">
        <f t="shared" si="6"/>
        <v>4.2307650000000002E-2</v>
      </c>
      <c r="J11">
        <f t="shared" si="7"/>
        <v>2.2499999999999999E-2</v>
      </c>
      <c r="K11">
        <f t="shared" si="8"/>
        <v>2.4216749999999999E-2</v>
      </c>
      <c r="L11">
        <f t="shared" si="9"/>
        <v>6.9939699999999995E-3</v>
      </c>
      <c r="N11">
        <v>151</v>
      </c>
      <c r="O11">
        <v>4</v>
      </c>
      <c r="P11">
        <v>18.5</v>
      </c>
      <c r="Q11">
        <v>6.7</v>
      </c>
      <c r="R11">
        <v>90</v>
      </c>
      <c r="S11">
        <v>165</v>
      </c>
      <c r="T11">
        <v>90</v>
      </c>
      <c r="U11">
        <v>75</v>
      </c>
      <c r="V11">
        <v>17</v>
      </c>
    </row>
    <row r="12" spans="1:31" x14ac:dyDescent="0.35">
      <c r="A12" s="317" t="s">
        <v>1246</v>
      </c>
      <c r="B12" s="317" t="s">
        <v>1249</v>
      </c>
      <c r="C12" s="317" t="str">
        <f t="shared" si="0"/>
        <v>10-20 kg: Nutrini Peptisorb (resorptie)</v>
      </c>
      <c r="D12">
        <f t="shared" si="1"/>
        <v>1</v>
      </c>
      <c r="E12">
        <f t="shared" si="2"/>
        <v>2.7999999999999997E-2</v>
      </c>
      <c r="F12">
        <f t="shared" si="3"/>
        <v>0.13699999999999998</v>
      </c>
      <c r="G12">
        <f t="shared" si="4"/>
        <v>3.9E-2</v>
      </c>
      <c r="H12">
        <f t="shared" si="5"/>
        <v>2.60868E-2</v>
      </c>
      <c r="I12">
        <f t="shared" si="6"/>
        <v>2.82051E-2</v>
      </c>
      <c r="J12">
        <f t="shared" si="7"/>
        <v>1.4999999999999999E-2</v>
      </c>
      <c r="K12">
        <f t="shared" si="8"/>
        <v>1.6144499999999999E-2</v>
      </c>
      <c r="L12">
        <f t="shared" si="9"/>
        <v>4.5255099999999999E-3</v>
      </c>
      <c r="N12">
        <v>100</v>
      </c>
      <c r="O12">
        <v>2.8</v>
      </c>
      <c r="P12">
        <v>13.7</v>
      </c>
      <c r="Q12">
        <v>3.9</v>
      </c>
      <c r="R12">
        <v>60</v>
      </c>
      <c r="S12">
        <v>110</v>
      </c>
      <c r="T12">
        <v>60</v>
      </c>
      <c r="U12">
        <v>50</v>
      </c>
      <c r="V12">
        <v>11</v>
      </c>
    </row>
    <row r="13" spans="1:31" x14ac:dyDescent="0.35">
      <c r="A13" s="317" t="s">
        <v>1246</v>
      </c>
      <c r="B13" s="317" t="s">
        <v>1250</v>
      </c>
      <c r="C13" s="317" t="str">
        <f t="shared" si="0"/>
        <v>10-20 kg: Nutrilon Pepti 2 (allergie)</v>
      </c>
      <c r="D13">
        <f t="shared" si="1"/>
        <v>0.68</v>
      </c>
      <c r="E13">
        <f t="shared" si="2"/>
        <v>1.6E-2</v>
      </c>
      <c r="F13">
        <f t="shared" si="3"/>
        <v>8.1000000000000003E-2</v>
      </c>
      <c r="G13">
        <f t="shared" si="4"/>
        <v>3.1E-2</v>
      </c>
      <c r="H13">
        <f t="shared" si="5"/>
        <v>1.0869500000000001E-2</v>
      </c>
      <c r="I13">
        <f t="shared" si="6"/>
        <v>1.9999980000000001E-2</v>
      </c>
      <c r="J13">
        <f t="shared" si="7"/>
        <v>1.575E-2</v>
      </c>
      <c r="K13">
        <f t="shared" si="8"/>
        <v>1.194693E-2</v>
      </c>
      <c r="L13">
        <f t="shared" si="9"/>
        <v>2.262755E-3</v>
      </c>
      <c r="N13">
        <v>68</v>
      </c>
      <c r="O13">
        <v>1.6</v>
      </c>
      <c r="P13">
        <v>8.1</v>
      </c>
      <c r="Q13">
        <v>3.1</v>
      </c>
      <c r="R13">
        <v>25</v>
      </c>
      <c r="S13">
        <v>78</v>
      </c>
      <c r="T13">
        <v>63</v>
      </c>
      <c r="U13">
        <v>37</v>
      </c>
      <c r="V13">
        <v>5.5</v>
      </c>
    </row>
    <row r="14" spans="1:31" x14ac:dyDescent="0.35">
      <c r="A14" s="317" t="s">
        <v>1251</v>
      </c>
      <c r="B14" s="317" t="s">
        <v>1252</v>
      </c>
      <c r="C14" s="317" t="str">
        <f t="shared" si="0"/>
        <v>20-45 kg: NutriniMax Multi Fibre</v>
      </c>
      <c r="D14">
        <f t="shared" si="1"/>
        <v>1.02</v>
      </c>
      <c r="E14">
        <f t="shared" si="2"/>
        <v>3.3000000000000002E-2</v>
      </c>
      <c r="F14">
        <f t="shared" si="3"/>
        <v>0.12300000000000001</v>
      </c>
      <c r="G14">
        <f t="shared" si="4"/>
        <v>4.2000000000000003E-2</v>
      </c>
      <c r="H14">
        <f t="shared" si="5"/>
        <v>3.4782400000000005E-2</v>
      </c>
      <c r="I14">
        <f t="shared" si="6"/>
        <v>3.5384579999999999E-2</v>
      </c>
      <c r="J14">
        <f t="shared" si="7"/>
        <v>1.7500000000000002E-2</v>
      </c>
      <c r="K14">
        <f t="shared" si="8"/>
        <v>1.9373399999999999E-2</v>
      </c>
      <c r="L14">
        <f t="shared" si="9"/>
        <v>6.9939699999999995E-3</v>
      </c>
      <c r="N14">
        <v>102</v>
      </c>
      <c r="O14" s="317">
        <v>3.3</v>
      </c>
      <c r="P14">
        <v>12.3</v>
      </c>
      <c r="Q14">
        <v>4.2</v>
      </c>
      <c r="R14">
        <v>80</v>
      </c>
      <c r="S14">
        <v>138</v>
      </c>
      <c r="T14">
        <v>70</v>
      </c>
      <c r="U14">
        <v>60</v>
      </c>
      <c r="V14">
        <v>17</v>
      </c>
    </row>
    <row r="15" spans="1:31" x14ac:dyDescent="0.35">
      <c r="A15" s="317" t="s">
        <v>1251</v>
      </c>
      <c r="B15" s="317" t="s">
        <v>1253</v>
      </c>
      <c r="C15" s="317" t="str">
        <f t="shared" si="0"/>
        <v>20-45 kg: NutriniMax Energy Multi Fibre</v>
      </c>
      <c r="D15">
        <f t="shared" si="1"/>
        <v>1.52</v>
      </c>
      <c r="E15">
        <f t="shared" si="2"/>
        <v>4.8000000000000001E-2</v>
      </c>
      <c r="F15">
        <f t="shared" si="3"/>
        <v>0.185</v>
      </c>
      <c r="G15">
        <f t="shared" si="4"/>
        <v>6.3E-2</v>
      </c>
      <c r="H15">
        <f t="shared" si="5"/>
        <v>4.6521460000000001E-2</v>
      </c>
      <c r="I15">
        <f t="shared" si="6"/>
        <v>4.769226E-2</v>
      </c>
      <c r="J15">
        <f t="shared" si="7"/>
        <v>2.375E-2</v>
      </c>
      <c r="K15">
        <f t="shared" si="8"/>
        <v>2.9060099999999998E-2</v>
      </c>
      <c r="L15">
        <f t="shared" si="9"/>
        <v>1.069666E-2</v>
      </c>
      <c r="N15">
        <v>152</v>
      </c>
      <c r="O15" s="317">
        <v>4.8</v>
      </c>
      <c r="P15">
        <v>18.5</v>
      </c>
      <c r="Q15">
        <v>6.3</v>
      </c>
      <c r="R15">
        <v>107</v>
      </c>
      <c r="S15">
        <v>186</v>
      </c>
      <c r="T15">
        <v>95</v>
      </c>
      <c r="U15">
        <v>90</v>
      </c>
      <c r="V15">
        <v>26</v>
      </c>
    </row>
    <row r="16" spans="1:31" x14ac:dyDescent="0.35">
      <c r="A16" s="317" t="s">
        <v>1251</v>
      </c>
      <c r="B16" s="317" t="s">
        <v>1249</v>
      </c>
      <c r="C16" s="317" t="str">
        <f t="shared" si="0"/>
        <v>20-45 kg: Nutrini Peptisorb (resorptie)</v>
      </c>
      <c r="D16">
        <f t="shared" si="1"/>
        <v>1</v>
      </c>
      <c r="E16">
        <f t="shared" si="2"/>
        <v>2.7999999999999997E-2</v>
      </c>
      <c r="F16">
        <f t="shared" si="3"/>
        <v>0.13699999999999998</v>
      </c>
      <c r="G16">
        <f t="shared" si="4"/>
        <v>3.9E-2</v>
      </c>
      <c r="H16">
        <f t="shared" si="5"/>
        <v>2.60868E-2</v>
      </c>
      <c r="I16">
        <f t="shared" si="6"/>
        <v>2.82051E-2</v>
      </c>
      <c r="J16">
        <f t="shared" si="7"/>
        <v>1.4999999999999999E-2</v>
      </c>
      <c r="K16">
        <f t="shared" si="8"/>
        <v>1.6144499999999999E-2</v>
      </c>
      <c r="L16">
        <f t="shared" si="9"/>
        <v>4.5255099999999999E-3</v>
      </c>
      <c r="N16">
        <v>100</v>
      </c>
      <c r="O16" s="317">
        <v>2.8</v>
      </c>
      <c r="P16">
        <v>13.7</v>
      </c>
      <c r="Q16">
        <v>3.9</v>
      </c>
      <c r="R16">
        <v>60</v>
      </c>
      <c r="S16">
        <v>110</v>
      </c>
      <c r="T16">
        <v>60</v>
      </c>
      <c r="U16">
        <v>50</v>
      </c>
      <c r="V16">
        <v>11</v>
      </c>
    </row>
    <row r="17" spans="1:22" x14ac:dyDescent="0.35">
      <c r="A17" s="317" t="s">
        <v>1251</v>
      </c>
      <c r="B17" s="317" t="s">
        <v>1250</v>
      </c>
      <c r="C17" s="317" t="str">
        <f t="shared" si="0"/>
        <v>20-45 kg: Nutrilon Pepti 2 (allergie)</v>
      </c>
      <c r="D17">
        <f t="shared" si="1"/>
        <v>0.68</v>
      </c>
      <c r="E17">
        <f t="shared" si="2"/>
        <v>1.6E-2</v>
      </c>
      <c r="F17">
        <f t="shared" si="3"/>
        <v>8.1000000000000003E-2</v>
      </c>
      <c r="G17">
        <f t="shared" si="4"/>
        <v>3.1E-2</v>
      </c>
      <c r="H17">
        <f t="shared" si="5"/>
        <v>1.0869500000000001E-2</v>
      </c>
      <c r="I17">
        <f t="shared" si="6"/>
        <v>1.9999980000000001E-2</v>
      </c>
      <c r="J17">
        <f t="shared" si="7"/>
        <v>1.575E-2</v>
      </c>
      <c r="K17">
        <f t="shared" si="8"/>
        <v>1.194693E-2</v>
      </c>
      <c r="L17">
        <f t="shared" si="9"/>
        <v>2.262755E-3</v>
      </c>
      <c r="N17">
        <v>68</v>
      </c>
      <c r="O17">
        <v>1.6</v>
      </c>
      <c r="P17">
        <v>8.1</v>
      </c>
      <c r="Q17">
        <v>3.1</v>
      </c>
      <c r="R17">
        <v>25</v>
      </c>
      <c r="S17">
        <v>78</v>
      </c>
      <c r="T17">
        <v>63</v>
      </c>
      <c r="U17">
        <v>37</v>
      </c>
      <c r="V17">
        <v>5.5</v>
      </c>
    </row>
    <row r="18" spans="1:22" x14ac:dyDescent="0.35">
      <c r="A18" s="317" t="s">
        <v>1254</v>
      </c>
      <c r="B18" s="317" t="s">
        <v>1255</v>
      </c>
      <c r="C18" s="317" t="str">
        <f t="shared" si="0"/>
        <v>&gt; 45 kg: Nutrison Multi Fibre</v>
      </c>
      <c r="D18">
        <f t="shared" si="1"/>
        <v>1.03</v>
      </c>
      <c r="E18">
        <f t="shared" si="2"/>
        <v>0.04</v>
      </c>
      <c r="F18">
        <f t="shared" si="3"/>
        <v>0.12300000000000001</v>
      </c>
      <c r="G18">
        <f t="shared" si="4"/>
        <v>3.9E-2</v>
      </c>
      <c r="H18">
        <f t="shared" si="5"/>
        <v>4.3478000000000003E-2</v>
      </c>
      <c r="I18">
        <f t="shared" si="6"/>
        <v>3.8461500000000003E-2</v>
      </c>
      <c r="J18">
        <f t="shared" si="7"/>
        <v>3.125E-2</v>
      </c>
      <c r="K18">
        <f t="shared" si="8"/>
        <v>2.3248080000000001E-2</v>
      </c>
      <c r="L18">
        <f t="shared" si="9"/>
        <v>9.4624299999999991E-3</v>
      </c>
      <c r="N18">
        <v>103</v>
      </c>
      <c r="O18">
        <v>4</v>
      </c>
      <c r="P18">
        <v>12.3</v>
      </c>
      <c r="Q18">
        <v>3.9</v>
      </c>
      <c r="R18">
        <v>100</v>
      </c>
      <c r="S18">
        <v>150</v>
      </c>
      <c r="T18">
        <v>125</v>
      </c>
      <c r="U18">
        <v>72</v>
      </c>
      <c r="V18">
        <v>23</v>
      </c>
    </row>
    <row r="19" spans="1:22" x14ac:dyDescent="0.35">
      <c r="A19" s="317" t="s">
        <v>1254</v>
      </c>
      <c r="B19" s="317" t="s">
        <v>1256</v>
      </c>
      <c r="C19" s="317" t="str">
        <f t="shared" si="0"/>
        <v>&gt; 45 kg: Nutrison Energy Multi Fibre</v>
      </c>
      <c r="D19">
        <f t="shared" si="1"/>
        <v>1.53</v>
      </c>
      <c r="E19">
        <f t="shared" si="2"/>
        <v>0.06</v>
      </c>
      <c r="F19">
        <f t="shared" si="3"/>
        <v>0.184</v>
      </c>
      <c r="G19">
        <f t="shared" si="4"/>
        <v>5.7999999999999996E-2</v>
      </c>
      <c r="H19">
        <f t="shared" si="5"/>
        <v>5.826052000000001E-2</v>
      </c>
      <c r="I19">
        <f t="shared" si="6"/>
        <v>5.153841E-2</v>
      </c>
      <c r="J19">
        <f t="shared" si="7"/>
        <v>2.1000000000000001E-2</v>
      </c>
      <c r="K19">
        <f t="shared" si="8"/>
        <v>2.7122759999999996E-2</v>
      </c>
      <c r="L19">
        <f t="shared" si="9"/>
        <v>1.2342299999999999E-2</v>
      </c>
      <c r="N19">
        <v>153</v>
      </c>
      <c r="O19">
        <v>6</v>
      </c>
      <c r="P19">
        <v>18.399999999999999</v>
      </c>
      <c r="Q19">
        <v>5.8</v>
      </c>
      <c r="R19">
        <v>134</v>
      </c>
      <c r="S19">
        <v>201</v>
      </c>
      <c r="T19">
        <v>84</v>
      </c>
      <c r="U19">
        <v>84</v>
      </c>
      <c r="V19">
        <v>30</v>
      </c>
    </row>
    <row r="20" spans="1:22" x14ac:dyDescent="0.35">
      <c r="A20" s="317" t="s">
        <v>1254</v>
      </c>
      <c r="B20" s="317" t="s">
        <v>1257</v>
      </c>
      <c r="C20" s="317" t="str">
        <f t="shared" si="0"/>
        <v>&gt; 45 kg: Nutrison Adv Peptisorb (resorptie)</v>
      </c>
      <c r="D20">
        <f t="shared" si="1"/>
        <v>1</v>
      </c>
      <c r="E20">
        <f t="shared" si="2"/>
        <v>0.04</v>
      </c>
      <c r="F20">
        <f t="shared" si="3"/>
        <v>0.17600000000000002</v>
      </c>
      <c r="G20">
        <f t="shared" si="4"/>
        <v>1.7000000000000001E-2</v>
      </c>
      <c r="H20">
        <f t="shared" si="5"/>
        <v>4.3478000000000003E-2</v>
      </c>
      <c r="I20">
        <f t="shared" si="6"/>
        <v>3.8461500000000003E-2</v>
      </c>
      <c r="J20">
        <f t="shared" si="7"/>
        <v>0.02</v>
      </c>
      <c r="K20">
        <f t="shared" si="8"/>
        <v>2.3248080000000001E-2</v>
      </c>
      <c r="L20">
        <f t="shared" si="9"/>
        <v>9.4624299999999991E-3</v>
      </c>
      <c r="N20">
        <v>100</v>
      </c>
      <c r="O20">
        <v>4</v>
      </c>
      <c r="P20" s="317">
        <v>17.600000000000001</v>
      </c>
      <c r="Q20" s="317">
        <v>1.7</v>
      </c>
      <c r="R20" s="317">
        <v>100</v>
      </c>
      <c r="S20" s="317">
        <v>150</v>
      </c>
      <c r="T20" s="317">
        <v>80</v>
      </c>
      <c r="U20" s="317">
        <v>72</v>
      </c>
      <c r="V20" s="317">
        <v>23</v>
      </c>
    </row>
    <row r="21" spans="1:22" x14ac:dyDescent="0.35">
      <c r="A21" s="317" t="s">
        <v>1254</v>
      </c>
      <c r="B21" s="317" t="s">
        <v>1250</v>
      </c>
      <c r="C21" s="317" t="str">
        <f t="shared" si="0"/>
        <v>&gt; 45 kg: Nutrilon Pepti 2 (allergie)</v>
      </c>
      <c r="D21">
        <f t="shared" si="1"/>
        <v>0.68</v>
      </c>
      <c r="E21">
        <f t="shared" si="2"/>
        <v>1.6E-2</v>
      </c>
      <c r="F21">
        <f t="shared" si="3"/>
        <v>8.1000000000000003E-2</v>
      </c>
      <c r="G21">
        <f t="shared" si="4"/>
        <v>3.1E-2</v>
      </c>
      <c r="H21">
        <f t="shared" si="5"/>
        <v>1.0869500000000001E-2</v>
      </c>
      <c r="I21">
        <f t="shared" si="6"/>
        <v>1.9999980000000001E-2</v>
      </c>
      <c r="J21">
        <f t="shared" si="7"/>
        <v>1.575E-2</v>
      </c>
      <c r="K21">
        <f t="shared" si="8"/>
        <v>1.194693E-2</v>
      </c>
      <c r="L21">
        <f t="shared" si="9"/>
        <v>2.262755E-3</v>
      </c>
      <c r="N21">
        <v>68</v>
      </c>
      <c r="O21">
        <v>1.6</v>
      </c>
      <c r="P21">
        <v>8.1</v>
      </c>
      <c r="Q21">
        <v>3.1</v>
      </c>
      <c r="R21">
        <v>25</v>
      </c>
      <c r="S21">
        <v>78</v>
      </c>
      <c r="T21">
        <v>63</v>
      </c>
      <c r="U21">
        <v>37</v>
      </c>
      <c r="V21">
        <v>5.5</v>
      </c>
    </row>
    <row r="22" spans="1:22" x14ac:dyDescent="0.35">
      <c r="B22" s="317" t="s">
        <v>475</v>
      </c>
      <c r="C22" s="317" t="s">
        <v>475</v>
      </c>
      <c r="D22">
        <f t="shared" si="1"/>
        <v>0</v>
      </c>
      <c r="E22">
        <f t="shared" si="2"/>
        <v>0</v>
      </c>
      <c r="F22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0</v>
      </c>
      <c r="K22">
        <f t="shared" si="8"/>
        <v>0</v>
      </c>
      <c r="L22">
        <f t="shared" si="9"/>
        <v>0</v>
      </c>
      <c r="N22">
        <f>SpecVoed_1</f>
        <v>0</v>
      </c>
      <c r="O22">
        <f>SpecVoed_2</f>
        <v>0</v>
      </c>
      <c r="P22">
        <f>SpecVoed_3</f>
        <v>0</v>
      </c>
      <c r="Q22">
        <f>SpecVoed_4</f>
        <v>0</v>
      </c>
      <c r="R22">
        <f>SpecVoed_5</f>
        <v>0</v>
      </c>
      <c r="S22">
        <f>SpecVoed_6</f>
        <v>0</v>
      </c>
      <c r="T22">
        <f>SpecVoed_7</f>
        <v>0</v>
      </c>
      <c r="U22">
        <f>SpecVoed_8</f>
        <v>0</v>
      </c>
      <c r="V22">
        <f>SpecVoed_9</f>
        <v>0</v>
      </c>
    </row>
    <row r="23" spans="1:22" x14ac:dyDescent="0.35">
      <c r="C23" s="317"/>
      <c r="D23">
        <f t="shared" si="1"/>
        <v>0</v>
      </c>
      <c r="E23">
        <f t="shared" si="2"/>
        <v>0</v>
      </c>
      <c r="F23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0</v>
      </c>
      <c r="K23">
        <f t="shared" si="8"/>
        <v>0</v>
      </c>
      <c r="L23">
        <f t="shared" si="9"/>
        <v>0</v>
      </c>
    </row>
    <row r="24" spans="1:22" x14ac:dyDescent="0.35">
      <c r="E24" s="317"/>
      <c r="F24">
        <f>P24/100</f>
        <v>0</v>
      </c>
      <c r="G24">
        <f>Q24/100</f>
        <v>0</v>
      </c>
      <c r="H24">
        <f>R24/100</f>
        <v>0</v>
      </c>
      <c r="I24">
        <f>S24/100</f>
        <v>0</v>
      </c>
      <c r="J24">
        <f>T24*AA$4/100</f>
        <v>0</v>
      </c>
      <c r="K24">
        <f>U24*AB$4/100</f>
        <v>0</v>
      </c>
      <c r="L24">
        <f>V24*AC$4/100</f>
        <v>0</v>
      </c>
    </row>
    <row r="25" spans="1:22" x14ac:dyDescent="0.35">
      <c r="B25" t="s">
        <v>109</v>
      </c>
      <c r="C25" s="317" t="str">
        <f>IF(A25&lt;&gt;"",A25&amp;": "&amp;B25,B25)</f>
        <v>Nenatal BMF</v>
      </c>
      <c r="D25">
        <f t="shared" ref="D25" si="10">N25/100</f>
        <v>3.57</v>
      </c>
      <c r="E25">
        <f t="shared" ref="E25" si="11">O25/100</f>
        <v>0.19</v>
      </c>
      <c r="F25">
        <f t="shared" ref="F25" si="12">P25/100</f>
        <v>0.71400000000000008</v>
      </c>
      <c r="G25">
        <f t="shared" ref="G25" si="13">Q25/100</f>
        <v>0</v>
      </c>
      <c r="H25">
        <f t="shared" ref="H25" si="14">R25*AA$4/100</f>
        <v>0.10347764000000001</v>
      </c>
      <c r="I25">
        <f t="shared" ref="I25" si="15">S25*AB$4/100</f>
        <v>4.8717900000000001E-2</v>
      </c>
      <c r="J25">
        <f t="shared" ref="J25" si="16">T25*AC$4/100</f>
        <v>0.38700000000000001</v>
      </c>
      <c r="K25">
        <f t="shared" ref="K25" si="17">U25*AD$4/100</f>
        <v>0.34581518999999999</v>
      </c>
      <c r="L25">
        <f t="shared" ref="L25" si="18">V25*AE$4/100</f>
        <v>5.8831629999999996E-2</v>
      </c>
      <c r="N25">
        <v>357</v>
      </c>
      <c r="O25">
        <v>19</v>
      </c>
      <c r="P25">
        <v>71.400000000000006</v>
      </c>
      <c r="R25">
        <v>238</v>
      </c>
      <c r="S25">
        <v>190</v>
      </c>
      <c r="T25">
        <v>1548</v>
      </c>
      <c r="U25">
        <v>1071</v>
      </c>
      <c r="V25">
        <v>143</v>
      </c>
    </row>
    <row r="26" spans="1:22" x14ac:dyDescent="0.35">
      <c r="B26" t="s">
        <v>110</v>
      </c>
      <c r="C26" s="317" t="str">
        <f t="shared" ref="C26:C40" si="19">IF(A26&lt;&gt;"",A26&amp;": "&amp;B26,B26)</f>
        <v>Friso BMF</v>
      </c>
      <c r="D26">
        <f t="shared" ref="D26:D40" si="20">N26/100</f>
        <v>3.4</v>
      </c>
      <c r="E26">
        <f t="shared" ref="E26:E40" si="21">O26/100</f>
        <v>0.2</v>
      </c>
      <c r="F26">
        <f t="shared" ref="F26:F40" si="22">P26/100</f>
        <v>0.623</v>
      </c>
      <c r="G26">
        <f t="shared" ref="G26:G40" si="23">Q26/100</f>
        <v>0</v>
      </c>
      <c r="H26">
        <f t="shared" ref="H26:H40" si="24">R26*AA$4/100</f>
        <v>0.1239123</v>
      </c>
      <c r="I26">
        <f t="shared" ref="I26:I40" si="25">S26*AB$4/100</f>
        <v>7.3076849999999999E-2</v>
      </c>
      <c r="J26">
        <f t="shared" ref="J26:J40" si="26">T26*AC$4/100</f>
        <v>0.42875000000000002</v>
      </c>
      <c r="K26">
        <f t="shared" ref="K26:K40" si="27">U26*AD$4/100</f>
        <v>0.32289000000000001</v>
      </c>
      <c r="L26">
        <f t="shared" ref="L26:L40" si="28">V26*AE$4/100</f>
        <v>5.75974E-2</v>
      </c>
      <c r="N26">
        <v>340</v>
      </c>
      <c r="O26">
        <v>20</v>
      </c>
      <c r="P26">
        <v>62.3</v>
      </c>
      <c r="R26">
        <v>285</v>
      </c>
      <c r="S26">
        <v>285</v>
      </c>
      <c r="T26">
        <v>1715</v>
      </c>
      <c r="U26">
        <v>1000</v>
      </c>
      <c r="V26">
        <v>140</v>
      </c>
    </row>
    <row r="27" spans="1:22" x14ac:dyDescent="0.35">
      <c r="B27" t="s">
        <v>111</v>
      </c>
      <c r="C27" s="317" t="str">
        <f t="shared" si="19"/>
        <v>Friso 1 Normaal pdr</v>
      </c>
      <c r="D27">
        <f t="shared" si="20"/>
        <v>5.15</v>
      </c>
      <c r="E27">
        <f t="shared" si="21"/>
        <v>0.10800000000000001</v>
      </c>
      <c r="F27">
        <f t="shared" si="22"/>
        <v>0.56999999999999995</v>
      </c>
      <c r="G27">
        <f t="shared" si="23"/>
        <v>0.27</v>
      </c>
      <c r="H27">
        <f t="shared" si="24"/>
        <v>6.7390900000000004E-2</v>
      </c>
      <c r="I27">
        <f t="shared" si="25"/>
        <v>0.12820500000000001</v>
      </c>
      <c r="J27">
        <f t="shared" si="26"/>
        <v>9.6250000000000002E-2</v>
      </c>
      <c r="K27">
        <f t="shared" si="27"/>
        <v>7.4264699999999989E-2</v>
      </c>
      <c r="L27">
        <f t="shared" si="28"/>
        <v>1.8924859999999998E-2</v>
      </c>
      <c r="N27">
        <v>515</v>
      </c>
      <c r="O27">
        <v>10.8</v>
      </c>
      <c r="P27">
        <v>57</v>
      </c>
      <c r="Q27">
        <v>27</v>
      </c>
      <c r="R27">
        <v>155</v>
      </c>
      <c r="S27">
        <v>500</v>
      </c>
      <c r="T27">
        <v>385</v>
      </c>
      <c r="U27">
        <v>230</v>
      </c>
      <c r="V27">
        <v>46</v>
      </c>
    </row>
    <row r="28" spans="1:22" x14ac:dyDescent="0.35">
      <c r="B28" t="s">
        <v>112</v>
      </c>
      <c r="C28" s="317" t="str">
        <f t="shared" si="19"/>
        <v>Friso 2 Normaal pdr</v>
      </c>
      <c r="D28">
        <f t="shared" si="20"/>
        <v>4.8499999999999996</v>
      </c>
      <c r="E28">
        <f t="shared" si="21"/>
        <v>0.11800000000000001</v>
      </c>
      <c r="F28">
        <f t="shared" si="22"/>
        <v>0.60399999999999998</v>
      </c>
      <c r="G28">
        <f t="shared" si="23"/>
        <v>0.215</v>
      </c>
      <c r="H28">
        <f t="shared" si="24"/>
        <v>7.8260400000000008E-2</v>
      </c>
      <c r="I28">
        <f t="shared" si="25"/>
        <v>0.14230755</v>
      </c>
      <c r="J28">
        <f t="shared" si="26"/>
        <v>0.13125000000000001</v>
      </c>
      <c r="K28">
        <f t="shared" si="27"/>
        <v>0.11624039999999999</v>
      </c>
      <c r="L28">
        <f t="shared" si="28"/>
        <v>2.2216139999999999E-2</v>
      </c>
      <c r="N28">
        <v>485</v>
      </c>
      <c r="O28">
        <v>11.8</v>
      </c>
      <c r="P28">
        <v>60.4</v>
      </c>
      <c r="Q28">
        <v>21.5</v>
      </c>
      <c r="R28">
        <v>180</v>
      </c>
      <c r="S28">
        <v>555</v>
      </c>
      <c r="T28">
        <v>525</v>
      </c>
      <c r="U28">
        <v>360</v>
      </c>
      <c r="V28">
        <v>54</v>
      </c>
    </row>
    <row r="29" spans="1:22" x14ac:dyDescent="0.35">
      <c r="B29" t="s">
        <v>113</v>
      </c>
      <c r="C29" s="317" t="str">
        <f t="shared" si="19"/>
        <v>Friso 1 Comfort pdr</v>
      </c>
      <c r="D29">
        <f t="shared" si="20"/>
        <v>4.95</v>
      </c>
      <c r="E29">
        <f t="shared" si="21"/>
        <v>0.105</v>
      </c>
      <c r="F29">
        <f t="shared" si="22"/>
        <v>0.54600000000000004</v>
      </c>
      <c r="G29">
        <f t="shared" si="23"/>
        <v>0.25800000000000001</v>
      </c>
      <c r="H29">
        <f t="shared" si="24"/>
        <v>6.5216999999999997E-2</v>
      </c>
      <c r="I29">
        <f t="shared" si="25"/>
        <v>0.12179475000000001</v>
      </c>
      <c r="J29">
        <f t="shared" si="26"/>
        <v>9.1249999999999998E-2</v>
      </c>
      <c r="K29">
        <f t="shared" si="27"/>
        <v>7.1035799999999996E-2</v>
      </c>
      <c r="L29">
        <f t="shared" si="28"/>
        <v>1.810204E-2</v>
      </c>
      <c r="N29">
        <v>495</v>
      </c>
      <c r="O29">
        <v>10.5</v>
      </c>
      <c r="P29">
        <v>54.6</v>
      </c>
      <c r="Q29">
        <v>25.8</v>
      </c>
      <c r="R29">
        <v>150</v>
      </c>
      <c r="S29">
        <v>475</v>
      </c>
      <c r="T29">
        <v>365</v>
      </c>
      <c r="U29">
        <v>220</v>
      </c>
      <c r="V29">
        <v>44</v>
      </c>
    </row>
    <row r="30" spans="1:22" x14ac:dyDescent="0.35">
      <c r="B30" t="s">
        <v>114</v>
      </c>
      <c r="C30" s="317" t="str">
        <f t="shared" si="19"/>
        <v>Friso 2 Comfort pdr</v>
      </c>
      <c r="D30">
        <f t="shared" si="20"/>
        <v>4.7</v>
      </c>
      <c r="E30">
        <f t="shared" si="21"/>
        <v>0.11599999999999999</v>
      </c>
      <c r="F30">
        <f t="shared" si="22"/>
        <v>0.58200000000000007</v>
      </c>
      <c r="G30">
        <f t="shared" si="23"/>
        <v>0.20800000000000002</v>
      </c>
      <c r="H30">
        <f t="shared" si="24"/>
        <v>7.6086500000000001E-2</v>
      </c>
      <c r="I30">
        <f t="shared" si="25"/>
        <v>0.14230755</v>
      </c>
      <c r="J30">
        <f t="shared" si="26"/>
        <v>0.13125000000000001</v>
      </c>
      <c r="K30">
        <f t="shared" si="27"/>
        <v>0.11624039999999999</v>
      </c>
      <c r="L30">
        <f t="shared" si="28"/>
        <v>2.2216139999999999E-2</v>
      </c>
      <c r="N30">
        <v>470</v>
      </c>
      <c r="O30">
        <v>11.6</v>
      </c>
      <c r="P30">
        <v>58.2</v>
      </c>
      <c r="Q30">
        <v>20.8</v>
      </c>
      <c r="R30">
        <v>175</v>
      </c>
      <c r="S30">
        <v>555</v>
      </c>
      <c r="T30">
        <v>525</v>
      </c>
      <c r="U30">
        <v>360</v>
      </c>
      <c r="V30">
        <v>54</v>
      </c>
    </row>
    <row r="31" spans="1:22" x14ac:dyDescent="0.35">
      <c r="B31" t="s">
        <v>115</v>
      </c>
      <c r="C31" s="317" t="str">
        <f t="shared" si="19"/>
        <v>Friso 1 hypoall pdr</v>
      </c>
      <c r="D31">
        <f t="shared" si="20"/>
        <v>5.15</v>
      </c>
      <c r="E31">
        <f t="shared" si="21"/>
        <v>0.11699999999999999</v>
      </c>
      <c r="F31">
        <f t="shared" si="22"/>
        <v>0.55700000000000005</v>
      </c>
      <c r="G31">
        <f t="shared" si="23"/>
        <v>0.27</v>
      </c>
      <c r="H31">
        <f t="shared" si="24"/>
        <v>7.3912600000000009E-2</v>
      </c>
      <c r="I31">
        <f t="shared" si="25"/>
        <v>0.12820500000000001</v>
      </c>
      <c r="J31">
        <f t="shared" si="26"/>
        <v>9.6250000000000002E-2</v>
      </c>
      <c r="K31">
        <f t="shared" si="27"/>
        <v>7.4264699999999989E-2</v>
      </c>
      <c r="L31">
        <f t="shared" si="28"/>
        <v>1.8924859999999998E-2</v>
      </c>
      <c r="N31">
        <v>515</v>
      </c>
      <c r="O31">
        <v>11.7</v>
      </c>
      <c r="P31">
        <v>55.7</v>
      </c>
      <c r="Q31">
        <v>27</v>
      </c>
      <c r="R31">
        <v>170</v>
      </c>
      <c r="S31">
        <v>500</v>
      </c>
      <c r="T31">
        <v>385</v>
      </c>
      <c r="U31">
        <v>230</v>
      </c>
      <c r="V31">
        <v>46</v>
      </c>
    </row>
    <row r="32" spans="1:22" x14ac:dyDescent="0.35">
      <c r="B32" t="s">
        <v>116</v>
      </c>
      <c r="C32" s="317" t="str">
        <f t="shared" si="19"/>
        <v>Friso 2 hypoall pdr</v>
      </c>
      <c r="D32">
        <f t="shared" si="20"/>
        <v>4.8499999999999996</v>
      </c>
      <c r="E32">
        <f t="shared" si="21"/>
        <v>0.11800000000000001</v>
      </c>
      <c r="F32">
        <f t="shared" si="22"/>
        <v>0.60799999999999998</v>
      </c>
      <c r="G32">
        <f t="shared" si="23"/>
        <v>0.215</v>
      </c>
      <c r="H32">
        <f t="shared" si="24"/>
        <v>7.8260400000000008E-2</v>
      </c>
      <c r="I32">
        <f t="shared" si="25"/>
        <v>0.14230755</v>
      </c>
      <c r="J32">
        <f t="shared" si="26"/>
        <v>0.13750000000000001</v>
      </c>
      <c r="K32">
        <f t="shared" si="27"/>
        <v>0.12592709999999999</v>
      </c>
      <c r="L32">
        <f t="shared" si="28"/>
        <v>2.2216139999999999E-2</v>
      </c>
      <c r="N32">
        <v>485</v>
      </c>
      <c r="O32">
        <v>11.8</v>
      </c>
      <c r="P32">
        <v>60.8</v>
      </c>
      <c r="Q32">
        <v>21.5</v>
      </c>
      <c r="R32">
        <v>180</v>
      </c>
      <c r="S32">
        <v>555</v>
      </c>
      <c r="T32">
        <v>550</v>
      </c>
      <c r="U32">
        <v>390</v>
      </c>
      <c r="V32">
        <v>54</v>
      </c>
    </row>
    <row r="33" spans="2:22" x14ac:dyDescent="0.35">
      <c r="B33" t="s">
        <v>117</v>
      </c>
      <c r="C33" s="317" t="str">
        <f t="shared" si="19"/>
        <v>Nutramigen pdr</v>
      </c>
      <c r="D33">
        <f t="shared" si="20"/>
        <v>5</v>
      </c>
      <c r="E33">
        <f t="shared" si="21"/>
        <v>0.14000000000000001</v>
      </c>
      <c r="F33">
        <f t="shared" si="22"/>
        <v>0.55000000000000004</v>
      </c>
      <c r="G33">
        <f t="shared" si="23"/>
        <v>0.25</v>
      </c>
      <c r="H33">
        <f t="shared" si="24"/>
        <v>0.1043472</v>
      </c>
      <c r="I33">
        <f t="shared" si="25"/>
        <v>0.1564101</v>
      </c>
      <c r="J33">
        <f t="shared" si="26"/>
        <v>0.11749999999999999</v>
      </c>
      <c r="K33">
        <f t="shared" si="27"/>
        <v>0.12592709999999999</v>
      </c>
      <c r="L33">
        <f t="shared" si="28"/>
        <v>2.0570499999999999E-2</v>
      </c>
      <c r="N33">
        <v>500</v>
      </c>
      <c r="O33">
        <v>14</v>
      </c>
      <c r="P33">
        <v>55</v>
      </c>
      <c r="Q33">
        <v>25</v>
      </c>
      <c r="R33">
        <v>240</v>
      </c>
      <c r="S33">
        <v>610</v>
      </c>
      <c r="T33">
        <v>470</v>
      </c>
      <c r="U33">
        <v>390</v>
      </c>
      <c r="V33">
        <v>50</v>
      </c>
    </row>
    <row r="34" spans="2:22" x14ac:dyDescent="0.35">
      <c r="B34" t="s">
        <v>118</v>
      </c>
      <c r="C34" s="317" t="str">
        <f t="shared" si="19"/>
        <v>Nutramigen 2 LGG pdr</v>
      </c>
      <c r="D34">
        <f t="shared" si="20"/>
        <v>4.9000000000000004</v>
      </c>
      <c r="E34">
        <f t="shared" si="21"/>
        <v>0.158</v>
      </c>
      <c r="F34">
        <f t="shared" si="22"/>
        <v>0.53</v>
      </c>
      <c r="G34">
        <f t="shared" si="23"/>
        <v>0.24</v>
      </c>
      <c r="H34">
        <f t="shared" si="24"/>
        <v>0.108695</v>
      </c>
      <c r="I34">
        <f t="shared" si="25"/>
        <v>0.15384600000000001</v>
      </c>
      <c r="J34">
        <f t="shared" si="26"/>
        <v>0.155</v>
      </c>
      <c r="K34">
        <f t="shared" si="27"/>
        <v>0.12269819999999999</v>
      </c>
      <c r="L34">
        <f t="shared" si="28"/>
        <v>2.262755E-2</v>
      </c>
      <c r="N34">
        <v>490</v>
      </c>
      <c r="O34">
        <v>15.8</v>
      </c>
      <c r="P34">
        <v>53</v>
      </c>
      <c r="Q34">
        <v>24</v>
      </c>
      <c r="R34">
        <v>250</v>
      </c>
      <c r="S34">
        <v>600</v>
      </c>
      <c r="T34">
        <v>620</v>
      </c>
      <c r="U34">
        <v>380</v>
      </c>
      <c r="V34">
        <v>55</v>
      </c>
    </row>
    <row r="35" spans="2:22" x14ac:dyDescent="0.35">
      <c r="B35" t="s">
        <v>119</v>
      </c>
      <c r="C35" s="317" t="str">
        <f t="shared" si="19"/>
        <v>Flexical pdr</v>
      </c>
      <c r="D35">
        <f t="shared" si="20"/>
        <v>4.5</v>
      </c>
      <c r="E35">
        <f t="shared" si="21"/>
        <v>0.14400000000000002</v>
      </c>
      <c r="F35">
        <f t="shared" si="22"/>
        <v>0.61</v>
      </c>
      <c r="G35">
        <f t="shared" si="23"/>
        <v>0.17199999999999999</v>
      </c>
      <c r="H35">
        <f t="shared" si="24"/>
        <v>9.9999400000000002E-2</v>
      </c>
      <c r="I35">
        <f t="shared" si="25"/>
        <v>0.1102563</v>
      </c>
      <c r="J35">
        <f t="shared" si="26"/>
        <v>0.18</v>
      </c>
      <c r="K35">
        <f t="shared" si="27"/>
        <v>0.1130115</v>
      </c>
      <c r="L35">
        <f t="shared" si="28"/>
        <v>3.7026899999999995E-2</v>
      </c>
      <c r="N35">
        <v>450</v>
      </c>
      <c r="O35">
        <v>14.4</v>
      </c>
      <c r="P35">
        <v>61</v>
      </c>
      <c r="Q35">
        <v>17.2</v>
      </c>
      <c r="R35">
        <v>230</v>
      </c>
      <c r="S35">
        <v>430</v>
      </c>
      <c r="T35">
        <v>720</v>
      </c>
      <c r="U35">
        <v>350</v>
      </c>
      <c r="V35">
        <v>90</v>
      </c>
    </row>
    <row r="36" spans="2:22" x14ac:dyDescent="0.35">
      <c r="B36" t="s">
        <v>120</v>
      </c>
      <c r="C36" s="317" t="str">
        <f t="shared" si="19"/>
        <v>Nutrilon Soya 1 pdr</v>
      </c>
      <c r="D36">
        <f t="shared" si="20"/>
        <v>5.22</v>
      </c>
      <c r="E36">
        <f t="shared" si="21"/>
        <v>0.14199999999999999</v>
      </c>
      <c r="F36">
        <f t="shared" si="22"/>
        <v>0.52700000000000002</v>
      </c>
      <c r="G36">
        <f t="shared" si="23"/>
        <v>0.28300000000000003</v>
      </c>
      <c r="H36">
        <f t="shared" si="24"/>
        <v>6.0869199999999998E-2</v>
      </c>
      <c r="I36">
        <f t="shared" si="25"/>
        <v>0.13461524999999999</v>
      </c>
      <c r="J36">
        <f t="shared" si="26"/>
        <v>0.105</v>
      </c>
      <c r="K36">
        <f t="shared" si="27"/>
        <v>6.7806900000000003E-2</v>
      </c>
      <c r="L36">
        <f t="shared" si="28"/>
        <v>1.6456399999999996E-2</v>
      </c>
      <c r="N36">
        <v>522</v>
      </c>
      <c r="O36">
        <v>14.2</v>
      </c>
      <c r="P36">
        <v>52.7</v>
      </c>
      <c r="Q36">
        <v>28.3</v>
      </c>
      <c r="R36">
        <v>140</v>
      </c>
      <c r="S36">
        <v>525</v>
      </c>
      <c r="T36">
        <v>420</v>
      </c>
      <c r="U36">
        <v>210</v>
      </c>
      <c r="V36">
        <v>40</v>
      </c>
    </row>
    <row r="37" spans="2:22" x14ac:dyDescent="0.35">
      <c r="B37" t="s">
        <v>121</v>
      </c>
      <c r="C37" s="317" t="str">
        <f t="shared" si="19"/>
        <v>Nutrilon Soya 2 pdr</v>
      </c>
      <c r="D37">
        <f t="shared" si="20"/>
        <v>5.03</v>
      </c>
      <c r="E37">
        <f t="shared" si="21"/>
        <v>0.154</v>
      </c>
      <c r="F37">
        <f t="shared" si="22"/>
        <v>0.53799999999999992</v>
      </c>
      <c r="G37">
        <f t="shared" si="23"/>
        <v>0.251</v>
      </c>
      <c r="H37">
        <f t="shared" si="24"/>
        <v>6.956480000000001E-2</v>
      </c>
      <c r="I37">
        <f t="shared" si="25"/>
        <v>0.17948699999999998</v>
      </c>
      <c r="J37">
        <f t="shared" si="26"/>
        <v>0.16250000000000001</v>
      </c>
      <c r="K37">
        <f t="shared" si="27"/>
        <v>0.12915599999999999</v>
      </c>
      <c r="L37">
        <f t="shared" si="28"/>
        <v>2.0570499999999999E-2</v>
      </c>
      <c r="N37">
        <v>503</v>
      </c>
      <c r="O37">
        <v>15.4</v>
      </c>
      <c r="P37">
        <v>53.8</v>
      </c>
      <c r="Q37">
        <v>25.1</v>
      </c>
      <c r="R37">
        <v>160</v>
      </c>
      <c r="S37">
        <v>700</v>
      </c>
      <c r="T37">
        <v>650</v>
      </c>
      <c r="U37">
        <v>400</v>
      </c>
      <c r="V37">
        <v>50</v>
      </c>
    </row>
    <row r="38" spans="2:22" x14ac:dyDescent="0.35">
      <c r="B38" t="s">
        <v>122</v>
      </c>
      <c r="C38" s="317" t="str">
        <f t="shared" si="19"/>
        <v>Peptisorb pdr</v>
      </c>
      <c r="D38">
        <f t="shared" si="20"/>
        <v>4.0199999999999996</v>
      </c>
      <c r="E38">
        <f t="shared" si="21"/>
        <v>0.14699999999999999</v>
      </c>
      <c r="F38">
        <f t="shared" si="22"/>
        <v>0.71</v>
      </c>
      <c r="G38">
        <f t="shared" si="23"/>
        <v>6.7000000000000004E-2</v>
      </c>
      <c r="H38">
        <f t="shared" si="24"/>
        <v>0.17478156000000003</v>
      </c>
      <c r="I38">
        <f t="shared" si="25"/>
        <v>0.15461522999999999</v>
      </c>
      <c r="J38">
        <f t="shared" si="26"/>
        <v>8.0500000000000002E-2</v>
      </c>
      <c r="K38">
        <f t="shared" si="27"/>
        <v>8.6211629999999997E-2</v>
      </c>
      <c r="L38">
        <f t="shared" si="28"/>
        <v>3.4558439999999996E-2</v>
      </c>
      <c r="N38">
        <v>402</v>
      </c>
      <c r="O38">
        <v>14.7</v>
      </c>
      <c r="P38">
        <v>71</v>
      </c>
      <c r="Q38">
        <v>6.7</v>
      </c>
      <c r="R38">
        <v>402</v>
      </c>
      <c r="S38">
        <v>603</v>
      </c>
      <c r="T38">
        <v>322</v>
      </c>
      <c r="U38">
        <v>267</v>
      </c>
      <c r="V38">
        <v>84</v>
      </c>
    </row>
    <row r="39" spans="2:22" x14ac:dyDescent="0.35">
      <c r="B39" t="s">
        <v>123</v>
      </c>
      <c r="C39" s="317" t="str">
        <f t="shared" si="19"/>
        <v>Pepti Junior pdr</v>
      </c>
      <c r="D39">
        <f t="shared" si="20"/>
        <v>5.16</v>
      </c>
      <c r="E39">
        <f t="shared" si="21"/>
        <v>0.14300000000000002</v>
      </c>
      <c r="F39">
        <f t="shared" si="22"/>
        <v>0.51300000000000001</v>
      </c>
      <c r="G39">
        <f t="shared" si="23"/>
        <v>0.28300000000000003</v>
      </c>
      <c r="H39">
        <f t="shared" si="24"/>
        <v>6.7390900000000004E-2</v>
      </c>
      <c r="I39">
        <f t="shared" si="25"/>
        <v>0.13205115000000001</v>
      </c>
      <c r="J39">
        <f t="shared" si="26"/>
        <v>0.105</v>
      </c>
      <c r="K39">
        <f t="shared" si="27"/>
        <v>6.7806900000000003E-2</v>
      </c>
      <c r="L39">
        <f t="shared" si="28"/>
        <v>2.4684599999999998E-2</v>
      </c>
      <c r="N39">
        <v>516</v>
      </c>
      <c r="O39">
        <v>14.3</v>
      </c>
      <c r="P39">
        <v>51.3</v>
      </c>
      <c r="Q39">
        <v>28.3</v>
      </c>
      <c r="R39">
        <v>155</v>
      </c>
      <c r="S39">
        <v>515</v>
      </c>
      <c r="T39">
        <v>420</v>
      </c>
      <c r="U39">
        <v>210</v>
      </c>
      <c r="V39">
        <v>60</v>
      </c>
    </row>
    <row r="40" spans="2:22" x14ac:dyDescent="0.35">
      <c r="B40" t="s">
        <v>124</v>
      </c>
      <c r="C40" s="317" t="str">
        <f t="shared" si="19"/>
        <v>Caprilon pdr</v>
      </c>
      <c r="D40">
        <f t="shared" si="20"/>
        <v>0.52</v>
      </c>
      <c r="E40">
        <f t="shared" si="21"/>
        <v>0.11800000000000001</v>
      </c>
      <c r="F40">
        <f t="shared" si="22"/>
        <v>0.55100000000000005</v>
      </c>
      <c r="G40">
        <f t="shared" si="23"/>
        <v>0.28300000000000003</v>
      </c>
      <c r="H40">
        <f t="shared" si="24"/>
        <v>6.0869199999999998E-2</v>
      </c>
      <c r="I40">
        <f t="shared" si="25"/>
        <v>0.13461524999999999</v>
      </c>
      <c r="J40">
        <f t="shared" si="26"/>
        <v>0.105</v>
      </c>
      <c r="K40">
        <f t="shared" si="27"/>
        <v>6.7806900000000003E-2</v>
      </c>
      <c r="L40">
        <f t="shared" si="28"/>
        <v>1.6456399999999996E-2</v>
      </c>
      <c r="N40">
        <v>52</v>
      </c>
      <c r="O40">
        <v>11.8</v>
      </c>
      <c r="P40">
        <v>55.1</v>
      </c>
      <c r="Q40">
        <v>28.3</v>
      </c>
      <c r="R40">
        <v>140</v>
      </c>
      <c r="S40">
        <v>525</v>
      </c>
      <c r="T40">
        <v>420</v>
      </c>
      <c r="U40">
        <v>210</v>
      </c>
      <c r="V40">
        <v>40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P10"/>
  <sheetViews>
    <sheetView workbookViewId="0">
      <selection activeCell="J8" sqref="J8"/>
    </sheetView>
  </sheetViews>
  <sheetFormatPr defaultRowHeight="12.85" x14ac:dyDescent="0.35"/>
  <cols>
    <col min="1" max="1" width="5.3984375" customWidth="1"/>
    <col min="5" max="5" width="10.265625" customWidth="1"/>
    <col min="6" max="6" width="11.86328125" customWidth="1"/>
    <col min="10" max="10" width="25.46484375" customWidth="1"/>
    <col min="13" max="13" width="9.3984375" bestFit="1" customWidth="1"/>
  </cols>
  <sheetData>
    <row r="1" spans="1:16" x14ac:dyDescent="0.35">
      <c r="C1" s="317" t="s">
        <v>769</v>
      </c>
      <c r="D1" s="317" t="s">
        <v>1258</v>
      </c>
      <c r="E1" s="317" t="s">
        <v>1259</v>
      </c>
      <c r="F1" s="317" t="s">
        <v>1260</v>
      </c>
      <c r="G1" s="317" t="s">
        <v>1261</v>
      </c>
      <c r="H1" s="317" t="s">
        <v>1262</v>
      </c>
      <c r="I1" s="317" t="s">
        <v>1263</v>
      </c>
      <c r="J1" s="317" t="s">
        <v>549</v>
      </c>
      <c r="K1" t="s">
        <v>324</v>
      </c>
      <c r="L1" t="s">
        <v>248</v>
      </c>
      <c r="N1" t="s">
        <v>768</v>
      </c>
      <c r="O1" t="s">
        <v>615</v>
      </c>
      <c r="P1" s="317" t="s">
        <v>1269</v>
      </c>
    </row>
    <row r="2" spans="1:16" x14ac:dyDescent="0.35">
      <c r="A2" s="28">
        <v>1</v>
      </c>
      <c r="B2" s="28" t="s">
        <v>586</v>
      </c>
      <c r="C2" s="28">
        <f>IF(ber_PO!$N$2&lt;&gt;0,INDEX(tblPerOs,KeuzePO_1,A2+1)*ber_PO!$N$2,0)</f>
        <v>0</v>
      </c>
      <c r="D2" s="28">
        <f>IF(ber_PO!$N$3&lt;&gt;0,INDEX(tblPoeder,ber_PO!$O$3,$A2+1)*ber_PO!$N$3,0)</f>
        <v>0</v>
      </c>
      <c r="E2" s="28">
        <f>IF(ber_PO!$N$3&lt;&gt;0,INDEX(tblPoeder,ber_PO!$O$3,$A2+1)*ber_PO!$N$3,0)</f>
        <v>0</v>
      </c>
      <c r="F2" s="28">
        <f>IF(ber_PO!$N$3&lt;&gt;0,INDEX(tblPoeder,ber_PO!$O$3,$A2+1)*ber_PO!$N$3,0)</f>
        <v>0</v>
      </c>
      <c r="G2" s="28">
        <f>IF(ber_PO!$N$3&lt;&gt;0,INDEX(tblPoeder,ber_PO!$O$3,$A2+1)*ber_PO!$N$3,0)</f>
        <v>0</v>
      </c>
      <c r="H2" s="28">
        <f t="shared" ref="H2:H10" si="0">SUM(C2:G2)</f>
        <v>0</v>
      </c>
      <c r="J2" s="336" t="s">
        <v>1264</v>
      </c>
      <c r="K2" s="28">
        <v>24</v>
      </c>
      <c r="L2" s="28">
        <v>0</v>
      </c>
      <c r="M2">
        <f>IF(L2&lt;51,L2/10,IF(L2&lt;66,(L2-49)+4,IF(L2&lt;82,(L2-61)*5,IF(L2&lt;122,(L2-71)*10,(L2-111)*50))))</f>
        <v>0</v>
      </c>
      <c r="N2" s="28">
        <f>IF(O2&gt;1,K2*M2,0)</f>
        <v>0</v>
      </c>
      <c r="O2">
        <v>32</v>
      </c>
      <c r="P2">
        <v>1</v>
      </c>
    </row>
    <row r="3" spans="1:16" x14ac:dyDescent="0.35">
      <c r="A3" s="28">
        <v>2</v>
      </c>
      <c r="B3" s="28" t="s">
        <v>534</v>
      </c>
      <c r="C3" s="28">
        <f>IF(ber_PO!$N$2&lt;&gt;0,INDEX(tblPerOs,KeuzePO_1,A3+1)*ber_PO!$N$2,0)</f>
        <v>0</v>
      </c>
      <c r="D3" s="28">
        <f>IF(ber_PO!$N$3&lt;&gt;0,INDEX(tblPoeder,ber_PO!$O$3,$A3+1)*ber_PO!$N$3,0)</f>
        <v>0</v>
      </c>
      <c r="E3" s="28">
        <f>IF(ber_PO!$N$3&lt;&gt;0,INDEX(tblPoeder,ber_PO!$O$3,$A3+1)*ber_PO!$N$3,0)</f>
        <v>0</v>
      </c>
      <c r="F3" s="28">
        <f>IF(ber_PO!$N$3&lt;&gt;0,INDEX(tblPoeder,ber_PO!$O$3,$A3+1)*ber_PO!$N$3,0)</f>
        <v>0</v>
      </c>
      <c r="G3" s="28">
        <f>IF(ber_PO!$N$3&lt;&gt;0,INDEX(tblPoeder,ber_PO!$O$3,$A3+1)*ber_PO!$N$3,0)</f>
        <v>0</v>
      </c>
      <c r="H3" s="28">
        <f t="shared" si="0"/>
        <v>0</v>
      </c>
      <c r="J3" s="336" t="s">
        <v>1265</v>
      </c>
      <c r="K3">
        <v>1</v>
      </c>
      <c r="M3">
        <f>IF(L3&lt;51,L3/10,IF(L3&lt;66,(L3-49)+4,IF(L3&lt;82,(L3-61)*5,IF(L3&lt;122,(L3-71)*10,(L3-111)*50))))</f>
        <v>0</v>
      </c>
      <c r="N3" s="28">
        <f>IF(O3&gt;1,K3*M3,0)</f>
        <v>0</v>
      </c>
      <c r="O3">
        <v>1</v>
      </c>
    </row>
    <row r="4" spans="1:16" x14ac:dyDescent="0.35">
      <c r="A4" s="28">
        <v>3</v>
      </c>
      <c r="B4" s="28" t="s">
        <v>587</v>
      </c>
      <c r="C4" s="28">
        <f>IF(ber_PO!$N$2&lt;&gt;0,INDEX(tblPerOs,KeuzePO_1,A4+1)*ber_PO!$N$2,0)</f>
        <v>0</v>
      </c>
      <c r="D4" s="28">
        <f>IF(ber_PO!$N$3&lt;&gt;0,INDEX(tblPoeder,ber_PO!$O$3,$A4+1)*ber_PO!$N$3,0)</f>
        <v>0</v>
      </c>
      <c r="E4" s="28">
        <f>IF(ber_PO!$N$3&lt;&gt;0,INDEX(tblPoeder,ber_PO!$O$3,$A4+1)*ber_PO!$N$3,0)</f>
        <v>0</v>
      </c>
      <c r="F4" s="28">
        <f>IF(ber_PO!$N$3&lt;&gt;0,INDEX(tblPoeder,ber_PO!$O$3,$A4+1)*ber_PO!$N$3,0)</f>
        <v>0</v>
      </c>
      <c r="G4" s="28">
        <f>IF(ber_PO!$N$3&lt;&gt;0,INDEX(tblPoeder,ber_PO!$O$3,$A4+1)*ber_PO!$N$3,0)</f>
        <v>0</v>
      </c>
      <c r="H4" s="28">
        <f t="shared" si="0"/>
        <v>0</v>
      </c>
      <c r="J4" s="336" t="s">
        <v>1266</v>
      </c>
      <c r="M4">
        <f>IF(L4&lt;51,L4/10,IF(L4&lt;66,(L4-49)+4,IF(L4&lt;82,(L4-61)*5,IF(L4&lt;122,(L4-71)*10,(L4-111)*50))))</f>
        <v>0</v>
      </c>
      <c r="N4" s="28">
        <f>IF(O4&gt;1,K4*M4,0)</f>
        <v>0</v>
      </c>
    </row>
    <row r="5" spans="1:16" x14ac:dyDescent="0.35">
      <c r="A5" s="28">
        <v>4</v>
      </c>
      <c r="B5" s="28" t="s">
        <v>535</v>
      </c>
      <c r="C5" s="28">
        <f>IF(ber_PO!$N$2&lt;&gt;0,INDEX(tblPerOs,KeuzePO_1,A5+1)*ber_PO!$N$2,0)</f>
        <v>0</v>
      </c>
      <c r="D5" s="28">
        <f>IF(ber_PO!$N$3&lt;&gt;0,INDEX(tblPoeder,ber_PO!$O$3,$A5+1)*ber_PO!$N$3,0)</f>
        <v>0</v>
      </c>
      <c r="E5" s="28">
        <f>IF(ber_PO!$N$3&lt;&gt;0,INDEX(tblPoeder,ber_PO!$O$3,$A5+1)*ber_PO!$N$3,0)</f>
        <v>0</v>
      </c>
      <c r="F5" s="28">
        <f>IF(ber_PO!$N$3&lt;&gt;0,INDEX(tblPoeder,ber_PO!$O$3,$A5+1)*ber_PO!$N$3,0)</f>
        <v>0</v>
      </c>
      <c r="G5" s="28">
        <f>IF(ber_PO!$N$3&lt;&gt;0,INDEX(tblPoeder,ber_PO!$O$3,$A5+1)*ber_PO!$N$3,0)</f>
        <v>0</v>
      </c>
      <c r="H5" s="28">
        <f t="shared" si="0"/>
        <v>0</v>
      </c>
      <c r="J5" s="336" t="s">
        <v>1267</v>
      </c>
      <c r="M5">
        <f>IF(L5&lt;51,L5/10,IF(L5&lt;66,(L5-49)+4,IF(L5&lt;82,(L5-61)*5,IF(L5&lt;122,(L5-71)*10,(L5-111)*50))))</f>
        <v>0</v>
      </c>
      <c r="N5" s="28">
        <f>IF(O5&gt;1,K5*M5,0)</f>
        <v>0</v>
      </c>
    </row>
    <row r="6" spans="1:16" x14ac:dyDescent="0.35">
      <c r="A6" s="28">
        <v>5</v>
      </c>
      <c r="B6" s="28" t="s">
        <v>579</v>
      </c>
      <c r="C6" s="28">
        <f>IF(ber_PO!$N$2&lt;&gt;0,INDEX(tblPerOs,KeuzePO_1,A6+1)*ber_PO!$N$2,0)</f>
        <v>0</v>
      </c>
      <c r="D6" s="28">
        <f>IF(ber_PO!$N$3&lt;&gt;0,INDEX(tblPoeder,ber_PO!$O$3,$A6+1)*ber_PO!$N$3,0)</f>
        <v>0</v>
      </c>
      <c r="E6" s="28">
        <f>IF(ber_PO!$N$3&lt;&gt;0,INDEX(tblPoeder,ber_PO!$O$3,$A6+1)*ber_PO!$N$3,0)</f>
        <v>0</v>
      </c>
      <c r="F6" s="28">
        <f>IF(ber_PO!$N$3&lt;&gt;0,INDEX(tblPoeder,ber_PO!$O$3,$A6+1)*ber_PO!$N$3,0)</f>
        <v>0</v>
      </c>
      <c r="G6" s="28">
        <f>IF(ber_PO!$N$3&lt;&gt;0,INDEX(tblPoeder,ber_PO!$O$3,$A6+1)*ber_PO!$N$3,0)</f>
        <v>0</v>
      </c>
      <c r="H6" s="28">
        <f t="shared" si="0"/>
        <v>0</v>
      </c>
      <c r="J6" s="336" t="s">
        <v>1268</v>
      </c>
    </row>
    <row r="7" spans="1:16" x14ac:dyDescent="0.35">
      <c r="A7" s="28">
        <v>6</v>
      </c>
      <c r="B7" s="28" t="s">
        <v>580</v>
      </c>
      <c r="C7" s="28">
        <f>IF(ber_PO!$N$2&lt;&gt;0,INDEX(tblPerOs,KeuzePO_1,A7+1)*ber_PO!$N$2,0)</f>
        <v>0</v>
      </c>
      <c r="D7" s="28">
        <f>IF(ber_PO!$N$3&lt;&gt;0,INDEX(tblPoeder,ber_PO!$O$3,$A7+1)*ber_PO!$N$3,0)</f>
        <v>0</v>
      </c>
      <c r="E7" s="28">
        <f>IF(ber_PO!$N$3&lt;&gt;0,INDEX(tblPoeder,ber_PO!$O$3,$A7+1)*ber_PO!$N$3,0)</f>
        <v>0</v>
      </c>
      <c r="F7" s="28">
        <f>IF(ber_PO!$N$3&lt;&gt;0,INDEX(tblPoeder,ber_PO!$O$3,$A7+1)*ber_PO!$N$3,0)</f>
        <v>0</v>
      </c>
      <c r="G7" s="28">
        <f>IF(ber_PO!$N$3&lt;&gt;0,INDEX(tblPoeder,ber_PO!$O$3,$A7+1)*ber_PO!$N$3,0)</f>
        <v>0</v>
      </c>
      <c r="H7" s="28">
        <f t="shared" si="0"/>
        <v>0</v>
      </c>
      <c r="J7" s="28"/>
    </row>
    <row r="8" spans="1:16" x14ac:dyDescent="0.35">
      <c r="A8" s="28">
        <v>7</v>
      </c>
      <c r="B8" s="28" t="s">
        <v>581</v>
      </c>
      <c r="C8" s="28">
        <f>IF(ber_PO!$N$2&lt;&gt;0,INDEX(tblPerOs,KeuzePO_1,A8+1)*ber_PO!$N$2,0)</f>
        <v>0</v>
      </c>
      <c r="D8" s="28">
        <f>IF(ber_PO!$N$3&lt;&gt;0,INDEX(tblPoeder,ber_PO!$O$3,$A8+1)*ber_PO!$N$3,0)</f>
        <v>0</v>
      </c>
      <c r="E8" s="28">
        <f>IF(ber_PO!$N$3&lt;&gt;0,INDEX(tblPoeder,ber_PO!$O$3,$A8+1)*ber_PO!$N$3,0)</f>
        <v>0</v>
      </c>
      <c r="F8" s="28">
        <f>IF(ber_PO!$N$3&lt;&gt;0,INDEX(tblPoeder,ber_PO!$O$3,$A8+1)*ber_PO!$N$3,0)</f>
        <v>0</v>
      </c>
      <c r="G8" s="28">
        <f>IF(ber_PO!$N$3&lt;&gt;0,INDEX(tblPoeder,ber_PO!$O$3,$A8+1)*ber_PO!$N$3,0)</f>
        <v>0</v>
      </c>
      <c r="H8" s="28">
        <f t="shared" si="0"/>
        <v>0</v>
      </c>
      <c r="J8" s="28"/>
    </row>
    <row r="9" spans="1:16" x14ac:dyDescent="0.35">
      <c r="A9" s="28">
        <v>8</v>
      </c>
      <c r="B9" s="28" t="s">
        <v>588</v>
      </c>
      <c r="C9" s="28">
        <f>IF(ber_PO!$N$2&lt;&gt;0,INDEX(tblPerOs,KeuzePO_1,A9+1)*ber_PO!$N$2,0)</f>
        <v>0</v>
      </c>
      <c r="D9" s="28">
        <f>IF(ber_PO!$N$3&lt;&gt;0,INDEX(tblPoeder,ber_PO!$O$3,$A9+1)*ber_PO!$N$3,0)</f>
        <v>0</v>
      </c>
      <c r="E9" s="28">
        <f>IF(ber_PO!$N$3&lt;&gt;0,INDEX(tblPoeder,ber_PO!$O$3,$A9+1)*ber_PO!$N$3,0)</f>
        <v>0</v>
      </c>
      <c r="F9" s="28">
        <f>IF(ber_PO!$N$3&lt;&gt;0,INDEX(tblPoeder,ber_PO!$O$3,$A9+1)*ber_PO!$N$3,0)</f>
        <v>0</v>
      </c>
      <c r="G9" s="28">
        <f>IF(ber_PO!$N$3&lt;&gt;0,INDEX(tblPoeder,ber_PO!$O$3,$A9+1)*ber_PO!$N$3,0)</f>
        <v>0</v>
      </c>
      <c r="H9" s="28">
        <f t="shared" si="0"/>
        <v>0</v>
      </c>
      <c r="J9" s="28"/>
    </row>
    <row r="10" spans="1:16" x14ac:dyDescent="0.35">
      <c r="A10" s="28">
        <v>9</v>
      </c>
      <c r="B10" s="28" t="s">
        <v>582</v>
      </c>
      <c r="C10" s="28">
        <f>IF(ber_PO!$N$2&lt;&gt;0,INDEX(tblPerOs,KeuzePO_1,A10+1)*ber_PO!$N$2,0)</f>
        <v>0</v>
      </c>
      <c r="D10" s="28">
        <f>IF(ber_PO!$N$3&lt;&gt;0,INDEX(tblPoeder,ber_PO!$O$3,$A10+1)*ber_PO!$N$3,0)</f>
        <v>0</v>
      </c>
      <c r="E10" s="28">
        <f>IF(ber_PO!$N$3&lt;&gt;0,INDEX(tblPoeder,ber_PO!$O$3,$A10+1)*ber_PO!$N$3,0)</f>
        <v>0</v>
      </c>
      <c r="F10" s="28">
        <f>IF(ber_PO!$N$3&lt;&gt;0,INDEX(tblPoeder,ber_PO!$O$3,$A10+1)*ber_PO!$N$3,0)</f>
        <v>0</v>
      </c>
      <c r="G10" s="28">
        <f>IF(ber_PO!$N$3&lt;&gt;0,INDEX(tblPoeder,ber_PO!$O$3,$A10+1)*ber_PO!$N$3,0)</f>
        <v>0</v>
      </c>
      <c r="H10" s="28">
        <f t="shared" si="0"/>
        <v>0</v>
      </c>
      <c r="J10" s="28"/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134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(150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IF(TPN&lt;&gt;1,ROUND(G21/24,1)&amp;"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IF(AND(TPN&lt;&gt;1,G16&lt;&gt;0,Gewicht/10&lt;=50),ROUND(ber_TPN!F7,0),"")</f>
        <v/>
      </c>
      <c r="H14" s="94"/>
    </row>
    <row r="15" spans="1:8" ht="20.100000000000001" customHeight="1" x14ac:dyDescent="0.35">
      <c r="A15" s="374"/>
      <c r="B15" s="112" t="s">
        <v>1119</v>
      </c>
      <c r="C15" s="113"/>
      <c r="D15" s="113" t="s">
        <v>130</v>
      </c>
      <c r="E15" s="113" t="s">
        <v>239</v>
      </c>
      <c r="F15" s="114" t="s">
        <v>239</v>
      </c>
      <c r="G15" s="111" t="str">
        <f>IF(AND(TPN&lt;&gt;1,G16&lt;&gt;0,Gewicht/10&lt;=50),ROUND(ber_TPN!F8,0),"")</f>
        <v/>
      </c>
      <c r="H15" s="94"/>
    </row>
    <row r="16" spans="1:8" ht="20.100000000000001" customHeight="1" x14ac:dyDescent="0.35">
      <c r="A16" s="34"/>
      <c r="B16" s="112" t="s">
        <v>1120</v>
      </c>
      <c r="C16" s="113"/>
      <c r="D16" s="113" t="s">
        <v>493</v>
      </c>
      <c r="E16" s="113" t="s">
        <v>131</v>
      </c>
      <c r="F16" s="114" t="s">
        <v>132</v>
      </c>
      <c r="G16" s="115" t="str">
        <f>IF(TPN&lt;&gt;1,ber_TPN!F4,"")</f>
        <v/>
      </c>
      <c r="H16" s="94"/>
    </row>
    <row r="17" spans="1:8" ht="20.100000000000001" customHeight="1" x14ac:dyDescent="0.35">
      <c r="A17" s="34"/>
      <c r="B17" s="112" t="s">
        <v>816</v>
      </c>
      <c r="C17" s="113"/>
      <c r="D17" s="113" t="s">
        <v>133</v>
      </c>
      <c r="E17" s="113"/>
      <c r="F17" s="114"/>
      <c r="G17" s="115" t="str">
        <f>IF(AND(SSTglucose=2,TPN&lt;&gt;1,Gewicht/10&lt;=50),ROUND(ber_TPN!F6,0),"")</f>
        <v/>
      </c>
      <c r="H17" s="94"/>
    </row>
    <row r="18" spans="1:8" ht="20.100000000000001" customHeight="1" x14ac:dyDescent="0.35">
      <c r="A18" s="34"/>
      <c r="B18" s="112" t="s">
        <v>1121</v>
      </c>
      <c r="C18" s="113"/>
      <c r="D18" s="113"/>
      <c r="E18" s="113" t="s">
        <v>135</v>
      </c>
      <c r="F18" s="114"/>
      <c r="G18" s="115" t="str">
        <f>IF(AND(SSTglucose=3,TPN&lt;&gt;1,Gewicht/10&lt;=50),ROUND(ber_TPN!F6,0),"")</f>
        <v/>
      </c>
      <c r="H18" s="94"/>
    </row>
    <row r="19" spans="1:8" ht="20.100000000000001" customHeight="1" x14ac:dyDescent="0.35">
      <c r="A19" s="34"/>
      <c r="B19" s="112" t="s">
        <v>243</v>
      </c>
      <c r="C19" s="113"/>
      <c r="D19" s="113"/>
      <c r="E19" s="113"/>
      <c r="F19" s="114" t="s">
        <v>136</v>
      </c>
      <c r="G19" s="115" t="str">
        <f>IF(AND(SSTglucose=5,TPN&lt;&gt;1,Gewicht/10&lt;=50),ROUND(ber_TPN!F6,0),"")</f>
        <v/>
      </c>
      <c r="H19" s="94"/>
    </row>
    <row r="20" spans="1:8" ht="20.100000000000001" customHeight="1" x14ac:dyDescent="0.35">
      <c r="A20" s="34"/>
      <c r="B20" s="112" t="str">
        <f>IF(AND(TPN=2,SSTglucose&lt;&gt;2,SSTglucose&lt;&gt;3,SSTglucose&lt;&gt;5,SSTglucose&lt;11),INDEX(tblSSTGlucose,SSTglucose,1),"Glucose       %")</f>
        <v>Glucose       %</v>
      </c>
      <c r="C20" s="113"/>
      <c r="D20" s="113"/>
      <c r="E20" s="113"/>
      <c r="F20" s="114"/>
      <c r="G20" s="115" t="str">
        <f>IF(AND(TPN&lt;&gt;1,B20&lt;&gt;"",Gewicht/10&lt;=50),IF(AND(SSTglucose&lt;&gt;2,SSTglucose&lt;&gt;3,SSTglucose&lt;&gt;5,SSTglucose&lt;11),ROUND(ber_TPN!F6,0),""),"")</f>
        <v/>
      </c>
      <c r="H20" s="94"/>
    </row>
    <row r="21" spans="1:8" ht="15.95" customHeight="1" x14ac:dyDescent="0.35">
      <c r="A21" s="34"/>
      <c r="B21" s="44"/>
      <c r="C21" s="44"/>
      <c r="D21" s="44"/>
      <c r="E21" s="377" t="s">
        <v>568</v>
      </c>
      <c r="F21" s="377"/>
      <c r="G21" s="95">
        <f>SUM(G14:G20)+IF(AND(Gewicht/10&gt;=16,Gewicht/10&lt;=50),ber_TPN!F5,0)</f>
        <v>0</v>
      </c>
      <c r="H21" s="94"/>
    </row>
    <row r="22" spans="1:8" ht="15.95" customHeight="1" x14ac:dyDescent="0.35">
      <c r="A22" s="34"/>
      <c r="B22" s="39"/>
      <c r="C22" s="39"/>
      <c r="D22" s="39"/>
      <c r="E22" s="39"/>
      <c r="F22" s="39"/>
      <c r="G22" s="39"/>
      <c r="H22" s="35"/>
    </row>
    <row r="23" spans="1:8" ht="20.100000000000001" customHeight="1" x14ac:dyDescent="0.35">
      <c r="A23" s="371" t="str">
        <f>IF(G26&gt;0,ROUND(G26/24,1)&amp;" ml/u","")</f>
        <v/>
      </c>
      <c r="B23" s="108" t="s">
        <v>537</v>
      </c>
      <c r="C23" s="109"/>
      <c r="D23" s="109" t="s">
        <v>1039</v>
      </c>
      <c r="E23" s="109" t="s">
        <v>1040</v>
      </c>
      <c r="F23" s="110" t="s">
        <v>493</v>
      </c>
      <c r="G23" s="111">
        <f>ROUND(ber_TPN!F13,0)</f>
        <v>0</v>
      </c>
      <c r="H23" s="40"/>
    </row>
    <row r="24" spans="1:8" ht="20.100000000000001" customHeight="1" x14ac:dyDescent="0.35">
      <c r="A24" s="372"/>
      <c r="B24" s="112" t="s">
        <v>538</v>
      </c>
      <c r="C24" s="113"/>
      <c r="D24" s="113"/>
      <c r="E24" s="378" t="s">
        <v>790</v>
      </c>
      <c r="F24" s="379"/>
      <c r="G24" s="115">
        <f>ROUND(ber_TPN!F14,0)</f>
        <v>0</v>
      </c>
      <c r="H24" s="35"/>
    </row>
    <row r="25" spans="1:8" ht="20.100000000000001" customHeight="1" x14ac:dyDescent="0.35">
      <c r="A25" s="34"/>
      <c r="B25" s="112"/>
      <c r="C25" s="113"/>
      <c r="D25" s="113"/>
      <c r="E25" s="378"/>
      <c r="F25" s="379"/>
      <c r="G25" s="115"/>
      <c r="H25" s="35"/>
    </row>
    <row r="26" spans="1:8" ht="15.95" customHeight="1" x14ac:dyDescent="0.35">
      <c r="A26" s="34"/>
      <c r="B26" s="92"/>
      <c r="C26" s="92"/>
      <c r="D26" s="92"/>
      <c r="E26" s="380" t="s">
        <v>568</v>
      </c>
      <c r="F26" s="380"/>
      <c r="G26" s="97">
        <f>SUM(G23:G25)</f>
        <v>0</v>
      </c>
      <c r="H26" s="93"/>
    </row>
    <row r="27" spans="1:8" ht="15.95" customHeight="1" thickBot="1" x14ac:dyDescent="0.4">
      <c r="A27" s="34"/>
      <c r="B27" s="92"/>
      <c r="C27" s="92"/>
      <c r="D27" s="92"/>
      <c r="E27" s="92"/>
      <c r="F27" s="92"/>
      <c r="G27" s="39"/>
      <c r="H27" s="35"/>
    </row>
    <row r="28" spans="1:8" ht="15.95" customHeight="1" thickTop="1" x14ac:dyDescent="0.35">
      <c r="A28" s="41"/>
      <c r="B28" s="375" t="s">
        <v>326</v>
      </c>
      <c r="C28" s="376"/>
      <c r="D28" s="376"/>
      <c r="E28" s="376"/>
      <c r="F28" s="376"/>
      <c r="G28" s="86"/>
      <c r="H28" s="42"/>
    </row>
    <row r="29" spans="1:8" ht="20.100000000000001" customHeight="1" x14ac:dyDescent="0.35">
      <c r="A29" s="371" t="str">
        <f>IF(G36&gt;0,ROUND(G36/24,1)&amp;" ml/u","")</f>
        <v/>
      </c>
      <c r="B29" s="119" t="s">
        <v>89</v>
      </c>
      <c r="C29" s="121"/>
      <c r="D29" s="121"/>
      <c r="E29" s="121"/>
      <c r="F29" s="122"/>
      <c r="G29" s="111">
        <f>IF(AND(OR(TPN=1,AND(TPN=2,SSTglucose&gt;10),Gewicht/10&gt;50)),ROUND(ber_TPN!F7,0),0)</f>
        <v>0</v>
      </c>
      <c r="H29" s="35"/>
    </row>
    <row r="30" spans="1:8" ht="20.100000000000001" customHeight="1" x14ac:dyDescent="0.35">
      <c r="A30" s="372"/>
      <c r="B30" s="120" t="s">
        <v>1122</v>
      </c>
      <c r="C30" s="123"/>
      <c r="D30" s="123"/>
      <c r="E30" s="123"/>
      <c r="F30" s="124"/>
      <c r="G30" s="115">
        <f>IF(AND(OR(TPN=1,AND(TPN=2,SSTglucose&gt;10),Gewicht/10&gt;50)),ROUND(ber_TPN!F8,0),0)</f>
        <v>0</v>
      </c>
      <c r="H30" s="35"/>
    </row>
    <row r="31" spans="1:8" ht="20.100000000000001" customHeight="1" x14ac:dyDescent="0.35">
      <c r="A31" s="34"/>
      <c r="B31" s="120" t="s">
        <v>1151</v>
      </c>
      <c r="C31" s="123"/>
      <c r="D31" s="123"/>
      <c r="E31" s="123"/>
      <c r="F31" s="124"/>
      <c r="G31" s="115">
        <f>ber_TPN!F9</f>
        <v>0</v>
      </c>
      <c r="H31" s="35"/>
    </row>
    <row r="32" spans="1:8" ht="20.100000000000001" customHeight="1" x14ac:dyDescent="0.35">
      <c r="A32" s="34"/>
      <c r="B32" s="120" t="s">
        <v>1152</v>
      </c>
      <c r="C32" s="123"/>
      <c r="D32" s="123"/>
      <c r="E32" s="123"/>
      <c r="F32" s="124"/>
      <c r="G32" s="115">
        <f>ber_TPN!F10</f>
        <v>0</v>
      </c>
      <c r="H32" s="35"/>
    </row>
    <row r="33" spans="1:8" ht="20.100000000000001" customHeight="1" x14ac:dyDescent="0.35">
      <c r="A33" s="34"/>
      <c r="B33" s="120" t="s">
        <v>816</v>
      </c>
      <c r="C33" s="123"/>
      <c r="D33" s="123"/>
      <c r="E33" s="123"/>
      <c r="F33" s="124"/>
      <c r="G33" s="115">
        <f>IF(Gewicht/10&lt;=50,ber_TPN!F16,0)+IF(AND(SSTglucose=2,TPN=1,Gewicht/10&lt;=50),ROUND(ber_TPN!F6,0),0)</f>
        <v>0</v>
      </c>
      <c r="H33" s="35"/>
    </row>
    <row r="34" spans="1:8" ht="20.100000000000001" customHeight="1" x14ac:dyDescent="0.35">
      <c r="A34" s="34"/>
      <c r="B34" s="120" t="str">
        <f>IF(AND(OR(TPN=1,AND(TPN=2,SSTglucose&gt;10)),SSTglucose&lt;&gt;11,SSTglucose&lt;&gt;2),INDEX(tblSSTGlucose,SSTglucose,1),"Glucose       %")</f>
        <v>Glucose 5%</v>
      </c>
      <c r="C34" s="123"/>
      <c r="D34" s="123"/>
      <c r="E34" s="123"/>
      <c r="F34" s="124"/>
      <c r="G34" s="115">
        <f>IF(AND(OR(TPN=1,AND(TPN=2,SSTglucose&gt;10),Gewicht/10&gt;50),SSTglucose&lt;&gt;2,SSTglucose&lt;&gt;11),ROUND(ber_TPN!F6,0),"")</f>
        <v>0</v>
      </c>
      <c r="H34" s="35"/>
    </row>
    <row r="35" spans="1:8" ht="20.100000000000001" customHeight="1" x14ac:dyDescent="0.35">
      <c r="A35" s="34"/>
      <c r="B35" s="119" t="s">
        <v>1123</v>
      </c>
      <c r="C35" s="121"/>
      <c r="D35" s="121"/>
      <c r="E35" s="121"/>
      <c r="F35" s="122"/>
      <c r="G35" s="115" t="str">
        <f>IF(AND(SSTglucose=11),ROUND(ber_TPN!F6,0),"")</f>
        <v/>
      </c>
      <c r="H35" s="35"/>
    </row>
    <row r="36" spans="1:8" ht="15.95" customHeight="1" x14ac:dyDescent="0.35">
      <c r="A36" s="34"/>
      <c r="B36" s="92"/>
      <c r="C36" s="92"/>
      <c r="D36" s="92"/>
      <c r="E36" s="380" t="s">
        <v>570</v>
      </c>
      <c r="F36" s="380"/>
      <c r="G36" s="96">
        <f>SUM(G29:G35)</f>
        <v>0</v>
      </c>
      <c r="H36" s="35"/>
    </row>
    <row r="37" spans="1:8" ht="15.95" customHeight="1" thickBot="1" x14ac:dyDescent="0.4">
      <c r="A37" s="34"/>
      <c r="B37" s="92"/>
      <c r="C37" s="92"/>
      <c r="D37" s="92"/>
      <c r="E37" s="92"/>
      <c r="F37" s="92"/>
      <c r="G37" s="39"/>
      <c r="H37" s="35"/>
    </row>
    <row r="38" spans="1:8" ht="15.95" customHeight="1" thickTop="1" x14ac:dyDescent="0.35">
      <c r="A38" s="41"/>
      <c r="B38" s="381" t="s">
        <v>633</v>
      </c>
      <c r="C38" s="382"/>
      <c r="D38" s="382"/>
      <c r="E38" s="382"/>
      <c r="F38" s="383"/>
      <c r="G38" s="42" t="s">
        <v>634</v>
      </c>
      <c r="H38" s="42"/>
    </row>
    <row r="39" spans="1:8" ht="15.95" customHeight="1" x14ac:dyDescent="0.35">
      <c r="A39" s="43"/>
      <c r="B39" s="368" t="s">
        <v>635</v>
      </c>
      <c r="C39" s="369"/>
      <c r="D39" s="369"/>
      <c r="E39" s="369"/>
      <c r="F39" s="370"/>
      <c r="G39" s="37" t="s">
        <v>636</v>
      </c>
      <c r="H39" s="35"/>
    </row>
    <row r="40" spans="1:8" ht="15.95" customHeight="1" x14ac:dyDescent="0.35">
      <c r="A40" s="43"/>
      <c r="B40" s="368" t="s">
        <v>637</v>
      </c>
      <c r="C40" s="369"/>
      <c r="D40" s="369"/>
      <c r="E40" s="369"/>
      <c r="F40" s="370"/>
      <c r="G40" s="37" t="s">
        <v>634</v>
      </c>
      <c r="H40" s="38"/>
    </row>
    <row r="42" spans="1:8" x14ac:dyDescent="0.35">
      <c r="A42" s="11" t="s">
        <v>638</v>
      </c>
    </row>
    <row r="43" spans="1:8" x14ac:dyDescent="0.35">
      <c r="A43" s="11" t="s">
        <v>569</v>
      </c>
    </row>
    <row r="45" spans="1:8" x14ac:dyDescent="0.35">
      <c r="A45" s="11" t="s">
        <v>639</v>
      </c>
    </row>
    <row r="47" spans="1:8" x14ac:dyDescent="0.35">
      <c r="A47" s="11" t="s">
        <v>238</v>
      </c>
    </row>
    <row r="49" spans="6:6" ht="13.2" x14ac:dyDescent="0.4">
      <c r="F49" s="3"/>
    </row>
  </sheetData>
  <sheetProtection algorithmName="SHA-512" hashValue="R6Lwh+cu28j5/e0RBo++7HXMOLlr85XrYkfU9L+a9m39H+x235xzS8o62YaVnefdrzkjB+6XaZyKAl01KY7igg==" saltValue="fbyM67cHoZPoLzJQaFEYyw==" spinCount="100000" sheet="1" objects="1" scenarios="1" selectLockedCells="1" selectUnlockedCells="1"/>
  <mergeCells count="18">
    <mergeCell ref="A11:H11"/>
    <mergeCell ref="B12:B13"/>
    <mergeCell ref="C12:C13"/>
    <mergeCell ref="D12:D13"/>
    <mergeCell ref="E12:E13"/>
    <mergeCell ref="F12:F13"/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>
    <outlinePr showOutlineSymbols="0"/>
  </sheetPr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300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(150 ml/kg/24 uur):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ht="15" customHeight="1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1125</v>
      </c>
      <c r="C16" s="113"/>
      <c r="D16" s="113" t="s">
        <v>1040</v>
      </c>
      <c r="E16" s="113" t="s">
        <v>1126</v>
      </c>
      <c r="F16" s="114" t="s">
        <v>131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1127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1128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1129</v>
      </c>
      <c r="C19" s="113"/>
      <c r="D19" s="113"/>
      <c r="E19" s="113"/>
      <c r="F19" s="114" t="s">
        <v>1130</v>
      </c>
      <c r="G19" s="115" t="str">
        <f>IF(AND(SSTglucose=8,TPN&lt;&gt;1,Gewicht/10&lt;=10),ROUND(ber_TPN!F6,0),"")</f>
        <v/>
      </c>
      <c r="H19" s="35"/>
    </row>
    <row r="20" spans="1:8" ht="20.100000000000001" customHeight="1" x14ac:dyDescent="0.35">
      <c r="A20" s="34"/>
      <c r="B20" s="112" t="s">
        <v>1131</v>
      </c>
      <c r="C20" s="113"/>
      <c r="D20" s="113"/>
      <c r="E20" s="113"/>
      <c r="F20" s="114" t="s">
        <v>1132</v>
      </c>
      <c r="G20" s="115" t="str">
        <f>IF(AND(SSTglucose=8,TPN&lt;&gt;1,Gewicht/10&gt;10),ROUND(ber_TPN!F6,0),"")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44"/>
      <c r="C22" s="44"/>
      <c r="D22" s="44"/>
      <c r="E22" s="377" t="s">
        <v>568</v>
      </c>
      <c r="F22" s="377"/>
      <c r="G22" s="95">
        <f>SUM(G14:G21)</f>
        <v>0</v>
      </c>
      <c r="H22" s="93"/>
    </row>
    <row r="23" spans="1:8" ht="10.5" customHeight="1" x14ac:dyDescent="0.35">
      <c r="A23" s="34"/>
      <c r="B23" s="39"/>
      <c r="C23" s="39"/>
      <c r="D23" s="39"/>
      <c r="E23" s="39"/>
      <c r="F23" s="39"/>
      <c r="G23" s="39"/>
      <c r="H23" s="35"/>
    </row>
    <row r="24" spans="1:8" ht="20.100000000000001" customHeight="1" x14ac:dyDescent="0.35">
      <c r="A24" s="371" t="str">
        <f>IF(G27&gt;0,ROUND(G27/24,1)&amp;"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2"/>
      <c r="B25" s="112" t="s">
        <v>538</v>
      </c>
      <c r="C25" s="113"/>
      <c r="D25" s="113"/>
      <c r="E25" s="395" t="s">
        <v>985</v>
      </c>
      <c r="F25" s="396"/>
      <c r="G25" s="111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1">
        <f>ROUND(ber_TPN!F15,0)</f>
        <v>0</v>
      </c>
      <c r="H26" s="35"/>
    </row>
    <row r="27" spans="1:8" ht="15.95" customHeight="1" x14ac:dyDescent="0.35">
      <c r="A27" s="34"/>
      <c r="B27" s="39"/>
      <c r="C27" s="39"/>
      <c r="D27" s="39"/>
      <c r="E27" s="377" t="s">
        <v>568</v>
      </c>
      <c r="F27" s="377"/>
      <c r="G27" s="97">
        <f>SUM(G24:G26)</f>
        <v>0</v>
      </c>
      <c r="H27" s="93"/>
    </row>
    <row r="28" spans="1:8" ht="10.5" customHeight="1" thickBot="1" x14ac:dyDescent="0.4">
      <c r="A28" s="34"/>
      <c r="B28" s="39"/>
      <c r="C28" s="39"/>
      <c r="D28" s="39"/>
      <c r="E28" s="39"/>
      <c r="F28" s="39"/>
      <c r="G28" s="39"/>
      <c r="H28" s="35"/>
    </row>
    <row r="29" spans="1:8" ht="15.95" customHeight="1" thickTop="1" x14ac:dyDescent="0.35">
      <c r="A29" s="41"/>
      <c r="B29" s="393" t="s">
        <v>326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1" t="str">
        <f>IF(G33&gt;0,ROUND(G39/24,1)&amp;"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IF(AND(OR(TPN=1,AND(TPN=2,SSTglucose&gt;10))),ROUND(ber_TPN!F7,0),0)</f>
        <v>0</v>
      </c>
      <c r="H30" s="35"/>
    </row>
    <row r="31" spans="1:8" ht="20.100000000000001" customHeight="1" x14ac:dyDescent="0.35">
      <c r="A31" s="372"/>
      <c r="B31" s="120" t="s">
        <v>1122</v>
      </c>
      <c r="C31" s="123"/>
      <c r="D31" s="123"/>
      <c r="E31" s="123"/>
      <c r="F31" s="127"/>
      <c r="G31" s="128">
        <f>IF(AND(OR(TPN=1,AND(TPN=2,SSTglucose&gt;10))),ROUND(ber_TPN!F8,0),0)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34"/>
      <c r="B35" s="120" t="str">
        <f>IF(AND(OR(TPN=1,AND(TPN=2,SSTglucose&gt;10)),SSTglucose&lt;&gt;2,SSTglucose&lt;&gt;11,SSTglucose&lt;&gt;12,SSTglucose&lt;&gt;13),INDEX(tblSSTGlucose,SSTglucose,1),"Glucose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IF(AND(OR(TPN=1,AND(TPN=2,SSTglucose&gt;10)),SSTglucose&lt;&gt;2,SSTglucose&lt;&gt;11,SSTglucose&lt;&gt;12,SSTglucose&lt;&gt;13),ROUND(ber_TPN!F6,0),"")</f>
        <v>0</v>
      </c>
      <c r="H35" s="35"/>
    </row>
    <row r="36" spans="1:8" ht="20.100000000000001" customHeight="1" x14ac:dyDescent="0.35">
      <c r="A36" s="34"/>
      <c r="B36" s="403" t="s">
        <v>1123</v>
      </c>
      <c r="C36" s="404"/>
      <c r="D36" s="404"/>
      <c r="E36" s="404"/>
      <c r="F36" s="127"/>
      <c r="G36" s="128" t="str">
        <f>IF(OR(SSTglucose=11),ROUND(ber_TPN!F6,0),"")</f>
        <v/>
      </c>
      <c r="H36" s="35"/>
    </row>
    <row r="37" spans="1:8" ht="20.100000000000001" customHeight="1" x14ac:dyDescent="0.35">
      <c r="A37" s="34"/>
      <c r="B37" s="403" t="s">
        <v>90</v>
      </c>
      <c r="C37" s="404"/>
      <c r="D37" s="404"/>
      <c r="E37" s="404"/>
      <c r="F37" s="127"/>
      <c r="G37" s="128" t="str">
        <f>IF(AND(SSTglucose=12),ROUND(ber_TPN!F6,0),"")</f>
        <v/>
      </c>
      <c r="H37" s="35"/>
    </row>
    <row r="38" spans="1:8" ht="20.100000000000001" customHeight="1" x14ac:dyDescent="0.35">
      <c r="A38" s="34"/>
      <c r="B38" s="403" t="s">
        <v>91</v>
      </c>
      <c r="C38" s="404"/>
      <c r="D38" s="404"/>
      <c r="E38" s="404"/>
      <c r="F38" s="125"/>
      <c r="G38" s="128" t="str">
        <f>IF(AND(SSTglucose=13),ROUND(ber_TPN!F6,0),"")</f>
        <v/>
      </c>
      <c r="H38" s="35"/>
    </row>
    <row r="39" spans="1:8" ht="15.95" customHeight="1" x14ac:dyDescent="0.35">
      <c r="A39" s="34"/>
      <c r="B39" s="39"/>
      <c r="C39" s="39"/>
      <c r="D39" s="39"/>
      <c r="E39" s="377" t="s">
        <v>570</v>
      </c>
      <c r="F39" s="377"/>
      <c r="G39" s="96">
        <f>SUM(G30:G38)</f>
        <v>0</v>
      </c>
      <c r="H39" s="35"/>
    </row>
    <row r="40" spans="1:8" ht="10.5" customHeight="1" thickBot="1" x14ac:dyDescent="0.4">
      <c r="A40" s="34"/>
      <c r="B40" s="39"/>
      <c r="C40" s="39"/>
      <c r="D40" s="39"/>
      <c r="E40" s="39"/>
      <c r="F40" s="39"/>
      <c r="G40" s="39"/>
      <c r="H40" s="35"/>
    </row>
    <row r="41" spans="1:8" ht="15.95" customHeight="1" thickTop="1" x14ac:dyDescent="0.35">
      <c r="A41" s="41"/>
      <c r="B41" s="397" t="s">
        <v>633</v>
      </c>
      <c r="C41" s="398"/>
      <c r="D41" s="398"/>
      <c r="E41" s="398"/>
      <c r="F41" s="399"/>
      <c r="G41" s="42" t="s">
        <v>634</v>
      </c>
      <c r="H41" s="42"/>
    </row>
    <row r="42" spans="1:8" ht="15.95" customHeight="1" x14ac:dyDescent="0.35">
      <c r="A42" s="43"/>
      <c r="B42" s="400" t="s">
        <v>635</v>
      </c>
      <c r="C42" s="401"/>
      <c r="D42" s="401"/>
      <c r="E42" s="401"/>
      <c r="F42" s="402"/>
      <c r="G42" s="37" t="s">
        <v>636</v>
      </c>
      <c r="H42" s="35"/>
    </row>
    <row r="43" spans="1:8" ht="15.95" customHeight="1" x14ac:dyDescent="0.35">
      <c r="A43" s="43"/>
      <c r="B43" s="400" t="s">
        <v>637</v>
      </c>
      <c r="C43" s="401"/>
      <c r="D43" s="401"/>
      <c r="E43" s="401"/>
      <c r="F43" s="402"/>
      <c r="G43" s="37" t="s">
        <v>634</v>
      </c>
      <c r="H43" s="38"/>
    </row>
    <row r="45" spans="1:8" x14ac:dyDescent="0.35">
      <c r="A45" s="11" t="s">
        <v>638</v>
      </c>
    </row>
    <row r="46" spans="1:8" x14ac:dyDescent="0.35">
      <c r="A46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W+/MhysrRmKYmWTuztl309D2GbIWmbvz54s9lhJTkrPJOoGOb9MZDZIYQnuPmxHAFQ4KZ/qy2Eig+qZDeqygMA==" saltValue="CrM7hGE9b3DOc5oVpmvEAg==" spinCount="100000" sheet="1" objects="1" scenarios="1" selectLockedCells="1" selectUnlockedCells="1"/>
  <mergeCells count="21">
    <mergeCell ref="E39:F39"/>
    <mergeCell ref="B41:F41"/>
    <mergeCell ref="B42:F42"/>
    <mergeCell ref="B43:F43"/>
    <mergeCell ref="B36:E36"/>
    <mergeCell ref="B37:E37"/>
    <mergeCell ref="B38:E38"/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301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10" spans="1:8" ht="13.2" thickBot="1" x14ac:dyDescent="0.4">
      <c r="A10" s="11" t="s">
        <v>951</v>
      </c>
      <c r="C10" s="11">
        <f>ber_TPN!F23</f>
        <v>0</v>
      </c>
      <c r="D10" s="11" t="s">
        <v>845</v>
      </c>
    </row>
    <row r="11" spans="1:8" ht="13.2" thickTop="1" x14ac:dyDescent="0.35">
      <c r="A11" s="384" t="s">
        <v>41</v>
      </c>
      <c r="B11" s="385"/>
      <c r="C11" s="385"/>
      <c r="D11" s="385"/>
      <c r="E11" s="385"/>
      <c r="F11" s="385"/>
      <c r="G11" s="385"/>
      <c r="H11" s="386"/>
    </row>
    <row r="12" spans="1:8" ht="25.65" x14ac:dyDescent="0.35">
      <c r="A12" s="34" t="s">
        <v>822</v>
      </c>
      <c r="B12" s="387" t="s">
        <v>484</v>
      </c>
      <c r="C12" s="389"/>
      <c r="D12" s="391" t="s">
        <v>485</v>
      </c>
      <c r="E12" s="391" t="s">
        <v>486</v>
      </c>
      <c r="F12" s="391" t="s">
        <v>487</v>
      </c>
      <c r="G12" s="35"/>
      <c r="H12" s="35" t="s">
        <v>488</v>
      </c>
    </row>
    <row r="13" spans="1:8" x14ac:dyDescent="0.35">
      <c r="A13" s="36" t="s">
        <v>489</v>
      </c>
      <c r="B13" s="388"/>
      <c r="C13" s="390"/>
      <c r="D13" s="392"/>
      <c r="E13" s="392"/>
      <c r="F13" s="392"/>
      <c r="G13" s="35" t="s">
        <v>490</v>
      </c>
      <c r="H13" s="37" t="s">
        <v>491</v>
      </c>
    </row>
    <row r="14" spans="1:8" ht="20.100000000000001" customHeight="1" x14ac:dyDescent="0.35">
      <c r="A14" s="373" t="str">
        <f>IF(TPN&lt;&gt;1,ROUND(G22/24,1)&amp;" ml/u","")</f>
        <v/>
      </c>
      <c r="B14" s="108" t="s">
        <v>89</v>
      </c>
      <c r="C14" s="109"/>
      <c r="D14" s="109" t="s">
        <v>492</v>
      </c>
      <c r="E14" s="109" t="s">
        <v>492</v>
      </c>
      <c r="F14" s="110" t="s">
        <v>492</v>
      </c>
      <c r="G14" s="111" t="str">
        <f>IF(AND(TPN&lt;&gt;1,G16&lt;&gt;0),ROUND(ber_TPN!F7,0),"")</f>
        <v/>
      </c>
      <c r="H14" s="35"/>
    </row>
    <row r="15" spans="1:8" ht="20.100000000000001" customHeight="1" x14ac:dyDescent="0.35">
      <c r="A15" s="374"/>
      <c r="B15" s="112" t="s">
        <v>1119</v>
      </c>
      <c r="C15" s="113"/>
      <c r="D15" s="113" t="s">
        <v>1124</v>
      </c>
      <c r="E15" s="113" t="s">
        <v>130</v>
      </c>
      <c r="F15" s="114" t="s">
        <v>130</v>
      </c>
      <c r="G15" s="111" t="str">
        <f>IF(AND(TPN&lt;&gt;1,G16&lt;&gt;0),ROUND(ber_TPN!F8,0),"")</f>
        <v/>
      </c>
      <c r="H15" s="35"/>
    </row>
    <row r="16" spans="1:8" ht="20.100000000000001" customHeight="1" x14ac:dyDescent="0.35">
      <c r="A16" s="34"/>
      <c r="B16" s="112" t="s">
        <v>1133</v>
      </c>
      <c r="C16" s="113"/>
      <c r="D16" s="113" t="s">
        <v>1040</v>
      </c>
      <c r="E16" s="113" t="s">
        <v>493</v>
      </c>
      <c r="F16" s="114" t="s">
        <v>1126</v>
      </c>
      <c r="G16" s="115" t="str">
        <f>IF(TPN&lt;&gt;1,ber_TPN!F4,"")</f>
        <v/>
      </c>
      <c r="H16" s="35"/>
    </row>
    <row r="17" spans="1:8" ht="20.100000000000001" customHeight="1" x14ac:dyDescent="0.35">
      <c r="A17" s="34"/>
      <c r="B17" s="112" t="s">
        <v>825</v>
      </c>
      <c r="C17" s="113"/>
      <c r="D17" s="113"/>
      <c r="E17" s="395" t="s">
        <v>353</v>
      </c>
      <c r="F17" s="396"/>
      <c r="G17" s="115">
        <f>ROUND(ber_TPN!F5,0)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 t="s">
        <v>354</v>
      </c>
      <c r="E18" s="113"/>
      <c r="F18" s="114"/>
      <c r="G18" s="115" t="str">
        <f>IF(AND(SSTglucose=2,TPN&lt;&gt;1),ROUND(ber_TPN!F6,0),"")</f>
        <v/>
      </c>
      <c r="H18" s="35"/>
    </row>
    <row r="19" spans="1:8" ht="20.100000000000001" customHeight="1" x14ac:dyDescent="0.35">
      <c r="A19" s="34"/>
      <c r="B19" s="112" t="s">
        <v>255</v>
      </c>
      <c r="C19" s="113"/>
      <c r="D19" s="113"/>
      <c r="E19" s="113" t="s">
        <v>355</v>
      </c>
      <c r="F19" s="114"/>
      <c r="G19" s="115" t="str">
        <f>IF(AND(SSTglucose=6,TPN&lt;&gt;1),ROUND(ber_TPN!F6,0),"")</f>
        <v/>
      </c>
      <c r="H19" s="35"/>
    </row>
    <row r="20" spans="1:8" ht="20.100000000000001" customHeight="1" x14ac:dyDescent="0.35">
      <c r="A20" s="34"/>
      <c r="B20" s="112" t="s">
        <v>566</v>
      </c>
      <c r="C20" s="113"/>
      <c r="D20" s="113"/>
      <c r="E20" s="113"/>
      <c r="F20" s="114" t="s">
        <v>356</v>
      </c>
      <c r="G20" s="115" t="str">
        <f>IF(AND(SSTglucose=8,TPN&lt;&gt;1),ROUND(ber_TPN!F6,0),"")</f>
        <v/>
      </c>
      <c r="H20" s="35"/>
    </row>
    <row r="21" spans="1:8" ht="20.100000000000001" customHeight="1" x14ac:dyDescent="0.35">
      <c r="A21" s="34"/>
      <c r="B21" s="112" t="str">
        <f>IF(AND(TPN=2,SSTglucose&lt;&gt;2,SSTglucose&lt;&gt;6,SSTglucose&lt;&gt;8,SSTglucose&lt;11),INDEX(tblSSTGlucose,SSTglucose,1),"Glucose       %")</f>
        <v>Glucose       %</v>
      </c>
      <c r="C21" s="113"/>
      <c r="D21" s="113"/>
      <c r="E21" s="113"/>
      <c r="F21" s="114"/>
      <c r="G21" s="115" t="str">
        <f>IF(AND(TPN&lt;&gt;1,B20&lt;&gt;""),IF(AND(SSTglucose&lt;&gt;2,SSTglucose&lt;&gt;6,SSTglucose&lt;&gt;8,SSTglucose&lt;11),ROUND(ber_TPN!F6,0),""),"")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568</v>
      </c>
      <c r="F22" s="380"/>
      <c r="G22" s="95">
        <f>SUM(G14:G21)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IF(TPN&lt;&gt;1,ROUND(G27/24,1)&amp;" ml/u","")</f>
        <v/>
      </c>
      <c r="B24" s="108" t="s">
        <v>537</v>
      </c>
      <c r="C24" s="109"/>
      <c r="D24" s="109" t="s">
        <v>1039</v>
      </c>
      <c r="E24" s="109" t="s">
        <v>1040</v>
      </c>
      <c r="F24" s="110" t="s">
        <v>493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538</v>
      </c>
      <c r="C25" s="113"/>
      <c r="D25" s="113"/>
      <c r="E25" s="395" t="s">
        <v>985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568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75" t="s">
        <v>326</v>
      </c>
      <c r="C29" s="376"/>
      <c r="D29" s="376"/>
      <c r="E29" s="376"/>
      <c r="F29" s="376"/>
      <c r="G29" s="86"/>
      <c r="H29" s="42"/>
    </row>
    <row r="30" spans="1:8" ht="20.100000000000001" customHeight="1" x14ac:dyDescent="0.35">
      <c r="A30" s="373" t="str">
        <f>ROUND(G38/24,1)&amp;" ml/u"</f>
        <v>0 ml/u</v>
      </c>
      <c r="B30" s="119" t="s">
        <v>89</v>
      </c>
      <c r="C30" s="121"/>
      <c r="D30" s="121"/>
      <c r="E30" s="121"/>
      <c r="F30" s="122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1122</v>
      </c>
      <c r="C31" s="123"/>
      <c r="D31" s="123"/>
      <c r="E31" s="123"/>
      <c r="F31" s="124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4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4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4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4"/>
      <c r="G35" s="128">
        <f>IF(AND(OR(TPN=1,AND(TPN=2,SSTglucose&gt;10)),SSTglucose&lt;&gt;2,SSTglucose&lt;&gt;12,SSTglucose&lt;&gt;13),ROUND(ber_TPN!F6,0),"")</f>
        <v>0</v>
      </c>
      <c r="H35" s="35"/>
    </row>
    <row r="36" spans="1:8" ht="20.100000000000001" customHeight="1" x14ac:dyDescent="0.35">
      <c r="A36" s="90"/>
      <c r="B36" s="403" t="s">
        <v>90</v>
      </c>
      <c r="C36" s="404"/>
      <c r="D36" s="404"/>
      <c r="E36" s="404"/>
      <c r="F36" s="124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91</v>
      </c>
      <c r="C37" s="404"/>
      <c r="D37" s="404"/>
      <c r="E37" s="404"/>
      <c r="F37" s="124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92"/>
      <c r="C38" s="92"/>
      <c r="D38" s="92"/>
      <c r="E38" s="380" t="s">
        <v>570</v>
      </c>
      <c r="F38" s="380"/>
      <c r="G38" s="96">
        <f>SUM(G30:G37)</f>
        <v>0</v>
      </c>
      <c r="H38" s="35"/>
    </row>
    <row r="39" spans="1:8" ht="15.95" customHeight="1" thickBot="1" x14ac:dyDescent="0.4">
      <c r="A39" s="34"/>
      <c r="B39" s="92"/>
      <c r="C39" s="92"/>
      <c r="D39" s="92"/>
      <c r="E39" s="92"/>
      <c r="F39" s="92"/>
      <c r="G39" s="39"/>
      <c r="H39" s="35"/>
    </row>
    <row r="40" spans="1:8" ht="15.95" customHeight="1" thickTop="1" x14ac:dyDescent="0.35">
      <c r="A40" s="41"/>
      <c r="B40" s="381" t="s">
        <v>633</v>
      </c>
      <c r="C40" s="382"/>
      <c r="D40" s="382"/>
      <c r="E40" s="382"/>
      <c r="F40" s="383"/>
      <c r="G40" s="42" t="s">
        <v>634</v>
      </c>
      <c r="H40" s="42"/>
    </row>
    <row r="41" spans="1:8" ht="15.95" customHeight="1" x14ac:dyDescent="0.35">
      <c r="A41" s="43"/>
      <c r="B41" s="368" t="s">
        <v>635</v>
      </c>
      <c r="C41" s="369"/>
      <c r="D41" s="369"/>
      <c r="E41" s="369"/>
      <c r="F41" s="370"/>
      <c r="G41" s="37" t="s">
        <v>636</v>
      </c>
      <c r="H41" s="35"/>
    </row>
    <row r="42" spans="1:8" ht="15.95" customHeight="1" x14ac:dyDescent="0.35">
      <c r="A42" s="43"/>
      <c r="B42" s="368" t="s">
        <v>637</v>
      </c>
      <c r="C42" s="369"/>
      <c r="D42" s="369"/>
      <c r="E42" s="369"/>
      <c r="F42" s="370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6" spans="1:8" x14ac:dyDescent="0.35">
      <c r="A46" s="11" t="s">
        <v>639</v>
      </c>
    </row>
    <row r="48" spans="1:8" x14ac:dyDescent="0.35">
      <c r="A48" s="11" t="s">
        <v>238</v>
      </c>
    </row>
    <row r="50" spans="6:6" ht="13.2" x14ac:dyDescent="0.4">
      <c r="F50" s="3"/>
    </row>
  </sheetData>
  <sheetProtection algorithmName="SHA-512" hashValue="N3Qjsvy5pWwN882pPeA5mUfhL3Q7waBN0XlOx4WhnCSIDlboLKtj/d0BonkrYojBFYAdUQETe8haxJcWWjxREw==" saltValue="ogLKD5SvCq/nRN3l2HJAKQ==" spinCount="100000" sheet="1" objects="1" scenarios="1" selectLockedCells="1" selectUnlockedCells="1"/>
  <mergeCells count="21"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302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">
        <v>950</v>
      </c>
      <c r="C9" s="11">
        <f>ber_TPN!F23</f>
        <v>0</v>
      </c>
      <c r="D9" s="11" t="s">
        <v>845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822</v>
      </c>
      <c r="B11" s="387" t="s">
        <v>484</v>
      </c>
      <c r="C11" s="389"/>
      <c r="D11" s="391" t="s">
        <v>485</v>
      </c>
      <c r="E11" s="391" t="s">
        <v>486</v>
      </c>
      <c r="F11" s="391" t="s">
        <v>487</v>
      </c>
      <c r="G11" s="35"/>
      <c r="H11" s="35" t="s">
        <v>488</v>
      </c>
    </row>
    <row r="12" spans="1:8" x14ac:dyDescent="0.35">
      <c r="A12" s="36" t="s">
        <v>489</v>
      </c>
      <c r="B12" s="388"/>
      <c r="C12" s="390"/>
      <c r="D12" s="392"/>
      <c r="E12" s="392"/>
      <c r="F12" s="392"/>
      <c r="G12" s="35" t="s">
        <v>490</v>
      </c>
      <c r="H12" s="37" t="s">
        <v>491</v>
      </c>
    </row>
    <row r="13" spans="1:8" ht="20.100000000000001" customHeight="1" x14ac:dyDescent="0.35">
      <c r="A13" s="373" t="str">
        <f>IF(G22&lt;&gt;0,ROUND(G22/24,1)&amp;" ml/u","")</f>
        <v/>
      </c>
      <c r="B13" s="108" t="s">
        <v>89</v>
      </c>
      <c r="C13" s="109"/>
      <c r="D13" s="109" t="s">
        <v>492</v>
      </c>
      <c r="E13" s="109" t="s">
        <v>492</v>
      </c>
      <c r="F13" s="110" t="s">
        <v>492</v>
      </c>
      <c r="G13" s="111" t="str">
        <f>IF(AND(TPN&lt;&gt;1,G15&lt;&gt;0),ROUND(ber_TPN!F7,0),"")</f>
        <v/>
      </c>
      <c r="H13" s="35"/>
    </row>
    <row r="14" spans="1:8" ht="20.100000000000001" customHeight="1" x14ac:dyDescent="0.35">
      <c r="A14" s="374"/>
      <c r="B14" s="112" t="s">
        <v>1119</v>
      </c>
      <c r="C14" s="113"/>
      <c r="D14" s="113" t="s">
        <v>1124</v>
      </c>
      <c r="E14" s="113" t="s">
        <v>130</v>
      </c>
      <c r="F14" s="114" t="s">
        <v>130</v>
      </c>
      <c r="G14" s="111" t="str">
        <f>IF(AND(TPN&lt;&gt;1,G15&lt;&gt;0),ROUND(ber_TPN!F8,0),"")</f>
        <v/>
      </c>
      <c r="H14" s="35"/>
    </row>
    <row r="15" spans="1:8" ht="20.100000000000001" customHeight="1" x14ac:dyDescent="0.35">
      <c r="A15" s="34"/>
      <c r="B15" s="112" t="s">
        <v>357</v>
      </c>
      <c r="C15" s="113"/>
      <c r="D15" s="113" t="s">
        <v>1039</v>
      </c>
      <c r="E15" s="113" t="s">
        <v>358</v>
      </c>
      <c r="F15" s="114" t="s">
        <v>363</v>
      </c>
      <c r="G15" s="115" t="str">
        <f>IF(TPN&lt;&gt;1,ber_TPN!F4,"")</f>
        <v/>
      </c>
      <c r="H15" s="35"/>
    </row>
    <row r="16" spans="1:8" ht="20.100000000000001" customHeight="1" x14ac:dyDescent="0.35">
      <c r="A16" s="34"/>
      <c r="B16" s="112" t="s">
        <v>825</v>
      </c>
      <c r="C16" s="113"/>
      <c r="D16" s="113"/>
      <c r="E16" s="395" t="s">
        <v>353</v>
      </c>
      <c r="F16" s="396"/>
      <c r="G16" s="115" t="str">
        <f>IF(AND(SSTglucose&lt;11,TPN&lt;&gt;1),ROUND(ber_TPN!F5,0),"")</f>
        <v/>
      </c>
      <c r="H16" s="35"/>
    </row>
    <row r="17" spans="1:8" ht="20.100000000000001" customHeight="1" x14ac:dyDescent="0.35">
      <c r="A17" s="34"/>
      <c r="B17" s="112" t="s">
        <v>816</v>
      </c>
      <c r="C17" s="113"/>
      <c r="D17" s="113" t="s">
        <v>359</v>
      </c>
      <c r="E17" s="113"/>
      <c r="F17" s="114"/>
      <c r="G17" s="115" t="str">
        <f>IF(AND(SSTglucose=2,TPN&lt;&gt;1),ROUND(ber_TPN!F6,0),"")</f>
        <v/>
      </c>
      <c r="H17" s="35"/>
    </row>
    <row r="18" spans="1:8" ht="20.100000000000001" customHeight="1" x14ac:dyDescent="0.35">
      <c r="A18" s="34"/>
      <c r="B18" s="112" t="s">
        <v>255</v>
      </c>
      <c r="C18" s="113"/>
      <c r="D18" s="113"/>
      <c r="E18" s="113" t="s">
        <v>360</v>
      </c>
      <c r="F18" s="114"/>
      <c r="G18" s="115" t="str">
        <f>IF(AND(SSTglucose=6,TPN&lt;&gt;1),ROUND(ber_TPN!F6,0),"")</f>
        <v/>
      </c>
      <c r="H18" s="35"/>
    </row>
    <row r="19" spans="1:8" ht="20.100000000000001" customHeight="1" x14ac:dyDescent="0.35">
      <c r="A19" s="34"/>
      <c r="B19" s="112" t="s">
        <v>361</v>
      </c>
      <c r="C19" s="113" t="s">
        <v>589</v>
      </c>
      <c r="D19" s="113"/>
      <c r="E19" s="113"/>
      <c r="F19" s="114" t="s">
        <v>1132</v>
      </c>
      <c r="G19" s="115" t="str">
        <f>IF(AND(SSTglucose=7,TPN&lt;&gt;1),ROUND(ber_TPN!F6,0),"")</f>
        <v/>
      </c>
      <c r="H19" s="35"/>
    </row>
    <row r="20" spans="1:8" ht="20.100000000000001" customHeight="1" x14ac:dyDescent="0.35">
      <c r="A20" s="34"/>
      <c r="B20" s="112" t="s">
        <v>362</v>
      </c>
      <c r="C20" s="113"/>
      <c r="D20" s="113"/>
      <c r="E20" s="113"/>
      <c r="F20" s="114" t="s">
        <v>1126</v>
      </c>
      <c r="G20" s="115" t="str">
        <f>IF(AND(SSTglucose=9,TPN&lt;&gt;1),ROUND(ber_TPN!F6,0),"")</f>
        <v/>
      </c>
      <c r="H20" s="35"/>
    </row>
    <row r="21" spans="1:8" ht="20.100000000000001" customHeight="1" x14ac:dyDescent="0.35">
      <c r="A21" s="34"/>
      <c r="B21" s="116" t="str">
        <f>IF(AND(TPN=2,SSTglucose&lt;&gt;2,SSTglucose&lt;&gt;6,SSTglucose&lt;&gt;7,SSTglucose&lt;&gt;9,SSTglucose&lt;11),INDEX(tblSSTGlucose,SSTglucose,1),"Glucose       %")</f>
        <v>Glucose       %</v>
      </c>
      <c r="C21" s="117"/>
      <c r="D21" s="117"/>
      <c r="E21" s="117"/>
      <c r="F21" s="118"/>
      <c r="G21" s="115" t="str">
        <f>IF(AND(TPN&lt;&gt;1,B19&lt;&gt;""),IF(AND(SSTglucose&lt;&gt;2,SSTglucose&lt;&gt;6,SSTglucose&lt;&gt;7,SSTglucose&lt;&gt;9,SSTglucose&lt;11),ROUND(ber_TPN!F6,0),""),"")</f>
        <v/>
      </c>
      <c r="H21" s="35"/>
    </row>
    <row r="22" spans="1:8" ht="15.95" customHeight="1" x14ac:dyDescent="0.35">
      <c r="A22" s="34"/>
      <c r="B22" s="98"/>
      <c r="C22" s="98"/>
      <c r="D22" s="98"/>
      <c r="E22" s="380" t="s">
        <v>568</v>
      </c>
      <c r="F22" s="380"/>
      <c r="G22" s="95">
        <f>SUM(G13:G21)</f>
        <v>0</v>
      </c>
      <c r="H22" s="93"/>
    </row>
    <row r="23" spans="1:8" ht="10.5" customHeight="1" x14ac:dyDescent="0.35">
      <c r="A23" s="34"/>
      <c r="B23" s="92"/>
      <c r="C23" s="92"/>
      <c r="D23" s="92"/>
      <c r="E23" s="92"/>
      <c r="F23" s="92"/>
      <c r="G23" s="39"/>
      <c r="H23" s="35"/>
    </row>
    <row r="24" spans="1:8" ht="20.100000000000001" customHeight="1" x14ac:dyDescent="0.35">
      <c r="A24" s="373" t="str">
        <f>IF(G27&lt;&gt;0,ROUND(G27/24,1)&amp;" ml/u","")</f>
        <v/>
      </c>
      <c r="B24" s="108" t="s">
        <v>537</v>
      </c>
      <c r="C24" s="109"/>
      <c r="D24" s="109" t="s">
        <v>949</v>
      </c>
      <c r="E24" s="109" t="s">
        <v>492</v>
      </c>
      <c r="F24" s="110" t="s">
        <v>1040</v>
      </c>
      <c r="G24" s="111">
        <f>ROUND(ber_TPN!F13,0)</f>
        <v>0</v>
      </c>
      <c r="H24" s="40"/>
    </row>
    <row r="25" spans="1:8" ht="20.100000000000001" customHeight="1" x14ac:dyDescent="0.35">
      <c r="A25" s="374"/>
      <c r="B25" s="112" t="s">
        <v>538</v>
      </c>
      <c r="C25" s="113"/>
      <c r="D25" s="113"/>
      <c r="E25" s="395" t="s">
        <v>985</v>
      </c>
      <c r="F25" s="396"/>
      <c r="G25" s="115">
        <f>ROUND(ber_TPN!F14,0)</f>
        <v>0</v>
      </c>
      <c r="H25" s="35"/>
    </row>
    <row r="26" spans="1:8" ht="20.100000000000001" customHeight="1" x14ac:dyDescent="0.35">
      <c r="A26" s="34"/>
      <c r="B26" s="112" t="s">
        <v>561</v>
      </c>
      <c r="C26" s="113"/>
      <c r="D26" s="113"/>
      <c r="E26" s="395" t="s">
        <v>985</v>
      </c>
      <c r="F26" s="396"/>
      <c r="G26" s="115">
        <f>ROUND(ber_TPN!F15,0)</f>
        <v>0</v>
      </c>
      <c r="H26" s="35"/>
    </row>
    <row r="27" spans="1:8" ht="15.95" customHeight="1" x14ac:dyDescent="0.35">
      <c r="A27" s="34"/>
      <c r="B27" s="92"/>
      <c r="C27" s="92"/>
      <c r="D27" s="92"/>
      <c r="E27" s="380" t="s">
        <v>568</v>
      </c>
      <c r="F27" s="380"/>
      <c r="G27" s="97">
        <f>SUM(G24:G26)</f>
        <v>0</v>
      </c>
      <c r="H27" s="93"/>
    </row>
    <row r="28" spans="1:8" ht="10.5" customHeight="1" thickBot="1" x14ac:dyDescent="0.4">
      <c r="A28" s="34"/>
      <c r="B28" s="92"/>
      <c r="C28" s="92"/>
      <c r="D28" s="92"/>
      <c r="E28" s="92"/>
      <c r="F28" s="92"/>
      <c r="G28" s="39"/>
      <c r="H28" s="35"/>
    </row>
    <row r="29" spans="1:8" ht="15.95" customHeight="1" thickTop="1" x14ac:dyDescent="0.35">
      <c r="A29" s="41"/>
      <c r="B29" s="393" t="s">
        <v>326</v>
      </c>
      <c r="C29" s="394"/>
      <c r="D29" s="394"/>
      <c r="E29" s="394"/>
      <c r="F29" s="394"/>
      <c r="G29" s="86"/>
      <c r="H29" s="42"/>
    </row>
    <row r="30" spans="1:8" ht="20.100000000000001" customHeight="1" x14ac:dyDescent="0.35">
      <c r="A30" s="373" t="str">
        <f>IF(G38&lt;&gt;0,ROUND(G38/24,1)&amp;" ml/u","")</f>
        <v/>
      </c>
      <c r="B30" s="119" t="s">
        <v>89</v>
      </c>
      <c r="C30" s="121"/>
      <c r="D30" s="121"/>
      <c r="E30" s="121"/>
      <c r="F30" s="125"/>
      <c r="G30" s="126">
        <f>IF(AND(OR(TPN=1,AND(TPN=2,SSTglucose&gt;10))),ROUND(ber_TPN!F7,0),"")</f>
        <v>0</v>
      </c>
      <c r="H30" s="35"/>
    </row>
    <row r="31" spans="1:8" ht="20.100000000000001" customHeight="1" x14ac:dyDescent="0.35">
      <c r="A31" s="374"/>
      <c r="B31" s="120" t="s">
        <v>1122</v>
      </c>
      <c r="C31" s="123"/>
      <c r="D31" s="123"/>
      <c r="E31" s="123"/>
      <c r="F31" s="127"/>
      <c r="G31" s="128">
        <f>IF(AND(OR(TPN=1,AND(TPN=2,SSTglucose&gt;10))),ROUND(ber_TPN!F8,0),"")</f>
        <v>0</v>
      </c>
      <c r="H31" s="35"/>
    </row>
    <row r="32" spans="1:8" ht="20.100000000000001" customHeight="1" x14ac:dyDescent="0.35">
      <c r="A32" s="90"/>
      <c r="B32" s="120" t="s">
        <v>1151</v>
      </c>
      <c r="C32" s="123"/>
      <c r="D32" s="123"/>
      <c r="E32" s="123"/>
      <c r="F32" s="127"/>
      <c r="G32" s="128">
        <f>ber_TPN!F9</f>
        <v>0</v>
      </c>
      <c r="H32" s="35"/>
    </row>
    <row r="33" spans="1:8" ht="20.100000000000001" customHeight="1" x14ac:dyDescent="0.35">
      <c r="A33" s="90"/>
      <c r="B33" s="120" t="s">
        <v>1152</v>
      </c>
      <c r="C33" s="123"/>
      <c r="D33" s="123"/>
      <c r="E33" s="123"/>
      <c r="F33" s="127"/>
      <c r="G33" s="128">
        <f>ber_TPN!F10</f>
        <v>0</v>
      </c>
      <c r="H33" s="35"/>
    </row>
    <row r="34" spans="1:8" ht="20.100000000000001" customHeight="1" x14ac:dyDescent="0.35">
      <c r="A34" s="90"/>
      <c r="B34" s="120" t="s">
        <v>816</v>
      </c>
      <c r="C34" s="123"/>
      <c r="D34" s="123"/>
      <c r="E34" s="123"/>
      <c r="F34" s="127"/>
      <c r="G34" s="128">
        <f>ber_TPN!F16+IF(AND(SSTglucose=2,TPN=1),ROUND(ber_TPN!F6,0),0)</f>
        <v>0</v>
      </c>
      <c r="H34" s="35"/>
    </row>
    <row r="35" spans="1:8" ht="20.100000000000001" customHeight="1" x14ac:dyDescent="0.35">
      <c r="A35" s="90"/>
      <c r="B35" s="120" t="str">
        <f>IF(AND(OR(TPN=1,AND(TPN=2,SSTglucose&gt;10)),SSTglucose&lt;&gt;2,SSTglucose&lt;&gt;12,SSTglucose&lt;&gt;13),INDEX(tblSSTGlucose,SSTglucose,1),"Glucose       %")</f>
        <v>Glucose 5%</v>
      </c>
      <c r="C35" s="123"/>
      <c r="D35" s="123"/>
      <c r="E35" s="123"/>
      <c r="F35" s="127"/>
      <c r="G35" s="128">
        <f>IF(AND(OR(TPN=1,AND(TPN=2,SSTglucose&gt;10)),SSTglucose&lt;&gt;2,SSTglucose&lt;&gt;12,SSTglucose&lt;&gt;13),ber_TPN!F6,"")</f>
        <v>0</v>
      </c>
      <c r="H35" s="35"/>
    </row>
    <row r="36" spans="1:8" ht="20.100000000000001" customHeight="1" x14ac:dyDescent="0.35">
      <c r="A36" s="90"/>
      <c r="B36" s="403" t="s">
        <v>90</v>
      </c>
      <c r="C36" s="404"/>
      <c r="D36" s="404"/>
      <c r="E36" s="404"/>
      <c r="F36" s="127"/>
      <c r="G36" s="128" t="str">
        <f>IF(AND(SSTglucose=12),ROUND(ber_TPN!F6,0),"")</f>
        <v/>
      </c>
      <c r="H36" s="35"/>
    </row>
    <row r="37" spans="1:8" ht="20.100000000000001" customHeight="1" x14ac:dyDescent="0.35">
      <c r="A37" s="34"/>
      <c r="B37" s="403" t="s">
        <v>91</v>
      </c>
      <c r="C37" s="404"/>
      <c r="D37" s="404"/>
      <c r="E37" s="404"/>
      <c r="F37" s="127"/>
      <c r="G37" s="128" t="str">
        <f>IF(AND(SSTglucose=13),ROUND(ber_TPN!F6,0),"")</f>
        <v/>
      </c>
      <c r="H37" s="35"/>
    </row>
    <row r="38" spans="1:8" ht="15.95" customHeight="1" x14ac:dyDescent="0.35">
      <c r="A38" s="34"/>
      <c r="B38" s="39"/>
      <c r="C38" s="39"/>
      <c r="D38" s="39"/>
      <c r="E38" s="377" t="s">
        <v>570</v>
      </c>
      <c r="F38" s="377"/>
      <c r="G38" s="96">
        <f>SUM(G30:G37)</f>
        <v>0</v>
      </c>
      <c r="H38" s="35"/>
    </row>
    <row r="39" spans="1:8" ht="10.5" customHeight="1" thickBot="1" x14ac:dyDescent="0.4">
      <c r="A39" s="34"/>
      <c r="B39" s="39"/>
      <c r="C39" s="39"/>
      <c r="D39" s="39"/>
      <c r="E39" s="39"/>
      <c r="F39" s="39"/>
      <c r="G39" s="39"/>
      <c r="H39" s="35"/>
    </row>
    <row r="40" spans="1:8" ht="15.95" customHeight="1" thickTop="1" x14ac:dyDescent="0.35">
      <c r="A40" s="41"/>
      <c r="B40" s="381" t="s">
        <v>633</v>
      </c>
      <c r="C40" s="382"/>
      <c r="D40" s="382"/>
      <c r="E40" s="382"/>
      <c r="F40" s="383"/>
      <c r="G40" s="42" t="s">
        <v>634</v>
      </c>
      <c r="H40" s="42"/>
    </row>
    <row r="41" spans="1:8" ht="15.95" customHeight="1" x14ac:dyDescent="0.35">
      <c r="A41" s="43"/>
      <c r="B41" s="368" t="s">
        <v>635</v>
      </c>
      <c r="C41" s="369"/>
      <c r="D41" s="369"/>
      <c r="E41" s="369"/>
      <c r="F41" s="370"/>
      <c r="G41" s="37" t="s">
        <v>636</v>
      </c>
      <c r="H41" s="35"/>
    </row>
    <row r="42" spans="1:8" ht="15.95" customHeight="1" x14ac:dyDescent="0.35">
      <c r="A42" s="43"/>
      <c r="B42" s="368" t="s">
        <v>637</v>
      </c>
      <c r="C42" s="369"/>
      <c r="D42" s="369"/>
      <c r="E42" s="369"/>
      <c r="F42" s="370"/>
      <c r="G42" s="37" t="s">
        <v>634</v>
      </c>
      <c r="H42" s="38"/>
    </row>
    <row r="44" spans="1:8" x14ac:dyDescent="0.35">
      <c r="A44" s="11" t="s">
        <v>638</v>
      </c>
    </row>
    <row r="45" spans="1:8" x14ac:dyDescent="0.35">
      <c r="A45" s="11" t="s">
        <v>569</v>
      </c>
    </row>
    <row r="47" spans="1:8" x14ac:dyDescent="0.35">
      <c r="A47" s="11" t="s">
        <v>639</v>
      </c>
    </row>
    <row r="49" spans="1:6" x14ac:dyDescent="0.35">
      <c r="A49" s="11" t="s">
        <v>238</v>
      </c>
    </row>
    <row r="51" spans="1:6" ht="13.2" x14ac:dyDescent="0.4">
      <c r="F51" s="3"/>
    </row>
  </sheetData>
  <sheetProtection algorithmName="SHA-512" hashValue="yjX6JTobmnbgbW+sPO/lPt2Y+I7vDA18OPCLyBWzEh5QYrPHHByfgoSkCfShdQOcxkkMkeD8D3ydZdr96EquLw==" saltValue="o7rQIOVzF0HKxB7rAwi7r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652</v>
      </c>
      <c r="F1" s="3" t="s">
        <v>1033</v>
      </c>
    </row>
    <row r="3" spans="1:8" x14ac:dyDescent="0.35">
      <c r="A3" s="11" t="s">
        <v>653</v>
      </c>
      <c r="B3" s="45">
        <f ca="1">TODAY()</f>
        <v>42251</v>
      </c>
      <c r="F3" s="77">
        <f>PatNummer</f>
        <v>0</v>
      </c>
      <c r="G3" s="78"/>
      <c r="H3" s="79"/>
    </row>
    <row r="4" spans="1:8" x14ac:dyDescent="0.35">
      <c r="F4" s="80" t="str">
        <f>_AchterNaam&amp;",  "&amp;_VoorNaam</f>
        <v>Achternaam,  Voornaam</v>
      </c>
      <c r="G4" s="81"/>
      <c r="H4" s="82"/>
    </row>
    <row r="5" spans="1:8" x14ac:dyDescent="0.35">
      <c r="A5" s="11" t="s">
        <v>654</v>
      </c>
      <c r="B5" s="11" t="s">
        <v>997</v>
      </c>
      <c r="F5" s="83">
        <f>GebDatum</f>
        <v>41732</v>
      </c>
      <c r="G5" s="81"/>
      <c r="H5" s="82"/>
    </row>
    <row r="6" spans="1:8" x14ac:dyDescent="0.35">
      <c r="F6" s="80" t="s">
        <v>759</v>
      </c>
      <c r="G6" s="81" t="str">
        <f>Gewicht/10&amp;" kg"</f>
        <v>5 kg</v>
      </c>
      <c r="H6" s="82"/>
    </row>
    <row r="7" spans="1:8" x14ac:dyDescent="0.35">
      <c r="A7" s="11" t="s">
        <v>844</v>
      </c>
      <c r="B7" s="11" t="s">
        <v>655</v>
      </c>
      <c r="F7" s="84"/>
      <c r="G7" s="68"/>
      <c r="H7" s="85"/>
    </row>
    <row r="8" spans="1:8" x14ac:dyDescent="0.35">
      <c r="A8" s="11" t="s">
        <v>789</v>
      </c>
      <c r="B8" s="11" t="s">
        <v>655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(150 ml/kg/24 uur):</v>
      </c>
      <c r="C9" s="11">
        <f>ber_TPN!F23</f>
        <v>0</v>
      </c>
      <c r="D9" s="11" t="s">
        <v>845</v>
      </c>
    </row>
    <row r="10" spans="1:8" ht="13.2" thickTop="1" x14ac:dyDescent="0.35">
      <c r="A10" s="384" t="s">
        <v>41</v>
      </c>
      <c r="B10" s="385"/>
      <c r="C10" s="385"/>
      <c r="D10" s="385"/>
      <c r="E10" s="385"/>
      <c r="F10" s="385"/>
      <c r="G10" s="385"/>
      <c r="H10" s="386"/>
    </row>
    <row r="11" spans="1:8" ht="25.65" x14ac:dyDescent="0.35">
      <c r="A11" s="34" t="s">
        <v>822</v>
      </c>
      <c r="B11" s="387" t="s">
        <v>484</v>
      </c>
      <c r="C11" s="389"/>
      <c r="D11" s="391" t="s">
        <v>485</v>
      </c>
      <c r="E11" s="391" t="s">
        <v>486</v>
      </c>
      <c r="F11" s="391" t="s">
        <v>487</v>
      </c>
      <c r="G11" s="35"/>
      <c r="H11" s="35" t="s">
        <v>488</v>
      </c>
    </row>
    <row r="12" spans="1:8" x14ac:dyDescent="0.35">
      <c r="A12" s="36" t="s">
        <v>489</v>
      </c>
      <c r="B12" s="388"/>
      <c r="C12" s="390"/>
      <c r="D12" s="392"/>
      <c r="E12" s="392"/>
      <c r="F12" s="392"/>
      <c r="G12" s="35" t="s">
        <v>490</v>
      </c>
      <c r="H12" s="37" t="s">
        <v>491</v>
      </c>
    </row>
    <row r="13" spans="1:8" ht="20.100000000000001" customHeight="1" x14ac:dyDescent="0.35">
      <c r="A13" s="136" t="str">
        <f>IF(G15&lt;&gt;0,ROUND(G15/24,1)&amp;" ml/u","")</f>
        <v/>
      </c>
      <c r="B13" s="112" t="s">
        <v>229</v>
      </c>
      <c r="C13" s="113"/>
      <c r="D13" s="113" t="s">
        <v>230</v>
      </c>
      <c r="E13" s="113" t="s">
        <v>231</v>
      </c>
      <c r="F13" s="114" t="s">
        <v>232</v>
      </c>
      <c r="G13" s="141" t="str">
        <f>IF(TPN&lt;&gt;1,ber_TPN!F4,"")</f>
        <v/>
      </c>
      <c r="H13" s="35"/>
    </row>
    <row r="14" spans="1:8" ht="20.100000000000001" customHeight="1" x14ac:dyDescent="0.35">
      <c r="A14" s="137"/>
      <c r="B14" s="112"/>
      <c r="C14" s="113"/>
      <c r="D14" s="113"/>
      <c r="E14" s="113"/>
      <c r="F14" s="114"/>
      <c r="G14" s="115"/>
      <c r="H14" s="35"/>
    </row>
    <row r="15" spans="1:8" ht="20.100000000000001" customHeight="1" x14ac:dyDescent="0.35">
      <c r="A15" s="34"/>
      <c r="B15" s="139"/>
      <c r="C15" s="139"/>
      <c r="D15" s="139"/>
      <c r="E15" s="139"/>
      <c r="F15" s="139" t="s">
        <v>570</v>
      </c>
      <c r="G15" s="140">
        <f>SUM(G13:G14)</f>
        <v>0</v>
      </c>
      <c r="H15" s="35"/>
    </row>
    <row r="16" spans="1:8" ht="20.100000000000001" customHeight="1" x14ac:dyDescent="0.35">
      <c r="A16" s="34"/>
      <c r="B16" s="113"/>
      <c r="C16" s="113"/>
      <c r="D16" s="113"/>
      <c r="E16" s="113"/>
      <c r="F16" s="113"/>
      <c r="G16" s="138"/>
      <c r="H16" s="35"/>
    </row>
    <row r="17" spans="1:8" ht="20.100000000000001" customHeight="1" x14ac:dyDescent="0.35">
      <c r="A17" s="137" t="str">
        <f>IF(G19&lt;&gt;0,ROUND(G19/24,1)&amp;" ml/u","")</f>
        <v/>
      </c>
      <c r="B17" s="112" t="s">
        <v>825</v>
      </c>
      <c r="C17" s="113"/>
      <c r="D17" s="113"/>
      <c r="E17" s="109"/>
      <c r="F17" s="110" t="s">
        <v>493</v>
      </c>
      <c r="G17" s="115">
        <f>IF(AND(OR(SSTglucose&lt;11,Gewicht/10&gt;50),TPN&lt;&gt;1),ROUND(ber_TPN!F5,0),0)</f>
        <v>0</v>
      </c>
      <c r="H17" s="35"/>
    </row>
    <row r="18" spans="1:8" ht="20.100000000000001" customHeight="1" x14ac:dyDescent="0.35">
      <c r="A18" s="34"/>
      <c r="B18" s="112" t="s">
        <v>816</v>
      </c>
      <c r="C18" s="113"/>
      <c r="D18" s="113"/>
      <c r="E18" s="113"/>
      <c r="F18" s="114" t="s">
        <v>228</v>
      </c>
      <c r="G18" s="115">
        <f>IF(G17&gt;0,100,0)</f>
        <v>0</v>
      </c>
      <c r="H18" s="35"/>
    </row>
    <row r="19" spans="1:8" ht="20.100000000000001" customHeight="1" x14ac:dyDescent="0.35">
      <c r="A19" s="34"/>
      <c r="B19" s="98"/>
      <c r="C19" s="98"/>
      <c r="D19" s="98"/>
      <c r="E19" s="380" t="s">
        <v>568</v>
      </c>
      <c r="F19" s="380"/>
      <c r="G19" s="95">
        <f>SUM(G17:G18)</f>
        <v>0</v>
      </c>
      <c r="H19" s="35"/>
    </row>
    <row r="20" spans="1:8" ht="20.100000000000001" customHeight="1" x14ac:dyDescent="0.35">
      <c r="A20" s="34"/>
      <c r="B20" s="92"/>
      <c r="C20" s="92"/>
      <c r="D20" s="92"/>
      <c r="E20" s="92"/>
      <c r="F20" s="92"/>
      <c r="G20" s="39"/>
      <c r="H20" s="35"/>
    </row>
    <row r="21" spans="1:8" ht="20.100000000000001" customHeight="1" x14ac:dyDescent="0.35">
      <c r="A21" s="34" t="str">
        <f>IF(G24&lt;&gt;0,ROUND(G24/24,1)&amp;" ml/u","")</f>
        <v/>
      </c>
      <c r="B21" s="108" t="s">
        <v>537</v>
      </c>
      <c r="C21" s="109"/>
      <c r="D21" s="109" t="s">
        <v>233</v>
      </c>
      <c r="E21" s="109" t="s">
        <v>234</v>
      </c>
      <c r="F21" s="110" t="s">
        <v>235</v>
      </c>
      <c r="G21" s="111">
        <f>ROUND(ber_TPN!F13,0)</f>
        <v>0</v>
      </c>
      <c r="H21" s="35"/>
    </row>
    <row r="22" spans="1:8" ht="20.100000000000001" customHeight="1" x14ac:dyDescent="0.35">
      <c r="A22" s="34"/>
      <c r="B22" s="112" t="s">
        <v>538</v>
      </c>
      <c r="C22" s="113"/>
      <c r="D22" s="113"/>
      <c r="E22" s="109"/>
      <c r="F22" s="110" t="s">
        <v>236</v>
      </c>
      <c r="G22" s="115">
        <f>ROUND(ber_TPN!F14,0)</f>
        <v>0</v>
      </c>
      <c r="H22" s="35"/>
    </row>
    <row r="23" spans="1:8" ht="20.100000000000001" customHeight="1" x14ac:dyDescent="0.35">
      <c r="A23" s="34"/>
      <c r="B23" s="112" t="s">
        <v>561</v>
      </c>
      <c r="C23" s="113"/>
      <c r="D23" s="113"/>
      <c r="E23" s="109"/>
      <c r="F23" s="110" t="s">
        <v>236</v>
      </c>
      <c r="G23" s="115">
        <f>ROUND(ber_TPN!F15,0)</f>
        <v>0</v>
      </c>
      <c r="H23" s="35"/>
    </row>
    <row r="24" spans="1:8" ht="20.100000000000001" customHeight="1" x14ac:dyDescent="0.35">
      <c r="A24" s="34"/>
      <c r="B24" s="92"/>
      <c r="C24" s="92"/>
      <c r="D24" s="92"/>
      <c r="E24" s="380" t="s">
        <v>568</v>
      </c>
      <c r="F24" s="380"/>
      <c r="G24" s="97">
        <f>SUM(G21:G23)</f>
        <v>0</v>
      </c>
      <c r="H24" s="93"/>
    </row>
    <row r="25" spans="1:8" ht="15.95" customHeight="1" thickBot="1" x14ac:dyDescent="0.4">
      <c r="A25" s="34"/>
      <c r="B25" s="92"/>
      <c r="C25" s="92"/>
      <c r="D25" s="92"/>
      <c r="E25" s="92"/>
      <c r="F25" s="92"/>
      <c r="G25" s="39"/>
      <c r="H25" s="35"/>
    </row>
    <row r="26" spans="1:8" ht="15.95" customHeight="1" thickTop="1" x14ac:dyDescent="0.35">
      <c r="A26" s="41"/>
      <c r="B26" s="393" t="s">
        <v>326</v>
      </c>
      <c r="C26" s="394"/>
      <c r="D26" s="394"/>
      <c r="E26" s="394"/>
      <c r="F26" s="394"/>
      <c r="G26" s="86"/>
      <c r="H26" s="42"/>
    </row>
    <row r="27" spans="1:8" ht="20.100000000000001" customHeight="1" x14ac:dyDescent="0.35">
      <c r="A27" s="373" t="str">
        <f>IF(G35&lt;&gt;0,ROUND(G35/24,1)&amp;" ml/u","")</f>
        <v/>
      </c>
      <c r="B27" s="119" t="s">
        <v>89</v>
      </c>
      <c r="C27" s="121"/>
      <c r="D27" s="121"/>
      <c r="E27" s="121"/>
      <c r="F27" s="125"/>
      <c r="G27" s="126">
        <f>IF(AND(OR(TPN=1,Gewicht/10&gt;50,AND(TPN=2,SSTglucose&gt;10))),ROUND(ber_TPN!F7,0),"")</f>
        <v>0</v>
      </c>
      <c r="H27" s="35"/>
    </row>
    <row r="28" spans="1:8" ht="20.100000000000001" customHeight="1" x14ac:dyDescent="0.35">
      <c r="A28" s="374"/>
      <c r="B28" s="120" t="s">
        <v>1122</v>
      </c>
      <c r="C28" s="123"/>
      <c r="D28" s="123"/>
      <c r="E28" s="123"/>
      <c r="F28" s="127"/>
      <c r="G28" s="128">
        <f>IF(AND(OR(TPN=1,Gewicht/10&gt;50,AND(TPN=2,SSTglucose&gt;10))),ROUND(ber_TPN!F8,0),"")</f>
        <v>0</v>
      </c>
      <c r="H28" s="35"/>
    </row>
    <row r="29" spans="1:8" ht="15.95" customHeight="1" x14ac:dyDescent="0.35">
      <c r="A29" s="90"/>
      <c r="B29" s="120" t="s">
        <v>1151</v>
      </c>
      <c r="C29" s="123"/>
      <c r="D29" s="123"/>
      <c r="E29" s="123"/>
      <c r="F29" s="127"/>
      <c r="G29" s="128">
        <f>ber_TPN!F9</f>
        <v>0</v>
      </c>
      <c r="H29" s="35"/>
    </row>
    <row r="30" spans="1:8" ht="15.95" customHeight="1" x14ac:dyDescent="0.35">
      <c r="A30" s="90"/>
      <c r="B30" s="120" t="s">
        <v>1152</v>
      </c>
      <c r="C30" s="123"/>
      <c r="D30" s="123"/>
      <c r="E30" s="123"/>
      <c r="F30" s="127"/>
      <c r="G30" s="128">
        <f>ber_TPN!F10</f>
        <v>0</v>
      </c>
      <c r="H30" s="35"/>
    </row>
    <row r="31" spans="1:8" ht="15.95" customHeight="1" x14ac:dyDescent="0.35">
      <c r="A31" s="90"/>
      <c r="B31" s="120" t="s">
        <v>816</v>
      </c>
      <c r="C31" s="123"/>
      <c r="D31" s="123"/>
      <c r="E31" s="123"/>
      <c r="F31" s="127"/>
      <c r="G31" s="128">
        <f>IF(Gewicht/10&lt;=50,ber_TPN!F16,0)+IF(OR(AND(SSTglucose=2,TPN=1),AND(SSTglucose=2,Gewicht/10&gt;50)),ROUND(ber_TPN!F6,0),0)</f>
        <v>0</v>
      </c>
      <c r="H31" s="35"/>
    </row>
    <row r="32" spans="1:8" ht="15.95" customHeight="1" x14ac:dyDescent="0.35">
      <c r="A32" s="90"/>
      <c r="B32" s="120" t="str">
        <f>IF(AND(OR(TPN=1,AND(TPN=2,SSTglucose&gt;10)),SSTglucose&lt;&gt;2,SSTglucose&lt;&gt;12,SSTglucose&lt;&gt;13),INDEX(tblSSTGlucose,SSTglucose,1),"Glucose       %")</f>
        <v>Glucose 5%</v>
      </c>
      <c r="C32" s="123"/>
      <c r="D32" s="123"/>
      <c r="E32" s="123"/>
      <c r="F32" s="127"/>
      <c r="G32" s="128">
        <f>IF(AND(SSTglucose&lt;&gt;2,SSTglucose&lt;&gt;12,SSTglucose&lt;&gt;13),ber_TPN!F6,"")</f>
        <v>0</v>
      </c>
      <c r="H32" s="35"/>
    </row>
    <row r="33" spans="1:8" ht="15.95" customHeight="1" x14ac:dyDescent="0.35">
      <c r="A33" s="90"/>
      <c r="B33" s="403" t="s">
        <v>90</v>
      </c>
      <c r="C33" s="404"/>
      <c r="D33" s="404"/>
      <c r="E33" s="404"/>
      <c r="F33" s="127"/>
      <c r="G33" s="128" t="str">
        <f>IF(AND(SSTglucose=12),ROUND(ber_TPN!F6,0),"")</f>
        <v/>
      </c>
      <c r="H33" s="35"/>
    </row>
    <row r="34" spans="1:8" ht="20.100000000000001" customHeight="1" x14ac:dyDescent="0.35">
      <c r="A34" s="34"/>
      <c r="B34" s="403" t="s">
        <v>91</v>
      </c>
      <c r="C34" s="404"/>
      <c r="D34" s="404"/>
      <c r="E34" s="404"/>
      <c r="F34" s="127"/>
      <c r="G34" s="128" t="str">
        <f>IF(AND(SSTglucose=13),ROUND(ber_TPN!F6,0),"")</f>
        <v/>
      </c>
      <c r="H34" s="35"/>
    </row>
    <row r="35" spans="1:8" ht="20.100000000000001" customHeight="1" x14ac:dyDescent="0.35">
      <c r="A35" s="34"/>
      <c r="B35" s="39"/>
      <c r="C35" s="39"/>
      <c r="D35" s="39"/>
      <c r="E35" s="377" t="s">
        <v>570</v>
      </c>
      <c r="F35" s="377"/>
      <c r="G35" s="96">
        <f>SUM(G27:G34)</f>
        <v>0</v>
      </c>
      <c r="H35" s="35"/>
    </row>
    <row r="36" spans="1:8" ht="20.100000000000001" customHeight="1" thickBot="1" x14ac:dyDescent="0.4">
      <c r="A36" s="34"/>
      <c r="B36" s="39"/>
      <c r="C36" s="39"/>
      <c r="D36" s="39"/>
      <c r="E36" s="39"/>
      <c r="F36" s="39"/>
      <c r="G36" s="39"/>
      <c r="H36" s="35"/>
    </row>
    <row r="37" spans="1:8" ht="20.100000000000001" customHeight="1" thickTop="1" x14ac:dyDescent="0.35">
      <c r="A37" s="41"/>
      <c r="B37" s="381" t="s">
        <v>633</v>
      </c>
      <c r="C37" s="382"/>
      <c r="D37" s="382"/>
      <c r="E37" s="382"/>
      <c r="F37" s="383"/>
      <c r="G37" s="42" t="s">
        <v>634</v>
      </c>
      <c r="H37" s="42"/>
    </row>
    <row r="38" spans="1:8" ht="20.100000000000001" customHeight="1" x14ac:dyDescent="0.35">
      <c r="A38" s="43"/>
      <c r="B38" s="368" t="s">
        <v>635</v>
      </c>
      <c r="C38" s="369"/>
      <c r="D38" s="369"/>
      <c r="E38" s="369"/>
      <c r="F38" s="370"/>
      <c r="G38" s="37" t="s">
        <v>636</v>
      </c>
      <c r="H38" s="35"/>
    </row>
    <row r="39" spans="1:8" ht="20.100000000000001" customHeight="1" x14ac:dyDescent="0.35">
      <c r="A39" s="43"/>
      <c r="B39" s="368" t="s">
        <v>637</v>
      </c>
      <c r="C39" s="369"/>
      <c r="D39" s="369"/>
      <c r="E39" s="369"/>
      <c r="F39" s="370"/>
      <c r="G39" s="37" t="s">
        <v>634</v>
      </c>
      <c r="H39" s="38"/>
    </row>
    <row r="40" spans="1:8" ht="20.100000000000001" customHeight="1" x14ac:dyDescent="0.35"/>
    <row r="41" spans="1:8" ht="15.95" customHeight="1" x14ac:dyDescent="0.35">
      <c r="A41" s="11" t="s">
        <v>638</v>
      </c>
    </row>
    <row r="42" spans="1:8" ht="10.5" customHeight="1" x14ac:dyDescent="0.35">
      <c r="A42" s="11" t="s">
        <v>569</v>
      </c>
    </row>
    <row r="43" spans="1:8" ht="15.95" customHeight="1" x14ac:dyDescent="0.35"/>
    <row r="44" spans="1:8" ht="15.95" customHeight="1" x14ac:dyDescent="0.35">
      <c r="A44" s="11" t="s">
        <v>639</v>
      </c>
    </row>
    <row r="45" spans="1:8" ht="15.95" customHeight="1" x14ac:dyDescent="0.35"/>
    <row r="46" spans="1:8" x14ac:dyDescent="0.35">
      <c r="A46" s="11" t="s">
        <v>238</v>
      </c>
    </row>
    <row r="48" spans="1:8" ht="13.2" x14ac:dyDescent="0.4">
      <c r="F48" s="3"/>
    </row>
  </sheetData>
  <sheetProtection algorithmName="SHA-512" hashValue="CqeHfZv8ST1DbOwIOZSMEMuY7sg52hVB0HGUuL1+Udut3jfJSsp+z4Sho3DPnytO9JKkiZhfACYAA4AzSJenZg==" saltValue="+aXbF+ulYWKymRC18/oTdQ==" spinCount="100000" sheet="1" objects="1" scenarios="1" selectLockedCells="1" selectUnlockedCells="1"/>
  <mergeCells count="16"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B37:F37"/>
    <mergeCell ref="B38:F38"/>
    <mergeCell ref="B39:F39"/>
    <mergeCell ref="B33:E33"/>
    <mergeCell ref="B34:E34"/>
    <mergeCell ref="E35:F35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  <group id="grpDevelopper" label="Developper">
          <button id="btnToggleLogging" label="Toggle Logging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688</vt:i4>
      </vt:variant>
    </vt:vector>
  </HeadingPairs>
  <TitlesOfParts>
    <vt:vector size="703" baseType="lpstr">
      <vt:lpstr>AcuteOpvang</vt:lpstr>
      <vt:lpstr>AfsprakenCMV</vt:lpstr>
      <vt:lpstr>MedicatieIV</vt:lpstr>
      <vt:lpstr>tblMedicatieIV</vt:lpstr>
      <vt:lpstr>Med_disc</vt:lpstr>
      <vt:lpstr>Medicatie</vt:lpstr>
      <vt:lpstr>Infusen</vt:lpstr>
      <vt:lpstr>Intake</vt:lpstr>
      <vt:lpstr>Lab</vt:lpstr>
      <vt:lpstr>tblPO</vt:lpstr>
      <vt:lpstr>TPN2tot6kg</vt:lpstr>
      <vt:lpstr>TPN7tot15kg</vt:lpstr>
      <vt:lpstr>TPN16tot30kg</vt:lpstr>
      <vt:lpstr>TPN31tot50kg</vt:lpstr>
      <vt:lpstr>TPNboven50kg</vt:lpstr>
      <vt:lpstr>_AchterNaam</vt:lpstr>
      <vt:lpstr>_VoorNaam</vt:lpstr>
      <vt:lpstr>AfspraakDatum</vt:lpstr>
      <vt:lpstr>AfsprakenVersie</vt:lpstr>
      <vt:lpstr>BedNummer</vt:lpstr>
      <vt:lpstr>CaGluc</vt:lpstr>
      <vt:lpstr>CaGlucVol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FreqPO_1</vt:lpstr>
      <vt:lpstr>FreqPO_2</vt:lpstr>
      <vt:lpstr>FreqPO_3</vt:lpstr>
      <vt:lpstr>FreqPO_4</vt:lpstr>
      <vt:lpstr>GebDatum</vt:lpstr>
      <vt:lpstr>Generic_1</vt:lpstr>
      <vt:lpstr>Generic_10</vt:lpstr>
      <vt:lpstr>Generic_11</vt:lpstr>
      <vt:lpstr>Generic_12</vt:lpstr>
      <vt:lpstr>Generic_13</vt:lpstr>
      <vt:lpstr>Generic_14</vt:lpstr>
      <vt:lpstr>Generic_15</vt:lpstr>
      <vt:lpstr>Generic_16</vt:lpstr>
      <vt:lpstr>Generic_17</vt:lpstr>
      <vt:lpstr>Generic_18</vt:lpstr>
      <vt:lpstr>Generic_19</vt:lpstr>
      <vt:lpstr>Generic_2</vt:lpstr>
      <vt:lpstr>Generic_20</vt:lpstr>
      <vt:lpstr>Generic_3</vt:lpstr>
      <vt:lpstr>Generic_4</vt:lpstr>
      <vt:lpstr>Generic_5</vt:lpstr>
      <vt:lpstr>Generic_6</vt:lpstr>
      <vt:lpstr>Generic_7</vt:lpstr>
      <vt:lpstr>Generic_8</vt:lpstr>
      <vt:lpstr>Generic_9</vt:lpstr>
      <vt:lpstr>Gewicht</vt:lpstr>
      <vt:lpstr>Infuus_1</vt:lpstr>
      <vt:lpstr>Infuus_2</vt:lpstr>
      <vt:lpstr>Infuus_3</vt:lpstr>
      <vt:lpstr>Infuus_4</vt:lpstr>
      <vt:lpstr>Infuus_5</vt:lpstr>
      <vt:lpstr>Infuus_6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</vt:lpstr>
      <vt:lpstr>MedIVSterkte_10</vt:lpstr>
      <vt:lpstr>MedIVSterkte_11</vt:lpstr>
      <vt:lpstr>MedIVSterkte_12</vt:lpstr>
      <vt:lpstr>MedIVSterkte_13</vt:lpstr>
      <vt:lpstr>MedIVSterkte_14</vt:lpstr>
      <vt:lpstr>MedIVSterkte_15</vt:lpstr>
      <vt:lpstr>MedIVSterkte_2</vt:lpstr>
      <vt:lpstr>MedIVSterkte_3</vt:lpstr>
      <vt:lpstr>MedIVSterkte_4</vt:lpstr>
      <vt:lpstr>MedIVSterkte_5</vt:lpstr>
      <vt:lpstr>MedIVSterkte_6</vt:lpstr>
      <vt:lpstr>MedIVSterkte_7</vt:lpstr>
      <vt:lpstr>MedIVSterkte_8</vt:lpstr>
      <vt:lpstr>MedIVSterkte_9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NaCl</vt:lpstr>
      <vt:lpstr>NaCl_2</vt:lpstr>
      <vt:lpstr>NaClVol</vt:lpstr>
      <vt:lpstr>NaClVol_2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tblBerMedContIV</vt:lpstr>
      <vt:lpstr>tblInfusen</vt:lpstr>
      <vt:lpstr>tblMedicationContIV</vt:lpstr>
      <vt:lpstr>tblOplossing</vt:lpstr>
      <vt:lpstr>tblPerOs</vt:lpstr>
      <vt:lpstr>tblPoeder</vt:lpstr>
      <vt:lpstr>tblSonde</vt:lpstr>
      <vt:lpstr>tblSSTGlucose</vt:lpstr>
      <vt:lpstr>tblTijden</vt:lpstr>
      <vt:lpstr>tblTPN</vt:lpstr>
      <vt:lpstr>tblVoedingPO</vt:lpstr>
      <vt:lpstr>TPN</vt:lpstr>
      <vt:lpstr>TPNVol</vt:lpstr>
      <vt:lpstr>VitIntra</vt:lpstr>
      <vt:lpstr>VitIntraVol</vt:lpstr>
      <vt:lpstr>VolPO_1</vt:lpstr>
      <vt:lpstr>VolPO_2</vt:lpstr>
      <vt:lpstr>VolPO_3</vt:lpstr>
      <vt:lpstr>VolPO_4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2015-09-04T11:20:29Z</dcterms:modified>
</cp:coreProperties>
</file>