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8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drawings/drawing9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10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6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AfsprakenCMV!$A$2:$J$134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E20" i="32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62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I32" i="7" s="1"/>
  <c r="H12" i="2"/>
  <c r="C58" i="15"/>
  <c r="I13" i="2"/>
  <c r="E13" i="2"/>
  <c r="G12" i="2"/>
  <c r="F31" i="7"/>
  <c r="I31" i="7" s="1"/>
  <c r="G13" i="2"/>
  <c r="G9" i="2"/>
  <c r="C67" i="15"/>
  <c r="G67" i="15" s="1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J64" i="15"/>
  <c r="G17" i="2"/>
  <c r="E16" i="2"/>
  <c r="I15" i="2"/>
  <c r="E15" i="2"/>
  <c r="G14" i="2"/>
  <c r="F39" i="7"/>
  <c r="H17" i="2"/>
  <c r="AA15" i="2"/>
  <c r="C66" i="15"/>
  <c r="C65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C13" i="64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F20" i="11"/>
  <c r="I20" i="11" s="1"/>
  <c r="X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C15" i="70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B7" i="10"/>
  <c r="D7" i="10" s="1"/>
  <c r="D5" i="10" s="1"/>
  <c r="E5" i="10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<sst xmlns="http://schemas.openxmlformats.org/spreadsheetml/2006/main" count="3057" uniqueCount="1437">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</sst>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56032"/>
        <c:axId val="161056592"/>
      </c:scatterChart>
      <c:valAx>
        <c:axId val="16105603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56592"/>
        <c:crosses val="autoZero"/>
        <c:crossBetween val="midCat"/>
        <c:majorUnit val="12"/>
        <c:minorUnit val="12"/>
      </c:valAx>
      <c:valAx>
        <c:axId val="161056592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56032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98464"/>
        <c:axId val="161399024"/>
      </c:scatterChart>
      <c:valAx>
        <c:axId val="16139846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399024"/>
        <c:crosses val="autoZero"/>
        <c:crossBetween val="midCat"/>
        <c:majorUnit val="1"/>
        <c:minorUnit val="0.5"/>
      </c:valAx>
      <c:valAx>
        <c:axId val="161399024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398464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I$2" max="12" min="1" page="10"/>
</file>

<file path=xl/ctrlProps/ctrlProp142.xml><?xml version="1.0" encoding="utf-8"?>
<formControlPr xmlns="http://schemas.microsoft.com/office/spreadsheetml/2009/9/main" objectType="Spin" dx="15" fmlaLink="ber_Med_disc!$G$2" max="100" page="10" val="0"/>
</file>

<file path=xl/ctrlProps/ctrlProp14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" max="30000" page="10" val="0"/>
</file>

<file path=xl/ctrlProps/ctrlProp145.xml><?xml version="1.0" encoding="utf-8"?>
<formControlPr xmlns="http://schemas.microsoft.com/office/spreadsheetml/2009/9/main" objectType="Spin" dx="15" fmlaLink="ber_Med_disc!$G$3" max="100" page="10" val="0"/>
</file>

<file path=xl/ctrlProps/ctrlProp14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47.xml><?xml version="1.0" encoding="utf-8"?>
<formControlPr xmlns="http://schemas.microsoft.com/office/spreadsheetml/2009/9/main" objectType="Spin" dx="15" fmlaLink="ber_Med_disc!$N$3" max="30000" page="10" val="0"/>
</file>

<file path=xl/ctrlProps/ctrlProp148.xml><?xml version="1.0" encoding="utf-8"?>
<formControlPr xmlns="http://schemas.microsoft.com/office/spreadsheetml/2009/9/main" objectType="Spin" dx="15" fmlaLink="ber_Med_disc!$I$4" max="12" min="1" page="10"/>
</file>

<file path=xl/ctrlProps/ctrlProp149.xml><?xml version="1.0" encoding="utf-8"?>
<formControlPr xmlns="http://schemas.microsoft.com/office/spreadsheetml/2009/9/main" objectType="Spin" dx="15" fmlaLink="ber_Med_disc!$G$4" max="100" page="10" val="0"/>
</file>

<file path=xl/ctrlProps/ctrlProp15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51.xml><?xml version="1.0" encoding="utf-8"?>
<formControlPr xmlns="http://schemas.microsoft.com/office/spreadsheetml/2009/9/main" objectType="Spin" dx="15" fmlaLink="ber_Med_disc!$N$4" max="30000" page="10" val="0"/>
</file>

<file path=xl/ctrlProps/ctrlProp152.xml><?xml version="1.0" encoding="utf-8"?>
<formControlPr xmlns="http://schemas.microsoft.com/office/spreadsheetml/2009/9/main" objectType="Spin" dx="15" fmlaLink="ber_Med_disc!$I$5" max="12" min="1" page="10"/>
</file>

<file path=xl/ctrlProps/ctrlProp153.xml><?xml version="1.0" encoding="utf-8"?>
<formControlPr xmlns="http://schemas.microsoft.com/office/spreadsheetml/2009/9/main" objectType="Spin" dx="15" fmlaLink="ber_Med_disc!$G$5" max="100" page="10" val="0"/>
</file>

<file path=xl/ctrlProps/ctrlProp15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55.xml><?xml version="1.0" encoding="utf-8"?>
<formControlPr xmlns="http://schemas.microsoft.com/office/spreadsheetml/2009/9/main" objectType="Spin" dx="15" fmlaLink="ber_Med_disc!$N$5" max="30000" page="10" val="0"/>
</file>

<file path=xl/ctrlProps/ctrlProp156.xml><?xml version="1.0" encoding="utf-8"?>
<formControlPr xmlns="http://schemas.microsoft.com/office/spreadsheetml/2009/9/main" objectType="Spin" dx="15" fmlaLink="ber_Med_disc!$I$6" max="12" min="1" page="10"/>
</file>

<file path=xl/ctrlProps/ctrlProp157.xml><?xml version="1.0" encoding="utf-8"?>
<formControlPr xmlns="http://schemas.microsoft.com/office/spreadsheetml/2009/9/main" objectType="Spin" dx="15" fmlaLink="ber_Med_disc!$G$6" max="100" page="10" val="0"/>
</file>

<file path=xl/ctrlProps/ctrlProp15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N$6" max="30000" page="10" val="0"/>
</file>

<file path=xl/ctrlProps/ctrlProp160.xml><?xml version="1.0" encoding="utf-8"?>
<formControlPr xmlns="http://schemas.microsoft.com/office/spreadsheetml/2009/9/main" objectType="Spin" dx="15" fmlaLink="ber_Med_disc!$I$7" max="12" min="1" page="10"/>
</file>

<file path=xl/ctrlProps/ctrlProp161.xml><?xml version="1.0" encoding="utf-8"?>
<formControlPr xmlns="http://schemas.microsoft.com/office/spreadsheetml/2009/9/main" objectType="Spin" dx="15" fmlaLink="ber_Med_disc!$G$7" max="100" page="10" val="0"/>
</file>

<file path=xl/ctrlProps/ctrlProp16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63.xml><?xml version="1.0" encoding="utf-8"?>
<formControlPr xmlns="http://schemas.microsoft.com/office/spreadsheetml/2009/9/main" objectType="Spin" dx="15" fmlaLink="ber_Med_disc!$N$7" max="30000" page="10" val="0"/>
</file>

<file path=xl/ctrlProps/ctrlProp164.xml><?xml version="1.0" encoding="utf-8"?>
<formControlPr xmlns="http://schemas.microsoft.com/office/spreadsheetml/2009/9/main" objectType="Spin" dx="15" fmlaLink="ber_Med_disc!$I$8" max="12" min="1" page="10"/>
</file>

<file path=xl/ctrlProps/ctrlProp165.xml><?xml version="1.0" encoding="utf-8"?>
<formControlPr xmlns="http://schemas.microsoft.com/office/spreadsheetml/2009/9/main" objectType="Spin" dx="15" fmlaLink="ber_Med_disc!$G$8" max="100" page="10" val="0"/>
</file>

<file path=xl/ctrlProps/ctrlProp16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8" max="30000" page="10" val="0"/>
</file>

<file path=xl/ctrlProps/ctrlProp168.xml><?xml version="1.0" encoding="utf-8"?>
<formControlPr xmlns="http://schemas.microsoft.com/office/spreadsheetml/2009/9/main" objectType="Spin" dx="15" fmlaLink="ber_Med_disc!$I$9" max="12" min="1" page="10"/>
</file>

<file path=xl/ctrlProps/ctrlProp169.xml><?xml version="1.0" encoding="utf-8"?>
<formControlPr xmlns="http://schemas.microsoft.com/office/spreadsheetml/2009/9/main" objectType="Spin" dx="15" fmlaLink="ber_Med_disc!$G$9" max="100" page="10" val="0"/>
</file>

<file path=xl/ctrlProps/ctrlProp17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9" max="30000" page="10" val="0"/>
</file>

<file path=xl/ctrlProps/ctrlProp172.xml><?xml version="1.0" encoding="utf-8"?>
<formControlPr xmlns="http://schemas.microsoft.com/office/spreadsheetml/2009/9/main" objectType="Spin" dx="15" fmlaLink="ber_Med_disc!$I$10" max="12" min="1" page="10"/>
</file>

<file path=xl/ctrlProps/ctrlProp173.xml><?xml version="1.0" encoding="utf-8"?>
<formControlPr xmlns="http://schemas.microsoft.com/office/spreadsheetml/2009/9/main" objectType="Spin" dx="15" fmlaLink="ber_Med_disc!$G$10" max="100" page="10" val="0"/>
</file>

<file path=xl/ctrlProps/ctrlProp17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10" max="30000" page="10" val="0"/>
</file>

<file path=xl/ctrlProps/ctrlProp176.xml><?xml version="1.0" encoding="utf-8"?>
<formControlPr xmlns="http://schemas.microsoft.com/office/spreadsheetml/2009/9/main" objectType="Spin" dx="15" fmlaLink="ber_Med_disc!$I$11" max="12" min="1" page="10"/>
</file>

<file path=xl/ctrlProps/ctrlProp177.xml><?xml version="1.0" encoding="utf-8"?>
<formControlPr xmlns="http://schemas.microsoft.com/office/spreadsheetml/2009/9/main" objectType="Spin" dx="15" fmlaLink="ber_Med_disc!$G$11" max="100" page="10" val="0"/>
</file>

<file path=xl/ctrlProps/ctrlProp17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11" max="30000" page="10" val="0"/>
</file>

<file path=xl/ctrlProps/ctrlProp180.xml><?xml version="1.0" encoding="utf-8"?>
<formControlPr xmlns="http://schemas.microsoft.com/office/spreadsheetml/2009/9/main" objectType="Spin" dx="15" fmlaLink="ber_Med_disc!$I$12" max="12" min="1" page="10"/>
</file>

<file path=xl/ctrlProps/ctrlProp181.xml><?xml version="1.0" encoding="utf-8"?>
<formControlPr xmlns="http://schemas.microsoft.com/office/spreadsheetml/2009/9/main" objectType="Spin" dx="15" fmlaLink="ber_Med_disc!$G$12" max="100" page="10" val="0"/>
</file>

<file path=xl/ctrlProps/ctrlProp18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12" max="30000" page="10" val="0"/>
</file>

<file path=xl/ctrlProps/ctrlProp184.xml><?xml version="1.0" encoding="utf-8"?>
<formControlPr xmlns="http://schemas.microsoft.com/office/spreadsheetml/2009/9/main" objectType="Spin" dx="15" fmlaLink="ber_Med_disc!$I$13" max="12" min="1" page="10"/>
</file>

<file path=xl/ctrlProps/ctrlProp185.xml><?xml version="1.0" encoding="utf-8"?>
<formControlPr xmlns="http://schemas.microsoft.com/office/spreadsheetml/2009/9/main" objectType="Spin" dx="15" fmlaLink="ber_Med_disc!$G$13" max="100" page="10" val="0"/>
</file>

<file path=xl/ctrlProps/ctrlProp18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13" max="30000" page="10" val="0"/>
</file>

<file path=xl/ctrlProps/ctrlProp188.xml><?xml version="1.0" encoding="utf-8"?>
<formControlPr xmlns="http://schemas.microsoft.com/office/spreadsheetml/2009/9/main" objectType="Spin" dx="15" fmlaLink="ber_Med_disc!$I$14" max="12" min="1" page="10"/>
</file>

<file path=xl/ctrlProps/ctrlProp189.xml><?xml version="1.0" encoding="utf-8"?>
<formControlPr xmlns="http://schemas.microsoft.com/office/spreadsheetml/2009/9/main" objectType="Spin" dx="15" fmlaLink="ber_Med_disc!$G$14" max="100" page="10" val="0"/>
</file>

<file path=xl/ctrlProps/ctrlProp19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14" max="30000" page="10" val="0"/>
</file>

<file path=xl/ctrlProps/ctrlProp192.xml><?xml version="1.0" encoding="utf-8"?>
<formControlPr xmlns="http://schemas.microsoft.com/office/spreadsheetml/2009/9/main" objectType="Spin" dx="15" fmlaLink="ber_Med_disc!$I$15" max="12" min="1" page="10"/>
</file>

<file path=xl/ctrlProps/ctrlProp193.xml><?xml version="1.0" encoding="utf-8"?>
<formControlPr xmlns="http://schemas.microsoft.com/office/spreadsheetml/2009/9/main" objectType="Spin" dx="15" fmlaLink="ber_Med_disc!$G$15" max="100" page="10" val="0"/>
</file>

<file path=xl/ctrlProps/ctrlProp19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5" max="30000" page="10" val="0"/>
</file>

<file path=xl/ctrlProps/ctrlProp196.xml><?xml version="1.0" encoding="utf-8"?>
<formControlPr xmlns="http://schemas.microsoft.com/office/spreadsheetml/2009/9/main" objectType="Spin" dx="15" fmlaLink="ber_Med_disc!$I$16" max="12" min="1" page="10"/>
</file>

<file path=xl/ctrlProps/ctrlProp197.xml><?xml version="1.0" encoding="utf-8"?>
<formControlPr xmlns="http://schemas.microsoft.com/office/spreadsheetml/2009/9/main" objectType="Spin" dx="15" fmlaLink="ber_Med_disc!$G$16" max="100" page="10" val="0"/>
</file>

<file path=xl/ctrlProps/ctrlProp19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6" max="30000" page="10" val="0"/>
</file>

<file path=xl/ctrlProps/ctrlProp200.xml><?xml version="1.0" encoding="utf-8"?>
<formControlPr xmlns="http://schemas.microsoft.com/office/spreadsheetml/2009/9/main" objectType="Spin" dx="15" fmlaLink="ber_Med_disc!$I$17" max="12" min="1" page="10"/>
</file>

<file path=xl/ctrlProps/ctrlProp201.xml><?xml version="1.0" encoding="utf-8"?>
<formControlPr xmlns="http://schemas.microsoft.com/office/spreadsheetml/2009/9/main" objectType="Spin" dx="15" fmlaLink="ber_Med_disc!$G$17" max="1000" page="10" val="0"/>
</file>

<file path=xl/ctrlProps/ctrlProp20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7" max="30000" page="10" val="0"/>
</file>

<file path=xl/ctrlProps/ctrlProp204.xml><?xml version="1.0" encoding="utf-8"?>
<formControlPr xmlns="http://schemas.microsoft.com/office/spreadsheetml/2009/9/main" objectType="Spin" dx="15" fmlaLink="ber_Med_disc!$I$18" max="12" min="1" page="10"/>
</file>

<file path=xl/ctrlProps/ctrlProp205.xml><?xml version="1.0" encoding="utf-8"?>
<formControlPr xmlns="http://schemas.microsoft.com/office/spreadsheetml/2009/9/main" objectType="Spin" dx="15" fmlaLink="ber_Med_disc!$G$18" max="1000" page="10" val="0"/>
</file>

<file path=xl/ctrlProps/ctrlProp20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8" max="30000" page="10" val="0"/>
</file>

<file path=xl/ctrlProps/ctrlProp208.xml><?xml version="1.0" encoding="utf-8"?>
<formControlPr xmlns="http://schemas.microsoft.com/office/spreadsheetml/2009/9/main" objectType="Spin" dx="15" fmlaLink="ber_Med_disc!$I$19" max="12" min="1" page="10"/>
</file>

<file path=xl/ctrlProps/ctrlProp209.xml><?xml version="1.0" encoding="utf-8"?>
<formControlPr xmlns="http://schemas.microsoft.com/office/spreadsheetml/2009/9/main" objectType="Spin" dx="15" fmlaLink="ber_Med_disc!$G$19" max="1000" page="10" val="0"/>
</file>

<file path=xl/ctrlProps/ctrlProp21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9" max="30000" page="10" val="0"/>
</file>

<file path=xl/ctrlProps/ctrlProp212.xml><?xml version="1.0" encoding="utf-8"?>
<formControlPr xmlns="http://schemas.microsoft.com/office/spreadsheetml/2009/9/main" objectType="Spin" dx="15" fmlaLink="ber_Med_disc!$I$20" max="12" min="1" page="10"/>
</file>

<file path=xl/ctrlProps/ctrlProp213.xml><?xml version="1.0" encoding="utf-8"?>
<formControlPr xmlns="http://schemas.microsoft.com/office/spreadsheetml/2009/9/main" objectType="Spin" dx="15" fmlaLink="ber_Med_disc!$G$20" max="1000" page="10" val="0"/>
</file>

<file path=xl/ctrlProps/ctrlProp21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20" max="30000" page="10" val="0"/>
</file>

<file path=xl/ctrlProps/ctrlProp216.xml><?xml version="1.0" encoding="utf-8"?>
<formControlPr xmlns="http://schemas.microsoft.com/office/spreadsheetml/2009/9/main" objectType="Spin" dx="15" fmlaLink="ber_Med_disc!$I$21" max="12" min="1" page="10"/>
</file>

<file path=xl/ctrlProps/ctrlProp217.xml><?xml version="1.0" encoding="utf-8"?>
<formControlPr xmlns="http://schemas.microsoft.com/office/spreadsheetml/2009/9/main" objectType="Spin" dx="15" fmlaLink="ber_Med_disc!$G$21" max="1000" page="10" val="0"/>
</file>

<file path=xl/ctrlProps/ctrlProp21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21" max="30000" page="10" val="0"/>
</file>

<file path=xl/ctrlProps/ctrlProp220.xml><?xml version="1.0" encoding="utf-8"?>
<formControlPr xmlns="http://schemas.microsoft.com/office/spreadsheetml/2009/9/main" objectType="Spin" dx="15" fmlaLink="ber_Med_disc!$I$3" max="12" min="1" page="10"/>
</file>

<file path=xl/ctrlProps/ctrlProp221.xml><?xml version="1.0" encoding="utf-8"?>
<formControlPr xmlns="http://schemas.microsoft.com/office/spreadsheetml/2009/9/main" objectType="Spin" dx="15" fmlaLink="ber_Med_disc!$Q$2" inc="5" max="1440" page="10" val="0"/>
</file>

<file path=xl/ctrlProps/ctrlProp222.xml><?xml version="1.0" encoding="utf-8"?>
<formControlPr xmlns="http://schemas.microsoft.com/office/spreadsheetml/2009/9/main" objectType="Spin" dx="15" fmlaLink="ber_Med_disc!$Q$3" inc="5" max="1440" page="10" val="0"/>
</file>

<file path=xl/ctrlProps/ctrlProp223.xml><?xml version="1.0" encoding="utf-8"?>
<formControlPr xmlns="http://schemas.microsoft.com/office/spreadsheetml/2009/9/main" objectType="Spin" dx="15" fmlaLink="ber_Med_disc!$Q$4" inc="5" max="1440" page="10" val="0"/>
</file>

<file path=xl/ctrlProps/ctrlProp224.xml><?xml version="1.0" encoding="utf-8"?>
<formControlPr xmlns="http://schemas.microsoft.com/office/spreadsheetml/2009/9/main" objectType="Spin" dx="15" fmlaLink="ber_Med_disc!$Q$5" inc="5" max="1440" page="10" val="0"/>
</file>

<file path=xl/ctrlProps/ctrlProp225.xml><?xml version="1.0" encoding="utf-8"?>
<formControlPr xmlns="http://schemas.microsoft.com/office/spreadsheetml/2009/9/main" objectType="Spin" dx="15" fmlaLink="ber_Med_disc!$Q$6" inc="5" max="1440" page="10" val="0"/>
</file>

<file path=xl/ctrlProps/ctrlProp226.xml><?xml version="1.0" encoding="utf-8"?>
<formControlPr xmlns="http://schemas.microsoft.com/office/spreadsheetml/2009/9/main" objectType="Spin" dx="15" fmlaLink="ber_Med_disc!$Q$7" inc="5" max="1440" page="10" val="0"/>
</file>

<file path=xl/ctrlProps/ctrlProp227.xml><?xml version="1.0" encoding="utf-8"?>
<formControlPr xmlns="http://schemas.microsoft.com/office/spreadsheetml/2009/9/main" objectType="Spin" dx="15" fmlaLink="ber_Med_disc!$Q$8" inc="5" max="1440" page="10" val="0"/>
</file>

<file path=xl/ctrlProps/ctrlProp228.xml><?xml version="1.0" encoding="utf-8"?>
<formControlPr xmlns="http://schemas.microsoft.com/office/spreadsheetml/2009/9/main" objectType="Spin" dx="15" fmlaLink="ber_Med_disc!$Q$9" inc="5" max="1440" page="10" val="0"/>
</file>

<file path=xl/ctrlProps/ctrlProp229.xml><?xml version="1.0" encoding="utf-8"?>
<formControlPr xmlns="http://schemas.microsoft.com/office/spreadsheetml/2009/9/main" objectType="Spin" dx="15" fmlaLink="ber_Med_disc!$Q$10" inc="5" max="1440" page="10" val="0"/>
</file>

<file path=xl/ctrlProps/ctrlProp230.xml><?xml version="1.0" encoding="utf-8"?>
<formControlPr xmlns="http://schemas.microsoft.com/office/spreadsheetml/2009/9/main" objectType="Spin" dx="15" fmlaLink="ber_Med_disc!$Q$11" inc="5" max="1440" page="10" val="0"/>
</file>

<file path=xl/ctrlProps/ctrlProp231.xml><?xml version="1.0" encoding="utf-8"?>
<formControlPr xmlns="http://schemas.microsoft.com/office/spreadsheetml/2009/9/main" objectType="Spin" dx="15" fmlaLink="ber_Med_disc!$Q$12" inc="5" max="1440" page="10" val="0"/>
</file>

<file path=xl/ctrlProps/ctrlProp232.xml><?xml version="1.0" encoding="utf-8"?>
<formControlPr xmlns="http://schemas.microsoft.com/office/spreadsheetml/2009/9/main" objectType="Spin" dx="15" fmlaLink="ber_Med_disc!$Q$13" inc="5" max="1440" page="10" val="0"/>
</file>

<file path=xl/ctrlProps/ctrlProp233.xml><?xml version="1.0" encoding="utf-8"?>
<formControlPr xmlns="http://schemas.microsoft.com/office/spreadsheetml/2009/9/main" objectType="Spin" dx="15" fmlaLink="ber_Med_disc!$Q$14" inc="5" max="1440" page="10" val="0"/>
</file>

<file path=xl/ctrlProps/ctrlProp234.xml><?xml version="1.0" encoding="utf-8"?>
<formControlPr xmlns="http://schemas.microsoft.com/office/spreadsheetml/2009/9/main" objectType="Spin" dx="15" fmlaLink="ber_Med_disc!$Q$15" inc="5" max="1440" page="10" val="0"/>
</file>

<file path=xl/ctrlProps/ctrlProp235.xml><?xml version="1.0" encoding="utf-8"?>
<formControlPr xmlns="http://schemas.microsoft.com/office/spreadsheetml/2009/9/main" objectType="Spin" dx="15" fmlaLink="ber_Med_disc!$Q$16" inc="5" max="1440" page="10" val="0"/>
</file>

<file path=xl/ctrlProps/ctrlProp236.xml><?xml version="1.0" encoding="utf-8"?>
<formControlPr xmlns="http://schemas.microsoft.com/office/spreadsheetml/2009/9/main" objectType="Spin" dx="15" fmlaLink="ber_Med_disc!$Q$17" inc="5" max="1440" page="10" val="0"/>
</file>

<file path=xl/ctrlProps/ctrlProp237.xml><?xml version="1.0" encoding="utf-8"?>
<formControlPr xmlns="http://schemas.microsoft.com/office/spreadsheetml/2009/9/main" objectType="Spin" dx="15" fmlaLink="ber_Med_disc!$Q$18" inc="5" max="1440" page="10" val="0"/>
</file>

<file path=xl/ctrlProps/ctrlProp238.xml><?xml version="1.0" encoding="utf-8"?>
<formControlPr xmlns="http://schemas.microsoft.com/office/spreadsheetml/2009/9/main" objectType="Spin" dx="15" fmlaLink="ber_Med_disc!$Q$19" inc="5" max="1440" page="10" val="0"/>
</file>

<file path=xl/ctrlProps/ctrlProp239.xml><?xml version="1.0" encoding="utf-8"?>
<formControlPr xmlns="http://schemas.microsoft.com/office/spreadsheetml/2009/9/main" objectType="Spin" dx="15" fmlaLink="ber_Med_disc!$Q$20" inc="5" max="1440" page="10" val="0"/>
</file>

<file path=xl/ctrlProps/ctrlProp240.xml><?xml version="1.0" encoding="utf-8"?>
<formControlPr xmlns="http://schemas.microsoft.com/office/spreadsheetml/2009/9/main" objectType="Spin" dx="15" fmlaLink="ber_Med_disc!$Q$21" inc="5" max="1440" page="10" val="0"/>
</file>

<file path=xl/ctrlProps/ctrlProp24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42.xml><?xml version="1.0" encoding="utf-8"?>
<formControlPr xmlns="http://schemas.microsoft.com/office/spreadsheetml/2009/9/main" objectType="Spin" dx="15" fmlaLink="dbBead!$G$2" max="1000" min="25" page="10" val="100"/>
</file>

<file path=xl/ctrlProps/ctrlProp243.xml><?xml version="1.0" encoding="utf-8"?>
<formControlPr xmlns="http://schemas.microsoft.com/office/spreadsheetml/2009/9/main" objectType="Spin" dx="15" fmlaLink="dbBead!$H$2" max="200" min="40" page="10" val="80"/>
</file>

<file path=xl/ctrlProps/ctrlProp24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4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4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4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4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4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5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5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5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5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54.xml><?xml version="1.0" encoding="utf-8"?>
<formControlPr xmlns="http://schemas.microsoft.com/office/spreadsheetml/2009/9/main" objectType="Spin" dx="15" fmlaLink="dbBead!$G$2" max="1000" min="25" page="10" val="100"/>
</file>

<file path=xl/ctrlProps/ctrlProp255.xml><?xml version="1.0" encoding="utf-8"?>
<formControlPr xmlns="http://schemas.microsoft.com/office/spreadsheetml/2009/9/main" objectType="Spin" dx="15" fmlaLink="dbBead!$H$2" max="200" min="40" page="10" val="80"/>
</file>

<file path=xl/ctrlProps/ctrlProp25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5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58.xml><?xml version="1.0" encoding="utf-8"?>
<formControlPr xmlns="http://schemas.microsoft.com/office/spreadsheetml/2009/9/main" objectType="Spin" dx="15" fmlaLink="ber_Infusen!$R$1" max="200" min="30" page="10" val="30"/>
</file>

<file path=xl/ctrlProps/ctrlProp259.xml><?xml version="1.0" encoding="utf-8"?>
<formControlPr xmlns="http://schemas.microsoft.com/office/spreadsheetml/2009/9/main" objectType="Spin" dx="15" fmlaLink="ber_Infusen!$R$2" max="20" page="10" val="0"/>
</file>

<file path=xl/ctrlProps/ctrlProp260.xml><?xml version="1.0" encoding="utf-8"?>
<formControlPr xmlns="http://schemas.microsoft.com/office/spreadsheetml/2009/9/main" objectType="Spin" dx="15" fmlaLink="ber_Infusen!$R$3" max="20" page="10" val="0"/>
</file>

<file path=xl/ctrlProps/ctrlProp261.xml><?xml version="1.0" encoding="utf-8"?>
<formControlPr xmlns="http://schemas.microsoft.com/office/spreadsheetml/2009/9/main" objectType="Spin" dx="15" fmlaLink="ber_Infusen!$R$4" max="250" min="20" page="10" val="20"/>
</file>

<file path=xl/ctrlProps/ctrlProp262.xml><?xml version="1.0" encoding="utf-8"?>
<formControlPr xmlns="http://schemas.microsoft.com/office/spreadsheetml/2009/9/main" objectType="Spin" dx="15" fmlaLink="ber_Infusen!$R$5" max="100" min="4" page="10" val="4"/>
</file>

<file path=xl/ctrlProps/ctrlProp263.xml><?xml version="1.0" encoding="utf-8"?>
<formControlPr xmlns="http://schemas.microsoft.com/office/spreadsheetml/2009/9/main" objectType="Spin" dx="15" fmlaLink="ber_Infusen!$R$6" max="100" min="4" page="10" val="4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Spin" dx="15" fmlaLink="ber_Infusen!$H$3" max="24" page="10" val="0"/>
</file>

<file path=xl/ctrlProps/ctrlProp266.xml><?xml version="1.0" encoding="utf-8"?>
<formControlPr xmlns="http://schemas.microsoft.com/office/spreadsheetml/2009/9/main" objectType="Spin" dx="15" fmlaLink="ber_Infusen!$H$6" max="24" page="10" val="0"/>
</file>

<file path=xl/ctrlProps/ctrlProp267.xml><?xml version="1.0" encoding="utf-8"?>
<formControlPr xmlns="http://schemas.microsoft.com/office/spreadsheetml/2009/9/main" objectType="Spin" dx="15" fmlaLink="ber_Infusen!$H$2" max="24" page="10" val="0"/>
</file>

<file path=xl/ctrlProps/ctrlProp268.xml><?xml version="1.0" encoding="utf-8"?>
<formControlPr xmlns="http://schemas.microsoft.com/office/spreadsheetml/2009/9/main" objectType="Spin" dx="15" fmlaLink="ber_Infusen!$H$8" max="24" page="10" val="0"/>
</file>

<file path=xl/ctrlProps/ctrlProp269.xml><?xml version="1.0" encoding="utf-8"?>
<formControlPr xmlns="http://schemas.microsoft.com/office/spreadsheetml/2009/9/main" objectType="CheckBox" checked="Checked" fmlaLink="ber_Infusen!$P$8" lockText="1" noThreeD="1"/>
</file>

<file path=xl/ctrlProps/ctrlProp270.xml><?xml version="1.0" encoding="utf-8"?>
<formControlPr xmlns="http://schemas.microsoft.com/office/spreadsheetml/2009/9/main" objectType="Spin" dx="15" fmlaLink="ber_PO!$L$22" max="24" min="1" page="10"/>
</file>

<file path=xl/ctrlProps/ctrlProp271.xml><?xml version="1.0" encoding="utf-8"?>
<formControlPr xmlns="http://schemas.microsoft.com/office/spreadsheetml/2009/9/main" objectType="Spin" dx="15" fmlaLink="ber_PO!$M$22" max="10000" min="1" page="10"/>
</file>

<file path=xl/ctrlProps/ctrlProp27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73.xml><?xml version="1.0" encoding="utf-8"?>
<formControlPr xmlns="http://schemas.microsoft.com/office/spreadsheetml/2009/9/main" objectType="Spin" dx="15" fmlaLink="ber_TPN!$D$3" max="300" page="10" val="0"/>
</file>

<file path=xl/ctrlProps/ctrlProp274.xml><?xml version="1.0" encoding="utf-8"?>
<formControlPr xmlns="http://schemas.microsoft.com/office/spreadsheetml/2009/9/main" objectType="Spin" dx="15" fmlaLink="ber_TPN!$E$7" max="5000" min="1" page="10"/>
</file>

<file path=xl/ctrlProps/ctrlProp275.xml><?xml version="1.0" encoding="utf-8"?>
<formControlPr xmlns="http://schemas.microsoft.com/office/spreadsheetml/2009/9/main" objectType="Spin" dx="15" fmlaLink="ber_TPN!$E$8" max="5000" min="1" page="10"/>
</file>

<file path=xl/ctrlProps/ctrlProp276.xml><?xml version="1.0" encoding="utf-8"?>
<formControlPr xmlns="http://schemas.microsoft.com/office/spreadsheetml/2009/9/main" objectType="Spin" dx="15" fmlaLink="ber_TPN!$E$9" max="5000" min="1" page="10"/>
</file>

<file path=xl/ctrlProps/ctrlProp277.xml><?xml version="1.0" encoding="utf-8"?>
<formControlPr xmlns="http://schemas.microsoft.com/office/spreadsheetml/2009/9/main" objectType="CheckBox" fmlaLink="ber_TPN!$C$7" lockText="1"/>
</file>

<file path=xl/ctrlProps/ctrlProp278.xml><?xml version="1.0" encoding="utf-8"?>
<formControlPr xmlns="http://schemas.microsoft.com/office/spreadsheetml/2009/9/main" objectType="CheckBox" fmlaLink="ber_TPN!$C$8" lockText="1"/>
</file>

<file path=xl/ctrlProps/ctrlProp279.xml><?xml version="1.0" encoding="utf-8"?>
<formControlPr xmlns="http://schemas.microsoft.com/office/spreadsheetml/2009/9/main" objectType="CheckBox" fmlaLink="ber_TPN!$C$9" lockText="1"/>
</file>

<file path=xl/ctrlProps/ctrlProp280.xml><?xml version="1.0" encoding="utf-8"?>
<formControlPr xmlns="http://schemas.microsoft.com/office/spreadsheetml/2009/9/main" objectType="Spin" dx="15" fmlaLink="ber_TPN!$D$12" max="200" page="10" val="0"/>
</file>

<file path=xl/ctrlProps/ctrlProp281.xml><?xml version="1.0" encoding="utf-8"?>
<formControlPr xmlns="http://schemas.microsoft.com/office/spreadsheetml/2009/9/main" objectType="CheckBox" fmlaLink="ber_TPN!$C$14" lockText="1"/>
</file>

<file path=xl/ctrlProps/ctrlProp282.xml><?xml version="1.0" encoding="utf-8"?>
<formControlPr xmlns="http://schemas.microsoft.com/office/spreadsheetml/2009/9/main" objectType="CheckBox" fmlaLink="ber_TPN!$C$15" lockText="1"/>
</file>

<file path=xl/ctrlProps/ctrlProp283.xml><?xml version="1.0" encoding="utf-8"?>
<formControlPr xmlns="http://schemas.microsoft.com/office/spreadsheetml/2009/9/main" objectType="Spin" dx="15" fmlaLink="ber_TPN!$E$14" max="55" min="1" page="10"/>
</file>

<file path=xl/ctrlProps/ctrlProp284.xml><?xml version="1.0" encoding="utf-8"?>
<formControlPr xmlns="http://schemas.microsoft.com/office/spreadsheetml/2009/9/main" objectType="Spin" dx="15" fmlaLink="ber_TPN!$E$15" max="55" min="1" page="10"/>
</file>

<file path=xl/ctrlProps/ctrlProp285.xml><?xml version="1.0" encoding="utf-8"?>
<formControlPr xmlns="http://schemas.microsoft.com/office/spreadsheetml/2009/9/main" objectType="Drop" dropStyle="combo" dx="16" fmlaLink="ber_PO!$A$1" fmlaRange="tblSonde" sel="1" val="0"/>
</file>

<file path=xl/ctrlProps/ctrlProp286.xml><?xml version="1.0" encoding="utf-8"?>
<formControlPr xmlns="http://schemas.microsoft.com/office/spreadsheetml/2009/9/main" objectType="CheckBox" fmlaLink="ber_TPN!$C$10" lockText="1"/>
</file>

<file path=xl/ctrlProps/ctrlProp287.xml><?xml version="1.0" encoding="utf-8"?>
<formControlPr xmlns="http://schemas.microsoft.com/office/spreadsheetml/2009/9/main" objectType="CheckBox" fmlaLink="ber_TPN!$C$11" lockText="1"/>
</file>

<file path=xl/ctrlProps/ctrlProp288.xml><?xml version="1.0" encoding="utf-8"?>
<formControlPr xmlns="http://schemas.microsoft.com/office/spreadsheetml/2009/9/main" objectType="Spin" dx="15" fmlaLink="ber_TPN!$E$10" max="5000" min="1" page="10"/>
</file>

<file path=xl/ctrlProps/ctrlProp289.xml><?xml version="1.0" encoding="utf-8"?>
<formControlPr xmlns="http://schemas.microsoft.com/office/spreadsheetml/2009/9/main" objectType="Spin" dx="15" fmlaLink="ber_TPN!$E$11" max="200" min="1" page="10"/>
</file>

<file path=xl/ctrlProps/ctrlProp290.xml><?xml version="1.0" encoding="utf-8"?>
<formControlPr xmlns="http://schemas.microsoft.com/office/spreadsheetml/2009/9/main" objectType="Drop" dropStyle="combo" dx="16" fmlaLink="ber_TPN!$B$4" fmlaRange="tblTPN" sel="1" val="0"/>
</file>

<file path=xl/ctrlProps/ctrlProp29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92.xml><?xml version="1.0" encoding="utf-8"?>
<formControlPr xmlns="http://schemas.microsoft.com/office/spreadsheetml/2009/9/main" objectType="Spin" dx="15" fmlaLink="ber_TPN!$E$4" max="4000" page="10" val="0"/>
</file>

<file path=xl/ctrlProps/ctrlProp293.xml><?xml version="1.0" encoding="utf-8"?>
<formControlPr xmlns="http://schemas.microsoft.com/office/spreadsheetml/2009/9/main" objectType="Spin" dx="15" fmlaLink="ber_PO!$L$23" max="12" min="1" page="10"/>
</file>

<file path=xl/ctrlProps/ctrlProp294.xml><?xml version="1.0" encoding="utf-8"?>
<formControlPr xmlns="http://schemas.microsoft.com/office/spreadsheetml/2009/9/main" objectType="Spin" dx="15" fmlaLink="ber_PO!$M$23" max="100" page="10" val="0"/>
</file>

<file path=xl/ctrlProps/ctrlProp29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96.xml><?xml version="1.0" encoding="utf-8"?>
<formControlPr xmlns="http://schemas.microsoft.com/office/spreadsheetml/2009/9/main" objectType="Spin" dx="15" fmlaLink="ber_TPN!$E$5" max="15" page="10" val="0"/>
</file>

<file path=xl/ctrlProps/ctrlProp297.xml><?xml version="1.0" encoding="utf-8"?>
<formControlPr xmlns="http://schemas.microsoft.com/office/spreadsheetml/2009/9/main" objectType="Spin" dx="15" fmlaLink="ber_PO!$L$24" max="12" min="1" page="10"/>
</file>

<file path=xl/ctrlProps/ctrlProp298.xml><?xml version="1.0" encoding="utf-8"?>
<formControlPr xmlns="http://schemas.microsoft.com/office/spreadsheetml/2009/9/main" objectType="Spin" dx="15" fmlaLink="ber_PO!$M$24" max="100" page="10" val="0"/>
</file>

<file path=xl/ctrlProps/ctrlProp29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00.xml><?xml version="1.0" encoding="utf-8"?>
<formControlPr xmlns="http://schemas.microsoft.com/office/spreadsheetml/2009/9/main" objectType="Spin" dx="15" fmlaLink="ber_PO!$L$25" max="12" min="1" page="10"/>
</file>

<file path=xl/ctrlProps/ctrlProp301.xml><?xml version="1.0" encoding="utf-8"?>
<formControlPr xmlns="http://schemas.microsoft.com/office/spreadsheetml/2009/9/main" objectType="Spin" dx="15" fmlaLink="ber_PO!$M$25" max="100" page="10" val="0"/>
</file>

<file path=xl/ctrlProps/ctrlProp30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03.xml><?xml version="1.0" encoding="utf-8"?>
<formControlPr xmlns="http://schemas.microsoft.com/office/spreadsheetml/2009/9/main" objectType="Spin" dx="15" fmlaLink="ber_TPN!$D$18" max="200" page="10" val="0"/>
</file>

<file path=xl/ctrlProps/ctrlProp304.xml><?xml version="1.0" encoding="utf-8"?>
<formControlPr xmlns="http://schemas.microsoft.com/office/spreadsheetml/2009/9/main" objectType="Spin" dx="15" fmlaLink="ber_TPN!$E$20" max="1000" min="1" page="10"/>
</file>

<file path=xl/ctrlProps/ctrlProp305.xml><?xml version="1.0" encoding="utf-8"?>
<formControlPr xmlns="http://schemas.microsoft.com/office/spreadsheetml/2009/9/main" objectType="Spin" dx="15" fmlaLink="ber_TPN!$E$21" max="200" min="1" page="10"/>
</file>

<file path=xl/ctrlProps/ctrlProp306.xml><?xml version="1.0" encoding="utf-8"?>
<formControlPr xmlns="http://schemas.microsoft.com/office/spreadsheetml/2009/9/main" objectType="CheckBox" fmlaLink="ber_TPN!$C$20" lockText="1"/>
</file>

<file path=xl/ctrlProps/ctrlProp307.xml><?xml version="1.0" encoding="utf-8"?>
<formControlPr xmlns="http://schemas.microsoft.com/office/spreadsheetml/2009/9/main" objectType="CheckBox" fmlaLink="ber_TPN!$C$21" lockText="1"/>
</file>

<file path=xl/ctrlProps/ctrlProp30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09.xml><?xml version="1.0" encoding="utf-8"?>
<formControlPr xmlns="http://schemas.microsoft.com/office/spreadsheetml/2009/9/main" objectType="Spin" dx="15" fmlaLink="dbBead!$G$2" max="1000" min="25" page="10" val="100"/>
</file>

<file path=xl/ctrlProps/ctrlProp310.xml><?xml version="1.0" encoding="utf-8"?>
<formControlPr xmlns="http://schemas.microsoft.com/office/spreadsheetml/2009/9/main" objectType="Spin" dx="15" fmlaLink="dbBead!$H$2" max="200" min="40" page="10" val="80"/>
</file>

<file path=xl/ctrlProps/ctrlProp311.xml><?xml version="1.0" encoding="utf-8"?>
<formControlPr xmlns="http://schemas.microsoft.com/office/spreadsheetml/2009/9/main" objectType="CheckBox" fmlaLink="Ber_Lab!$C$5" lockText="1"/>
</file>

<file path=xl/ctrlProps/ctrlProp312.xml><?xml version="1.0" encoding="utf-8"?>
<formControlPr xmlns="http://schemas.microsoft.com/office/spreadsheetml/2009/9/main" objectType="CheckBox" fmlaLink="Ber_Lab!C6" lockText="1"/>
</file>

<file path=xl/ctrlProps/ctrlProp313.xml><?xml version="1.0" encoding="utf-8"?>
<formControlPr xmlns="http://schemas.microsoft.com/office/spreadsheetml/2009/9/main" objectType="CheckBox" fmlaLink="Ber_Lab!C8" lockText="1"/>
</file>

<file path=xl/ctrlProps/ctrlProp314.xml><?xml version="1.0" encoding="utf-8"?>
<formControlPr xmlns="http://schemas.microsoft.com/office/spreadsheetml/2009/9/main" objectType="CheckBox" fmlaLink="Ber_Lab!C9" lockText="1"/>
</file>

<file path=xl/ctrlProps/ctrlProp315.xml><?xml version="1.0" encoding="utf-8"?>
<formControlPr xmlns="http://schemas.microsoft.com/office/spreadsheetml/2009/9/main" objectType="CheckBox" fmlaLink="Ber_Lab!C14" lockText="1"/>
</file>

<file path=xl/ctrlProps/ctrlProp316.xml><?xml version="1.0" encoding="utf-8"?>
<formControlPr xmlns="http://schemas.microsoft.com/office/spreadsheetml/2009/9/main" objectType="CheckBox" fmlaLink="Ber_Lab!C13" lockText="1"/>
</file>

<file path=xl/ctrlProps/ctrlProp317.xml><?xml version="1.0" encoding="utf-8"?>
<formControlPr xmlns="http://schemas.microsoft.com/office/spreadsheetml/2009/9/main" objectType="CheckBox" fmlaLink="Ber_Lab!C27" lockText="1"/>
</file>

<file path=xl/ctrlProps/ctrlProp318.xml><?xml version="1.0" encoding="utf-8"?>
<formControlPr xmlns="http://schemas.microsoft.com/office/spreadsheetml/2009/9/main" objectType="CheckBox" fmlaLink="Ber_Lab!C16" lockText="1"/>
</file>

<file path=xl/ctrlProps/ctrlProp319.xml><?xml version="1.0" encoding="utf-8"?>
<formControlPr xmlns="http://schemas.microsoft.com/office/spreadsheetml/2009/9/main" objectType="CheckBox" fmlaLink="Ber_Lab!C18" lockText="1"/>
</file>

<file path=xl/ctrlProps/ctrlProp320.xml><?xml version="1.0" encoding="utf-8"?>
<formControlPr xmlns="http://schemas.microsoft.com/office/spreadsheetml/2009/9/main" objectType="CheckBox" fmlaLink="Ber_Lab!C19" lockText="1"/>
</file>

<file path=xl/ctrlProps/ctrlProp321.xml><?xml version="1.0" encoding="utf-8"?>
<formControlPr xmlns="http://schemas.microsoft.com/office/spreadsheetml/2009/9/main" objectType="CheckBox" fmlaLink="Ber_Lab!C20" lockText="1"/>
</file>

<file path=xl/ctrlProps/ctrlProp322.xml><?xml version="1.0" encoding="utf-8"?>
<formControlPr xmlns="http://schemas.microsoft.com/office/spreadsheetml/2009/9/main" objectType="CheckBox" fmlaLink="Ber_Lab!C12" lockText="1"/>
</file>

<file path=xl/ctrlProps/ctrlProp323.xml><?xml version="1.0" encoding="utf-8"?>
<formControlPr xmlns="http://schemas.microsoft.com/office/spreadsheetml/2009/9/main" objectType="CheckBox" fmlaLink="Ber_Lab!C28" lockText="1"/>
</file>

<file path=xl/ctrlProps/ctrlProp324.xml><?xml version="1.0" encoding="utf-8"?>
<formControlPr xmlns="http://schemas.microsoft.com/office/spreadsheetml/2009/9/main" objectType="CheckBox" fmlaLink="Ber_Lab!G5" lockText="1"/>
</file>

<file path=xl/ctrlProps/ctrlProp325.xml><?xml version="1.0" encoding="utf-8"?>
<formControlPr xmlns="http://schemas.microsoft.com/office/spreadsheetml/2009/9/main" objectType="CheckBox" fmlaLink="Ber_Lab!G6" lockText="1"/>
</file>

<file path=xl/ctrlProps/ctrlProp326.xml><?xml version="1.0" encoding="utf-8"?>
<formControlPr xmlns="http://schemas.microsoft.com/office/spreadsheetml/2009/9/main" objectType="CheckBox" fmlaLink="Ber_Lab!G8" lockText="1"/>
</file>

<file path=xl/ctrlProps/ctrlProp327.xml><?xml version="1.0" encoding="utf-8"?>
<formControlPr xmlns="http://schemas.microsoft.com/office/spreadsheetml/2009/9/main" objectType="CheckBox" fmlaLink="Ber_Lab!G9" lockText="1"/>
</file>

<file path=xl/ctrlProps/ctrlProp328.xml><?xml version="1.0" encoding="utf-8"?>
<formControlPr xmlns="http://schemas.microsoft.com/office/spreadsheetml/2009/9/main" objectType="CheckBox" fmlaLink="Ber_Lab!G14" lockText="1"/>
</file>

<file path=xl/ctrlProps/ctrlProp329.xml><?xml version="1.0" encoding="utf-8"?>
<formControlPr xmlns="http://schemas.microsoft.com/office/spreadsheetml/2009/9/main" objectType="CheckBox" fmlaLink="Ber_Lab!G13" lockText="1"/>
</file>

<file path=xl/ctrlProps/ctrlProp330.xml><?xml version="1.0" encoding="utf-8"?>
<formControlPr xmlns="http://schemas.microsoft.com/office/spreadsheetml/2009/9/main" objectType="CheckBox" fmlaLink="Ber_Lab!G27" lockText="1"/>
</file>

<file path=xl/ctrlProps/ctrlProp331.xml><?xml version="1.0" encoding="utf-8"?>
<formControlPr xmlns="http://schemas.microsoft.com/office/spreadsheetml/2009/9/main" objectType="CheckBox" fmlaLink="Ber_Lab!G16" lockText="1"/>
</file>

<file path=xl/ctrlProps/ctrlProp332.xml><?xml version="1.0" encoding="utf-8"?>
<formControlPr xmlns="http://schemas.microsoft.com/office/spreadsheetml/2009/9/main" objectType="CheckBox" fmlaLink="Ber_Lab!G18" lockText="1"/>
</file>

<file path=xl/ctrlProps/ctrlProp333.xml><?xml version="1.0" encoding="utf-8"?>
<formControlPr xmlns="http://schemas.microsoft.com/office/spreadsheetml/2009/9/main" objectType="CheckBox" fmlaLink="Ber_Lab!G19" lockText="1"/>
</file>

<file path=xl/ctrlProps/ctrlProp334.xml><?xml version="1.0" encoding="utf-8"?>
<formControlPr xmlns="http://schemas.microsoft.com/office/spreadsheetml/2009/9/main" objectType="CheckBox" fmlaLink="Ber_Lab!G20" lockText="1"/>
</file>

<file path=xl/ctrlProps/ctrlProp335.xml><?xml version="1.0" encoding="utf-8"?>
<formControlPr xmlns="http://schemas.microsoft.com/office/spreadsheetml/2009/9/main" objectType="CheckBox" fmlaLink="Ber_Lab!G12" lockText="1"/>
</file>

<file path=xl/ctrlProps/ctrlProp336.xml><?xml version="1.0" encoding="utf-8"?>
<formControlPr xmlns="http://schemas.microsoft.com/office/spreadsheetml/2009/9/main" objectType="CheckBox" fmlaLink="Ber_Lab!G28" lockText="1"/>
</file>

<file path=xl/ctrlProps/ctrlProp337.xml><?xml version="1.0" encoding="utf-8"?>
<formControlPr xmlns="http://schemas.microsoft.com/office/spreadsheetml/2009/9/main" objectType="CheckBox" fmlaLink="Ber_Lab!I5" lockText="1"/>
</file>

<file path=xl/ctrlProps/ctrlProp338.xml><?xml version="1.0" encoding="utf-8"?>
<formControlPr xmlns="http://schemas.microsoft.com/office/spreadsheetml/2009/9/main" objectType="CheckBox" fmlaLink="Ber_Lab!I6" lockText="1"/>
</file>

<file path=xl/ctrlProps/ctrlProp339.xml><?xml version="1.0" encoding="utf-8"?>
<formControlPr xmlns="http://schemas.microsoft.com/office/spreadsheetml/2009/9/main" objectType="CheckBox" fmlaLink="Ber_Lab!I8" lockText="1"/>
</file>

<file path=xl/ctrlProps/ctrlProp340.xml><?xml version="1.0" encoding="utf-8"?>
<formControlPr xmlns="http://schemas.microsoft.com/office/spreadsheetml/2009/9/main" objectType="CheckBox" fmlaLink="Ber_Lab!I9" lockText="1"/>
</file>

<file path=xl/ctrlProps/ctrlProp341.xml><?xml version="1.0" encoding="utf-8"?>
<formControlPr xmlns="http://schemas.microsoft.com/office/spreadsheetml/2009/9/main" objectType="CheckBox" fmlaLink="Ber_Lab!I14" lockText="1"/>
</file>

<file path=xl/ctrlProps/ctrlProp342.xml><?xml version="1.0" encoding="utf-8"?>
<formControlPr xmlns="http://schemas.microsoft.com/office/spreadsheetml/2009/9/main" objectType="CheckBox" fmlaLink="Ber_Lab!I13" lockText="1"/>
</file>

<file path=xl/ctrlProps/ctrlProp343.xml><?xml version="1.0" encoding="utf-8"?>
<formControlPr xmlns="http://schemas.microsoft.com/office/spreadsheetml/2009/9/main" objectType="CheckBox" fmlaLink="Ber_Lab!I27" lockText="1"/>
</file>

<file path=xl/ctrlProps/ctrlProp344.xml><?xml version="1.0" encoding="utf-8"?>
<formControlPr xmlns="http://schemas.microsoft.com/office/spreadsheetml/2009/9/main" objectType="CheckBox" fmlaLink="Ber_Lab!I16" lockText="1"/>
</file>

<file path=xl/ctrlProps/ctrlProp345.xml><?xml version="1.0" encoding="utf-8"?>
<formControlPr xmlns="http://schemas.microsoft.com/office/spreadsheetml/2009/9/main" objectType="CheckBox" fmlaLink="Ber_Lab!I18" lockText="1"/>
</file>

<file path=xl/ctrlProps/ctrlProp346.xml><?xml version="1.0" encoding="utf-8"?>
<formControlPr xmlns="http://schemas.microsoft.com/office/spreadsheetml/2009/9/main" objectType="CheckBox" fmlaLink="Ber_Lab!I19" lockText="1"/>
</file>

<file path=xl/ctrlProps/ctrlProp347.xml><?xml version="1.0" encoding="utf-8"?>
<formControlPr xmlns="http://schemas.microsoft.com/office/spreadsheetml/2009/9/main" objectType="CheckBox" fmlaLink="Ber_Lab!I20" lockText="1"/>
</file>

<file path=xl/ctrlProps/ctrlProp348.xml><?xml version="1.0" encoding="utf-8"?>
<formControlPr xmlns="http://schemas.microsoft.com/office/spreadsheetml/2009/9/main" objectType="CheckBox" fmlaLink="Ber_Lab!I12" lockText="1"/>
</file>

<file path=xl/ctrlProps/ctrlProp349.xml><?xml version="1.0" encoding="utf-8"?>
<formControlPr xmlns="http://schemas.microsoft.com/office/spreadsheetml/2009/9/main" objectType="CheckBox" fmlaLink="Ber_Lab!I28" lockText="1"/>
</file>

<file path=xl/ctrlProps/ctrlProp350.xml><?xml version="1.0" encoding="utf-8"?>
<formControlPr xmlns="http://schemas.microsoft.com/office/spreadsheetml/2009/9/main" objectType="CheckBox" fmlaLink="Ber_Lab!M5" lockText="1"/>
</file>

<file path=xl/ctrlProps/ctrlProp351.xml><?xml version="1.0" encoding="utf-8"?>
<formControlPr xmlns="http://schemas.microsoft.com/office/spreadsheetml/2009/9/main" objectType="CheckBox" fmlaLink="Ber_Lab!M6" lockText="1"/>
</file>

<file path=xl/ctrlProps/ctrlProp352.xml><?xml version="1.0" encoding="utf-8"?>
<formControlPr xmlns="http://schemas.microsoft.com/office/spreadsheetml/2009/9/main" objectType="CheckBox" fmlaLink="Ber_Lab!M8" lockText="1"/>
</file>

<file path=xl/ctrlProps/ctrlProp353.xml><?xml version="1.0" encoding="utf-8"?>
<formControlPr xmlns="http://schemas.microsoft.com/office/spreadsheetml/2009/9/main" objectType="CheckBox" fmlaLink="Ber_Lab!M9" lockText="1"/>
</file>

<file path=xl/ctrlProps/ctrlProp354.xml><?xml version="1.0" encoding="utf-8"?>
<formControlPr xmlns="http://schemas.microsoft.com/office/spreadsheetml/2009/9/main" objectType="CheckBox" fmlaLink="Ber_Lab!M14" lockText="1"/>
</file>

<file path=xl/ctrlProps/ctrlProp355.xml><?xml version="1.0" encoding="utf-8"?>
<formControlPr xmlns="http://schemas.microsoft.com/office/spreadsheetml/2009/9/main" objectType="CheckBox" fmlaLink="Ber_Lab!M13" lockText="1"/>
</file>

<file path=xl/ctrlProps/ctrlProp356.xml><?xml version="1.0" encoding="utf-8"?>
<formControlPr xmlns="http://schemas.microsoft.com/office/spreadsheetml/2009/9/main" objectType="CheckBox" fmlaLink="Ber_Lab!M27" lockText="1"/>
</file>

<file path=xl/ctrlProps/ctrlProp357.xml><?xml version="1.0" encoding="utf-8"?>
<formControlPr xmlns="http://schemas.microsoft.com/office/spreadsheetml/2009/9/main" objectType="CheckBox" fmlaLink="Ber_Lab!M16" lockText="1"/>
</file>

<file path=xl/ctrlProps/ctrlProp358.xml><?xml version="1.0" encoding="utf-8"?>
<formControlPr xmlns="http://schemas.microsoft.com/office/spreadsheetml/2009/9/main" objectType="CheckBox" fmlaLink="Ber_Lab!M18" lockText="1"/>
</file>

<file path=xl/ctrlProps/ctrlProp359.xml><?xml version="1.0" encoding="utf-8"?>
<formControlPr xmlns="http://schemas.microsoft.com/office/spreadsheetml/2009/9/main" objectType="CheckBox" fmlaLink="Ber_Lab!M19" lockText="1"/>
</file>

<file path=xl/ctrlProps/ctrlProp360.xml><?xml version="1.0" encoding="utf-8"?>
<formControlPr xmlns="http://schemas.microsoft.com/office/spreadsheetml/2009/9/main" objectType="CheckBox" fmlaLink="Ber_Lab!M20" lockText="1"/>
</file>

<file path=xl/ctrlProps/ctrlProp361.xml><?xml version="1.0" encoding="utf-8"?>
<formControlPr xmlns="http://schemas.microsoft.com/office/spreadsheetml/2009/9/main" objectType="CheckBox" fmlaLink="Ber_Lab!M12" lockText="1"/>
</file>

<file path=xl/ctrlProps/ctrlProp362.xml><?xml version="1.0" encoding="utf-8"?>
<formControlPr xmlns="http://schemas.microsoft.com/office/spreadsheetml/2009/9/main" objectType="CheckBox" fmlaLink="Ber_Lab!M28" lockText="1"/>
</file>

<file path=xl/ctrlProps/ctrlProp363.xml><?xml version="1.0" encoding="utf-8"?>
<formControlPr xmlns="http://schemas.microsoft.com/office/spreadsheetml/2009/9/main" objectType="CheckBox" fmlaLink="Ber_Lab!C29" lockText="1"/>
</file>

<file path=xl/ctrlProps/ctrlProp364.xml><?xml version="1.0" encoding="utf-8"?>
<formControlPr xmlns="http://schemas.microsoft.com/office/spreadsheetml/2009/9/main" objectType="CheckBox" fmlaLink="Ber_Lab!G29" lockText="1"/>
</file>

<file path=xl/ctrlProps/ctrlProp365.xml><?xml version="1.0" encoding="utf-8"?>
<formControlPr xmlns="http://schemas.microsoft.com/office/spreadsheetml/2009/9/main" objectType="CheckBox" fmlaLink="Ber_Lab!I29" lockText="1"/>
</file>

<file path=xl/ctrlProps/ctrlProp366.xml><?xml version="1.0" encoding="utf-8"?>
<formControlPr xmlns="http://schemas.microsoft.com/office/spreadsheetml/2009/9/main" objectType="CheckBox" fmlaLink="Ber_Lab!M29" lockText="1"/>
</file>

<file path=xl/ctrlProps/ctrlProp367.xml><?xml version="1.0" encoding="utf-8"?>
<formControlPr xmlns="http://schemas.microsoft.com/office/spreadsheetml/2009/9/main" objectType="CheckBox" fmlaLink="Ber_Lab!C7" lockText="1"/>
</file>

<file path=xl/ctrlProps/ctrlProp368.xml><?xml version="1.0" encoding="utf-8"?>
<formControlPr xmlns="http://schemas.microsoft.com/office/spreadsheetml/2009/9/main" objectType="CheckBox" fmlaLink="Ber_Lab!G7" lockText="1"/>
</file>

<file path=xl/ctrlProps/ctrlProp369.xml><?xml version="1.0" encoding="utf-8"?>
<formControlPr xmlns="http://schemas.microsoft.com/office/spreadsheetml/2009/9/main" objectType="CheckBox" fmlaLink="Ber_Lab!I7" lockText="1"/>
</file>

<file path=xl/ctrlProps/ctrlProp370.xml><?xml version="1.0" encoding="utf-8"?>
<formControlPr xmlns="http://schemas.microsoft.com/office/spreadsheetml/2009/9/main" objectType="CheckBox" fmlaLink="Ber_Lab!M7" lockText="1"/>
</file>

<file path=xl/ctrlProps/ctrlProp371.xml><?xml version="1.0" encoding="utf-8"?>
<formControlPr xmlns="http://schemas.microsoft.com/office/spreadsheetml/2009/9/main" objectType="CheckBox" fmlaLink="Ber_Lab!C17" lockText="1"/>
</file>

<file path=xl/ctrlProps/ctrlProp372.xml><?xml version="1.0" encoding="utf-8"?>
<formControlPr xmlns="http://schemas.microsoft.com/office/spreadsheetml/2009/9/main" objectType="CheckBox" fmlaLink="Ber_Lab!G17" lockText="1"/>
</file>

<file path=xl/ctrlProps/ctrlProp373.xml><?xml version="1.0" encoding="utf-8"?>
<formControlPr xmlns="http://schemas.microsoft.com/office/spreadsheetml/2009/9/main" objectType="CheckBox" fmlaLink="Ber_Lab!I17" lockText="1"/>
</file>

<file path=xl/ctrlProps/ctrlProp374.xml><?xml version="1.0" encoding="utf-8"?>
<formControlPr xmlns="http://schemas.microsoft.com/office/spreadsheetml/2009/9/main" objectType="CheckBox" fmlaLink="Ber_Lab!M17" lockText="1"/>
</file>

<file path=xl/ctrlProps/ctrlProp375.xml><?xml version="1.0" encoding="utf-8"?>
<formControlPr xmlns="http://schemas.microsoft.com/office/spreadsheetml/2009/9/main" objectType="CheckBox" fmlaLink="Ber_Lab!$E$5" lockText="1"/>
</file>

<file path=xl/ctrlProps/ctrlProp376.xml><?xml version="1.0" encoding="utf-8"?>
<formControlPr xmlns="http://schemas.microsoft.com/office/spreadsheetml/2009/9/main" objectType="CheckBox" fmlaLink="Ber_Lab!E6" lockText="1"/>
</file>

<file path=xl/ctrlProps/ctrlProp377.xml><?xml version="1.0" encoding="utf-8"?>
<formControlPr xmlns="http://schemas.microsoft.com/office/spreadsheetml/2009/9/main" objectType="CheckBox" fmlaLink="Ber_Lab!E8" lockText="1"/>
</file>

<file path=xl/ctrlProps/ctrlProp378.xml><?xml version="1.0" encoding="utf-8"?>
<formControlPr xmlns="http://schemas.microsoft.com/office/spreadsheetml/2009/9/main" objectType="CheckBox" fmlaLink="Ber_Lab!E9" lockText="1"/>
</file>

<file path=xl/ctrlProps/ctrlProp379.xml><?xml version="1.0" encoding="utf-8"?>
<formControlPr xmlns="http://schemas.microsoft.com/office/spreadsheetml/2009/9/main" objectType="CheckBox" fmlaLink="Ber_Lab!E14" lockText="1"/>
</file>

<file path=xl/ctrlProps/ctrlProp380.xml><?xml version="1.0" encoding="utf-8"?>
<formControlPr xmlns="http://schemas.microsoft.com/office/spreadsheetml/2009/9/main" objectType="CheckBox" fmlaLink="Ber_Lab!E13" lockText="1"/>
</file>

<file path=xl/ctrlProps/ctrlProp381.xml><?xml version="1.0" encoding="utf-8"?>
<formControlPr xmlns="http://schemas.microsoft.com/office/spreadsheetml/2009/9/main" objectType="CheckBox" fmlaLink="Ber_Lab!E27" lockText="1"/>
</file>

<file path=xl/ctrlProps/ctrlProp382.xml><?xml version="1.0" encoding="utf-8"?>
<formControlPr xmlns="http://schemas.microsoft.com/office/spreadsheetml/2009/9/main" objectType="CheckBox" fmlaLink="Ber_Lab!E16" lockText="1"/>
</file>

<file path=xl/ctrlProps/ctrlProp383.xml><?xml version="1.0" encoding="utf-8"?>
<formControlPr xmlns="http://schemas.microsoft.com/office/spreadsheetml/2009/9/main" objectType="CheckBox" fmlaLink="Ber_Lab!E18" lockText="1"/>
</file>

<file path=xl/ctrlProps/ctrlProp384.xml><?xml version="1.0" encoding="utf-8"?>
<formControlPr xmlns="http://schemas.microsoft.com/office/spreadsheetml/2009/9/main" objectType="CheckBox" fmlaLink="Ber_Lab!E19" lockText="1"/>
</file>

<file path=xl/ctrlProps/ctrlProp385.xml><?xml version="1.0" encoding="utf-8"?>
<formControlPr xmlns="http://schemas.microsoft.com/office/spreadsheetml/2009/9/main" objectType="CheckBox" fmlaLink="Ber_Lab!E20" lockText="1"/>
</file>

<file path=xl/ctrlProps/ctrlProp386.xml><?xml version="1.0" encoding="utf-8"?>
<formControlPr xmlns="http://schemas.microsoft.com/office/spreadsheetml/2009/9/main" objectType="CheckBox" fmlaLink="Ber_Lab!E12" lockText="1"/>
</file>

<file path=xl/ctrlProps/ctrlProp387.xml><?xml version="1.0" encoding="utf-8"?>
<formControlPr xmlns="http://schemas.microsoft.com/office/spreadsheetml/2009/9/main" objectType="CheckBox" fmlaLink="Ber_Lab!E28" lockText="1"/>
</file>

<file path=xl/ctrlProps/ctrlProp388.xml><?xml version="1.0" encoding="utf-8"?>
<formControlPr xmlns="http://schemas.microsoft.com/office/spreadsheetml/2009/9/main" objectType="CheckBox" fmlaLink="Ber_Lab!E29" lockText="1"/>
</file>

<file path=xl/ctrlProps/ctrlProp389.xml><?xml version="1.0" encoding="utf-8"?>
<formControlPr xmlns="http://schemas.microsoft.com/office/spreadsheetml/2009/9/main" objectType="CheckBox" fmlaLink="Ber_Lab!E7" lockText="1"/>
</file>

<file path=xl/ctrlProps/ctrlProp390.xml><?xml version="1.0" encoding="utf-8"?>
<formControlPr xmlns="http://schemas.microsoft.com/office/spreadsheetml/2009/9/main" objectType="CheckBox" fmlaLink="Ber_Lab!E17" lockText="1"/>
</file>

<file path=xl/ctrlProps/ctrlProp391.xml><?xml version="1.0" encoding="utf-8"?>
<formControlPr xmlns="http://schemas.microsoft.com/office/spreadsheetml/2009/9/main" objectType="CheckBox" fmlaLink="Ber_Lab!O5" lockText="1"/>
</file>

<file path=xl/ctrlProps/ctrlProp392.xml><?xml version="1.0" encoding="utf-8"?>
<formControlPr xmlns="http://schemas.microsoft.com/office/spreadsheetml/2009/9/main" objectType="CheckBox" fmlaLink="Ber_Lab!O6" lockText="1"/>
</file>

<file path=xl/ctrlProps/ctrlProp393.xml><?xml version="1.0" encoding="utf-8"?>
<formControlPr xmlns="http://schemas.microsoft.com/office/spreadsheetml/2009/9/main" objectType="CheckBox" fmlaLink="Ber_Lab!O8" lockText="1"/>
</file>

<file path=xl/ctrlProps/ctrlProp394.xml><?xml version="1.0" encoding="utf-8"?>
<formControlPr xmlns="http://schemas.microsoft.com/office/spreadsheetml/2009/9/main" objectType="CheckBox" fmlaLink="Ber_Lab!O9" lockText="1"/>
</file>

<file path=xl/ctrlProps/ctrlProp395.xml><?xml version="1.0" encoding="utf-8"?>
<formControlPr xmlns="http://schemas.microsoft.com/office/spreadsheetml/2009/9/main" objectType="CheckBox" fmlaLink="Ber_Lab!O14" lockText="1"/>
</file>

<file path=xl/ctrlProps/ctrlProp396.xml><?xml version="1.0" encoding="utf-8"?>
<formControlPr xmlns="http://schemas.microsoft.com/office/spreadsheetml/2009/9/main" objectType="CheckBox" fmlaLink="Ber_Lab!O13" lockText="1"/>
</file>

<file path=xl/ctrlProps/ctrlProp397.xml><?xml version="1.0" encoding="utf-8"?>
<formControlPr xmlns="http://schemas.microsoft.com/office/spreadsheetml/2009/9/main" objectType="CheckBox" fmlaLink="Ber_Lab!O27" lockText="1"/>
</file>

<file path=xl/ctrlProps/ctrlProp398.xml><?xml version="1.0" encoding="utf-8"?>
<formControlPr xmlns="http://schemas.microsoft.com/office/spreadsheetml/2009/9/main" objectType="CheckBox" fmlaLink="Ber_Lab!O16" lockText="1"/>
</file>

<file path=xl/ctrlProps/ctrlProp399.xml><?xml version="1.0" encoding="utf-8"?>
<formControlPr xmlns="http://schemas.microsoft.com/office/spreadsheetml/2009/9/main" objectType="CheckBox" fmlaLink="Ber_Lab!O18" lockText="1"/>
</file>

<file path=xl/ctrlProps/ctrlProp400.xml><?xml version="1.0" encoding="utf-8"?>
<formControlPr xmlns="http://schemas.microsoft.com/office/spreadsheetml/2009/9/main" objectType="CheckBox" fmlaLink="Ber_Lab!O19" lockText="1"/>
</file>

<file path=xl/ctrlProps/ctrlProp401.xml><?xml version="1.0" encoding="utf-8"?>
<formControlPr xmlns="http://schemas.microsoft.com/office/spreadsheetml/2009/9/main" objectType="CheckBox" fmlaLink="Ber_Lab!O20" lockText="1"/>
</file>

<file path=xl/ctrlProps/ctrlProp402.xml><?xml version="1.0" encoding="utf-8"?>
<formControlPr xmlns="http://schemas.microsoft.com/office/spreadsheetml/2009/9/main" objectType="CheckBox" fmlaLink="Ber_Lab!O12" lockText="1"/>
</file>

<file path=xl/ctrlProps/ctrlProp403.xml><?xml version="1.0" encoding="utf-8"?>
<formControlPr xmlns="http://schemas.microsoft.com/office/spreadsheetml/2009/9/main" objectType="CheckBox" fmlaLink="Ber_Lab!O28" lockText="1"/>
</file>

<file path=xl/ctrlProps/ctrlProp404.xml><?xml version="1.0" encoding="utf-8"?>
<formControlPr xmlns="http://schemas.microsoft.com/office/spreadsheetml/2009/9/main" objectType="CheckBox" fmlaLink="Ber_Lab!O29" lockText="1"/>
</file>

<file path=xl/ctrlProps/ctrlProp405.xml><?xml version="1.0" encoding="utf-8"?>
<formControlPr xmlns="http://schemas.microsoft.com/office/spreadsheetml/2009/9/main" objectType="CheckBox" fmlaLink="Ber_Lab!O7" lockText="1"/>
</file>

<file path=xl/ctrlProps/ctrlProp406.xml><?xml version="1.0" encoding="utf-8"?>
<formControlPr xmlns="http://schemas.microsoft.com/office/spreadsheetml/2009/9/main" objectType="CheckBox" fmlaLink="Ber_Lab!O17" lockText="1"/>
</file>

<file path=xl/ctrlProps/ctrlProp407.xml><?xml version="1.0" encoding="utf-8"?>
<formControlPr xmlns="http://schemas.microsoft.com/office/spreadsheetml/2009/9/main" objectType="CheckBox" fmlaLink="Ber_Lab!Q5" lockText="1"/>
</file>

<file path=xl/ctrlProps/ctrlProp408.xml><?xml version="1.0" encoding="utf-8"?>
<formControlPr xmlns="http://schemas.microsoft.com/office/spreadsheetml/2009/9/main" objectType="CheckBox" fmlaLink="Ber_Lab!Q6" lockText="1"/>
</file>

<file path=xl/ctrlProps/ctrlProp409.xml><?xml version="1.0" encoding="utf-8"?>
<formControlPr xmlns="http://schemas.microsoft.com/office/spreadsheetml/2009/9/main" objectType="CheckBox" fmlaLink="Ber_Lab!Q8" lockText="1"/>
</file>

<file path=xl/ctrlProps/ctrlProp410.xml><?xml version="1.0" encoding="utf-8"?>
<formControlPr xmlns="http://schemas.microsoft.com/office/spreadsheetml/2009/9/main" objectType="CheckBox" fmlaLink="Ber_Lab!Q9" lockText="1"/>
</file>

<file path=xl/ctrlProps/ctrlProp411.xml><?xml version="1.0" encoding="utf-8"?>
<formControlPr xmlns="http://schemas.microsoft.com/office/spreadsheetml/2009/9/main" objectType="CheckBox" fmlaLink="Ber_Lab!Q14" lockText="1"/>
</file>

<file path=xl/ctrlProps/ctrlProp412.xml><?xml version="1.0" encoding="utf-8"?>
<formControlPr xmlns="http://schemas.microsoft.com/office/spreadsheetml/2009/9/main" objectType="CheckBox" fmlaLink="Ber_Lab!Q13" lockText="1"/>
</file>

<file path=xl/ctrlProps/ctrlProp413.xml><?xml version="1.0" encoding="utf-8"?>
<formControlPr xmlns="http://schemas.microsoft.com/office/spreadsheetml/2009/9/main" objectType="CheckBox" fmlaLink="Ber_Lab!Q27" lockText="1"/>
</file>

<file path=xl/ctrlProps/ctrlProp414.xml><?xml version="1.0" encoding="utf-8"?>
<formControlPr xmlns="http://schemas.microsoft.com/office/spreadsheetml/2009/9/main" objectType="CheckBox" fmlaLink="Ber_Lab!Q16" lockText="1"/>
</file>

<file path=xl/ctrlProps/ctrlProp415.xml><?xml version="1.0" encoding="utf-8"?>
<formControlPr xmlns="http://schemas.microsoft.com/office/spreadsheetml/2009/9/main" objectType="CheckBox" fmlaLink="Ber_Lab!Q18" lockText="1"/>
</file>

<file path=xl/ctrlProps/ctrlProp416.xml><?xml version="1.0" encoding="utf-8"?>
<formControlPr xmlns="http://schemas.microsoft.com/office/spreadsheetml/2009/9/main" objectType="CheckBox" fmlaLink="Ber_Lab!Q19" lockText="1"/>
</file>

<file path=xl/ctrlProps/ctrlProp417.xml><?xml version="1.0" encoding="utf-8"?>
<formControlPr xmlns="http://schemas.microsoft.com/office/spreadsheetml/2009/9/main" objectType="CheckBox" fmlaLink="Ber_Lab!Q20" lockText="1"/>
</file>

<file path=xl/ctrlProps/ctrlProp418.xml><?xml version="1.0" encoding="utf-8"?>
<formControlPr xmlns="http://schemas.microsoft.com/office/spreadsheetml/2009/9/main" objectType="CheckBox" fmlaLink="Ber_Lab!Q12" lockText="1"/>
</file>

<file path=xl/ctrlProps/ctrlProp419.xml><?xml version="1.0" encoding="utf-8"?>
<formControlPr xmlns="http://schemas.microsoft.com/office/spreadsheetml/2009/9/main" objectType="CheckBox" fmlaLink="Ber_Lab!Q28" lockText="1"/>
</file>

<file path=xl/ctrlProps/ctrlProp420.xml><?xml version="1.0" encoding="utf-8"?>
<formControlPr xmlns="http://schemas.microsoft.com/office/spreadsheetml/2009/9/main" objectType="CheckBox" fmlaLink="Ber_Lab!Q29" lockText="1"/>
</file>

<file path=xl/ctrlProps/ctrlProp421.xml><?xml version="1.0" encoding="utf-8"?>
<formControlPr xmlns="http://schemas.microsoft.com/office/spreadsheetml/2009/9/main" objectType="CheckBox" fmlaLink="Ber_Lab!Q7" lockText="1"/>
</file>

<file path=xl/ctrlProps/ctrlProp422.xml><?xml version="1.0" encoding="utf-8"?>
<formControlPr xmlns="http://schemas.microsoft.com/office/spreadsheetml/2009/9/main" objectType="CheckBox" fmlaLink="Ber_Lab!Q17" lockText="1"/>
</file>

<file path=xl/ctrlProps/ctrlProp423.xml><?xml version="1.0" encoding="utf-8"?>
<formControlPr xmlns="http://schemas.microsoft.com/office/spreadsheetml/2009/9/main" objectType="CheckBox" fmlaLink="Ber_Lab!C30" lockText="1"/>
</file>

<file path=xl/ctrlProps/ctrlProp424.xml><?xml version="1.0" encoding="utf-8"?>
<formControlPr xmlns="http://schemas.microsoft.com/office/spreadsheetml/2009/9/main" objectType="CheckBox" fmlaLink="Ber_Lab!G30" lockText="1"/>
</file>

<file path=xl/ctrlProps/ctrlProp425.xml><?xml version="1.0" encoding="utf-8"?>
<formControlPr xmlns="http://schemas.microsoft.com/office/spreadsheetml/2009/9/main" objectType="CheckBox" fmlaLink="Ber_Lab!I30" lockText="1"/>
</file>

<file path=xl/ctrlProps/ctrlProp426.xml><?xml version="1.0" encoding="utf-8"?>
<formControlPr xmlns="http://schemas.microsoft.com/office/spreadsheetml/2009/9/main" objectType="CheckBox" fmlaLink="Ber_Lab!M30" lockText="1"/>
</file>

<file path=xl/ctrlProps/ctrlProp427.xml><?xml version="1.0" encoding="utf-8"?>
<formControlPr xmlns="http://schemas.microsoft.com/office/spreadsheetml/2009/9/main" objectType="CheckBox" fmlaLink="Ber_Lab!E30" lockText="1"/>
</file>

<file path=xl/ctrlProps/ctrlProp428.xml><?xml version="1.0" encoding="utf-8"?>
<formControlPr xmlns="http://schemas.microsoft.com/office/spreadsheetml/2009/9/main" objectType="CheckBox" fmlaLink="Ber_Lab!O30" lockText="1"/>
</file>

<file path=xl/ctrlProps/ctrlProp429.xml><?xml version="1.0" encoding="utf-8"?>
<formControlPr xmlns="http://schemas.microsoft.com/office/spreadsheetml/2009/9/main" objectType="CheckBox" fmlaLink="Ber_Lab!Q30" lockText="1"/>
</file>

<file path=xl/ctrlProps/ctrlProp430.xml><?xml version="1.0" encoding="utf-8"?>
<formControlPr xmlns="http://schemas.microsoft.com/office/spreadsheetml/2009/9/main" objectType="CheckBox" fmlaLink="Ber_Lab!C31" lockText="1"/>
</file>

<file path=xl/ctrlProps/ctrlProp431.xml><?xml version="1.0" encoding="utf-8"?>
<formControlPr xmlns="http://schemas.microsoft.com/office/spreadsheetml/2009/9/main" objectType="CheckBox" fmlaLink="Ber_Lab!G31" lockText="1"/>
</file>

<file path=xl/ctrlProps/ctrlProp432.xml><?xml version="1.0" encoding="utf-8"?>
<formControlPr xmlns="http://schemas.microsoft.com/office/spreadsheetml/2009/9/main" objectType="CheckBox" fmlaLink="Ber_Lab!I31" lockText="1"/>
</file>

<file path=xl/ctrlProps/ctrlProp433.xml><?xml version="1.0" encoding="utf-8"?>
<formControlPr xmlns="http://schemas.microsoft.com/office/spreadsheetml/2009/9/main" objectType="CheckBox" fmlaLink="Ber_Lab!M31" lockText="1"/>
</file>

<file path=xl/ctrlProps/ctrlProp434.xml><?xml version="1.0" encoding="utf-8"?>
<formControlPr xmlns="http://schemas.microsoft.com/office/spreadsheetml/2009/9/main" objectType="CheckBox" fmlaLink="Ber_Lab!E31" lockText="1"/>
</file>

<file path=xl/ctrlProps/ctrlProp435.xml><?xml version="1.0" encoding="utf-8"?>
<formControlPr xmlns="http://schemas.microsoft.com/office/spreadsheetml/2009/9/main" objectType="CheckBox" fmlaLink="Ber_Lab!O31" lockText="1"/>
</file>

<file path=xl/ctrlProps/ctrlProp436.xml><?xml version="1.0" encoding="utf-8"?>
<formControlPr xmlns="http://schemas.microsoft.com/office/spreadsheetml/2009/9/main" objectType="CheckBox" fmlaLink="Ber_Lab!Q31" lockText="1"/>
</file>

<file path=xl/ctrlProps/ctrlProp437.xml><?xml version="1.0" encoding="utf-8"?>
<formControlPr xmlns="http://schemas.microsoft.com/office/spreadsheetml/2009/9/main" objectType="CheckBox" fmlaLink="Ber_Lab!C10" lockText="1"/>
</file>

<file path=xl/ctrlProps/ctrlProp438.xml><?xml version="1.0" encoding="utf-8"?>
<formControlPr xmlns="http://schemas.microsoft.com/office/spreadsheetml/2009/9/main" objectType="CheckBox" fmlaLink="Ber_Lab!G10" lockText="1"/>
</file>

<file path=xl/ctrlProps/ctrlProp439.xml><?xml version="1.0" encoding="utf-8"?>
<formControlPr xmlns="http://schemas.microsoft.com/office/spreadsheetml/2009/9/main" objectType="CheckBox" fmlaLink="Ber_Lab!I10" lockText="1"/>
</file>

<file path=xl/ctrlProps/ctrlProp440.xml><?xml version="1.0" encoding="utf-8"?>
<formControlPr xmlns="http://schemas.microsoft.com/office/spreadsheetml/2009/9/main" objectType="CheckBox" fmlaLink="Ber_Lab!M10" lockText="1"/>
</file>

<file path=xl/ctrlProps/ctrlProp441.xml><?xml version="1.0" encoding="utf-8"?>
<formControlPr xmlns="http://schemas.microsoft.com/office/spreadsheetml/2009/9/main" objectType="CheckBox" fmlaLink="Ber_Lab!E10" lockText="1"/>
</file>

<file path=xl/ctrlProps/ctrlProp442.xml><?xml version="1.0" encoding="utf-8"?>
<formControlPr xmlns="http://schemas.microsoft.com/office/spreadsheetml/2009/9/main" objectType="CheckBox" fmlaLink="Ber_Lab!O10" lockText="1"/>
</file>

<file path=xl/ctrlProps/ctrlProp443.xml><?xml version="1.0" encoding="utf-8"?>
<formControlPr xmlns="http://schemas.microsoft.com/office/spreadsheetml/2009/9/main" objectType="CheckBox" fmlaLink="Ber_Lab!Q10" lockText="1"/>
</file>

<file path=xl/ctrlProps/ctrlProp444.xml><?xml version="1.0" encoding="utf-8"?>
<formControlPr xmlns="http://schemas.microsoft.com/office/spreadsheetml/2009/9/main" objectType="CheckBox" fmlaLink="Ber_Lab!C11" lockText="1"/>
</file>

<file path=xl/ctrlProps/ctrlProp445.xml><?xml version="1.0" encoding="utf-8"?>
<formControlPr xmlns="http://schemas.microsoft.com/office/spreadsheetml/2009/9/main" objectType="CheckBox" fmlaLink="Ber_Lab!G11" lockText="1"/>
</file>

<file path=xl/ctrlProps/ctrlProp446.xml><?xml version="1.0" encoding="utf-8"?>
<formControlPr xmlns="http://schemas.microsoft.com/office/spreadsheetml/2009/9/main" objectType="CheckBox" fmlaLink="Ber_Lab!I11" lockText="1"/>
</file>

<file path=xl/ctrlProps/ctrlProp447.xml><?xml version="1.0" encoding="utf-8"?>
<formControlPr xmlns="http://schemas.microsoft.com/office/spreadsheetml/2009/9/main" objectType="CheckBox" fmlaLink="Ber_Lab!M11" lockText="1"/>
</file>

<file path=xl/ctrlProps/ctrlProp448.xml><?xml version="1.0" encoding="utf-8"?>
<formControlPr xmlns="http://schemas.microsoft.com/office/spreadsheetml/2009/9/main" objectType="CheckBox" fmlaLink="Ber_Lab!E11" lockText="1"/>
</file>

<file path=xl/ctrlProps/ctrlProp449.xml><?xml version="1.0" encoding="utf-8"?>
<formControlPr xmlns="http://schemas.microsoft.com/office/spreadsheetml/2009/9/main" objectType="CheckBox" fmlaLink="Ber_Lab!O11" lockText="1"/>
</file>

<file path=xl/ctrlProps/ctrlProp450.xml><?xml version="1.0" encoding="utf-8"?>
<formControlPr xmlns="http://schemas.microsoft.com/office/spreadsheetml/2009/9/main" objectType="CheckBox" fmlaLink="Ber_Lab!Q11" lockText="1"/>
</file>

<file path=xl/ctrlProps/ctrlProp451.xml><?xml version="1.0" encoding="utf-8"?>
<formControlPr xmlns="http://schemas.microsoft.com/office/spreadsheetml/2009/9/main" objectType="CheckBox" fmlaLink="Ber_Lab!C15" lockText="1"/>
</file>

<file path=xl/ctrlProps/ctrlProp452.xml><?xml version="1.0" encoding="utf-8"?>
<formControlPr xmlns="http://schemas.microsoft.com/office/spreadsheetml/2009/9/main" objectType="CheckBox" fmlaLink="Ber_Lab!G15" lockText="1"/>
</file>

<file path=xl/ctrlProps/ctrlProp453.xml><?xml version="1.0" encoding="utf-8"?>
<formControlPr xmlns="http://schemas.microsoft.com/office/spreadsheetml/2009/9/main" objectType="CheckBox" fmlaLink="Ber_Lab!I15" lockText="1"/>
</file>

<file path=xl/ctrlProps/ctrlProp454.xml><?xml version="1.0" encoding="utf-8"?>
<formControlPr xmlns="http://schemas.microsoft.com/office/spreadsheetml/2009/9/main" objectType="CheckBox" fmlaLink="Ber_Lab!M15" lockText="1"/>
</file>

<file path=xl/ctrlProps/ctrlProp455.xml><?xml version="1.0" encoding="utf-8"?>
<formControlPr xmlns="http://schemas.microsoft.com/office/spreadsheetml/2009/9/main" objectType="CheckBox" fmlaLink="Ber_Lab!E15" lockText="1"/>
</file>

<file path=xl/ctrlProps/ctrlProp456.xml><?xml version="1.0" encoding="utf-8"?>
<formControlPr xmlns="http://schemas.microsoft.com/office/spreadsheetml/2009/9/main" objectType="CheckBox" fmlaLink="Ber_Lab!O15" lockText="1"/>
</file>

<file path=xl/ctrlProps/ctrlProp457.xml><?xml version="1.0" encoding="utf-8"?>
<formControlPr xmlns="http://schemas.microsoft.com/office/spreadsheetml/2009/9/main" objectType="CheckBox" fmlaLink="Ber_Lab!Q15" lockText="1"/>
</file>

<file path=xl/ctrlProps/ctrlProp458.xml><?xml version="1.0" encoding="utf-8"?>
<formControlPr xmlns="http://schemas.microsoft.com/office/spreadsheetml/2009/9/main" objectType="CheckBox" fmlaLink="Ber_Lab!C21" lockText="1"/>
</file>

<file path=xl/ctrlProps/ctrlProp459.xml><?xml version="1.0" encoding="utf-8"?>
<formControlPr xmlns="http://schemas.microsoft.com/office/spreadsheetml/2009/9/main" objectType="CheckBox" fmlaLink="Ber_Lab!G21" lockText="1"/>
</file>

<file path=xl/ctrlProps/ctrlProp460.xml><?xml version="1.0" encoding="utf-8"?>
<formControlPr xmlns="http://schemas.microsoft.com/office/spreadsheetml/2009/9/main" objectType="CheckBox" fmlaLink="Ber_Lab!I21" lockText="1"/>
</file>

<file path=xl/ctrlProps/ctrlProp461.xml><?xml version="1.0" encoding="utf-8"?>
<formControlPr xmlns="http://schemas.microsoft.com/office/spreadsheetml/2009/9/main" objectType="CheckBox" fmlaLink="Ber_Lab!M21" lockText="1"/>
</file>

<file path=xl/ctrlProps/ctrlProp462.xml><?xml version="1.0" encoding="utf-8"?>
<formControlPr xmlns="http://schemas.microsoft.com/office/spreadsheetml/2009/9/main" objectType="CheckBox" fmlaLink="Ber_Lab!E21" lockText="1"/>
</file>

<file path=xl/ctrlProps/ctrlProp463.xml><?xml version="1.0" encoding="utf-8"?>
<formControlPr xmlns="http://schemas.microsoft.com/office/spreadsheetml/2009/9/main" objectType="CheckBox" fmlaLink="Ber_Lab!O21" lockText="1"/>
</file>

<file path=xl/ctrlProps/ctrlProp464.xml><?xml version="1.0" encoding="utf-8"?>
<formControlPr xmlns="http://schemas.microsoft.com/office/spreadsheetml/2009/9/main" objectType="CheckBox" fmlaLink="Ber_Lab!Q21" lockText="1"/>
</file>

<file path=xl/ctrlProps/ctrlProp465.xml><?xml version="1.0" encoding="utf-8"?>
<formControlPr xmlns="http://schemas.microsoft.com/office/spreadsheetml/2009/9/main" objectType="CheckBox" fmlaLink="Ber_Lab!C22" lockText="1"/>
</file>

<file path=xl/ctrlProps/ctrlProp466.xml><?xml version="1.0" encoding="utf-8"?>
<formControlPr xmlns="http://schemas.microsoft.com/office/spreadsheetml/2009/9/main" objectType="CheckBox" fmlaLink="Ber_Lab!G22" lockText="1"/>
</file>

<file path=xl/ctrlProps/ctrlProp467.xml><?xml version="1.0" encoding="utf-8"?>
<formControlPr xmlns="http://schemas.microsoft.com/office/spreadsheetml/2009/9/main" objectType="CheckBox" fmlaLink="Ber_Lab!I22" lockText="1"/>
</file>

<file path=xl/ctrlProps/ctrlProp468.xml><?xml version="1.0" encoding="utf-8"?>
<formControlPr xmlns="http://schemas.microsoft.com/office/spreadsheetml/2009/9/main" objectType="CheckBox" fmlaLink="Ber_Lab!M22" lockText="1"/>
</file>

<file path=xl/ctrlProps/ctrlProp469.xml><?xml version="1.0" encoding="utf-8"?>
<formControlPr xmlns="http://schemas.microsoft.com/office/spreadsheetml/2009/9/main" objectType="CheckBox" fmlaLink="Ber_Lab!E22" lockText="1"/>
</file>

<file path=xl/ctrlProps/ctrlProp470.xml><?xml version="1.0" encoding="utf-8"?>
<formControlPr xmlns="http://schemas.microsoft.com/office/spreadsheetml/2009/9/main" objectType="CheckBox" fmlaLink="Ber_Lab!O22" lockText="1"/>
</file>

<file path=xl/ctrlProps/ctrlProp471.xml><?xml version="1.0" encoding="utf-8"?>
<formControlPr xmlns="http://schemas.microsoft.com/office/spreadsheetml/2009/9/main" objectType="CheckBox" fmlaLink="Ber_Lab!Q22" lockText="1"/>
</file>

<file path=xl/ctrlProps/ctrlProp472.xml><?xml version="1.0" encoding="utf-8"?>
<formControlPr xmlns="http://schemas.microsoft.com/office/spreadsheetml/2009/9/main" objectType="CheckBox" fmlaLink="Ber_Lab!C23" lockText="1"/>
</file>

<file path=xl/ctrlProps/ctrlProp473.xml><?xml version="1.0" encoding="utf-8"?>
<formControlPr xmlns="http://schemas.microsoft.com/office/spreadsheetml/2009/9/main" objectType="CheckBox" fmlaLink="Ber_Lab!G23" lockText="1"/>
</file>

<file path=xl/ctrlProps/ctrlProp474.xml><?xml version="1.0" encoding="utf-8"?>
<formControlPr xmlns="http://schemas.microsoft.com/office/spreadsheetml/2009/9/main" objectType="CheckBox" fmlaLink="Ber_Lab!I23" lockText="1"/>
</file>

<file path=xl/ctrlProps/ctrlProp475.xml><?xml version="1.0" encoding="utf-8"?>
<formControlPr xmlns="http://schemas.microsoft.com/office/spreadsheetml/2009/9/main" objectType="CheckBox" fmlaLink="Ber_Lab!M23" lockText="1"/>
</file>

<file path=xl/ctrlProps/ctrlProp476.xml><?xml version="1.0" encoding="utf-8"?>
<formControlPr xmlns="http://schemas.microsoft.com/office/spreadsheetml/2009/9/main" objectType="CheckBox" fmlaLink="Ber_Lab!E23" lockText="1"/>
</file>

<file path=xl/ctrlProps/ctrlProp477.xml><?xml version="1.0" encoding="utf-8"?>
<formControlPr xmlns="http://schemas.microsoft.com/office/spreadsheetml/2009/9/main" objectType="CheckBox" fmlaLink="Ber_Lab!O23" lockText="1"/>
</file>

<file path=xl/ctrlProps/ctrlProp478.xml><?xml version="1.0" encoding="utf-8"?>
<formControlPr xmlns="http://schemas.microsoft.com/office/spreadsheetml/2009/9/main" objectType="CheckBox" fmlaLink="Ber_Lab!Q23" lockText="1"/>
</file>

<file path=xl/ctrlProps/ctrlProp479.xml><?xml version="1.0" encoding="utf-8"?>
<formControlPr xmlns="http://schemas.microsoft.com/office/spreadsheetml/2009/9/main" objectType="CheckBox" fmlaLink="Ber_Lab!C24" lockText="1"/>
</file>

<file path=xl/ctrlProps/ctrlProp480.xml><?xml version="1.0" encoding="utf-8"?>
<formControlPr xmlns="http://schemas.microsoft.com/office/spreadsheetml/2009/9/main" objectType="CheckBox" fmlaLink="Ber_Lab!G24" lockText="1"/>
</file>

<file path=xl/ctrlProps/ctrlProp481.xml><?xml version="1.0" encoding="utf-8"?>
<formControlPr xmlns="http://schemas.microsoft.com/office/spreadsheetml/2009/9/main" objectType="CheckBox" fmlaLink="Ber_Lab!I24" lockText="1"/>
</file>

<file path=xl/ctrlProps/ctrlProp482.xml><?xml version="1.0" encoding="utf-8"?>
<formControlPr xmlns="http://schemas.microsoft.com/office/spreadsheetml/2009/9/main" objectType="CheckBox" fmlaLink="Ber_Lab!M24" lockText="1"/>
</file>

<file path=xl/ctrlProps/ctrlProp483.xml><?xml version="1.0" encoding="utf-8"?>
<formControlPr xmlns="http://schemas.microsoft.com/office/spreadsheetml/2009/9/main" objectType="CheckBox" fmlaLink="Ber_Lab!E24" lockText="1"/>
</file>

<file path=xl/ctrlProps/ctrlProp484.xml><?xml version="1.0" encoding="utf-8"?>
<formControlPr xmlns="http://schemas.microsoft.com/office/spreadsheetml/2009/9/main" objectType="CheckBox" fmlaLink="Ber_Lab!O24" lockText="1"/>
</file>

<file path=xl/ctrlProps/ctrlProp485.xml><?xml version="1.0" encoding="utf-8"?>
<formControlPr xmlns="http://schemas.microsoft.com/office/spreadsheetml/2009/9/main" objectType="CheckBox" fmlaLink="Ber_Lab!Q24" lockText="1"/>
</file>

<file path=xl/ctrlProps/ctrlProp486.xml><?xml version="1.0" encoding="utf-8"?>
<formControlPr xmlns="http://schemas.microsoft.com/office/spreadsheetml/2009/9/main" objectType="CheckBox" fmlaLink="Ber_Lab!C25" lockText="1"/>
</file>

<file path=xl/ctrlProps/ctrlProp487.xml><?xml version="1.0" encoding="utf-8"?>
<formControlPr xmlns="http://schemas.microsoft.com/office/spreadsheetml/2009/9/main" objectType="CheckBox" fmlaLink="Ber_Lab!G25" lockText="1"/>
</file>

<file path=xl/ctrlProps/ctrlProp488.xml><?xml version="1.0" encoding="utf-8"?>
<formControlPr xmlns="http://schemas.microsoft.com/office/spreadsheetml/2009/9/main" objectType="CheckBox" fmlaLink="Ber_Lab!I25" lockText="1"/>
</file>

<file path=xl/ctrlProps/ctrlProp489.xml><?xml version="1.0" encoding="utf-8"?>
<formControlPr xmlns="http://schemas.microsoft.com/office/spreadsheetml/2009/9/main" objectType="CheckBox" fmlaLink="Ber_Lab!M25" lockText="1"/>
</file>

<file path=xl/ctrlProps/ctrlProp490.xml><?xml version="1.0" encoding="utf-8"?>
<formControlPr xmlns="http://schemas.microsoft.com/office/spreadsheetml/2009/9/main" objectType="CheckBox" fmlaLink="Ber_Lab!E25" lockText="1"/>
</file>

<file path=xl/ctrlProps/ctrlProp491.xml><?xml version="1.0" encoding="utf-8"?>
<formControlPr xmlns="http://schemas.microsoft.com/office/spreadsheetml/2009/9/main" objectType="CheckBox" fmlaLink="Ber_Lab!O25" lockText="1"/>
</file>

<file path=xl/ctrlProps/ctrlProp492.xml><?xml version="1.0" encoding="utf-8"?>
<formControlPr xmlns="http://schemas.microsoft.com/office/spreadsheetml/2009/9/main" objectType="CheckBox" fmlaLink="Ber_Lab!Q25" lockText="1"/>
</file>

<file path=xl/ctrlProps/ctrlProp493.xml><?xml version="1.0" encoding="utf-8"?>
<formControlPr xmlns="http://schemas.microsoft.com/office/spreadsheetml/2009/9/main" objectType="CheckBox" fmlaLink="Ber_Lab!C26" lockText="1"/>
</file>

<file path=xl/ctrlProps/ctrlProp494.xml><?xml version="1.0" encoding="utf-8"?>
<formControlPr xmlns="http://schemas.microsoft.com/office/spreadsheetml/2009/9/main" objectType="CheckBox" fmlaLink="Ber_Lab!G26" lockText="1"/>
</file>

<file path=xl/ctrlProps/ctrlProp495.xml><?xml version="1.0" encoding="utf-8"?>
<formControlPr xmlns="http://schemas.microsoft.com/office/spreadsheetml/2009/9/main" objectType="CheckBox" fmlaLink="Ber_Lab!I26" lockText="1"/>
</file>

<file path=xl/ctrlProps/ctrlProp496.xml><?xml version="1.0" encoding="utf-8"?>
<formControlPr xmlns="http://schemas.microsoft.com/office/spreadsheetml/2009/9/main" objectType="CheckBox" fmlaLink="Ber_Lab!M26" lockText="1"/>
</file>

<file path=xl/ctrlProps/ctrlProp497.xml><?xml version="1.0" encoding="utf-8"?>
<formControlPr xmlns="http://schemas.microsoft.com/office/spreadsheetml/2009/9/main" objectType="CheckBox" fmlaLink="Ber_Lab!E26" lockText="1"/>
</file>

<file path=xl/ctrlProps/ctrlProp498.xml><?xml version="1.0" encoding="utf-8"?>
<formControlPr xmlns="http://schemas.microsoft.com/office/spreadsheetml/2009/9/main" objectType="CheckBox" fmlaLink="Ber_Lab!O26" lockText="1"/>
</file>

<file path=xl/ctrlProps/ctrlProp49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6" Type="http://schemas.openxmlformats.org/officeDocument/2006/relationships/ctrlProp" Target="../ctrlProps/ctrlProp153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18" Type="http://schemas.openxmlformats.org/officeDocument/2006/relationships/ctrlProp" Target="../ctrlProps/ctrlProp258.xml"/><Relationship Id="rId26" Type="http://schemas.openxmlformats.org/officeDocument/2006/relationships/ctrlProp" Target="../ctrlProps/ctrlProp26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61.x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17" Type="http://schemas.openxmlformats.org/officeDocument/2006/relationships/ctrlProp" Target="../ctrlProps/ctrlProp257.xml"/><Relationship Id="rId25" Type="http://schemas.openxmlformats.org/officeDocument/2006/relationships/ctrlProp" Target="../ctrlProps/ctrlProp26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56.xml"/><Relationship Id="rId20" Type="http://schemas.openxmlformats.org/officeDocument/2006/relationships/ctrlProp" Target="../ctrlProps/ctrlProp260.xml"/><Relationship Id="rId29" Type="http://schemas.openxmlformats.org/officeDocument/2006/relationships/ctrlProp" Target="../ctrlProps/ctrlProp26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24" Type="http://schemas.openxmlformats.org/officeDocument/2006/relationships/ctrlProp" Target="../ctrlProps/ctrlProp264.xml"/><Relationship Id="rId5" Type="http://schemas.openxmlformats.org/officeDocument/2006/relationships/ctrlProp" Target="../ctrlProps/ctrlProp245.xml"/><Relationship Id="rId15" Type="http://schemas.openxmlformats.org/officeDocument/2006/relationships/ctrlProp" Target="../ctrlProps/ctrlProp255.xml"/><Relationship Id="rId23" Type="http://schemas.openxmlformats.org/officeDocument/2006/relationships/ctrlProp" Target="../ctrlProps/ctrlProp263.xml"/><Relationship Id="rId28" Type="http://schemas.openxmlformats.org/officeDocument/2006/relationships/ctrlProp" Target="../ctrlProps/ctrlProp268.xml"/><Relationship Id="rId10" Type="http://schemas.openxmlformats.org/officeDocument/2006/relationships/ctrlProp" Target="../ctrlProps/ctrlProp250.xml"/><Relationship Id="rId19" Type="http://schemas.openxmlformats.org/officeDocument/2006/relationships/ctrlProp" Target="../ctrlProps/ctrlProp259.xml"/><Relationship Id="rId4" Type="http://schemas.openxmlformats.org/officeDocument/2006/relationships/ctrlProp" Target="../ctrlProps/ctrlProp244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Relationship Id="rId22" Type="http://schemas.openxmlformats.org/officeDocument/2006/relationships/ctrlProp" Target="../ctrlProps/ctrlProp262.xml"/><Relationship Id="rId27" Type="http://schemas.openxmlformats.org/officeDocument/2006/relationships/ctrlProp" Target="../ctrlProps/ctrlProp26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26" Type="http://schemas.openxmlformats.org/officeDocument/2006/relationships/ctrlProp" Target="../ctrlProps/ctrlProp292.xml"/><Relationship Id="rId39" Type="http://schemas.openxmlformats.org/officeDocument/2006/relationships/ctrlProp" Target="../ctrlProps/ctrlProp305.xml"/><Relationship Id="rId21" Type="http://schemas.openxmlformats.org/officeDocument/2006/relationships/ctrlProp" Target="../ctrlProps/ctrlProp287.xml"/><Relationship Id="rId34" Type="http://schemas.openxmlformats.org/officeDocument/2006/relationships/ctrlProp" Target="../ctrlProps/ctrlProp300.xml"/><Relationship Id="rId42" Type="http://schemas.openxmlformats.org/officeDocument/2006/relationships/ctrlProp" Target="../ctrlProps/ctrlProp308.xml"/><Relationship Id="rId7" Type="http://schemas.openxmlformats.org/officeDocument/2006/relationships/ctrlProp" Target="../ctrlProps/ctrlProp27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29" Type="http://schemas.openxmlformats.org/officeDocument/2006/relationships/ctrlProp" Target="../ctrlProps/ctrlProp295.xml"/><Relationship Id="rId41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24" Type="http://schemas.openxmlformats.org/officeDocument/2006/relationships/ctrlProp" Target="../ctrlProps/ctrlProp290.xml"/><Relationship Id="rId32" Type="http://schemas.openxmlformats.org/officeDocument/2006/relationships/ctrlProp" Target="../ctrlProps/ctrlProp298.xml"/><Relationship Id="rId37" Type="http://schemas.openxmlformats.org/officeDocument/2006/relationships/ctrlProp" Target="../ctrlProps/ctrlProp303.xml"/><Relationship Id="rId40" Type="http://schemas.openxmlformats.org/officeDocument/2006/relationships/ctrlProp" Target="../ctrlProps/ctrlProp306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23" Type="http://schemas.openxmlformats.org/officeDocument/2006/relationships/ctrlProp" Target="../ctrlProps/ctrlProp289.xml"/><Relationship Id="rId28" Type="http://schemas.openxmlformats.org/officeDocument/2006/relationships/ctrlProp" Target="../ctrlProps/ctrlProp294.xml"/><Relationship Id="rId36" Type="http://schemas.openxmlformats.org/officeDocument/2006/relationships/ctrlProp" Target="../ctrlProps/ctrlProp302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31" Type="http://schemas.openxmlformats.org/officeDocument/2006/relationships/ctrlProp" Target="../ctrlProps/ctrlProp297.xml"/><Relationship Id="rId44" Type="http://schemas.openxmlformats.org/officeDocument/2006/relationships/ctrlProp" Target="../ctrlProps/ctrlProp310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Relationship Id="rId27" Type="http://schemas.openxmlformats.org/officeDocument/2006/relationships/ctrlProp" Target="../ctrlProps/ctrlProp293.xml"/><Relationship Id="rId30" Type="http://schemas.openxmlformats.org/officeDocument/2006/relationships/ctrlProp" Target="../ctrlProps/ctrlProp296.xml"/><Relationship Id="rId35" Type="http://schemas.openxmlformats.org/officeDocument/2006/relationships/ctrlProp" Target="../ctrlProps/ctrlProp301.xml"/><Relationship Id="rId43" Type="http://schemas.openxmlformats.org/officeDocument/2006/relationships/ctrlProp" Target="../ctrlProps/ctrlProp309.xml"/><Relationship Id="rId8" Type="http://schemas.openxmlformats.org/officeDocument/2006/relationships/ctrlProp" Target="../ctrlProps/ctrlProp27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5" Type="http://schemas.openxmlformats.org/officeDocument/2006/relationships/ctrlProp" Target="../ctrlProps/ctrlProp291.xml"/><Relationship Id="rId33" Type="http://schemas.openxmlformats.org/officeDocument/2006/relationships/ctrlProp" Target="../ctrlProps/ctrlProp299.xml"/><Relationship Id="rId38" Type="http://schemas.openxmlformats.org/officeDocument/2006/relationships/ctrlProp" Target="../ctrlProps/ctrlProp30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24.xml"/><Relationship Id="rId21" Type="http://schemas.openxmlformats.org/officeDocument/2006/relationships/ctrlProp" Target="../ctrlProps/ctrlProp328.xml"/><Relationship Id="rId42" Type="http://schemas.openxmlformats.org/officeDocument/2006/relationships/ctrlProp" Target="../ctrlProps/ctrlProp349.xml"/><Relationship Id="rId63" Type="http://schemas.openxmlformats.org/officeDocument/2006/relationships/ctrlProp" Target="../ctrlProps/ctrlProp370.xml"/><Relationship Id="rId84" Type="http://schemas.openxmlformats.org/officeDocument/2006/relationships/ctrlProp" Target="../ctrlProps/ctrlProp391.xml"/><Relationship Id="rId138" Type="http://schemas.openxmlformats.org/officeDocument/2006/relationships/ctrlProp" Target="../ctrlProps/ctrlProp445.xml"/><Relationship Id="rId159" Type="http://schemas.openxmlformats.org/officeDocument/2006/relationships/ctrlProp" Target="../ctrlProps/ctrlProp466.xml"/><Relationship Id="rId170" Type="http://schemas.openxmlformats.org/officeDocument/2006/relationships/ctrlProp" Target="../ctrlProps/ctrlProp477.xml"/><Relationship Id="rId191" Type="http://schemas.openxmlformats.org/officeDocument/2006/relationships/ctrlProp" Target="../ctrlProps/ctrlProp498.xml"/><Relationship Id="rId107" Type="http://schemas.openxmlformats.org/officeDocument/2006/relationships/ctrlProp" Target="../ctrlProps/ctrlProp414.xml"/><Relationship Id="rId11" Type="http://schemas.openxmlformats.org/officeDocument/2006/relationships/ctrlProp" Target="../ctrlProps/ctrlProp318.xml"/><Relationship Id="rId32" Type="http://schemas.openxmlformats.org/officeDocument/2006/relationships/ctrlProp" Target="../ctrlProps/ctrlProp339.xml"/><Relationship Id="rId53" Type="http://schemas.openxmlformats.org/officeDocument/2006/relationships/ctrlProp" Target="../ctrlProps/ctrlProp360.xml"/><Relationship Id="rId74" Type="http://schemas.openxmlformats.org/officeDocument/2006/relationships/ctrlProp" Target="../ctrlProps/ctrlProp381.xml"/><Relationship Id="rId128" Type="http://schemas.openxmlformats.org/officeDocument/2006/relationships/ctrlProp" Target="../ctrlProps/ctrlProp435.xml"/><Relationship Id="rId149" Type="http://schemas.openxmlformats.org/officeDocument/2006/relationships/ctrlProp" Target="../ctrlProps/ctrlProp456.xml"/><Relationship Id="rId5" Type="http://schemas.openxmlformats.org/officeDocument/2006/relationships/ctrlProp" Target="../ctrlProps/ctrlProp312.xml"/><Relationship Id="rId95" Type="http://schemas.openxmlformats.org/officeDocument/2006/relationships/ctrlProp" Target="../ctrlProps/ctrlProp402.xml"/><Relationship Id="rId160" Type="http://schemas.openxmlformats.org/officeDocument/2006/relationships/ctrlProp" Target="../ctrlProps/ctrlProp467.xml"/><Relationship Id="rId181" Type="http://schemas.openxmlformats.org/officeDocument/2006/relationships/ctrlProp" Target="../ctrlProps/ctrlProp488.xml"/><Relationship Id="rId22" Type="http://schemas.openxmlformats.org/officeDocument/2006/relationships/ctrlProp" Target="../ctrlProps/ctrlProp329.xml"/><Relationship Id="rId43" Type="http://schemas.openxmlformats.org/officeDocument/2006/relationships/ctrlProp" Target="../ctrlProps/ctrlProp350.xml"/><Relationship Id="rId64" Type="http://schemas.openxmlformats.org/officeDocument/2006/relationships/ctrlProp" Target="../ctrlProps/ctrlProp371.xml"/><Relationship Id="rId118" Type="http://schemas.openxmlformats.org/officeDocument/2006/relationships/ctrlProp" Target="../ctrlProps/ctrlProp425.xml"/><Relationship Id="rId139" Type="http://schemas.openxmlformats.org/officeDocument/2006/relationships/ctrlProp" Target="../ctrlProps/ctrlProp446.xml"/><Relationship Id="rId85" Type="http://schemas.openxmlformats.org/officeDocument/2006/relationships/ctrlProp" Target="../ctrlProps/ctrlProp392.xml"/><Relationship Id="rId150" Type="http://schemas.openxmlformats.org/officeDocument/2006/relationships/ctrlProp" Target="../ctrlProps/ctrlProp457.xml"/><Relationship Id="rId171" Type="http://schemas.openxmlformats.org/officeDocument/2006/relationships/ctrlProp" Target="../ctrlProps/ctrlProp478.xml"/><Relationship Id="rId192" Type="http://schemas.openxmlformats.org/officeDocument/2006/relationships/ctrlProp" Target="../ctrlProps/ctrlProp499.xml"/><Relationship Id="rId12" Type="http://schemas.openxmlformats.org/officeDocument/2006/relationships/ctrlProp" Target="../ctrlProps/ctrlProp319.xml"/><Relationship Id="rId33" Type="http://schemas.openxmlformats.org/officeDocument/2006/relationships/ctrlProp" Target="../ctrlProps/ctrlProp340.xml"/><Relationship Id="rId108" Type="http://schemas.openxmlformats.org/officeDocument/2006/relationships/ctrlProp" Target="../ctrlProps/ctrlProp415.xml"/><Relationship Id="rId129" Type="http://schemas.openxmlformats.org/officeDocument/2006/relationships/ctrlProp" Target="../ctrlProps/ctrlProp436.xml"/><Relationship Id="rId54" Type="http://schemas.openxmlformats.org/officeDocument/2006/relationships/ctrlProp" Target="../ctrlProps/ctrlProp361.xml"/><Relationship Id="rId75" Type="http://schemas.openxmlformats.org/officeDocument/2006/relationships/ctrlProp" Target="../ctrlProps/ctrlProp382.xml"/><Relationship Id="rId96" Type="http://schemas.openxmlformats.org/officeDocument/2006/relationships/ctrlProp" Target="../ctrlProps/ctrlProp403.xml"/><Relationship Id="rId140" Type="http://schemas.openxmlformats.org/officeDocument/2006/relationships/ctrlProp" Target="../ctrlProps/ctrlProp447.xml"/><Relationship Id="rId161" Type="http://schemas.openxmlformats.org/officeDocument/2006/relationships/ctrlProp" Target="../ctrlProps/ctrlProp468.xml"/><Relationship Id="rId182" Type="http://schemas.openxmlformats.org/officeDocument/2006/relationships/ctrlProp" Target="../ctrlProps/ctrlProp489.xml"/><Relationship Id="rId6" Type="http://schemas.openxmlformats.org/officeDocument/2006/relationships/ctrlProp" Target="../ctrlProps/ctrlProp313.xml"/><Relationship Id="rId23" Type="http://schemas.openxmlformats.org/officeDocument/2006/relationships/ctrlProp" Target="../ctrlProps/ctrlProp330.xml"/><Relationship Id="rId119" Type="http://schemas.openxmlformats.org/officeDocument/2006/relationships/ctrlProp" Target="../ctrlProps/ctrlProp426.xml"/><Relationship Id="rId44" Type="http://schemas.openxmlformats.org/officeDocument/2006/relationships/ctrlProp" Target="../ctrlProps/ctrlProp351.xml"/><Relationship Id="rId65" Type="http://schemas.openxmlformats.org/officeDocument/2006/relationships/ctrlProp" Target="../ctrlProps/ctrlProp372.xml"/><Relationship Id="rId86" Type="http://schemas.openxmlformats.org/officeDocument/2006/relationships/ctrlProp" Target="../ctrlProps/ctrlProp393.xml"/><Relationship Id="rId130" Type="http://schemas.openxmlformats.org/officeDocument/2006/relationships/ctrlProp" Target="../ctrlProps/ctrlProp437.xml"/><Relationship Id="rId151" Type="http://schemas.openxmlformats.org/officeDocument/2006/relationships/ctrlProp" Target="../ctrlProps/ctrlProp458.xml"/><Relationship Id="rId172" Type="http://schemas.openxmlformats.org/officeDocument/2006/relationships/ctrlProp" Target="../ctrlProps/ctrlProp479.xml"/><Relationship Id="rId13" Type="http://schemas.openxmlformats.org/officeDocument/2006/relationships/ctrlProp" Target="../ctrlProps/ctrlProp320.xml"/><Relationship Id="rId18" Type="http://schemas.openxmlformats.org/officeDocument/2006/relationships/ctrlProp" Target="../ctrlProps/ctrlProp325.xml"/><Relationship Id="rId39" Type="http://schemas.openxmlformats.org/officeDocument/2006/relationships/ctrlProp" Target="../ctrlProps/ctrlProp346.xml"/><Relationship Id="rId109" Type="http://schemas.openxmlformats.org/officeDocument/2006/relationships/ctrlProp" Target="../ctrlProps/ctrlProp416.xml"/><Relationship Id="rId34" Type="http://schemas.openxmlformats.org/officeDocument/2006/relationships/ctrlProp" Target="../ctrlProps/ctrlProp341.xml"/><Relationship Id="rId50" Type="http://schemas.openxmlformats.org/officeDocument/2006/relationships/ctrlProp" Target="../ctrlProps/ctrlProp357.xml"/><Relationship Id="rId55" Type="http://schemas.openxmlformats.org/officeDocument/2006/relationships/ctrlProp" Target="../ctrlProps/ctrlProp362.xml"/><Relationship Id="rId76" Type="http://schemas.openxmlformats.org/officeDocument/2006/relationships/ctrlProp" Target="../ctrlProps/ctrlProp383.xml"/><Relationship Id="rId97" Type="http://schemas.openxmlformats.org/officeDocument/2006/relationships/ctrlProp" Target="../ctrlProps/ctrlProp404.xml"/><Relationship Id="rId104" Type="http://schemas.openxmlformats.org/officeDocument/2006/relationships/ctrlProp" Target="../ctrlProps/ctrlProp411.xml"/><Relationship Id="rId120" Type="http://schemas.openxmlformats.org/officeDocument/2006/relationships/ctrlProp" Target="../ctrlProps/ctrlProp427.xml"/><Relationship Id="rId125" Type="http://schemas.openxmlformats.org/officeDocument/2006/relationships/ctrlProp" Target="../ctrlProps/ctrlProp432.xml"/><Relationship Id="rId141" Type="http://schemas.openxmlformats.org/officeDocument/2006/relationships/ctrlProp" Target="../ctrlProps/ctrlProp448.xml"/><Relationship Id="rId146" Type="http://schemas.openxmlformats.org/officeDocument/2006/relationships/ctrlProp" Target="../ctrlProps/ctrlProp453.xml"/><Relationship Id="rId167" Type="http://schemas.openxmlformats.org/officeDocument/2006/relationships/ctrlProp" Target="../ctrlProps/ctrlProp474.xml"/><Relationship Id="rId188" Type="http://schemas.openxmlformats.org/officeDocument/2006/relationships/ctrlProp" Target="../ctrlProps/ctrlProp495.xml"/><Relationship Id="rId7" Type="http://schemas.openxmlformats.org/officeDocument/2006/relationships/ctrlProp" Target="../ctrlProps/ctrlProp314.xml"/><Relationship Id="rId71" Type="http://schemas.openxmlformats.org/officeDocument/2006/relationships/ctrlProp" Target="../ctrlProps/ctrlProp378.xml"/><Relationship Id="rId92" Type="http://schemas.openxmlformats.org/officeDocument/2006/relationships/ctrlProp" Target="../ctrlProps/ctrlProp399.xml"/><Relationship Id="rId162" Type="http://schemas.openxmlformats.org/officeDocument/2006/relationships/ctrlProp" Target="../ctrlProps/ctrlProp469.xml"/><Relationship Id="rId183" Type="http://schemas.openxmlformats.org/officeDocument/2006/relationships/ctrlProp" Target="../ctrlProps/ctrlProp49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36.xml"/><Relationship Id="rId24" Type="http://schemas.openxmlformats.org/officeDocument/2006/relationships/ctrlProp" Target="../ctrlProps/ctrlProp331.xml"/><Relationship Id="rId40" Type="http://schemas.openxmlformats.org/officeDocument/2006/relationships/ctrlProp" Target="../ctrlProps/ctrlProp347.xml"/><Relationship Id="rId45" Type="http://schemas.openxmlformats.org/officeDocument/2006/relationships/ctrlProp" Target="../ctrlProps/ctrlProp352.xml"/><Relationship Id="rId66" Type="http://schemas.openxmlformats.org/officeDocument/2006/relationships/ctrlProp" Target="../ctrlProps/ctrlProp373.xml"/><Relationship Id="rId87" Type="http://schemas.openxmlformats.org/officeDocument/2006/relationships/ctrlProp" Target="../ctrlProps/ctrlProp394.xml"/><Relationship Id="rId110" Type="http://schemas.openxmlformats.org/officeDocument/2006/relationships/ctrlProp" Target="../ctrlProps/ctrlProp417.xml"/><Relationship Id="rId115" Type="http://schemas.openxmlformats.org/officeDocument/2006/relationships/ctrlProp" Target="../ctrlProps/ctrlProp422.xml"/><Relationship Id="rId131" Type="http://schemas.openxmlformats.org/officeDocument/2006/relationships/ctrlProp" Target="../ctrlProps/ctrlProp438.xml"/><Relationship Id="rId136" Type="http://schemas.openxmlformats.org/officeDocument/2006/relationships/ctrlProp" Target="../ctrlProps/ctrlProp443.xml"/><Relationship Id="rId157" Type="http://schemas.openxmlformats.org/officeDocument/2006/relationships/ctrlProp" Target="../ctrlProps/ctrlProp464.xml"/><Relationship Id="rId178" Type="http://schemas.openxmlformats.org/officeDocument/2006/relationships/ctrlProp" Target="../ctrlProps/ctrlProp485.xml"/><Relationship Id="rId61" Type="http://schemas.openxmlformats.org/officeDocument/2006/relationships/ctrlProp" Target="../ctrlProps/ctrlProp368.xml"/><Relationship Id="rId82" Type="http://schemas.openxmlformats.org/officeDocument/2006/relationships/ctrlProp" Target="../ctrlProps/ctrlProp389.xml"/><Relationship Id="rId152" Type="http://schemas.openxmlformats.org/officeDocument/2006/relationships/ctrlProp" Target="../ctrlProps/ctrlProp459.xml"/><Relationship Id="rId173" Type="http://schemas.openxmlformats.org/officeDocument/2006/relationships/ctrlProp" Target="../ctrlProps/ctrlProp480.xml"/><Relationship Id="rId19" Type="http://schemas.openxmlformats.org/officeDocument/2006/relationships/ctrlProp" Target="../ctrlProps/ctrlProp326.xml"/><Relationship Id="rId14" Type="http://schemas.openxmlformats.org/officeDocument/2006/relationships/ctrlProp" Target="../ctrlProps/ctrlProp321.xml"/><Relationship Id="rId30" Type="http://schemas.openxmlformats.org/officeDocument/2006/relationships/ctrlProp" Target="../ctrlProps/ctrlProp337.xml"/><Relationship Id="rId35" Type="http://schemas.openxmlformats.org/officeDocument/2006/relationships/ctrlProp" Target="../ctrlProps/ctrlProp342.xml"/><Relationship Id="rId56" Type="http://schemas.openxmlformats.org/officeDocument/2006/relationships/ctrlProp" Target="../ctrlProps/ctrlProp363.xml"/><Relationship Id="rId77" Type="http://schemas.openxmlformats.org/officeDocument/2006/relationships/ctrlProp" Target="../ctrlProps/ctrlProp384.xml"/><Relationship Id="rId100" Type="http://schemas.openxmlformats.org/officeDocument/2006/relationships/ctrlProp" Target="../ctrlProps/ctrlProp407.xml"/><Relationship Id="rId105" Type="http://schemas.openxmlformats.org/officeDocument/2006/relationships/ctrlProp" Target="../ctrlProps/ctrlProp412.xml"/><Relationship Id="rId126" Type="http://schemas.openxmlformats.org/officeDocument/2006/relationships/ctrlProp" Target="../ctrlProps/ctrlProp433.xml"/><Relationship Id="rId147" Type="http://schemas.openxmlformats.org/officeDocument/2006/relationships/ctrlProp" Target="../ctrlProps/ctrlProp454.xml"/><Relationship Id="rId168" Type="http://schemas.openxmlformats.org/officeDocument/2006/relationships/ctrlProp" Target="../ctrlProps/ctrlProp475.xml"/><Relationship Id="rId8" Type="http://schemas.openxmlformats.org/officeDocument/2006/relationships/ctrlProp" Target="../ctrlProps/ctrlProp315.xml"/><Relationship Id="rId51" Type="http://schemas.openxmlformats.org/officeDocument/2006/relationships/ctrlProp" Target="../ctrlProps/ctrlProp358.xml"/><Relationship Id="rId72" Type="http://schemas.openxmlformats.org/officeDocument/2006/relationships/ctrlProp" Target="../ctrlProps/ctrlProp379.xml"/><Relationship Id="rId93" Type="http://schemas.openxmlformats.org/officeDocument/2006/relationships/ctrlProp" Target="../ctrlProps/ctrlProp400.xml"/><Relationship Id="rId98" Type="http://schemas.openxmlformats.org/officeDocument/2006/relationships/ctrlProp" Target="../ctrlProps/ctrlProp405.xml"/><Relationship Id="rId121" Type="http://schemas.openxmlformats.org/officeDocument/2006/relationships/ctrlProp" Target="../ctrlProps/ctrlProp428.xml"/><Relationship Id="rId142" Type="http://schemas.openxmlformats.org/officeDocument/2006/relationships/ctrlProp" Target="../ctrlProps/ctrlProp449.xml"/><Relationship Id="rId163" Type="http://schemas.openxmlformats.org/officeDocument/2006/relationships/ctrlProp" Target="../ctrlProps/ctrlProp470.xml"/><Relationship Id="rId184" Type="http://schemas.openxmlformats.org/officeDocument/2006/relationships/ctrlProp" Target="../ctrlProps/ctrlProp491.xml"/><Relationship Id="rId189" Type="http://schemas.openxmlformats.org/officeDocument/2006/relationships/ctrlProp" Target="../ctrlProps/ctrlProp49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32.xml"/><Relationship Id="rId46" Type="http://schemas.openxmlformats.org/officeDocument/2006/relationships/ctrlProp" Target="../ctrlProps/ctrlProp353.xml"/><Relationship Id="rId67" Type="http://schemas.openxmlformats.org/officeDocument/2006/relationships/ctrlProp" Target="../ctrlProps/ctrlProp374.xml"/><Relationship Id="rId116" Type="http://schemas.openxmlformats.org/officeDocument/2006/relationships/ctrlProp" Target="../ctrlProps/ctrlProp423.xml"/><Relationship Id="rId137" Type="http://schemas.openxmlformats.org/officeDocument/2006/relationships/ctrlProp" Target="../ctrlProps/ctrlProp444.xml"/><Relationship Id="rId158" Type="http://schemas.openxmlformats.org/officeDocument/2006/relationships/ctrlProp" Target="../ctrlProps/ctrlProp465.xml"/><Relationship Id="rId20" Type="http://schemas.openxmlformats.org/officeDocument/2006/relationships/ctrlProp" Target="../ctrlProps/ctrlProp327.xml"/><Relationship Id="rId41" Type="http://schemas.openxmlformats.org/officeDocument/2006/relationships/ctrlProp" Target="../ctrlProps/ctrlProp348.xml"/><Relationship Id="rId62" Type="http://schemas.openxmlformats.org/officeDocument/2006/relationships/ctrlProp" Target="../ctrlProps/ctrlProp369.xml"/><Relationship Id="rId83" Type="http://schemas.openxmlformats.org/officeDocument/2006/relationships/ctrlProp" Target="../ctrlProps/ctrlProp390.xml"/><Relationship Id="rId88" Type="http://schemas.openxmlformats.org/officeDocument/2006/relationships/ctrlProp" Target="../ctrlProps/ctrlProp395.xml"/><Relationship Id="rId111" Type="http://schemas.openxmlformats.org/officeDocument/2006/relationships/ctrlProp" Target="../ctrlProps/ctrlProp418.xml"/><Relationship Id="rId132" Type="http://schemas.openxmlformats.org/officeDocument/2006/relationships/ctrlProp" Target="../ctrlProps/ctrlProp439.xml"/><Relationship Id="rId153" Type="http://schemas.openxmlformats.org/officeDocument/2006/relationships/ctrlProp" Target="../ctrlProps/ctrlProp460.xml"/><Relationship Id="rId174" Type="http://schemas.openxmlformats.org/officeDocument/2006/relationships/ctrlProp" Target="../ctrlProps/ctrlProp481.xml"/><Relationship Id="rId179" Type="http://schemas.openxmlformats.org/officeDocument/2006/relationships/ctrlProp" Target="../ctrlProps/ctrlProp486.xml"/><Relationship Id="rId190" Type="http://schemas.openxmlformats.org/officeDocument/2006/relationships/ctrlProp" Target="../ctrlProps/ctrlProp497.xml"/><Relationship Id="rId15" Type="http://schemas.openxmlformats.org/officeDocument/2006/relationships/ctrlProp" Target="../ctrlProps/ctrlProp322.xml"/><Relationship Id="rId36" Type="http://schemas.openxmlformats.org/officeDocument/2006/relationships/ctrlProp" Target="../ctrlProps/ctrlProp343.xml"/><Relationship Id="rId57" Type="http://schemas.openxmlformats.org/officeDocument/2006/relationships/ctrlProp" Target="../ctrlProps/ctrlProp364.xml"/><Relationship Id="rId106" Type="http://schemas.openxmlformats.org/officeDocument/2006/relationships/ctrlProp" Target="../ctrlProps/ctrlProp413.xml"/><Relationship Id="rId127" Type="http://schemas.openxmlformats.org/officeDocument/2006/relationships/ctrlProp" Target="../ctrlProps/ctrlProp434.xml"/><Relationship Id="rId10" Type="http://schemas.openxmlformats.org/officeDocument/2006/relationships/ctrlProp" Target="../ctrlProps/ctrlProp317.xml"/><Relationship Id="rId31" Type="http://schemas.openxmlformats.org/officeDocument/2006/relationships/ctrlProp" Target="../ctrlProps/ctrlProp338.xml"/><Relationship Id="rId52" Type="http://schemas.openxmlformats.org/officeDocument/2006/relationships/ctrlProp" Target="../ctrlProps/ctrlProp359.xml"/><Relationship Id="rId73" Type="http://schemas.openxmlformats.org/officeDocument/2006/relationships/ctrlProp" Target="../ctrlProps/ctrlProp380.xml"/><Relationship Id="rId78" Type="http://schemas.openxmlformats.org/officeDocument/2006/relationships/ctrlProp" Target="../ctrlProps/ctrlProp385.xml"/><Relationship Id="rId94" Type="http://schemas.openxmlformats.org/officeDocument/2006/relationships/ctrlProp" Target="../ctrlProps/ctrlProp401.xml"/><Relationship Id="rId99" Type="http://schemas.openxmlformats.org/officeDocument/2006/relationships/ctrlProp" Target="../ctrlProps/ctrlProp406.xml"/><Relationship Id="rId101" Type="http://schemas.openxmlformats.org/officeDocument/2006/relationships/ctrlProp" Target="../ctrlProps/ctrlProp408.xml"/><Relationship Id="rId122" Type="http://schemas.openxmlformats.org/officeDocument/2006/relationships/ctrlProp" Target="../ctrlProps/ctrlProp429.xml"/><Relationship Id="rId143" Type="http://schemas.openxmlformats.org/officeDocument/2006/relationships/ctrlProp" Target="../ctrlProps/ctrlProp450.xml"/><Relationship Id="rId148" Type="http://schemas.openxmlformats.org/officeDocument/2006/relationships/ctrlProp" Target="../ctrlProps/ctrlProp455.xml"/><Relationship Id="rId164" Type="http://schemas.openxmlformats.org/officeDocument/2006/relationships/ctrlProp" Target="../ctrlProps/ctrlProp471.xml"/><Relationship Id="rId169" Type="http://schemas.openxmlformats.org/officeDocument/2006/relationships/ctrlProp" Target="../ctrlProps/ctrlProp476.xml"/><Relationship Id="rId185" Type="http://schemas.openxmlformats.org/officeDocument/2006/relationships/ctrlProp" Target="../ctrlProps/ctrlProp492.xml"/><Relationship Id="rId4" Type="http://schemas.openxmlformats.org/officeDocument/2006/relationships/ctrlProp" Target="../ctrlProps/ctrlProp311.xml"/><Relationship Id="rId9" Type="http://schemas.openxmlformats.org/officeDocument/2006/relationships/ctrlProp" Target="../ctrlProps/ctrlProp316.xml"/><Relationship Id="rId180" Type="http://schemas.openxmlformats.org/officeDocument/2006/relationships/ctrlProp" Target="../ctrlProps/ctrlProp487.xml"/><Relationship Id="rId26" Type="http://schemas.openxmlformats.org/officeDocument/2006/relationships/ctrlProp" Target="../ctrlProps/ctrlProp333.xml"/><Relationship Id="rId47" Type="http://schemas.openxmlformats.org/officeDocument/2006/relationships/ctrlProp" Target="../ctrlProps/ctrlProp354.xml"/><Relationship Id="rId68" Type="http://schemas.openxmlformats.org/officeDocument/2006/relationships/ctrlProp" Target="../ctrlProps/ctrlProp375.xml"/><Relationship Id="rId89" Type="http://schemas.openxmlformats.org/officeDocument/2006/relationships/ctrlProp" Target="../ctrlProps/ctrlProp396.xml"/><Relationship Id="rId112" Type="http://schemas.openxmlformats.org/officeDocument/2006/relationships/ctrlProp" Target="../ctrlProps/ctrlProp419.xml"/><Relationship Id="rId133" Type="http://schemas.openxmlformats.org/officeDocument/2006/relationships/ctrlProp" Target="../ctrlProps/ctrlProp440.xml"/><Relationship Id="rId154" Type="http://schemas.openxmlformats.org/officeDocument/2006/relationships/ctrlProp" Target="../ctrlProps/ctrlProp461.xml"/><Relationship Id="rId175" Type="http://schemas.openxmlformats.org/officeDocument/2006/relationships/ctrlProp" Target="../ctrlProps/ctrlProp482.xml"/><Relationship Id="rId16" Type="http://schemas.openxmlformats.org/officeDocument/2006/relationships/ctrlProp" Target="../ctrlProps/ctrlProp323.xml"/><Relationship Id="rId37" Type="http://schemas.openxmlformats.org/officeDocument/2006/relationships/ctrlProp" Target="../ctrlProps/ctrlProp344.xml"/><Relationship Id="rId58" Type="http://schemas.openxmlformats.org/officeDocument/2006/relationships/ctrlProp" Target="../ctrlProps/ctrlProp365.xml"/><Relationship Id="rId79" Type="http://schemas.openxmlformats.org/officeDocument/2006/relationships/ctrlProp" Target="../ctrlProps/ctrlProp386.xml"/><Relationship Id="rId102" Type="http://schemas.openxmlformats.org/officeDocument/2006/relationships/ctrlProp" Target="../ctrlProps/ctrlProp409.xml"/><Relationship Id="rId123" Type="http://schemas.openxmlformats.org/officeDocument/2006/relationships/ctrlProp" Target="../ctrlProps/ctrlProp430.xml"/><Relationship Id="rId144" Type="http://schemas.openxmlformats.org/officeDocument/2006/relationships/ctrlProp" Target="../ctrlProps/ctrlProp451.xml"/><Relationship Id="rId90" Type="http://schemas.openxmlformats.org/officeDocument/2006/relationships/ctrlProp" Target="../ctrlProps/ctrlProp397.xml"/><Relationship Id="rId165" Type="http://schemas.openxmlformats.org/officeDocument/2006/relationships/ctrlProp" Target="../ctrlProps/ctrlProp472.xml"/><Relationship Id="rId186" Type="http://schemas.openxmlformats.org/officeDocument/2006/relationships/ctrlProp" Target="../ctrlProps/ctrlProp493.xml"/><Relationship Id="rId27" Type="http://schemas.openxmlformats.org/officeDocument/2006/relationships/ctrlProp" Target="../ctrlProps/ctrlProp334.xml"/><Relationship Id="rId48" Type="http://schemas.openxmlformats.org/officeDocument/2006/relationships/ctrlProp" Target="../ctrlProps/ctrlProp355.xml"/><Relationship Id="rId69" Type="http://schemas.openxmlformats.org/officeDocument/2006/relationships/ctrlProp" Target="../ctrlProps/ctrlProp376.xml"/><Relationship Id="rId113" Type="http://schemas.openxmlformats.org/officeDocument/2006/relationships/ctrlProp" Target="../ctrlProps/ctrlProp420.xml"/><Relationship Id="rId134" Type="http://schemas.openxmlformats.org/officeDocument/2006/relationships/ctrlProp" Target="../ctrlProps/ctrlProp441.xml"/><Relationship Id="rId80" Type="http://schemas.openxmlformats.org/officeDocument/2006/relationships/ctrlProp" Target="../ctrlProps/ctrlProp387.xml"/><Relationship Id="rId155" Type="http://schemas.openxmlformats.org/officeDocument/2006/relationships/ctrlProp" Target="../ctrlProps/ctrlProp462.xml"/><Relationship Id="rId176" Type="http://schemas.openxmlformats.org/officeDocument/2006/relationships/ctrlProp" Target="../ctrlProps/ctrlProp483.xml"/><Relationship Id="rId17" Type="http://schemas.openxmlformats.org/officeDocument/2006/relationships/ctrlProp" Target="../ctrlProps/ctrlProp324.xml"/><Relationship Id="rId38" Type="http://schemas.openxmlformats.org/officeDocument/2006/relationships/ctrlProp" Target="../ctrlProps/ctrlProp345.xml"/><Relationship Id="rId59" Type="http://schemas.openxmlformats.org/officeDocument/2006/relationships/ctrlProp" Target="../ctrlProps/ctrlProp366.xml"/><Relationship Id="rId103" Type="http://schemas.openxmlformats.org/officeDocument/2006/relationships/ctrlProp" Target="../ctrlProps/ctrlProp410.xml"/><Relationship Id="rId124" Type="http://schemas.openxmlformats.org/officeDocument/2006/relationships/ctrlProp" Target="../ctrlProps/ctrlProp431.xml"/><Relationship Id="rId70" Type="http://schemas.openxmlformats.org/officeDocument/2006/relationships/ctrlProp" Target="../ctrlProps/ctrlProp377.xml"/><Relationship Id="rId91" Type="http://schemas.openxmlformats.org/officeDocument/2006/relationships/ctrlProp" Target="../ctrlProps/ctrlProp398.xml"/><Relationship Id="rId145" Type="http://schemas.openxmlformats.org/officeDocument/2006/relationships/ctrlProp" Target="../ctrlProps/ctrlProp452.xml"/><Relationship Id="rId166" Type="http://schemas.openxmlformats.org/officeDocument/2006/relationships/ctrlProp" Target="../ctrlProps/ctrlProp473.xml"/><Relationship Id="rId187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35.xml"/><Relationship Id="rId49" Type="http://schemas.openxmlformats.org/officeDocument/2006/relationships/ctrlProp" Target="../ctrlProps/ctrlProp356.xml"/><Relationship Id="rId114" Type="http://schemas.openxmlformats.org/officeDocument/2006/relationships/ctrlProp" Target="../ctrlProps/ctrlProp421.xml"/><Relationship Id="rId60" Type="http://schemas.openxmlformats.org/officeDocument/2006/relationships/ctrlProp" Target="../ctrlProps/ctrlProp367.xml"/><Relationship Id="rId81" Type="http://schemas.openxmlformats.org/officeDocument/2006/relationships/ctrlProp" Target="../ctrlProps/ctrlProp388.xml"/><Relationship Id="rId135" Type="http://schemas.openxmlformats.org/officeDocument/2006/relationships/ctrlProp" Target="../ctrlProps/ctrlProp442.xml"/><Relationship Id="rId156" Type="http://schemas.openxmlformats.org/officeDocument/2006/relationships/ctrlProp" Target="../ctrlProps/ctrlProp463.xml"/><Relationship Id="rId177" Type="http://schemas.openxmlformats.org/officeDocument/2006/relationships/ctrlProp" Target="../ctrlProps/ctrlProp48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67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67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67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68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68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68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68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68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68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68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68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68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68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68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68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68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68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68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68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68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68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68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68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68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68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68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68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68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68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68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68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68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68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68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68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68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68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68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68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68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68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68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68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68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68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68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68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68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7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7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7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8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8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8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8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8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8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8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8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8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8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8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8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8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8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8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8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8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8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8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8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8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8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8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8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8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8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8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8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8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8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8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8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8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8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8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8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8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8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8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8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8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8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8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8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8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6"/>
    <col min="2" max="2" width="10.265625" style="11" customWidth="1"/>
    <col min="3" max="3" width="19.73046875" style="76" customWidth="1"/>
    <col min="4" max="5" width="17.73046875" style="76" customWidth="1"/>
    <col min="6" max="7" width="18.73046875" style="76" customWidth="1"/>
    <col min="8" max="16384" width="9.1328125" style="76"/>
  </cols>
  <sheetData>
    <row r="1" spans="2:25 4305:4305" x14ac:dyDescent="0.35">
      <c r="J1" s="264"/>
      <c r="K1" s="264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264"/>
      <c r="X1" s="264"/>
      <c r="Y1" s="264"/>
    </row>
    <row r="2" spans="2:25 4305:4305" ht="15" customHeight="1" x14ac:dyDescent="0.4">
      <c r="B2" s="255" t="str">
        <f>"Patient: "&amp;AchterNaam&amp;", "&amp;VoorNaam</f>
        <v>Patient: Achternaam, Voornaam</v>
      </c>
      <c r="C2" s="253"/>
      <c r="D2" s="191"/>
      <c r="E2" s="256" t="str">
        <f ca="1">"Geschatte lengte: "&amp;VLOOKUP(C5+D5/12,HEIGHTNL.CRF!A2:D45,4)&amp;" cm"</f>
        <v>Geschatte lengte: 101,55 cm</v>
      </c>
      <c r="F2" s="191"/>
      <c r="G2" s="213"/>
      <c r="H2" s="77"/>
      <c r="I2" s="77"/>
      <c r="J2" s="264"/>
      <c r="K2" s="264"/>
      <c r="L2" s="190">
        <v>0</v>
      </c>
      <c r="M2" s="190">
        <v>40</v>
      </c>
      <c r="N2" s="190">
        <v>3.5</v>
      </c>
      <c r="O2" s="190">
        <v>0</v>
      </c>
      <c r="P2" s="190">
        <v>3.5</v>
      </c>
      <c r="Q2" s="190">
        <v>51</v>
      </c>
      <c r="R2" s="190"/>
      <c r="S2" s="190">
        <v>1</v>
      </c>
      <c r="T2" s="190">
        <v>1</v>
      </c>
      <c r="U2" s="190">
        <v>1</v>
      </c>
      <c r="V2" s="190"/>
      <c r="W2" s="264"/>
      <c r="X2" s="264"/>
      <c r="Y2" s="264"/>
      <c r="FIO2" s="76">
        <v>30</v>
      </c>
    </row>
    <row r="3" spans="2:25 4305:4305" ht="15" customHeight="1" x14ac:dyDescent="0.35">
      <c r="B3" s="255" t="str">
        <f>"Geb datum.: "</f>
        <v xml:space="preserve">Geb datum.: </v>
      </c>
      <c r="C3" s="269">
        <f>GebDatum</f>
        <v>40909</v>
      </c>
      <c r="D3" s="191"/>
      <c r="E3" s="256" t="str">
        <f ca="1">"Geschat gewicht: "&amp;VLOOKUP(C5+D5/12,WEIGHTNL.CRF!A2:T49,20)&amp;" kg"</f>
        <v>Geschat gewicht: 16,3 kg</v>
      </c>
      <c r="F3" s="249"/>
      <c r="G3" s="213"/>
      <c r="H3" s="77"/>
      <c r="I3" s="77"/>
      <c r="J3" s="264"/>
      <c r="K3" s="264"/>
      <c r="L3" s="190">
        <v>1</v>
      </c>
      <c r="M3" s="190">
        <v>30</v>
      </c>
      <c r="N3" s="190">
        <v>4.5</v>
      </c>
      <c r="O3" s="190">
        <v>1</v>
      </c>
      <c r="P3" s="190">
        <v>4.2</v>
      </c>
      <c r="Q3" s="190">
        <v>54</v>
      </c>
      <c r="R3" s="190"/>
      <c r="S3" s="190">
        <v>2</v>
      </c>
      <c r="T3" s="190">
        <v>2</v>
      </c>
      <c r="U3" s="190">
        <v>2</v>
      </c>
      <c r="V3" s="190"/>
      <c r="W3" s="264"/>
      <c r="X3" s="264"/>
      <c r="Y3" s="264"/>
    </row>
    <row r="4" spans="2:25 4305:4305" ht="15.75" customHeight="1" x14ac:dyDescent="0.4">
      <c r="B4" s="242"/>
      <c r="C4" s="251" t="s">
        <v>1352</v>
      </c>
      <c r="D4" s="251" t="s">
        <v>1353</v>
      </c>
      <c r="E4" s="251" t="s">
        <v>879</v>
      </c>
      <c r="F4" s="251" t="s">
        <v>413</v>
      </c>
      <c r="G4" s="251" t="s">
        <v>191</v>
      </c>
      <c r="H4" s="77"/>
      <c r="J4" s="265"/>
      <c r="K4" s="265"/>
      <c r="L4" s="190">
        <v>2</v>
      </c>
      <c r="M4" s="190">
        <v>25</v>
      </c>
      <c r="N4" s="190">
        <v>4.5</v>
      </c>
      <c r="O4" s="190">
        <v>2</v>
      </c>
      <c r="P4" s="190">
        <v>5</v>
      </c>
      <c r="Q4" s="190">
        <v>57</v>
      </c>
      <c r="R4" s="190"/>
      <c r="S4" s="190">
        <v>3</v>
      </c>
      <c r="T4" s="190">
        <v>3</v>
      </c>
      <c r="U4" s="190">
        <v>3</v>
      </c>
      <c r="V4" s="190"/>
      <c r="W4" s="264"/>
      <c r="X4" s="264"/>
      <c r="Y4" s="264"/>
    </row>
    <row r="5" spans="2:25 4305:4305" ht="15" customHeight="1" x14ac:dyDescent="0.4">
      <c r="B5" s="242"/>
      <c r="C5" s="251">
        <f ca="1">TRUNC((AfspraakDatum-GebDatum)/365,0)</f>
        <v>3</v>
      </c>
      <c r="D5" s="251">
        <f ca="1">TRUNC(((AfspraakDatum-GebDatum)-365*TRUNC((AfspraakDatum-GebDatum)/365,0))/30,0)</f>
        <v>6</v>
      </c>
      <c r="E5" s="251">
        <f>Gewicht/10</f>
        <v>10</v>
      </c>
      <c r="F5" s="251">
        <f>Lengte</f>
        <v>80</v>
      </c>
      <c r="G5" s="251">
        <f>ROUND(POWER(E5,0.425)*POWER(((F5/100)*100),0.725)*0.007184,2)</f>
        <v>0.46</v>
      </c>
      <c r="H5" s="77"/>
      <c r="J5" s="265"/>
      <c r="K5" s="265"/>
      <c r="L5" s="190">
        <v>3</v>
      </c>
      <c r="M5" s="190">
        <v>25</v>
      </c>
      <c r="N5" s="190">
        <v>5</v>
      </c>
      <c r="O5" s="190">
        <v>3</v>
      </c>
      <c r="P5" s="190">
        <v>5.7</v>
      </c>
      <c r="Q5" s="190">
        <v>60</v>
      </c>
      <c r="R5" s="190"/>
      <c r="S5" s="190">
        <v>4</v>
      </c>
      <c r="T5" s="190">
        <v>3</v>
      </c>
      <c r="U5" s="190"/>
      <c r="V5" s="190"/>
      <c r="W5" s="264"/>
      <c r="X5" s="264"/>
      <c r="Y5" s="264"/>
    </row>
    <row r="6" spans="2:25 4305:4305" ht="15" customHeight="1" thickBot="1" x14ac:dyDescent="0.45">
      <c r="B6" s="29"/>
      <c r="C6" s="254"/>
      <c r="D6" s="254"/>
      <c r="E6" s="254"/>
      <c r="F6" s="254"/>
      <c r="G6" s="254"/>
      <c r="H6" s="77"/>
      <c r="J6" s="265"/>
      <c r="K6" s="265"/>
      <c r="L6" s="190">
        <v>4</v>
      </c>
      <c r="M6" s="190">
        <v>25</v>
      </c>
      <c r="N6" s="190">
        <v>5</v>
      </c>
      <c r="O6" s="190">
        <v>4</v>
      </c>
      <c r="P6" s="190">
        <v>6.5</v>
      </c>
      <c r="Q6" s="190">
        <v>63</v>
      </c>
      <c r="R6" s="190"/>
      <c r="S6" s="190">
        <v>5</v>
      </c>
      <c r="T6" s="190">
        <v>5</v>
      </c>
      <c r="U6" s="190">
        <v>5</v>
      </c>
      <c r="V6" s="190"/>
      <c r="W6" s="264"/>
      <c r="X6" s="264"/>
      <c r="Y6" s="264"/>
    </row>
    <row r="7" spans="2:25 4305:4305" ht="20.100000000000001" customHeight="1" x14ac:dyDescent="0.4">
      <c r="B7" s="242" t="s">
        <v>973</v>
      </c>
      <c r="C7" s="257" t="s">
        <v>192</v>
      </c>
      <c r="D7" s="258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9"/>
      <c r="F7" s="259"/>
      <c r="G7" s="341"/>
      <c r="H7" s="77"/>
      <c r="I7" s="77"/>
      <c r="J7" s="264"/>
      <c r="K7" s="264"/>
      <c r="L7" s="190">
        <v>5</v>
      </c>
      <c r="M7" s="190">
        <v>25</v>
      </c>
      <c r="N7" s="190">
        <v>5.5</v>
      </c>
      <c r="O7" s="190">
        <v>5</v>
      </c>
      <c r="P7" s="190">
        <v>7</v>
      </c>
      <c r="Q7" s="190">
        <v>65</v>
      </c>
      <c r="R7" s="190"/>
      <c r="S7" s="190">
        <v>6</v>
      </c>
      <c r="T7" s="190">
        <v>5</v>
      </c>
      <c r="U7" s="190"/>
      <c r="V7" s="190"/>
      <c r="W7" s="264"/>
      <c r="X7" s="264"/>
      <c r="Y7" s="264"/>
    </row>
    <row r="8" spans="2:25 4305:4305" ht="20.100000000000001" customHeight="1" x14ac:dyDescent="0.4">
      <c r="B8" s="242"/>
      <c r="C8" s="241" t="s">
        <v>193</v>
      </c>
      <c r="D8" s="78" t="str">
        <f>IF(ROUND((E5)*4,0)&gt;150,150,VLOOKUP(ROUND(E5*4,0),S2:T362,2))&amp;" Joules Asynchroon"</f>
        <v>50 Joules Asynchroon</v>
      </c>
      <c r="E8" s="77"/>
      <c r="F8" s="77"/>
      <c r="G8" s="342" t="s">
        <v>18</v>
      </c>
      <c r="H8" s="77"/>
      <c r="I8" s="77"/>
      <c r="J8" s="264"/>
      <c r="K8" s="264"/>
      <c r="L8" s="190">
        <v>6</v>
      </c>
      <c r="M8" s="190">
        <v>20</v>
      </c>
      <c r="N8" s="190">
        <v>5.5</v>
      </c>
      <c r="O8" s="190">
        <v>6</v>
      </c>
      <c r="P8" s="190">
        <v>7.7</v>
      </c>
      <c r="Q8" s="190">
        <v>67</v>
      </c>
      <c r="R8" s="190"/>
      <c r="S8" s="190">
        <v>7</v>
      </c>
      <c r="T8" s="190">
        <v>7</v>
      </c>
      <c r="U8" s="190">
        <v>7</v>
      </c>
      <c r="V8" s="190"/>
      <c r="W8" s="264"/>
      <c r="X8" s="264"/>
      <c r="Y8" s="264"/>
    </row>
    <row r="9" spans="2:25 4305:4305" ht="20.100000000000001" customHeight="1" x14ac:dyDescent="0.4">
      <c r="B9" s="242"/>
      <c r="C9" s="241" t="s">
        <v>392</v>
      </c>
      <c r="D9" s="78" t="str">
        <f ca="1">IF(OR(ROUND(0.01*(E5),2)&gt;1,C5&gt;=18),"1 mg iv",ROUND(0.01*(E5),2)&amp;" mg iv")</f>
        <v>0,1 mg iv</v>
      </c>
      <c r="E9" s="77" t="str">
        <f>"= "&amp;IF(ROUND(0.01*(E5),2)&gt;1,"1 ml van 1mg = 10 ml (1:10.000)",ROUND(0.1*(E5),1)&amp;" ml van 1mg = 10 ml (1:10.000)")</f>
        <v>= 1 ml van 1mg = 10 ml (1:10.000)</v>
      </c>
      <c r="F9" s="77"/>
      <c r="G9" s="342" t="s">
        <v>19</v>
      </c>
      <c r="H9" s="77"/>
      <c r="I9" s="77"/>
      <c r="J9" s="264"/>
      <c r="K9" s="264"/>
      <c r="L9" s="190">
        <v>7</v>
      </c>
      <c r="M9" s="190">
        <v>20</v>
      </c>
      <c r="N9" s="190">
        <v>6</v>
      </c>
      <c r="O9" s="190">
        <v>7</v>
      </c>
      <c r="P9" s="190">
        <v>8.1999999999999993</v>
      </c>
      <c r="Q9" s="190">
        <v>69</v>
      </c>
      <c r="R9" s="190"/>
      <c r="S9" s="190">
        <v>8</v>
      </c>
      <c r="T9" s="190">
        <v>7</v>
      </c>
      <c r="U9" s="190"/>
      <c r="V9" s="190"/>
      <c r="W9" s="264"/>
      <c r="X9" s="264"/>
      <c r="Y9" s="264"/>
    </row>
    <row r="10" spans="2:25 4305:4305" ht="20.100000000000001" customHeight="1" x14ac:dyDescent="0.4">
      <c r="B10" s="242"/>
      <c r="C10" s="241" t="s">
        <v>194</v>
      </c>
      <c r="D10" s="78" t="str">
        <f>ROUND(IF(E5&gt;50,50,0.5*E5),0)&amp;" ml iv"</f>
        <v>5 ml iv</v>
      </c>
      <c r="E10" s="77"/>
      <c r="F10" s="77"/>
      <c r="G10" s="342" t="s">
        <v>20</v>
      </c>
      <c r="H10" s="77"/>
      <c r="I10" s="77"/>
      <c r="J10" s="264"/>
      <c r="K10" s="264"/>
      <c r="L10" s="190">
        <v>8</v>
      </c>
      <c r="M10" s="190">
        <v>20</v>
      </c>
      <c r="N10" s="190">
        <v>6</v>
      </c>
      <c r="O10" s="190">
        <v>8</v>
      </c>
      <c r="P10" s="190">
        <v>8.5</v>
      </c>
      <c r="Q10" s="190">
        <v>70</v>
      </c>
      <c r="R10" s="190"/>
      <c r="S10" s="190">
        <v>9</v>
      </c>
      <c r="T10" s="190">
        <v>7</v>
      </c>
      <c r="U10" s="190"/>
      <c r="V10" s="190"/>
      <c r="W10" s="264"/>
      <c r="X10" s="264"/>
      <c r="Y10" s="264"/>
    </row>
    <row r="11" spans="2:25 4305:4305" ht="20.100000000000001" customHeight="1" x14ac:dyDescent="0.4">
      <c r="B11" s="242"/>
      <c r="C11" s="241" t="s">
        <v>604</v>
      </c>
      <c r="D11" s="78" t="str">
        <f>IF(0.2*E5&lt;=25,0.2*E5&amp;" gram iv","25 gram iv")</f>
        <v>2 gram iv</v>
      </c>
      <c r="E11" s="77" t="str">
        <f>"="&amp;" "&amp;IF(2*E5&lt;=250,ROUND(2*E5,0)&amp;" ml glucose 10%","250 ml glucose 10%")</f>
        <v>= 20 ml glucose 10%</v>
      </c>
      <c r="F11" s="77"/>
      <c r="G11" s="342" t="s">
        <v>21</v>
      </c>
      <c r="H11" s="77"/>
      <c r="I11" s="77"/>
      <c r="J11" s="264"/>
      <c r="K11" s="264"/>
      <c r="L11" s="190">
        <v>9</v>
      </c>
      <c r="M11" s="190">
        <v>20</v>
      </c>
      <c r="N11" s="190">
        <v>6.5</v>
      </c>
      <c r="O11" s="190">
        <v>9</v>
      </c>
      <c r="P11" s="190">
        <v>9</v>
      </c>
      <c r="Q11" s="190">
        <v>72</v>
      </c>
      <c r="R11" s="190"/>
      <c r="S11" s="190">
        <v>10</v>
      </c>
      <c r="T11" s="190">
        <v>10</v>
      </c>
      <c r="U11" s="190">
        <v>10</v>
      </c>
      <c r="V11" s="190"/>
      <c r="W11" s="264"/>
      <c r="X11" s="264"/>
      <c r="Y11" s="264"/>
    </row>
    <row r="12" spans="2:25 4305:4305" ht="20.100000000000001" customHeight="1" thickBot="1" x14ac:dyDescent="0.45">
      <c r="B12" s="242"/>
      <c r="C12" s="260" t="s">
        <v>195</v>
      </c>
      <c r="D12" s="261" t="str">
        <f>IF(ROUND(20*E5/10,0)*10&gt;500,500,ROUND(20*E5/10,0)*10)&amp;" ml fysiologisch zout iv per bolus"</f>
        <v>200 ml fysiologisch zout iv per bolus</v>
      </c>
      <c r="E12" s="262"/>
      <c r="F12" s="262"/>
      <c r="G12" s="343" t="s">
        <v>22</v>
      </c>
      <c r="H12" s="77"/>
      <c r="I12" s="77"/>
      <c r="J12" s="264"/>
      <c r="K12" s="264"/>
      <c r="L12" s="190">
        <v>10</v>
      </c>
      <c r="M12" s="190">
        <v>20</v>
      </c>
      <c r="N12" s="190">
        <v>6.5</v>
      </c>
      <c r="O12" s="190">
        <v>10</v>
      </c>
      <c r="P12" s="190">
        <v>9.3000000000000007</v>
      </c>
      <c r="Q12" s="190">
        <v>73</v>
      </c>
      <c r="R12" s="190"/>
      <c r="S12" s="190">
        <v>11</v>
      </c>
      <c r="T12" s="190">
        <v>10</v>
      </c>
      <c r="U12" s="190"/>
      <c r="V12" s="190"/>
      <c r="W12" s="264"/>
      <c r="X12" s="264"/>
      <c r="Y12" s="264"/>
    </row>
    <row r="13" spans="2:25 4305:4305" ht="20.100000000000001" customHeight="1" thickBot="1" x14ac:dyDescent="0.45">
      <c r="B13" s="29"/>
      <c r="C13" s="77"/>
      <c r="D13" s="78"/>
      <c r="E13" s="77"/>
      <c r="F13" s="77"/>
      <c r="G13" s="342"/>
      <c r="H13" s="77"/>
      <c r="I13" s="77"/>
      <c r="J13" s="264"/>
      <c r="K13" s="264"/>
      <c r="L13" s="190">
        <v>11</v>
      </c>
      <c r="M13" s="190">
        <v>20</v>
      </c>
      <c r="N13" s="190">
        <v>7</v>
      </c>
      <c r="O13" s="190">
        <v>11</v>
      </c>
      <c r="P13" s="190">
        <v>9.5</v>
      </c>
      <c r="Q13" s="190">
        <v>74</v>
      </c>
      <c r="R13" s="190"/>
      <c r="S13" s="190">
        <v>12</v>
      </c>
      <c r="T13" s="190">
        <v>10</v>
      </c>
      <c r="U13" s="190"/>
      <c r="V13" s="190"/>
      <c r="W13" s="264"/>
      <c r="X13" s="264"/>
      <c r="Y13" s="264"/>
    </row>
    <row r="14" spans="2:25 4305:4305" ht="20.100000000000001" customHeight="1" x14ac:dyDescent="0.4">
      <c r="B14" s="242" t="s">
        <v>1184</v>
      </c>
      <c r="C14" s="257" t="s">
        <v>995</v>
      </c>
      <c r="D14" s="258" t="str">
        <f>IF(0.5*E5&gt;20,"20 mg iv",0.5*E5&amp;" mg iv")</f>
        <v>5 mg iv</v>
      </c>
      <c r="E14" s="259" t="str">
        <f>"= "&amp;IF(0.5*E5&gt;20,"10 ml van een 2 mg/ml oplossing",ROUND(0.5*E5*0.5,1)&amp;" ml van een 2 mg/ml oplossing")</f>
        <v>= 2,5 ml van een 2 mg/ml oplossing</v>
      </c>
      <c r="F14" s="259"/>
      <c r="G14" s="341" t="s">
        <v>23</v>
      </c>
      <c r="H14" s="77"/>
      <c r="I14" s="77"/>
      <c r="J14" s="264"/>
      <c r="K14" s="264"/>
      <c r="L14" s="190">
        <v>12</v>
      </c>
      <c r="M14" s="190">
        <v>15</v>
      </c>
      <c r="N14" s="190">
        <v>7</v>
      </c>
      <c r="O14" s="190">
        <v>12</v>
      </c>
      <c r="P14" s="190">
        <v>10</v>
      </c>
      <c r="Q14" s="190">
        <v>76</v>
      </c>
      <c r="R14" s="190"/>
      <c r="S14" s="190">
        <v>13</v>
      </c>
      <c r="T14" s="190">
        <v>10</v>
      </c>
      <c r="U14" s="190"/>
      <c r="V14" s="190"/>
      <c r="W14" s="264"/>
      <c r="X14" s="264"/>
      <c r="Y14" s="264"/>
    </row>
    <row r="15" spans="2:25 4305:4305" ht="20.100000000000001" customHeight="1" x14ac:dyDescent="0.4">
      <c r="B15" s="242"/>
      <c r="C15" s="241" t="s">
        <v>876</v>
      </c>
      <c r="D15" s="78" t="str">
        <f>IF(ROUND(1*(E5),1)&gt;100,"100 mg iv",ROUND(1*(E5),1)&amp;" mg iv")</f>
        <v>10 mg iv</v>
      </c>
      <c r="E15" s="77" t="str">
        <f>"= "&amp;IF(ROUND(1*(E5),1)&gt;100,"10 ml"&amp;" van een 1mg/ml oplossing",ROUND(0.1*(E5),1)&amp;" ml"&amp;" van een 10 mg/ml oplossing")</f>
        <v>= 1 ml van een 10 mg/ml oplossing</v>
      </c>
      <c r="F15" s="77"/>
      <c r="G15" s="342" t="s">
        <v>24</v>
      </c>
      <c r="H15" s="77"/>
      <c r="I15" s="77"/>
      <c r="J15" s="264"/>
      <c r="K15" s="264"/>
      <c r="L15" s="190">
        <v>13</v>
      </c>
      <c r="M15" s="190">
        <v>15</v>
      </c>
      <c r="N15" s="190">
        <v>7</v>
      </c>
      <c r="O15" s="190"/>
      <c r="P15" s="190"/>
      <c r="Q15" s="190"/>
      <c r="R15" s="190"/>
      <c r="S15" s="190">
        <v>14</v>
      </c>
      <c r="T15" s="190">
        <v>10</v>
      </c>
      <c r="U15" s="190"/>
      <c r="V15" s="190"/>
      <c r="W15" s="264"/>
      <c r="X15" s="264"/>
      <c r="Y15" s="264"/>
    </row>
    <row r="16" spans="2:25 4305:4305" ht="20.100000000000001" customHeight="1" x14ac:dyDescent="0.4">
      <c r="B16" s="242"/>
      <c r="C16" s="241" t="s">
        <v>996</v>
      </c>
      <c r="D16" s="78" t="str">
        <f>IF(ROUND(0.02*(E5),1)&lt;0.1,"0,1 mg iv",IF(ROUND(0.02*(E5),1)&gt;0.5,"0,5 mg iv",ROUND(0.02*(E5),1)&amp;" mg iv"))</f>
        <v>0,2 mg iv</v>
      </c>
      <c r="E16" s="355" t="str">
        <f>"= "&amp;IF(ROUND(0.02*(E5),1)&lt;0.1,0.1,IF(ROUND(0.02*(E5),1)&gt;0.5,0.5,ROUND(0.02*(E5),1)))*2&amp;" ml van 0,5 mg/ml (min 0,1 mg)"</f>
        <v>= 0,4 ml van 0,5 mg/ml (min 0,1 mg)</v>
      </c>
      <c r="F16" s="355"/>
      <c r="G16" s="342" t="s">
        <v>25</v>
      </c>
      <c r="H16" s="77"/>
      <c r="I16" s="77"/>
      <c r="J16" s="264"/>
      <c r="K16" s="264"/>
      <c r="L16" s="190">
        <v>14</v>
      </c>
      <c r="M16" s="190">
        <v>15</v>
      </c>
      <c r="N16" s="190">
        <v>7</v>
      </c>
      <c r="O16" s="190"/>
      <c r="P16" s="190"/>
      <c r="Q16" s="190"/>
      <c r="R16" s="190"/>
      <c r="S16" s="190">
        <v>15</v>
      </c>
      <c r="T16" s="190">
        <v>10</v>
      </c>
      <c r="U16" s="190"/>
      <c r="V16" s="190"/>
      <c r="W16" s="264"/>
      <c r="X16" s="264"/>
      <c r="Y16" s="264"/>
    </row>
    <row r="17" spans="2:25" ht="20.100000000000001" customHeight="1" thickBot="1" x14ac:dyDescent="0.45">
      <c r="B17" s="242"/>
      <c r="C17" s="260"/>
      <c r="D17" s="261"/>
      <c r="E17" s="356"/>
      <c r="F17" s="356"/>
      <c r="G17" s="343"/>
      <c r="H17" s="77"/>
      <c r="I17" s="77"/>
      <c r="J17" s="264"/>
      <c r="K17" s="264"/>
      <c r="L17" s="190">
        <v>15</v>
      </c>
      <c r="M17" s="190">
        <v>15</v>
      </c>
      <c r="N17" s="190">
        <v>7</v>
      </c>
      <c r="O17" s="190"/>
      <c r="P17" s="190"/>
      <c r="Q17" s="190"/>
      <c r="R17" s="190"/>
      <c r="S17" s="190">
        <v>16</v>
      </c>
      <c r="T17" s="190">
        <v>20</v>
      </c>
      <c r="U17" s="190"/>
      <c r="V17" s="190"/>
      <c r="W17" s="264"/>
      <c r="X17" s="264"/>
      <c r="Y17" s="264"/>
    </row>
    <row r="18" spans="2:25" ht="15.75" customHeight="1" thickBot="1" x14ac:dyDescent="0.45">
      <c r="B18" s="29"/>
      <c r="C18" s="216"/>
      <c r="D18" s="78"/>
      <c r="E18" s="252"/>
      <c r="F18" s="252"/>
      <c r="G18" s="342"/>
      <c r="H18" s="250"/>
      <c r="I18" s="250"/>
      <c r="J18" s="266"/>
      <c r="K18" s="264"/>
      <c r="L18" s="190">
        <v>16</v>
      </c>
      <c r="M18" s="190">
        <v>15</v>
      </c>
      <c r="N18" s="190">
        <v>7</v>
      </c>
      <c r="O18" s="190"/>
      <c r="P18" s="190"/>
      <c r="Q18" s="190"/>
      <c r="R18" s="190"/>
      <c r="S18" s="190">
        <v>17</v>
      </c>
      <c r="T18" s="190">
        <v>20</v>
      </c>
      <c r="U18" s="190"/>
      <c r="V18" s="190"/>
      <c r="W18" s="264"/>
      <c r="X18" s="264"/>
      <c r="Y18" s="264"/>
    </row>
    <row r="19" spans="2:25" ht="20.100000000000001" customHeight="1" x14ac:dyDescent="0.4">
      <c r="B19" s="242" t="s">
        <v>862</v>
      </c>
      <c r="C19" s="257" t="s">
        <v>309</v>
      </c>
      <c r="D19" s="258" t="str">
        <f>IF(0.02*E5&gt;0.3,"0,3 mg iv",0.02*E5&amp;" mg iv")</f>
        <v>0,2 mg iv</v>
      </c>
      <c r="E19" s="259" t="str">
        <f>"= "&amp;IF(0.02*E5&gt;1,"10 ml van anexate 0,1 mg/ml",ROUND((0.02*E5)/0.1,1)&amp;" ml van anexate 0,1 mg/ml")</f>
        <v>= 2 ml van anexate 0,1 mg/ml</v>
      </c>
      <c r="F19" s="259"/>
      <c r="G19" s="341" t="s">
        <v>26</v>
      </c>
      <c r="H19" s="250"/>
      <c r="I19" s="250"/>
      <c r="J19" s="266"/>
      <c r="K19" s="264"/>
      <c r="L19" s="190">
        <v>17</v>
      </c>
      <c r="M19" s="190">
        <v>15</v>
      </c>
      <c r="N19" s="190">
        <v>7</v>
      </c>
      <c r="O19" s="190"/>
      <c r="P19" s="190"/>
      <c r="Q19" s="190"/>
      <c r="R19" s="190"/>
      <c r="S19" s="190">
        <v>18</v>
      </c>
      <c r="T19" s="190">
        <v>20</v>
      </c>
      <c r="U19" s="190"/>
      <c r="V19" s="190"/>
      <c r="W19" s="264"/>
      <c r="X19" s="264"/>
      <c r="Y19" s="264"/>
    </row>
    <row r="20" spans="2:25" ht="20.100000000000001" customHeight="1" x14ac:dyDescent="0.4">
      <c r="B20" s="242"/>
      <c r="C20" s="241" t="s">
        <v>997</v>
      </c>
      <c r="D20" s="78" t="str">
        <f>IF(0.01*E5&gt;0.4,"0,4 mg iv",0.01*E5&amp;" mg iv")</f>
        <v>0,1 mg iv</v>
      </c>
      <c r="E20" s="355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55"/>
      <c r="G20" s="342" t="s">
        <v>27</v>
      </c>
      <c r="H20" s="77"/>
      <c r="I20" s="77"/>
      <c r="J20" s="264"/>
      <c r="K20" s="264"/>
      <c r="L20" s="190">
        <v>18</v>
      </c>
      <c r="M20" s="190">
        <v>15</v>
      </c>
      <c r="N20" s="190">
        <v>7</v>
      </c>
      <c r="O20" s="190"/>
      <c r="P20" s="190"/>
      <c r="Q20" s="190"/>
      <c r="R20" s="190"/>
      <c r="S20" s="190">
        <v>19</v>
      </c>
      <c r="T20" s="190">
        <v>20</v>
      </c>
      <c r="U20" s="190"/>
      <c r="V20" s="190"/>
      <c r="W20" s="264"/>
      <c r="X20" s="264"/>
      <c r="Y20" s="264"/>
    </row>
    <row r="21" spans="2:25" ht="20.100000000000001" customHeight="1" thickBot="1" x14ac:dyDescent="0.45">
      <c r="B21" s="242"/>
      <c r="C21" s="260"/>
      <c r="D21" s="261"/>
      <c r="E21" s="356"/>
      <c r="F21" s="356"/>
      <c r="G21" s="343"/>
      <c r="H21" s="77"/>
      <c r="I21" s="77"/>
      <c r="J21" s="264"/>
      <c r="K21" s="264"/>
      <c r="L21" s="190"/>
      <c r="M21" s="190"/>
      <c r="N21" s="190"/>
      <c r="O21" s="190"/>
      <c r="P21" s="190"/>
      <c r="Q21" s="190"/>
      <c r="R21" s="190"/>
      <c r="S21" s="190">
        <v>20</v>
      </c>
      <c r="T21" s="190">
        <v>20</v>
      </c>
      <c r="U21" s="190">
        <v>20</v>
      </c>
      <c r="V21" s="190"/>
      <c r="W21" s="264"/>
      <c r="X21" s="264"/>
      <c r="Y21" s="264"/>
    </row>
    <row r="22" spans="2:25" ht="20.100000000000001" customHeight="1" thickBot="1" x14ac:dyDescent="0.45">
      <c r="B22" s="29"/>
      <c r="C22" s="216"/>
      <c r="D22" s="78"/>
      <c r="E22" s="252"/>
      <c r="F22" s="252"/>
      <c r="G22" s="342"/>
      <c r="H22" s="77"/>
      <c r="I22" s="77"/>
      <c r="J22" s="264"/>
      <c r="K22" s="264"/>
      <c r="L22" s="190"/>
      <c r="M22" s="190"/>
      <c r="N22" s="190"/>
      <c r="O22" s="190"/>
      <c r="P22" s="190"/>
      <c r="Q22" s="190"/>
      <c r="R22" s="190"/>
      <c r="S22" s="190">
        <v>21</v>
      </c>
      <c r="T22" s="190">
        <v>30</v>
      </c>
      <c r="U22" s="190"/>
      <c r="V22" s="190"/>
      <c r="W22" s="264"/>
      <c r="X22" s="264"/>
      <c r="Y22" s="264"/>
    </row>
    <row r="23" spans="2:25" ht="20.100000000000001" customHeight="1" x14ac:dyDescent="0.4">
      <c r="B23" s="242" t="s">
        <v>863</v>
      </c>
      <c r="C23" s="257" t="str">
        <f ca="1">IF(C5=0,"alprostadil (Prostin)","")</f>
        <v/>
      </c>
      <c r="D23" s="258" t="str">
        <f ca="1">IF(C5=0,"0,5 mg in 50 ml FZ","")</f>
        <v/>
      </c>
      <c r="E23" s="259" t="str">
        <f ca="1">IF(C5=0,"1 ml/uur = "&amp;ROUND(1000*(0.5/50)*24/(E5)/1.44,0)&amp;" nanog/kg/min iv","")</f>
        <v/>
      </c>
      <c r="F23" s="259"/>
      <c r="G23" s="341" t="s">
        <v>979</v>
      </c>
      <c r="H23" s="77"/>
      <c r="I23" s="77"/>
      <c r="J23" s="264"/>
      <c r="K23" s="264"/>
      <c r="L23" s="190"/>
      <c r="M23" s="190"/>
      <c r="N23" s="190"/>
      <c r="O23" s="190"/>
      <c r="P23" s="190"/>
      <c r="Q23" s="190"/>
      <c r="R23" s="190"/>
      <c r="S23" s="190">
        <v>22</v>
      </c>
      <c r="T23" s="190">
        <v>30</v>
      </c>
      <c r="U23" s="190"/>
      <c r="V23" s="190"/>
      <c r="W23" s="264"/>
      <c r="X23" s="264"/>
      <c r="Y23" s="264"/>
    </row>
    <row r="24" spans="2:25" ht="20.100000000000001" customHeight="1" x14ac:dyDescent="0.4">
      <c r="B24" s="242"/>
      <c r="C24" s="241" t="s">
        <v>350</v>
      </c>
      <c r="D24" s="78" t="str">
        <f>IF(E5&gt;5,"200 mg in 50 ml FZ",ROUND(((E5)*24*60*(10/1000)/(24/50))/50,0)*50&amp;" mg in 50 ml FZ")</f>
        <v>200 mg in 50 ml FZ</v>
      </c>
      <c r="E24" s="77" t="str">
        <f>"1 ml/uur = "&amp;IF(E5&gt;5,ROUND((200/50/E5/60)*1000,1),ROUND(24*ROUND(((E5)*24*60*(10/1000)/(24/50))/50,0)*50/50/1.44/E5,1))&amp;" mcg/kg/min"</f>
        <v>1 ml/uur = 6,7 mcg/kg/min</v>
      </c>
      <c r="F24" s="77"/>
      <c r="G24" s="342" t="s">
        <v>1033</v>
      </c>
      <c r="H24" s="77"/>
      <c r="I24" s="77"/>
      <c r="J24" s="264"/>
      <c r="K24" s="264"/>
      <c r="L24" s="190"/>
      <c r="M24" s="190"/>
      <c r="N24" s="190"/>
      <c r="O24" s="190"/>
      <c r="P24" s="190"/>
      <c r="Q24" s="190"/>
      <c r="R24" s="190"/>
      <c r="S24" s="190">
        <v>23</v>
      </c>
      <c r="T24" s="190">
        <v>30</v>
      </c>
      <c r="U24" s="190"/>
      <c r="V24" s="190"/>
      <c r="W24" s="264"/>
      <c r="X24" s="264"/>
      <c r="Y24" s="264"/>
    </row>
    <row r="25" spans="2:25" ht="20.100000000000001" customHeight="1" thickBot="1" x14ac:dyDescent="0.45">
      <c r="B25" s="242"/>
      <c r="C25" s="260" t="s">
        <v>351</v>
      </c>
      <c r="D25" s="261" t="str">
        <f>IF(Gewicht/15&gt;5,"10 mg in 50 ml FZ",ROUND((E5)*24*60*(0.1/1000)/(24/50)/5,1)*5&amp;" mg in 50 ml FZ")</f>
        <v>10 mg in 50 ml FZ</v>
      </c>
      <c r="E25" s="262" t="str">
        <f>"1 ml/uur = "&amp;IF(E5&gt;5,ROUND((10/50/E5/60)*1000,2),ROUND(24*ROUND((E5)*24*60*(0.1/1000)/(24/50)/5,1)*5/50/1.44/E5,2))&amp;" mcg/kg/min"</f>
        <v>1 ml/uur = 0,33 mcg/kg/min</v>
      </c>
      <c r="F25" s="262"/>
      <c r="G25" s="343" t="s">
        <v>1264</v>
      </c>
      <c r="H25" s="77"/>
      <c r="I25" s="77"/>
      <c r="J25" s="264"/>
      <c r="K25" s="264"/>
      <c r="L25" s="190"/>
      <c r="M25" s="190"/>
      <c r="N25" s="190"/>
      <c r="O25" s="190"/>
      <c r="P25" s="190"/>
      <c r="Q25" s="190"/>
      <c r="R25" s="190"/>
      <c r="S25" s="190">
        <v>24</v>
      </c>
      <c r="T25" s="190">
        <v>30</v>
      </c>
      <c r="U25" s="190"/>
      <c r="V25" s="190"/>
      <c r="W25" s="264"/>
      <c r="X25" s="264"/>
      <c r="Y25" s="264"/>
    </row>
    <row r="26" spans="2:25" ht="20.100000000000001" customHeight="1" thickBot="1" x14ac:dyDescent="0.45">
      <c r="B26" s="29"/>
      <c r="C26" s="77"/>
      <c r="D26" s="78"/>
      <c r="E26" s="77"/>
      <c r="F26" s="77"/>
      <c r="G26" s="342"/>
      <c r="H26" s="77"/>
      <c r="I26" s="77"/>
      <c r="J26" s="264"/>
      <c r="K26" s="264"/>
      <c r="L26" s="190"/>
      <c r="M26" s="190"/>
      <c r="N26" s="190"/>
      <c r="O26" s="190"/>
      <c r="P26" s="190"/>
      <c r="Q26" s="190"/>
      <c r="R26" s="190"/>
      <c r="S26" s="190">
        <v>25</v>
      </c>
      <c r="T26" s="190">
        <v>30</v>
      </c>
      <c r="U26" s="190"/>
      <c r="V26" s="190"/>
      <c r="W26" s="264"/>
      <c r="X26" s="264"/>
      <c r="Y26" s="264"/>
    </row>
    <row r="27" spans="2:25" ht="20.100000000000001" customHeight="1" x14ac:dyDescent="0.4">
      <c r="B27" s="353" t="s">
        <v>864</v>
      </c>
      <c r="C27" s="257" t="s">
        <v>1381</v>
      </c>
      <c r="D27" s="258" t="str">
        <f>IF(ROUND(E5/2,0)*2&gt;50,"300 mg iv",ROUND(E5*5,0)&amp;" mg iv")</f>
        <v>50 mg iv</v>
      </c>
      <c r="E27" s="259" t="str">
        <f>IF(ROUND(E5/2,0)*2&gt;50,"6 ml van amiodarone 50 mg/ml iv",ROUND(E5*0.1,1)&amp;" ml van amiodarone 50 mg/ml iv")</f>
        <v>1 ml van amiodarone 50 mg/ml iv</v>
      </c>
      <c r="F27" s="259"/>
      <c r="G27" s="341" t="s">
        <v>28</v>
      </c>
      <c r="H27" s="77"/>
      <c r="I27" s="77"/>
      <c r="J27" s="264"/>
      <c r="K27" s="264"/>
      <c r="L27" s="190"/>
      <c r="M27" s="190"/>
      <c r="N27" s="190"/>
      <c r="O27" s="190"/>
      <c r="P27" s="190"/>
      <c r="Q27" s="190"/>
      <c r="R27" s="190"/>
      <c r="S27" s="190">
        <v>26</v>
      </c>
      <c r="T27" s="190">
        <v>30</v>
      </c>
      <c r="U27" s="190"/>
      <c r="V27" s="190"/>
      <c r="W27" s="264"/>
      <c r="X27" s="264"/>
      <c r="Y27" s="264"/>
    </row>
    <row r="28" spans="2:25" ht="20.100000000000001" customHeight="1" thickBot="1" x14ac:dyDescent="0.45">
      <c r="B28" s="354"/>
      <c r="C28" s="260" t="s">
        <v>972</v>
      </c>
      <c r="D28" s="261" t="str">
        <f>IF(E5/10&gt;10,"10 ml iv",E5/10 &amp;" ml iv")</f>
        <v>1 ml iv</v>
      </c>
      <c r="E28" s="262" t="s">
        <v>689</v>
      </c>
      <c r="F28" s="262"/>
      <c r="G28" s="343" t="s">
        <v>29</v>
      </c>
      <c r="H28" s="77"/>
      <c r="I28" s="77"/>
      <c r="J28" s="264"/>
      <c r="K28" s="264"/>
      <c r="L28" s="190"/>
      <c r="M28" s="190"/>
      <c r="N28" s="190"/>
      <c r="O28" s="190"/>
      <c r="P28" s="190"/>
      <c r="Q28" s="190"/>
      <c r="R28" s="190"/>
      <c r="S28" s="190">
        <v>27</v>
      </c>
      <c r="T28" s="190">
        <v>30</v>
      </c>
      <c r="U28" s="190"/>
      <c r="V28" s="190"/>
      <c r="W28" s="264"/>
      <c r="X28" s="264"/>
      <c r="Y28" s="264"/>
    </row>
    <row r="29" spans="2:25" ht="20.100000000000001" customHeight="1" thickBot="1" x14ac:dyDescent="0.45">
      <c r="B29" s="29"/>
      <c r="C29" s="77"/>
      <c r="D29" s="78"/>
      <c r="E29" s="77"/>
      <c r="F29" s="77"/>
      <c r="G29" s="342"/>
      <c r="H29" s="77"/>
      <c r="I29" s="77"/>
      <c r="J29" s="264"/>
      <c r="K29" s="264"/>
      <c r="L29" s="190"/>
      <c r="M29" s="190"/>
      <c r="N29" s="190"/>
      <c r="O29" s="190"/>
      <c r="P29" s="190"/>
      <c r="Q29" s="190"/>
      <c r="R29" s="190"/>
      <c r="S29" s="190">
        <v>28</v>
      </c>
      <c r="T29" s="190">
        <v>30</v>
      </c>
      <c r="U29" s="190"/>
      <c r="V29" s="190"/>
      <c r="W29" s="264"/>
      <c r="X29" s="264"/>
      <c r="Y29" s="264"/>
    </row>
    <row r="30" spans="2:25" ht="20.100000000000001" customHeight="1" x14ac:dyDescent="0.4">
      <c r="B30" s="352" t="s">
        <v>302</v>
      </c>
      <c r="C30" s="257" t="s">
        <v>352</v>
      </c>
      <c r="D30" s="258" t="str">
        <f>IF((0.5*E5)&gt;10,"10 mg rect",(0.5*E5)&amp;" mg rect")</f>
        <v>5 mg rect</v>
      </c>
      <c r="E30" s="259" t="str">
        <f>"= "&amp;IF((0.5*E5)&gt;10,"5 ml van diazepam 2 mg/ml",ROUND((0.5*E5)/2,1)&amp;" ml van diazepam 2 mg/ml")</f>
        <v>= 2,5 ml van diazepam 2 mg/ml</v>
      </c>
      <c r="F30" s="259"/>
      <c r="G30" s="341" t="s">
        <v>30</v>
      </c>
      <c r="H30" s="77"/>
      <c r="I30" s="77"/>
      <c r="J30" s="264"/>
      <c r="K30" s="264"/>
      <c r="L30" s="190"/>
      <c r="M30" s="190"/>
      <c r="N30" s="190"/>
      <c r="O30" s="190"/>
      <c r="P30" s="190"/>
      <c r="Q30" s="190"/>
      <c r="R30" s="190"/>
      <c r="S30" s="190">
        <v>29</v>
      </c>
      <c r="T30" s="190">
        <v>30</v>
      </c>
      <c r="U30" s="190"/>
      <c r="V30" s="190"/>
      <c r="W30" s="264"/>
      <c r="X30" s="264"/>
      <c r="Y30" s="264"/>
    </row>
    <row r="31" spans="2:25" ht="20.100000000000001" customHeight="1" x14ac:dyDescent="0.4">
      <c r="B31" s="352"/>
      <c r="C31" s="241" t="s">
        <v>872</v>
      </c>
      <c r="D31" s="78" t="str">
        <f>IF((20*E5)&gt;1500,"1500 mg iv",20*E5&amp;" mg iv")</f>
        <v>200 mg iv</v>
      </c>
      <c r="E31" s="355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5"/>
      <c r="G31" s="344" t="s">
        <v>115</v>
      </c>
      <c r="H31" s="77"/>
      <c r="I31" s="77"/>
      <c r="J31" s="264"/>
      <c r="L31" s="190"/>
      <c r="M31" s="190"/>
      <c r="N31" s="190"/>
      <c r="O31" s="190"/>
      <c r="P31" s="190"/>
      <c r="Q31" s="190"/>
      <c r="R31" s="190"/>
      <c r="S31" s="190">
        <v>30</v>
      </c>
      <c r="T31" s="190">
        <v>30</v>
      </c>
      <c r="U31" s="190">
        <v>30</v>
      </c>
      <c r="V31" s="190"/>
      <c r="W31" s="264"/>
      <c r="X31" s="264"/>
      <c r="Y31" s="264"/>
    </row>
    <row r="32" spans="2:25" ht="20.100000000000001" customHeight="1" x14ac:dyDescent="0.4">
      <c r="B32" s="242"/>
      <c r="C32" s="241"/>
      <c r="D32" s="78"/>
      <c r="E32" s="355"/>
      <c r="F32" s="355"/>
      <c r="G32" s="342"/>
      <c r="H32" s="77"/>
      <c r="I32" s="77"/>
      <c r="L32" s="190"/>
      <c r="M32" s="190"/>
      <c r="N32" s="190"/>
      <c r="O32" s="190"/>
      <c r="P32" s="190"/>
      <c r="Q32" s="190"/>
      <c r="R32" s="190"/>
      <c r="S32" s="190">
        <v>31</v>
      </c>
      <c r="T32" s="190">
        <v>50</v>
      </c>
      <c r="U32" s="190"/>
      <c r="V32" s="190"/>
      <c r="W32" s="264"/>
      <c r="X32" s="264"/>
      <c r="Y32" s="264"/>
    </row>
    <row r="33" spans="2:25" ht="12.75" customHeight="1" thickBot="1" x14ac:dyDescent="0.45">
      <c r="B33" s="242"/>
      <c r="C33" s="260" t="s">
        <v>1098</v>
      </c>
      <c r="D33" s="261" t="str">
        <f>IF((0.1*E5)&gt;10,"10 mg iv",0.1*E5&amp;" mg iv")</f>
        <v>1 mg iv</v>
      </c>
      <c r="E33" s="262" t="str">
        <f>"= "&amp;IF((0.1*E5)&gt;15,10,ROUND((0.1*E5),1))&amp;" ml van dormicum 1 mg/ml iv"</f>
        <v>= 1 ml van dormicum 1 mg/ml iv</v>
      </c>
      <c r="F33" s="262"/>
      <c r="G33" s="345" t="s">
        <v>31</v>
      </c>
      <c r="H33" s="77"/>
      <c r="I33" s="77"/>
      <c r="L33" s="190"/>
      <c r="M33" s="190"/>
      <c r="N33" s="190"/>
      <c r="O33" s="190"/>
      <c r="P33" s="190"/>
      <c r="Q33" s="190"/>
      <c r="R33" s="190"/>
      <c r="S33" s="190">
        <v>32</v>
      </c>
      <c r="T33" s="190">
        <v>50</v>
      </c>
      <c r="U33" s="190"/>
      <c r="V33" s="190"/>
      <c r="W33" s="264"/>
      <c r="X33" s="264"/>
      <c r="Y33" s="264"/>
    </row>
    <row r="34" spans="2:25" ht="13.5" customHeight="1" thickBot="1" x14ac:dyDescent="0.45">
      <c r="B34" s="29"/>
      <c r="C34" s="77"/>
      <c r="D34" s="78"/>
      <c r="E34" s="77"/>
      <c r="F34" s="77"/>
      <c r="G34" s="346"/>
      <c r="H34" s="77"/>
      <c r="I34" s="77"/>
      <c r="L34" s="190"/>
      <c r="M34" s="190"/>
      <c r="N34" s="190"/>
      <c r="O34" s="190"/>
      <c r="P34" s="190"/>
      <c r="Q34" s="190"/>
      <c r="R34" s="190"/>
      <c r="S34" s="190">
        <v>33</v>
      </c>
      <c r="T34" s="190">
        <v>50</v>
      </c>
      <c r="U34" s="190"/>
      <c r="V34" s="190"/>
      <c r="W34" s="264"/>
      <c r="X34" s="264"/>
      <c r="Y34" s="264"/>
    </row>
    <row r="35" spans="2:25" ht="19.55" customHeight="1" x14ac:dyDescent="0.4">
      <c r="B35" s="242" t="s">
        <v>303</v>
      </c>
      <c r="C35" s="257" t="s">
        <v>1315</v>
      </c>
      <c r="D35" s="258" t="str">
        <f>IF(1*(E5&gt;25),"25 mg iv",1*(E5)&amp;" mg iv")</f>
        <v>10 mg iv</v>
      </c>
      <c r="E35" s="259"/>
      <c r="F35" s="259"/>
      <c r="G35" s="341" t="s">
        <v>32</v>
      </c>
      <c r="H35" s="77"/>
      <c r="I35" s="77"/>
      <c r="L35" s="190"/>
      <c r="M35" s="190"/>
      <c r="N35" s="190"/>
      <c r="O35" s="190"/>
      <c r="P35" s="190"/>
      <c r="Q35" s="190"/>
      <c r="R35" s="190"/>
      <c r="S35" s="190">
        <v>34</v>
      </c>
      <c r="T35" s="190">
        <v>50</v>
      </c>
      <c r="U35" s="190"/>
      <c r="V35" s="190"/>
      <c r="W35" s="264"/>
      <c r="X35" s="264"/>
      <c r="Y35" s="264"/>
    </row>
    <row r="36" spans="2:25" ht="19.55" customHeight="1" thickBot="1" x14ac:dyDescent="0.45">
      <c r="B36" s="242"/>
      <c r="C36" s="260" t="s">
        <v>353</v>
      </c>
      <c r="D36" s="261" t="str">
        <f>IF(ROUND((0.5*E5),1)&gt;50,"50 gram iv",ROUND((0.5*E5),1)&amp;" gram iv")</f>
        <v>5 gram iv</v>
      </c>
      <c r="E36" s="262" t="str">
        <f>"= "&amp;IF(ROUND((0.5*E5),1)&gt;50,ROUND(50/0.15,0),ROUND((0.5*E5)/0.15,0))&amp;" ml van mannitol 15% in 30 min iv"</f>
        <v>= 33 ml van mannitol 15% in 30 min iv</v>
      </c>
      <c r="F36" s="262"/>
      <c r="G36" s="343" t="s">
        <v>33</v>
      </c>
      <c r="H36" s="77"/>
      <c r="I36" s="77"/>
      <c r="L36" s="190"/>
      <c r="M36" s="190"/>
      <c r="N36" s="190"/>
      <c r="O36" s="190"/>
      <c r="P36" s="190"/>
      <c r="Q36" s="190"/>
      <c r="R36" s="190"/>
      <c r="S36" s="190">
        <v>35</v>
      </c>
      <c r="T36" s="190">
        <v>50</v>
      </c>
      <c r="U36" s="190"/>
      <c r="V36" s="190"/>
      <c r="W36" s="264"/>
      <c r="X36" s="264"/>
      <c r="Y36" s="264"/>
    </row>
    <row r="37" spans="2:25" ht="25.55" customHeight="1" thickBot="1" x14ac:dyDescent="0.45">
      <c r="B37" s="29"/>
      <c r="C37" s="77"/>
      <c r="D37" s="78"/>
      <c r="E37" s="77"/>
      <c r="F37" s="77"/>
      <c r="G37" s="347"/>
      <c r="H37" s="77"/>
      <c r="I37" s="77"/>
      <c r="L37" s="190"/>
      <c r="M37" s="190"/>
      <c r="N37" s="190"/>
      <c r="O37" s="190"/>
      <c r="P37" s="190"/>
      <c r="Q37" s="190"/>
      <c r="R37" s="190"/>
      <c r="S37" s="190">
        <v>36</v>
      </c>
      <c r="T37" s="190">
        <v>50</v>
      </c>
      <c r="U37" s="190"/>
      <c r="V37" s="190"/>
      <c r="W37" s="264"/>
      <c r="X37" s="264"/>
      <c r="Y37" s="264"/>
    </row>
    <row r="38" spans="2:25" ht="19.55" customHeight="1" x14ac:dyDescent="0.4">
      <c r="B38" s="242" t="s">
        <v>354</v>
      </c>
      <c r="C38" s="340" t="s">
        <v>935</v>
      </c>
      <c r="D38" s="258" t="str">
        <f ca="1">"AMV "&amp;ROUND(E5*8*VLOOKUP(C5,L2:M20,2)/1000,1)&amp;" L/min"</f>
        <v>AMV 2 L/min</v>
      </c>
      <c r="E38" s="259"/>
      <c r="F38" s="258" t="s">
        <v>355</v>
      </c>
      <c r="G38" s="259"/>
      <c r="H38" s="77"/>
      <c r="I38" s="77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264"/>
      <c r="X38" s="264"/>
      <c r="Y38" s="264"/>
    </row>
    <row r="39" spans="2:25" ht="19.55" customHeight="1" x14ac:dyDescent="0.4">
      <c r="B39" s="242"/>
      <c r="C39" s="80"/>
      <c r="D39" s="78" t="str">
        <f ca="1">"frequentie "&amp;VLOOKUP(C5,L2:M20,2)&amp;"/min"</f>
        <v>frequentie 25/min</v>
      </c>
      <c r="E39" s="77"/>
      <c r="F39" s="78" t="s">
        <v>356</v>
      </c>
      <c r="G39" s="77"/>
      <c r="H39" s="77"/>
      <c r="I39" s="77"/>
      <c r="L39" s="190"/>
      <c r="M39" s="190"/>
      <c r="N39" s="190"/>
      <c r="O39" s="190"/>
      <c r="P39" s="190"/>
      <c r="Q39" s="190"/>
      <c r="R39" s="190"/>
      <c r="S39" s="190">
        <v>37</v>
      </c>
      <c r="T39" s="190">
        <v>50</v>
      </c>
      <c r="U39" s="190"/>
      <c r="V39" s="190"/>
      <c r="W39" s="264"/>
      <c r="X39" s="264"/>
      <c r="Y39" s="264"/>
    </row>
    <row r="40" spans="2:25" ht="19.55" customHeight="1" x14ac:dyDescent="0.4">
      <c r="B40" s="242"/>
      <c r="C40" s="80"/>
      <c r="D40" s="78" t="s">
        <v>1382</v>
      </c>
      <c r="E40" s="77"/>
      <c r="F40" s="78" t="s">
        <v>1347</v>
      </c>
      <c r="G40" s="77"/>
      <c r="H40" s="77"/>
      <c r="I40" s="77"/>
      <c r="L40" s="190"/>
      <c r="M40" s="190"/>
      <c r="N40" s="190"/>
      <c r="O40" s="190"/>
      <c r="P40" s="190"/>
      <c r="Q40" s="190"/>
      <c r="R40" s="190"/>
      <c r="S40" s="190">
        <v>38</v>
      </c>
      <c r="T40" s="190">
        <v>50</v>
      </c>
      <c r="U40" s="190"/>
      <c r="V40" s="190"/>
      <c r="W40" s="264"/>
      <c r="X40" s="264"/>
      <c r="Y40" s="264"/>
    </row>
    <row r="41" spans="2:25" ht="19.55" customHeight="1" x14ac:dyDescent="0.4">
      <c r="B41" s="242"/>
      <c r="C41" s="80"/>
      <c r="D41" s="78" t="s">
        <v>1348</v>
      </c>
      <c r="E41" s="77"/>
      <c r="F41" s="78"/>
      <c r="G41" s="77"/>
      <c r="H41" s="77"/>
      <c r="I41" s="77"/>
      <c r="L41" s="190"/>
      <c r="M41" s="190"/>
      <c r="N41" s="190"/>
      <c r="O41" s="190"/>
      <c r="P41" s="190"/>
      <c r="Q41" s="190"/>
      <c r="R41" s="190"/>
      <c r="S41" s="190">
        <v>39</v>
      </c>
      <c r="T41" s="190">
        <v>50</v>
      </c>
      <c r="U41" s="190"/>
      <c r="V41" s="190"/>
      <c r="W41" s="264"/>
      <c r="X41" s="264"/>
      <c r="Y41" s="264"/>
    </row>
    <row r="42" spans="2:25" ht="19.55" customHeight="1" thickBot="1" x14ac:dyDescent="0.45">
      <c r="B42" s="242"/>
      <c r="C42" s="263"/>
      <c r="D42" s="261"/>
      <c r="E42" s="262"/>
      <c r="F42" s="261"/>
      <c r="G42" s="262"/>
      <c r="H42" s="77"/>
      <c r="I42" s="77"/>
      <c r="L42" s="190"/>
      <c r="M42" s="190"/>
      <c r="N42" s="190"/>
      <c r="O42" s="190"/>
      <c r="P42" s="190"/>
      <c r="Q42" s="190"/>
      <c r="R42" s="190"/>
      <c r="S42" s="190">
        <v>40</v>
      </c>
      <c r="T42" s="190">
        <v>50</v>
      </c>
      <c r="U42" s="190"/>
      <c r="V42" s="190"/>
      <c r="W42" s="264"/>
      <c r="X42" s="264"/>
      <c r="Y42" s="264"/>
    </row>
    <row r="43" spans="2:25" ht="19.55" customHeight="1" x14ac:dyDescent="0.35">
      <c r="B43" s="26"/>
      <c r="C43" s="77"/>
      <c r="D43" s="77"/>
      <c r="E43" s="77"/>
      <c r="F43" s="77"/>
      <c r="G43" s="77"/>
      <c r="H43" s="77"/>
      <c r="I43" s="77"/>
      <c r="L43" s="190"/>
      <c r="M43" s="190"/>
      <c r="N43" s="190"/>
      <c r="O43" s="190"/>
      <c r="P43" s="190"/>
      <c r="Q43" s="190"/>
      <c r="R43" s="190"/>
      <c r="S43" s="190">
        <v>41</v>
      </c>
      <c r="T43" s="190">
        <v>50</v>
      </c>
      <c r="U43" s="190"/>
      <c r="V43" s="190"/>
      <c r="W43" s="264"/>
      <c r="X43" s="264"/>
      <c r="Y43" s="264"/>
    </row>
    <row r="44" spans="2:25" ht="19.55" customHeight="1" x14ac:dyDescent="0.35">
      <c r="B44" s="213" t="s">
        <v>294</v>
      </c>
      <c r="C44" s="79"/>
      <c r="D44" s="77"/>
      <c r="E44" s="77"/>
      <c r="F44" s="77"/>
      <c r="G44" s="77"/>
      <c r="H44" s="77"/>
      <c r="I44" s="77"/>
      <c r="L44" s="190"/>
      <c r="M44" s="190"/>
      <c r="N44" s="190"/>
      <c r="O44" s="190"/>
      <c r="P44" s="190"/>
      <c r="Q44" s="190"/>
      <c r="R44" s="190"/>
      <c r="S44" s="190">
        <v>42</v>
      </c>
      <c r="T44" s="190">
        <v>50</v>
      </c>
      <c r="U44" s="190"/>
      <c r="V44" s="190"/>
      <c r="W44" s="264"/>
      <c r="X44" s="264"/>
      <c r="Y44" s="264"/>
    </row>
    <row r="45" spans="2:25" ht="19.55" customHeight="1" x14ac:dyDescent="0.35">
      <c r="B45" s="94"/>
      <c r="C45" s="77"/>
      <c r="D45" s="77"/>
      <c r="E45" s="77"/>
      <c r="F45" s="77"/>
      <c r="G45" s="77"/>
      <c r="H45" s="77"/>
      <c r="I45" s="77"/>
      <c r="L45" s="190"/>
      <c r="M45" s="190"/>
      <c r="N45" s="190"/>
      <c r="O45" s="190"/>
      <c r="P45" s="190"/>
      <c r="Q45" s="190"/>
      <c r="R45" s="190"/>
      <c r="S45" s="190">
        <v>43</v>
      </c>
      <c r="T45" s="190">
        <v>50</v>
      </c>
      <c r="U45" s="190"/>
      <c r="V45" s="190"/>
      <c r="W45" s="264"/>
      <c r="X45" s="264"/>
      <c r="Y45" s="264"/>
    </row>
    <row r="46" spans="2:25" ht="19.55" customHeight="1" x14ac:dyDescent="0.35">
      <c r="B46" s="94"/>
      <c r="C46" s="77"/>
      <c r="D46" s="77"/>
      <c r="E46" s="77"/>
      <c r="F46" s="77"/>
      <c r="G46" s="77"/>
      <c r="H46" s="77"/>
      <c r="I46" s="77"/>
      <c r="L46" s="190"/>
      <c r="M46" s="190"/>
      <c r="N46" s="190"/>
      <c r="O46" s="190"/>
      <c r="P46" s="190"/>
      <c r="Q46" s="190"/>
      <c r="R46" s="190"/>
      <c r="S46" s="190">
        <v>44</v>
      </c>
      <c r="T46" s="190">
        <v>50</v>
      </c>
      <c r="U46" s="190"/>
      <c r="V46" s="190"/>
      <c r="W46" s="264"/>
      <c r="X46" s="264"/>
      <c r="Y46" s="264"/>
    </row>
    <row r="47" spans="2:25" x14ac:dyDescent="0.35">
      <c r="B47" s="94"/>
      <c r="C47" s="77"/>
      <c r="D47" s="77"/>
      <c r="E47" s="77"/>
      <c r="F47" s="77"/>
      <c r="G47" s="77"/>
      <c r="H47" s="77"/>
      <c r="I47" s="77"/>
      <c r="L47" s="190"/>
      <c r="M47" s="190"/>
      <c r="N47" s="190"/>
      <c r="O47" s="190"/>
      <c r="P47" s="190"/>
      <c r="Q47" s="190"/>
      <c r="R47" s="190"/>
      <c r="S47" s="190">
        <v>45</v>
      </c>
      <c r="T47" s="190">
        <v>50</v>
      </c>
      <c r="U47" s="190"/>
      <c r="V47" s="190"/>
      <c r="W47" s="264"/>
      <c r="X47" s="264"/>
      <c r="Y47" s="264"/>
    </row>
    <row r="48" spans="2:25" x14ac:dyDescent="0.35">
      <c r="B48" s="94"/>
      <c r="C48" s="77"/>
      <c r="D48" s="77"/>
      <c r="E48" s="77"/>
      <c r="F48" s="77"/>
      <c r="G48" s="77"/>
      <c r="H48" s="77"/>
      <c r="I48" s="77"/>
      <c r="L48" s="190"/>
      <c r="M48" s="190"/>
      <c r="N48" s="190"/>
      <c r="O48" s="190"/>
      <c r="P48" s="190"/>
      <c r="Q48" s="190"/>
      <c r="R48" s="190"/>
      <c r="S48" s="190">
        <v>46</v>
      </c>
      <c r="T48" s="190">
        <v>50</v>
      </c>
      <c r="U48" s="190"/>
      <c r="V48" s="190"/>
      <c r="W48" s="264"/>
      <c r="X48" s="264"/>
      <c r="Y48" s="264"/>
    </row>
    <row r="49" spans="2:25" x14ac:dyDescent="0.35">
      <c r="B49" s="94"/>
      <c r="C49" s="77"/>
      <c r="D49" s="77"/>
      <c r="E49" s="77"/>
      <c r="F49" s="77"/>
      <c r="G49" s="77"/>
      <c r="H49" s="77"/>
      <c r="I49" s="77"/>
      <c r="L49" s="190"/>
      <c r="M49" s="190"/>
      <c r="N49" s="190"/>
      <c r="O49" s="190"/>
      <c r="P49" s="190"/>
      <c r="Q49" s="190"/>
      <c r="R49" s="190"/>
      <c r="S49" s="190">
        <v>47</v>
      </c>
      <c r="T49" s="190">
        <v>50</v>
      </c>
      <c r="U49" s="190"/>
      <c r="V49" s="190"/>
      <c r="W49" s="264"/>
      <c r="X49" s="264"/>
      <c r="Y49" s="264"/>
    </row>
    <row r="50" spans="2:25" x14ac:dyDescent="0.35">
      <c r="B50" s="94"/>
      <c r="C50" s="77"/>
      <c r="D50" s="77"/>
      <c r="E50" s="77"/>
      <c r="F50" s="77"/>
      <c r="G50" s="77"/>
      <c r="H50" s="77"/>
      <c r="I50" s="77"/>
      <c r="L50" s="190"/>
      <c r="M50" s="190"/>
      <c r="N50" s="190"/>
      <c r="O50" s="190"/>
      <c r="P50" s="190"/>
      <c r="Q50" s="190"/>
      <c r="R50" s="190"/>
      <c r="S50" s="190">
        <v>48</v>
      </c>
      <c r="T50" s="190">
        <v>50</v>
      </c>
      <c r="U50" s="190"/>
      <c r="V50" s="190"/>
      <c r="W50" s="264"/>
      <c r="X50" s="264"/>
      <c r="Y50" s="264"/>
    </row>
    <row r="51" spans="2:25" x14ac:dyDescent="0.35">
      <c r="B51" s="94"/>
      <c r="C51" s="77"/>
      <c r="D51" s="77"/>
      <c r="E51" s="77"/>
      <c r="F51" s="77"/>
      <c r="G51" s="77"/>
      <c r="H51" s="77"/>
      <c r="I51" s="77"/>
      <c r="L51" s="190"/>
      <c r="M51" s="190"/>
      <c r="N51" s="190"/>
      <c r="O51" s="190"/>
      <c r="P51" s="190"/>
      <c r="Q51" s="190"/>
      <c r="R51" s="190"/>
      <c r="S51" s="190">
        <v>49</v>
      </c>
      <c r="T51" s="190">
        <v>50</v>
      </c>
      <c r="U51" s="190"/>
      <c r="V51" s="190"/>
      <c r="W51" s="264"/>
      <c r="X51" s="264"/>
      <c r="Y51" s="264"/>
    </row>
    <row r="52" spans="2:25" x14ac:dyDescent="0.35">
      <c r="B52" s="94"/>
      <c r="C52" s="77"/>
      <c r="D52" s="77"/>
      <c r="E52" s="77"/>
      <c r="F52" s="77"/>
      <c r="G52" s="77"/>
      <c r="H52" s="77"/>
      <c r="I52" s="77"/>
      <c r="L52" s="190"/>
      <c r="M52" s="190"/>
      <c r="N52" s="190"/>
      <c r="O52" s="190"/>
      <c r="P52" s="190"/>
      <c r="Q52" s="190"/>
      <c r="R52" s="190"/>
      <c r="S52" s="190">
        <v>50</v>
      </c>
      <c r="T52" s="190">
        <v>50</v>
      </c>
      <c r="U52" s="190">
        <v>50</v>
      </c>
      <c r="V52" s="190"/>
      <c r="W52" s="264"/>
      <c r="X52" s="264"/>
      <c r="Y52" s="264"/>
    </row>
    <row r="53" spans="2:25" x14ac:dyDescent="0.35">
      <c r="B53" s="94"/>
      <c r="C53" s="77"/>
      <c r="D53" s="77"/>
      <c r="E53" s="77"/>
      <c r="F53" s="77"/>
      <c r="G53" s="77"/>
      <c r="H53" s="77"/>
      <c r="I53" s="77"/>
      <c r="L53" s="190"/>
      <c r="M53" s="190"/>
      <c r="N53" s="190"/>
      <c r="O53" s="190"/>
      <c r="P53" s="190"/>
      <c r="Q53" s="190"/>
      <c r="R53" s="190"/>
      <c r="S53" s="190">
        <v>51</v>
      </c>
      <c r="T53" s="190">
        <v>70</v>
      </c>
      <c r="U53" s="190"/>
      <c r="V53" s="190"/>
      <c r="W53" s="264"/>
      <c r="X53" s="264"/>
      <c r="Y53" s="264"/>
    </row>
    <row r="54" spans="2:25" x14ac:dyDescent="0.35">
      <c r="B54" s="94"/>
      <c r="C54" s="77"/>
      <c r="D54" s="77"/>
      <c r="E54" s="77"/>
      <c r="F54" s="77"/>
      <c r="G54" s="77"/>
      <c r="H54" s="77"/>
      <c r="I54" s="77"/>
      <c r="L54" s="190"/>
      <c r="M54" s="190"/>
      <c r="N54" s="190"/>
      <c r="O54" s="190"/>
      <c r="P54" s="190"/>
      <c r="Q54" s="190"/>
      <c r="R54" s="190"/>
      <c r="S54" s="190">
        <v>52</v>
      </c>
      <c r="T54" s="190">
        <v>70</v>
      </c>
      <c r="U54" s="190"/>
      <c r="V54" s="190"/>
      <c r="W54" s="264"/>
      <c r="X54" s="264"/>
      <c r="Y54" s="264"/>
    </row>
    <row r="55" spans="2:25" x14ac:dyDescent="0.35">
      <c r="B55" s="94"/>
      <c r="C55" s="77"/>
      <c r="D55" s="77"/>
      <c r="E55" s="77"/>
      <c r="F55" s="77"/>
      <c r="G55" s="77"/>
      <c r="H55" s="77"/>
      <c r="I55" s="77"/>
      <c r="L55" s="190"/>
      <c r="M55" s="190"/>
      <c r="N55" s="190"/>
      <c r="O55" s="190"/>
      <c r="P55" s="190"/>
      <c r="Q55" s="190"/>
      <c r="R55" s="190"/>
      <c r="S55" s="190">
        <v>53</v>
      </c>
      <c r="T55" s="190">
        <v>70</v>
      </c>
      <c r="U55" s="190"/>
      <c r="V55" s="190"/>
      <c r="W55" s="264"/>
      <c r="X55" s="264"/>
      <c r="Y55" s="264"/>
    </row>
    <row r="56" spans="2:25" x14ac:dyDescent="0.35">
      <c r="B56" s="94"/>
      <c r="C56" s="77"/>
      <c r="D56" s="77"/>
      <c r="E56" s="77"/>
      <c r="F56" s="77"/>
      <c r="G56" s="77"/>
      <c r="H56" s="77"/>
      <c r="I56" s="77"/>
      <c r="L56" s="190"/>
      <c r="M56" s="190"/>
      <c r="N56" s="190"/>
      <c r="O56" s="190"/>
      <c r="P56" s="190"/>
      <c r="Q56" s="190"/>
      <c r="R56" s="190"/>
      <c r="S56" s="190">
        <v>54</v>
      </c>
      <c r="T56" s="190">
        <v>70</v>
      </c>
      <c r="U56" s="190"/>
      <c r="V56" s="190"/>
      <c r="W56" s="264"/>
      <c r="X56" s="264"/>
      <c r="Y56" s="264"/>
    </row>
    <row r="57" spans="2:25" x14ac:dyDescent="0.35">
      <c r="B57" s="94"/>
      <c r="C57" s="77"/>
      <c r="D57" s="77"/>
      <c r="E57" s="77"/>
      <c r="F57" s="77"/>
      <c r="G57" s="77"/>
      <c r="H57" s="77"/>
      <c r="I57" s="77"/>
      <c r="L57" s="190"/>
      <c r="M57" s="190"/>
      <c r="N57" s="190"/>
      <c r="O57" s="190"/>
      <c r="P57" s="190"/>
      <c r="Q57" s="190"/>
      <c r="R57" s="190"/>
      <c r="S57" s="190">
        <v>55</v>
      </c>
      <c r="T57" s="190">
        <v>70</v>
      </c>
      <c r="U57" s="190"/>
      <c r="V57" s="190"/>
      <c r="W57" s="264"/>
      <c r="X57" s="264"/>
      <c r="Y57" s="264"/>
    </row>
    <row r="58" spans="2:25" x14ac:dyDescent="0.35">
      <c r="B58" s="94"/>
      <c r="C58" s="77"/>
      <c r="D58" s="77"/>
      <c r="E58" s="77"/>
      <c r="F58" s="77"/>
      <c r="G58" s="77"/>
      <c r="H58" s="77"/>
      <c r="I58" s="77"/>
      <c r="L58" s="190"/>
      <c r="M58" s="190"/>
      <c r="N58" s="190"/>
      <c r="O58" s="190"/>
      <c r="P58" s="190"/>
      <c r="Q58" s="190"/>
      <c r="R58" s="190"/>
      <c r="S58" s="190">
        <v>56</v>
      </c>
      <c r="T58" s="190">
        <v>70</v>
      </c>
      <c r="U58" s="190"/>
      <c r="V58" s="190"/>
      <c r="W58" s="264"/>
      <c r="X58" s="264"/>
      <c r="Y58" s="264"/>
    </row>
    <row r="59" spans="2:25" x14ac:dyDescent="0.35">
      <c r="B59" s="94"/>
      <c r="C59" s="77"/>
      <c r="D59" s="77"/>
      <c r="E59" s="77"/>
      <c r="F59" s="77"/>
      <c r="G59" s="77"/>
      <c r="H59" s="77"/>
      <c r="I59" s="77"/>
      <c r="L59" s="190"/>
      <c r="M59" s="190"/>
      <c r="N59" s="190"/>
      <c r="O59" s="190"/>
      <c r="P59" s="190"/>
      <c r="Q59" s="190"/>
      <c r="R59" s="190"/>
      <c r="S59" s="190">
        <v>57</v>
      </c>
      <c r="T59" s="190">
        <v>70</v>
      </c>
      <c r="U59" s="190"/>
      <c r="V59" s="190"/>
      <c r="W59" s="264"/>
      <c r="X59" s="264"/>
      <c r="Y59" s="264"/>
    </row>
    <row r="60" spans="2:25" x14ac:dyDescent="0.35">
      <c r="B60" s="94"/>
      <c r="C60" s="77"/>
      <c r="D60" s="77"/>
      <c r="E60" s="77"/>
      <c r="F60" s="77"/>
      <c r="G60" s="77"/>
      <c r="H60" s="77"/>
      <c r="I60" s="77"/>
      <c r="L60" s="190"/>
      <c r="M60" s="190"/>
      <c r="N60" s="190"/>
      <c r="O60" s="190"/>
      <c r="P60" s="190"/>
      <c r="Q60" s="190"/>
      <c r="R60" s="190"/>
      <c r="S60" s="190">
        <v>58</v>
      </c>
      <c r="T60" s="190">
        <v>70</v>
      </c>
      <c r="U60" s="190"/>
      <c r="V60" s="190"/>
      <c r="W60" s="264"/>
      <c r="X60" s="264"/>
      <c r="Y60" s="264"/>
    </row>
    <row r="61" spans="2:25" x14ac:dyDescent="0.35">
      <c r="B61" s="94"/>
      <c r="C61" s="77"/>
      <c r="D61" s="77"/>
      <c r="E61" s="77"/>
      <c r="F61" s="77"/>
      <c r="G61" s="77"/>
      <c r="H61" s="77"/>
      <c r="I61" s="77"/>
      <c r="L61" s="190"/>
      <c r="M61" s="190"/>
      <c r="N61" s="190"/>
      <c r="O61" s="190"/>
      <c r="P61" s="190"/>
      <c r="Q61" s="190"/>
      <c r="R61" s="190"/>
      <c r="S61" s="190">
        <v>59</v>
      </c>
      <c r="T61" s="190">
        <v>70</v>
      </c>
      <c r="U61" s="190"/>
      <c r="V61" s="190"/>
      <c r="W61" s="264"/>
      <c r="X61" s="264"/>
      <c r="Y61" s="264"/>
    </row>
    <row r="62" spans="2:25" x14ac:dyDescent="0.35">
      <c r="B62" s="94"/>
      <c r="C62" s="77"/>
      <c r="D62" s="77"/>
      <c r="E62" s="77"/>
      <c r="F62" s="77"/>
      <c r="G62" s="77"/>
      <c r="H62" s="77"/>
      <c r="I62" s="77"/>
      <c r="L62" s="190"/>
      <c r="M62" s="190"/>
      <c r="N62" s="190"/>
      <c r="O62" s="190"/>
      <c r="P62" s="190"/>
      <c r="Q62" s="190"/>
      <c r="R62" s="190"/>
      <c r="S62" s="190">
        <v>60</v>
      </c>
      <c r="T62" s="190">
        <v>70</v>
      </c>
      <c r="U62" s="190"/>
      <c r="V62" s="190"/>
      <c r="W62" s="264"/>
      <c r="X62" s="264"/>
      <c r="Y62" s="264"/>
    </row>
    <row r="63" spans="2:25" x14ac:dyDescent="0.35">
      <c r="B63" s="94"/>
      <c r="C63" s="77"/>
      <c r="D63" s="77"/>
      <c r="E63" s="77"/>
      <c r="F63" s="77"/>
      <c r="G63" s="77"/>
      <c r="H63" s="77"/>
      <c r="I63" s="77"/>
      <c r="L63" s="190"/>
      <c r="M63" s="190"/>
      <c r="N63" s="190"/>
      <c r="O63" s="190"/>
      <c r="P63" s="190"/>
      <c r="Q63" s="190"/>
      <c r="R63" s="190"/>
      <c r="S63" s="190">
        <v>61</v>
      </c>
      <c r="T63" s="190">
        <v>70</v>
      </c>
      <c r="U63" s="190"/>
      <c r="V63" s="190"/>
      <c r="W63" s="264"/>
      <c r="X63" s="264"/>
      <c r="Y63" s="264"/>
    </row>
    <row r="64" spans="2:25" x14ac:dyDescent="0.35">
      <c r="B64" s="94"/>
      <c r="C64" s="77"/>
      <c r="D64" s="77"/>
      <c r="E64" s="77"/>
      <c r="F64" s="77"/>
      <c r="G64" s="77"/>
      <c r="H64" s="77"/>
      <c r="I64" s="77"/>
      <c r="L64" s="190"/>
      <c r="M64" s="190"/>
      <c r="N64" s="190"/>
      <c r="O64" s="190"/>
      <c r="P64" s="190"/>
      <c r="Q64" s="190"/>
      <c r="R64" s="190"/>
      <c r="S64" s="190">
        <v>62</v>
      </c>
      <c r="T64" s="190">
        <v>70</v>
      </c>
      <c r="U64" s="190"/>
      <c r="V64" s="190"/>
      <c r="W64" s="264"/>
      <c r="X64" s="264"/>
      <c r="Y64" s="264"/>
    </row>
    <row r="65" spans="2:25" x14ac:dyDescent="0.35">
      <c r="B65" s="94"/>
      <c r="C65" s="77"/>
      <c r="D65" s="77"/>
      <c r="E65" s="77"/>
      <c r="F65" s="77"/>
      <c r="G65" s="77"/>
      <c r="H65" s="77"/>
      <c r="I65" s="77"/>
      <c r="L65" s="190"/>
      <c r="M65" s="190"/>
      <c r="N65" s="190"/>
      <c r="O65" s="190"/>
      <c r="P65" s="190"/>
      <c r="Q65" s="190"/>
      <c r="R65" s="190"/>
      <c r="S65" s="190">
        <v>63</v>
      </c>
      <c r="T65" s="190">
        <v>70</v>
      </c>
      <c r="U65" s="190"/>
      <c r="V65" s="190"/>
      <c r="W65" s="264"/>
      <c r="X65" s="264"/>
      <c r="Y65" s="264"/>
    </row>
    <row r="66" spans="2:25" x14ac:dyDescent="0.35">
      <c r="B66" s="94"/>
      <c r="C66" s="77"/>
      <c r="D66" s="77"/>
      <c r="E66" s="77"/>
      <c r="F66" s="77"/>
      <c r="G66" s="77"/>
      <c r="H66" s="77"/>
      <c r="I66" s="77"/>
      <c r="L66" s="190"/>
      <c r="M66" s="190"/>
      <c r="N66" s="190"/>
      <c r="O66" s="190"/>
      <c r="P66" s="190"/>
      <c r="Q66" s="190"/>
      <c r="R66" s="190"/>
      <c r="S66" s="190">
        <v>64</v>
      </c>
      <c r="T66" s="190">
        <v>70</v>
      </c>
      <c r="U66" s="190"/>
      <c r="V66" s="190"/>
      <c r="W66" s="264"/>
      <c r="X66" s="264"/>
      <c r="Y66" s="264"/>
    </row>
    <row r="67" spans="2:25" x14ac:dyDescent="0.35">
      <c r="B67" s="94"/>
      <c r="C67" s="77"/>
      <c r="D67" s="77"/>
      <c r="E67" s="77"/>
      <c r="F67" s="77"/>
      <c r="G67" s="77"/>
      <c r="H67" s="77"/>
      <c r="I67" s="77"/>
      <c r="L67" s="190"/>
      <c r="M67" s="190"/>
      <c r="N67" s="190"/>
      <c r="O67" s="190"/>
      <c r="P67" s="190"/>
      <c r="Q67" s="190"/>
      <c r="R67" s="190"/>
      <c r="S67" s="190">
        <v>65</v>
      </c>
      <c r="T67" s="190">
        <v>70</v>
      </c>
      <c r="U67" s="190"/>
      <c r="V67" s="190"/>
      <c r="W67" s="264"/>
      <c r="X67" s="264"/>
      <c r="Y67" s="264"/>
    </row>
    <row r="68" spans="2:25" x14ac:dyDescent="0.35">
      <c r="B68" s="94"/>
      <c r="C68" s="77"/>
      <c r="D68" s="77"/>
      <c r="E68" s="77"/>
      <c r="F68" s="77"/>
      <c r="G68" s="77"/>
      <c r="H68" s="77"/>
      <c r="I68" s="77"/>
      <c r="L68" s="190"/>
      <c r="M68" s="190"/>
      <c r="N68" s="190"/>
      <c r="O68" s="190"/>
      <c r="P68" s="190"/>
      <c r="Q68" s="190"/>
      <c r="R68" s="190"/>
      <c r="S68" s="190">
        <v>66</v>
      </c>
      <c r="T68" s="190">
        <v>70</v>
      </c>
      <c r="U68" s="190"/>
      <c r="V68" s="190"/>
      <c r="W68" s="264"/>
      <c r="X68" s="264"/>
      <c r="Y68" s="264"/>
    </row>
    <row r="69" spans="2:25" x14ac:dyDescent="0.35">
      <c r="B69" s="94"/>
      <c r="C69" s="77"/>
      <c r="D69" s="77"/>
      <c r="E69" s="77"/>
      <c r="F69" s="77"/>
      <c r="G69" s="77"/>
      <c r="H69" s="77"/>
      <c r="I69" s="77"/>
      <c r="L69" s="190"/>
      <c r="M69" s="190"/>
      <c r="N69" s="190"/>
      <c r="O69" s="190"/>
      <c r="P69" s="190"/>
      <c r="Q69" s="190"/>
      <c r="R69" s="190"/>
      <c r="S69" s="190">
        <v>67</v>
      </c>
      <c r="T69" s="190">
        <v>70</v>
      </c>
      <c r="U69" s="190"/>
      <c r="V69" s="190"/>
      <c r="W69" s="264"/>
      <c r="X69" s="264"/>
      <c r="Y69" s="264"/>
    </row>
    <row r="70" spans="2:25" x14ac:dyDescent="0.35">
      <c r="B70" s="94"/>
      <c r="C70" s="77"/>
      <c r="D70" s="77"/>
      <c r="E70" s="77"/>
      <c r="F70" s="77"/>
      <c r="G70" s="77"/>
      <c r="H70" s="77"/>
      <c r="I70" s="77"/>
      <c r="L70" s="190"/>
      <c r="M70" s="190"/>
      <c r="N70" s="190"/>
      <c r="O70" s="190"/>
      <c r="P70" s="190"/>
      <c r="Q70" s="190"/>
      <c r="R70" s="190"/>
      <c r="S70" s="190">
        <v>68</v>
      </c>
      <c r="T70" s="190">
        <v>70</v>
      </c>
      <c r="U70" s="190"/>
      <c r="V70" s="190"/>
      <c r="W70" s="264"/>
      <c r="X70" s="264"/>
      <c r="Y70" s="264"/>
    </row>
    <row r="71" spans="2:25" x14ac:dyDescent="0.35">
      <c r="B71" s="94"/>
      <c r="C71" s="77"/>
      <c r="D71" s="77"/>
      <c r="E71" s="77"/>
      <c r="F71" s="77"/>
      <c r="G71" s="77"/>
      <c r="H71" s="77"/>
      <c r="I71" s="77"/>
      <c r="L71" s="190"/>
      <c r="M71" s="190"/>
      <c r="N71" s="190"/>
      <c r="O71" s="190"/>
      <c r="P71" s="190"/>
      <c r="Q71" s="190"/>
      <c r="R71" s="190"/>
      <c r="S71" s="190">
        <v>69</v>
      </c>
      <c r="T71" s="190">
        <v>70</v>
      </c>
      <c r="U71" s="190"/>
      <c r="V71" s="190"/>
      <c r="W71" s="264"/>
      <c r="X71" s="264"/>
      <c r="Y71" s="264"/>
    </row>
    <row r="72" spans="2:25" x14ac:dyDescent="0.35">
      <c r="B72" s="94"/>
      <c r="C72" s="77"/>
      <c r="D72" s="77"/>
      <c r="E72" s="77"/>
      <c r="F72" s="77"/>
      <c r="G72" s="77"/>
      <c r="H72" s="77"/>
      <c r="I72" s="77"/>
      <c r="L72" s="190"/>
      <c r="M72" s="190"/>
      <c r="N72" s="190"/>
      <c r="O72" s="190"/>
      <c r="P72" s="190"/>
      <c r="Q72" s="190"/>
      <c r="R72" s="190"/>
      <c r="S72" s="190">
        <v>70</v>
      </c>
      <c r="T72" s="190">
        <v>70</v>
      </c>
      <c r="U72" s="190">
        <v>70</v>
      </c>
      <c r="V72" s="190"/>
      <c r="W72" s="264"/>
      <c r="X72" s="264"/>
      <c r="Y72" s="264"/>
    </row>
    <row r="73" spans="2:25" x14ac:dyDescent="0.35">
      <c r="B73" s="94"/>
      <c r="C73" s="77"/>
      <c r="D73" s="77"/>
      <c r="E73" s="77"/>
      <c r="F73" s="77"/>
      <c r="G73" s="77"/>
      <c r="H73" s="77"/>
      <c r="I73" s="77"/>
      <c r="L73" s="190"/>
      <c r="M73" s="190"/>
      <c r="N73" s="190"/>
      <c r="O73" s="190"/>
      <c r="P73" s="190"/>
      <c r="Q73" s="190"/>
      <c r="R73" s="190"/>
      <c r="S73" s="190">
        <v>71</v>
      </c>
      <c r="T73" s="190">
        <v>100</v>
      </c>
      <c r="U73" s="190"/>
      <c r="V73" s="190"/>
      <c r="W73" s="264"/>
      <c r="X73" s="264"/>
      <c r="Y73" s="264"/>
    </row>
    <row r="74" spans="2:25" x14ac:dyDescent="0.35">
      <c r="B74" s="94"/>
      <c r="C74" s="77"/>
      <c r="D74" s="77"/>
      <c r="E74" s="77"/>
      <c r="F74" s="77"/>
      <c r="G74" s="77"/>
      <c r="H74" s="77"/>
      <c r="I74" s="77"/>
      <c r="L74" s="190"/>
      <c r="M74" s="190"/>
      <c r="N74" s="190"/>
      <c r="O74" s="190"/>
      <c r="P74" s="190"/>
      <c r="Q74" s="190"/>
      <c r="R74" s="190"/>
      <c r="S74" s="190">
        <v>72</v>
      </c>
      <c r="T74" s="190">
        <v>100</v>
      </c>
      <c r="U74" s="190"/>
      <c r="V74" s="190"/>
      <c r="W74" s="264"/>
      <c r="X74" s="264"/>
      <c r="Y74" s="264"/>
    </row>
    <row r="75" spans="2:25" x14ac:dyDescent="0.35">
      <c r="B75" s="94"/>
      <c r="C75" s="77"/>
      <c r="D75" s="77"/>
      <c r="E75" s="77"/>
      <c r="F75" s="77"/>
      <c r="G75" s="77"/>
      <c r="H75" s="77"/>
      <c r="I75" s="77"/>
      <c r="L75" s="190"/>
      <c r="M75" s="190"/>
      <c r="N75" s="190"/>
      <c r="O75" s="190"/>
      <c r="P75" s="190"/>
      <c r="Q75" s="190"/>
      <c r="R75" s="190"/>
      <c r="S75" s="190">
        <v>73</v>
      </c>
      <c r="T75" s="190">
        <v>100</v>
      </c>
      <c r="U75" s="190"/>
      <c r="V75" s="190"/>
      <c r="W75" s="264"/>
      <c r="X75" s="264"/>
      <c r="Y75" s="264"/>
    </row>
    <row r="76" spans="2:25" x14ac:dyDescent="0.35">
      <c r="B76" s="94"/>
      <c r="C76" s="77"/>
      <c r="D76" s="77"/>
      <c r="E76" s="77"/>
      <c r="F76" s="77"/>
      <c r="G76" s="77"/>
      <c r="H76" s="77"/>
      <c r="I76" s="77"/>
      <c r="L76" s="190"/>
      <c r="M76" s="190"/>
      <c r="N76" s="190"/>
      <c r="O76" s="190"/>
      <c r="P76" s="190"/>
      <c r="Q76" s="190"/>
      <c r="R76" s="190"/>
      <c r="S76" s="190">
        <v>74</v>
      </c>
      <c r="T76" s="190">
        <v>100</v>
      </c>
      <c r="U76" s="190"/>
      <c r="V76" s="190"/>
      <c r="W76" s="264"/>
      <c r="X76" s="264"/>
      <c r="Y76" s="264"/>
    </row>
    <row r="77" spans="2:25" x14ac:dyDescent="0.35">
      <c r="H77" s="77"/>
      <c r="I77" s="77"/>
      <c r="L77" s="190"/>
      <c r="M77" s="190"/>
      <c r="N77" s="190"/>
      <c r="O77" s="190"/>
      <c r="P77" s="190"/>
      <c r="Q77" s="190"/>
      <c r="R77" s="190"/>
      <c r="S77" s="190">
        <v>75</v>
      </c>
      <c r="T77" s="190">
        <v>100</v>
      </c>
      <c r="U77" s="190"/>
      <c r="V77" s="190"/>
      <c r="W77" s="264"/>
      <c r="X77" s="264"/>
      <c r="Y77" s="264"/>
    </row>
    <row r="78" spans="2:25" x14ac:dyDescent="0.35">
      <c r="L78" s="190"/>
      <c r="M78" s="190"/>
      <c r="N78" s="190"/>
      <c r="O78" s="190"/>
      <c r="P78" s="190"/>
      <c r="Q78" s="190"/>
      <c r="R78" s="190"/>
      <c r="S78" s="190">
        <v>76</v>
      </c>
      <c r="T78" s="190">
        <v>100</v>
      </c>
      <c r="U78" s="190"/>
      <c r="V78" s="190"/>
      <c r="W78" s="264"/>
      <c r="X78" s="264"/>
      <c r="Y78" s="264"/>
    </row>
    <row r="79" spans="2:25" x14ac:dyDescent="0.35">
      <c r="L79" s="190"/>
      <c r="M79" s="190"/>
      <c r="N79" s="190"/>
      <c r="O79" s="190"/>
      <c r="P79" s="190"/>
      <c r="Q79" s="190"/>
      <c r="R79" s="190"/>
      <c r="S79" s="190">
        <v>77</v>
      </c>
      <c r="T79" s="190">
        <v>100</v>
      </c>
      <c r="U79" s="190"/>
      <c r="V79" s="190"/>
      <c r="W79" s="264"/>
      <c r="X79" s="264"/>
      <c r="Y79" s="264"/>
    </row>
    <row r="80" spans="2:25" x14ac:dyDescent="0.35">
      <c r="L80" s="190"/>
      <c r="M80" s="190"/>
      <c r="N80" s="190"/>
      <c r="O80" s="190"/>
      <c r="P80" s="190"/>
      <c r="Q80" s="190"/>
      <c r="R80" s="190"/>
      <c r="S80" s="190">
        <v>78</v>
      </c>
      <c r="T80" s="190">
        <v>100</v>
      </c>
      <c r="U80" s="190"/>
      <c r="V80" s="190"/>
      <c r="W80" s="264"/>
      <c r="X80" s="264"/>
      <c r="Y80" s="264"/>
    </row>
    <row r="81" spans="12:25" x14ac:dyDescent="0.35">
      <c r="L81" s="190"/>
      <c r="M81" s="190"/>
      <c r="N81" s="190"/>
      <c r="O81" s="190"/>
      <c r="P81" s="190"/>
      <c r="Q81" s="190"/>
      <c r="R81" s="190"/>
      <c r="S81" s="190">
        <v>79</v>
      </c>
      <c r="T81" s="190">
        <v>100</v>
      </c>
      <c r="U81" s="190"/>
      <c r="V81" s="190"/>
      <c r="W81" s="264"/>
      <c r="X81" s="264"/>
      <c r="Y81" s="264"/>
    </row>
    <row r="82" spans="12:25" x14ac:dyDescent="0.35">
      <c r="L82" s="190"/>
      <c r="M82" s="190"/>
      <c r="N82" s="190"/>
      <c r="O82" s="190"/>
      <c r="P82" s="190"/>
      <c r="Q82" s="190"/>
      <c r="R82" s="190"/>
      <c r="S82" s="190">
        <v>80</v>
      </c>
      <c r="T82" s="190">
        <v>100</v>
      </c>
      <c r="U82" s="190"/>
      <c r="V82" s="190"/>
      <c r="W82" s="264"/>
      <c r="X82" s="264"/>
      <c r="Y82" s="264"/>
    </row>
    <row r="83" spans="12:25" x14ac:dyDescent="0.35">
      <c r="L83" s="190"/>
      <c r="M83" s="190"/>
      <c r="N83" s="190"/>
      <c r="O83" s="190"/>
      <c r="P83" s="190"/>
      <c r="Q83" s="190"/>
      <c r="R83" s="190"/>
      <c r="S83" s="190">
        <v>81</v>
      </c>
      <c r="T83" s="190">
        <v>100</v>
      </c>
      <c r="U83" s="190"/>
      <c r="V83" s="190"/>
      <c r="W83" s="264"/>
      <c r="X83" s="264"/>
      <c r="Y83" s="264"/>
    </row>
    <row r="84" spans="12:25" x14ac:dyDescent="0.35">
      <c r="L84" s="190"/>
      <c r="M84" s="190"/>
      <c r="N84" s="190"/>
      <c r="O84" s="190"/>
      <c r="P84" s="190"/>
      <c r="Q84" s="190"/>
      <c r="R84" s="190"/>
      <c r="S84" s="190">
        <v>82</v>
      </c>
      <c r="T84" s="190">
        <v>100</v>
      </c>
      <c r="U84" s="190"/>
      <c r="V84" s="190"/>
      <c r="W84" s="264"/>
      <c r="X84" s="264"/>
      <c r="Y84" s="264"/>
    </row>
    <row r="85" spans="12:25" x14ac:dyDescent="0.35">
      <c r="L85" s="190"/>
      <c r="M85" s="190"/>
      <c r="N85" s="190"/>
      <c r="O85" s="190"/>
      <c r="P85" s="190"/>
      <c r="Q85" s="190"/>
      <c r="R85" s="190"/>
      <c r="S85" s="190">
        <v>83</v>
      </c>
      <c r="T85" s="190">
        <v>100</v>
      </c>
      <c r="U85" s="190"/>
      <c r="V85" s="190"/>
      <c r="W85" s="264"/>
      <c r="X85" s="264"/>
      <c r="Y85" s="264"/>
    </row>
    <row r="86" spans="12:25" x14ac:dyDescent="0.35">
      <c r="L86" s="190"/>
      <c r="M86" s="190"/>
      <c r="N86" s="190"/>
      <c r="O86" s="190"/>
      <c r="P86" s="190"/>
      <c r="Q86" s="190"/>
      <c r="R86" s="190"/>
      <c r="S86" s="190">
        <v>84</v>
      </c>
      <c r="T86" s="190">
        <v>100</v>
      </c>
      <c r="U86" s="190"/>
      <c r="V86" s="190"/>
      <c r="W86" s="264"/>
      <c r="X86" s="264"/>
      <c r="Y86" s="264"/>
    </row>
    <row r="87" spans="12:25" x14ac:dyDescent="0.35">
      <c r="L87" s="190"/>
      <c r="M87" s="190"/>
      <c r="N87" s="190"/>
      <c r="O87" s="190"/>
      <c r="P87" s="190"/>
      <c r="Q87" s="190"/>
      <c r="R87" s="190"/>
      <c r="S87" s="190">
        <v>85</v>
      </c>
      <c r="T87" s="190">
        <v>100</v>
      </c>
      <c r="U87" s="190"/>
      <c r="V87" s="190"/>
      <c r="W87" s="264"/>
      <c r="X87" s="264"/>
      <c r="Y87" s="264"/>
    </row>
    <row r="88" spans="12:25" x14ac:dyDescent="0.35">
      <c r="L88" s="190"/>
      <c r="M88" s="190"/>
      <c r="N88" s="190"/>
      <c r="O88" s="190"/>
      <c r="P88" s="190"/>
      <c r="Q88" s="190"/>
      <c r="R88" s="190"/>
      <c r="S88" s="190">
        <v>86</v>
      </c>
      <c r="T88" s="190">
        <v>100</v>
      </c>
      <c r="U88" s="190"/>
      <c r="V88" s="190"/>
      <c r="W88" s="264"/>
      <c r="X88" s="264"/>
      <c r="Y88" s="264"/>
    </row>
    <row r="89" spans="12:25" x14ac:dyDescent="0.35">
      <c r="L89" s="190"/>
      <c r="M89" s="190"/>
      <c r="N89" s="190"/>
      <c r="O89" s="190"/>
      <c r="P89" s="190"/>
      <c r="Q89" s="190"/>
      <c r="R89" s="190"/>
      <c r="S89" s="190">
        <v>87</v>
      </c>
      <c r="T89" s="190">
        <v>100</v>
      </c>
      <c r="U89" s="190"/>
      <c r="V89" s="190"/>
      <c r="W89" s="264"/>
      <c r="X89" s="264"/>
      <c r="Y89" s="264"/>
    </row>
    <row r="90" spans="12:25" x14ac:dyDescent="0.35">
      <c r="L90" s="190"/>
      <c r="M90" s="190"/>
      <c r="N90" s="190"/>
      <c r="O90" s="190"/>
      <c r="P90" s="190"/>
      <c r="Q90" s="190"/>
      <c r="R90" s="190"/>
      <c r="S90" s="190">
        <v>88</v>
      </c>
      <c r="T90" s="190">
        <v>100</v>
      </c>
      <c r="U90" s="190"/>
      <c r="V90" s="190"/>
      <c r="W90" s="264"/>
      <c r="X90" s="264"/>
      <c r="Y90" s="264"/>
    </row>
    <row r="91" spans="12:25" x14ac:dyDescent="0.35">
      <c r="L91" s="190"/>
      <c r="M91" s="190"/>
      <c r="N91" s="190"/>
      <c r="O91" s="190"/>
      <c r="P91" s="190"/>
      <c r="Q91" s="190"/>
      <c r="R91" s="190"/>
      <c r="S91" s="190">
        <v>89</v>
      </c>
      <c r="T91" s="190">
        <v>100</v>
      </c>
      <c r="U91" s="190"/>
      <c r="V91" s="190"/>
      <c r="W91" s="264"/>
      <c r="X91" s="264"/>
      <c r="Y91" s="264"/>
    </row>
    <row r="92" spans="12:25" x14ac:dyDescent="0.35">
      <c r="L92" s="190"/>
      <c r="M92" s="190"/>
      <c r="N92" s="190"/>
      <c r="O92" s="190"/>
      <c r="P92" s="190"/>
      <c r="Q92" s="190"/>
      <c r="R92" s="190"/>
      <c r="S92" s="190">
        <v>90</v>
      </c>
      <c r="T92" s="190">
        <v>100</v>
      </c>
      <c r="U92" s="190"/>
      <c r="V92" s="190"/>
      <c r="W92" s="264"/>
      <c r="X92" s="264"/>
      <c r="Y92" s="264"/>
    </row>
    <row r="93" spans="12:25" x14ac:dyDescent="0.35">
      <c r="L93" s="190"/>
      <c r="M93" s="190"/>
      <c r="N93" s="190"/>
      <c r="O93" s="190"/>
      <c r="P93" s="190"/>
      <c r="Q93" s="190"/>
      <c r="R93" s="190"/>
      <c r="S93" s="190">
        <v>91</v>
      </c>
      <c r="T93" s="190">
        <v>100</v>
      </c>
      <c r="U93" s="190"/>
      <c r="V93" s="190"/>
      <c r="W93" s="264"/>
      <c r="X93" s="264"/>
      <c r="Y93" s="264"/>
    </row>
    <row r="94" spans="12:25" x14ac:dyDescent="0.35">
      <c r="L94" s="190"/>
      <c r="M94" s="190"/>
      <c r="N94" s="190"/>
      <c r="O94" s="190"/>
      <c r="P94" s="190"/>
      <c r="Q94" s="190"/>
      <c r="R94" s="190"/>
      <c r="S94" s="190">
        <v>92</v>
      </c>
      <c r="T94" s="190">
        <v>100</v>
      </c>
      <c r="U94" s="190"/>
      <c r="V94" s="190"/>
      <c r="W94" s="264"/>
      <c r="X94" s="264"/>
      <c r="Y94" s="264"/>
    </row>
    <row r="95" spans="12:25" x14ac:dyDescent="0.35">
      <c r="L95" s="190"/>
      <c r="M95" s="190"/>
      <c r="N95" s="190"/>
      <c r="O95" s="190"/>
      <c r="P95" s="190"/>
      <c r="Q95" s="190"/>
      <c r="R95" s="190"/>
      <c r="S95" s="190">
        <v>93</v>
      </c>
      <c r="T95" s="190">
        <v>100</v>
      </c>
      <c r="U95" s="190"/>
      <c r="V95" s="190"/>
      <c r="W95" s="264"/>
      <c r="X95" s="264"/>
      <c r="Y95" s="264"/>
    </row>
    <row r="96" spans="12:25" x14ac:dyDescent="0.35">
      <c r="L96" s="190"/>
      <c r="M96" s="190"/>
      <c r="N96" s="190"/>
      <c r="O96" s="190"/>
      <c r="P96" s="190"/>
      <c r="Q96" s="190"/>
      <c r="R96" s="190"/>
      <c r="S96" s="190">
        <v>94</v>
      </c>
      <c r="T96" s="190">
        <v>100</v>
      </c>
      <c r="U96" s="190"/>
      <c r="V96" s="190"/>
      <c r="W96" s="264"/>
      <c r="X96" s="264"/>
      <c r="Y96" s="264"/>
    </row>
    <row r="97" spans="12:25" x14ac:dyDescent="0.35">
      <c r="L97" s="190"/>
      <c r="M97" s="190"/>
      <c r="N97" s="190"/>
      <c r="O97" s="190"/>
      <c r="P97" s="190"/>
      <c r="Q97" s="190"/>
      <c r="R97" s="190"/>
      <c r="S97" s="190">
        <v>95</v>
      </c>
      <c r="T97" s="190">
        <v>100</v>
      </c>
      <c r="U97" s="190"/>
      <c r="V97" s="190"/>
      <c r="W97" s="264"/>
      <c r="X97" s="264"/>
      <c r="Y97" s="264"/>
    </row>
    <row r="98" spans="12:25" x14ac:dyDescent="0.35">
      <c r="L98" s="190"/>
      <c r="M98" s="190"/>
      <c r="N98" s="190"/>
      <c r="O98" s="190"/>
      <c r="P98" s="190"/>
      <c r="Q98" s="190"/>
      <c r="R98" s="190"/>
      <c r="S98" s="190">
        <v>96</v>
      </c>
      <c r="T98" s="190">
        <v>100</v>
      </c>
      <c r="U98" s="190"/>
      <c r="V98" s="190"/>
      <c r="W98" s="264"/>
      <c r="X98" s="264"/>
      <c r="Y98" s="264"/>
    </row>
    <row r="99" spans="12:25" x14ac:dyDescent="0.35">
      <c r="L99" s="190"/>
      <c r="M99" s="190"/>
      <c r="N99" s="190"/>
      <c r="O99" s="190"/>
      <c r="P99" s="190"/>
      <c r="Q99" s="190"/>
      <c r="R99" s="190"/>
      <c r="S99" s="190">
        <v>97</v>
      </c>
      <c r="T99" s="190">
        <v>100</v>
      </c>
      <c r="U99" s="190"/>
      <c r="V99" s="190"/>
      <c r="W99" s="264"/>
      <c r="X99" s="264"/>
      <c r="Y99" s="264"/>
    </row>
    <row r="100" spans="12:25" x14ac:dyDescent="0.35">
      <c r="L100" s="190"/>
      <c r="M100" s="190"/>
      <c r="N100" s="190"/>
      <c r="O100" s="190"/>
      <c r="P100" s="190"/>
      <c r="Q100" s="190"/>
      <c r="R100" s="190"/>
      <c r="S100" s="190">
        <v>98</v>
      </c>
      <c r="T100" s="190">
        <v>100</v>
      </c>
      <c r="U100" s="190"/>
      <c r="V100" s="190"/>
      <c r="W100" s="264"/>
      <c r="X100" s="264"/>
      <c r="Y100" s="264"/>
    </row>
    <row r="101" spans="12:25" x14ac:dyDescent="0.35">
      <c r="L101" s="190"/>
      <c r="M101" s="190"/>
      <c r="N101" s="190"/>
      <c r="O101" s="190"/>
      <c r="P101" s="190"/>
      <c r="Q101" s="190"/>
      <c r="R101" s="190"/>
      <c r="S101" s="190">
        <v>99</v>
      </c>
      <c r="T101" s="190">
        <v>100</v>
      </c>
      <c r="U101" s="190"/>
      <c r="V101" s="190"/>
      <c r="W101" s="264"/>
      <c r="X101" s="264"/>
      <c r="Y101" s="264"/>
    </row>
    <row r="102" spans="12:25" x14ac:dyDescent="0.35">
      <c r="L102" s="190"/>
      <c r="M102" s="190"/>
      <c r="N102" s="190"/>
      <c r="O102" s="190"/>
      <c r="P102" s="190"/>
      <c r="Q102" s="190"/>
      <c r="R102" s="190"/>
      <c r="S102" s="190">
        <v>100</v>
      </c>
      <c r="T102" s="190">
        <v>100</v>
      </c>
      <c r="U102" s="190">
        <v>100</v>
      </c>
      <c r="V102" s="190"/>
      <c r="W102" s="264"/>
      <c r="X102" s="264"/>
      <c r="Y102" s="264"/>
    </row>
    <row r="103" spans="12:25" x14ac:dyDescent="0.35">
      <c r="L103" s="190"/>
      <c r="M103" s="190"/>
      <c r="N103" s="190"/>
      <c r="O103" s="190"/>
      <c r="P103" s="190"/>
      <c r="Q103" s="190"/>
      <c r="R103" s="190"/>
      <c r="S103" s="190">
        <v>101</v>
      </c>
      <c r="T103" s="190">
        <v>150</v>
      </c>
      <c r="U103" s="190"/>
      <c r="V103" s="190"/>
      <c r="W103" s="264"/>
      <c r="X103" s="264"/>
      <c r="Y103" s="264"/>
    </row>
    <row r="104" spans="12:25" x14ac:dyDescent="0.35">
      <c r="L104" s="190"/>
      <c r="M104" s="190"/>
      <c r="N104" s="190"/>
      <c r="O104" s="190"/>
      <c r="P104" s="190"/>
      <c r="Q104" s="190"/>
      <c r="R104" s="190"/>
      <c r="S104" s="190">
        <v>102</v>
      </c>
      <c r="T104" s="190">
        <v>150</v>
      </c>
      <c r="U104" s="190"/>
      <c r="V104" s="190"/>
      <c r="W104" s="264"/>
      <c r="X104" s="264"/>
      <c r="Y104" s="264"/>
    </row>
    <row r="105" spans="12:25" x14ac:dyDescent="0.35">
      <c r="L105" s="190"/>
      <c r="M105" s="190"/>
      <c r="N105" s="190"/>
      <c r="O105" s="190"/>
      <c r="P105" s="190"/>
      <c r="Q105" s="190"/>
      <c r="R105" s="190"/>
      <c r="S105" s="190">
        <v>103</v>
      </c>
      <c r="T105" s="190">
        <v>150</v>
      </c>
      <c r="U105" s="190"/>
      <c r="V105" s="190"/>
      <c r="W105" s="264"/>
      <c r="X105" s="264"/>
      <c r="Y105" s="264"/>
    </row>
    <row r="106" spans="12:25" x14ac:dyDescent="0.35">
      <c r="L106" s="190"/>
      <c r="M106" s="190"/>
      <c r="N106" s="190"/>
      <c r="O106" s="190"/>
      <c r="P106" s="190"/>
      <c r="Q106" s="190"/>
      <c r="R106" s="190"/>
      <c r="S106" s="190">
        <v>104</v>
      </c>
      <c r="T106" s="190">
        <v>150</v>
      </c>
      <c r="U106" s="190"/>
      <c r="V106" s="190"/>
      <c r="W106" s="264"/>
      <c r="X106" s="264"/>
      <c r="Y106" s="264"/>
    </row>
    <row r="107" spans="12:25" x14ac:dyDescent="0.35">
      <c r="L107" s="190"/>
      <c r="M107" s="190"/>
      <c r="N107" s="190"/>
      <c r="O107" s="190"/>
      <c r="P107" s="190"/>
      <c r="Q107" s="190"/>
      <c r="R107" s="190"/>
      <c r="S107" s="190">
        <v>105</v>
      </c>
      <c r="T107" s="190">
        <v>150</v>
      </c>
      <c r="U107" s="190"/>
      <c r="V107" s="190"/>
      <c r="W107" s="264"/>
      <c r="X107" s="264"/>
      <c r="Y107" s="264"/>
    </row>
    <row r="108" spans="12:25" x14ac:dyDescent="0.35">
      <c r="L108" s="190"/>
      <c r="M108" s="190"/>
      <c r="N108" s="190"/>
      <c r="O108" s="190"/>
      <c r="P108" s="190"/>
      <c r="Q108" s="190"/>
      <c r="R108" s="190"/>
      <c r="S108" s="190">
        <v>106</v>
      </c>
      <c r="T108" s="190">
        <v>150</v>
      </c>
      <c r="U108" s="190"/>
      <c r="V108" s="190"/>
      <c r="W108" s="264"/>
      <c r="X108" s="264"/>
      <c r="Y108" s="264"/>
    </row>
    <row r="109" spans="12:25" x14ac:dyDescent="0.35">
      <c r="L109" s="190"/>
      <c r="M109" s="190"/>
      <c r="N109" s="190"/>
      <c r="O109" s="190"/>
      <c r="P109" s="190"/>
      <c r="Q109" s="190"/>
      <c r="R109" s="190"/>
      <c r="S109" s="190">
        <v>107</v>
      </c>
      <c r="T109" s="190">
        <v>150</v>
      </c>
      <c r="U109" s="190"/>
      <c r="V109" s="190"/>
      <c r="W109" s="264"/>
      <c r="X109" s="264"/>
      <c r="Y109" s="264"/>
    </row>
    <row r="110" spans="12:25" x14ac:dyDescent="0.35">
      <c r="L110" s="190"/>
      <c r="M110" s="190"/>
      <c r="N110" s="190"/>
      <c r="O110" s="190"/>
      <c r="P110" s="190"/>
      <c r="Q110" s="190"/>
      <c r="R110" s="190"/>
      <c r="S110" s="190">
        <v>108</v>
      </c>
      <c r="T110" s="190">
        <v>150</v>
      </c>
      <c r="U110" s="190"/>
      <c r="V110" s="190"/>
      <c r="W110" s="264"/>
      <c r="X110" s="264"/>
      <c r="Y110" s="264"/>
    </row>
    <row r="111" spans="12:25" x14ac:dyDescent="0.35">
      <c r="L111" s="190"/>
      <c r="M111" s="190"/>
      <c r="N111" s="190"/>
      <c r="O111" s="190"/>
      <c r="P111" s="190"/>
      <c r="Q111" s="190"/>
      <c r="R111" s="190"/>
      <c r="S111" s="190">
        <v>109</v>
      </c>
      <c r="T111" s="190">
        <v>150</v>
      </c>
      <c r="U111" s="190"/>
      <c r="V111" s="190"/>
      <c r="W111" s="264"/>
      <c r="X111" s="264"/>
      <c r="Y111" s="264"/>
    </row>
    <row r="112" spans="12:25" x14ac:dyDescent="0.35">
      <c r="L112" s="190"/>
      <c r="M112" s="190"/>
      <c r="N112" s="190"/>
      <c r="O112" s="190"/>
      <c r="P112" s="190"/>
      <c r="Q112" s="190"/>
      <c r="R112" s="190"/>
      <c r="S112" s="190">
        <v>110</v>
      </c>
      <c r="T112" s="190">
        <v>150</v>
      </c>
      <c r="U112" s="190"/>
      <c r="V112" s="190"/>
      <c r="W112" s="264"/>
      <c r="X112" s="264"/>
      <c r="Y112" s="264"/>
    </row>
    <row r="113" spans="12:25" x14ac:dyDescent="0.35">
      <c r="L113" s="190"/>
      <c r="M113" s="190"/>
      <c r="N113" s="190"/>
      <c r="O113" s="190"/>
      <c r="P113" s="190"/>
      <c r="Q113" s="190"/>
      <c r="R113" s="190"/>
      <c r="S113" s="190">
        <v>111</v>
      </c>
      <c r="T113" s="190">
        <v>150</v>
      </c>
      <c r="U113" s="190"/>
      <c r="V113" s="190"/>
      <c r="W113" s="264"/>
      <c r="X113" s="264"/>
      <c r="Y113" s="264"/>
    </row>
    <row r="114" spans="12:25" x14ac:dyDescent="0.35">
      <c r="L114" s="190"/>
      <c r="M114" s="190"/>
      <c r="N114" s="190"/>
      <c r="O114" s="190"/>
      <c r="P114" s="190"/>
      <c r="Q114" s="190"/>
      <c r="R114" s="190"/>
      <c r="S114" s="190">
        <v>112</v>
      </c>
      <c r="T114" s="190">
        <v>150</v>
      </c>
      <c r="U114" s="190"/>
      <c r="V114" s="190"/>
      <c r="W114" s="264"/>
      <c r="X114" s="264"/>
      <c r="Y114" s="264"/>
    </row>
    <row r="115" spans="12:25" x14ac:dyDescent="0.35">
      <c r="L115" s="190"/>
      <c r="M115" s="190"/>
      <c r="N115" s="190"/>
      <c r="O115" s="190"/>
      <c r="P115" s="190"/>
      <c r="Q115" s="190"/>
      <c r="R115" s="190"/>
      <c r="S115" s="190">
        <v>113</v>
      </c>
      <c r="T115" s="190">
        <v>150</v>
      </c>
      <c r="U115" s="190"/>
      <c r="V115" s="190"/>
      <c r="W115" s="264"/>
      <c r="X115" s="264"/>
      <c r="Y115" s="264"/>
    </row>
    <row r="116" spans="12:25" x14ac:dyDescent="0.35">
      <c r="L116" s="190"/>
      <c r="M116" s="190"/>
      <c r="N116" s="190"/>
      <c r="O116" s="190"/>
      <c r="P116" s="190"/>
      <c r="Q116" s="190"/>
      <c r="R116" s="190"/>
      <c r="S116" s="190">
        <v>114</v>
      </c>
      <c r="T116" s="190">
        <v>150</v>
      </c>
      <c r="U116" s="190"/>
      <c r="V116" s="190"/>
      <c r="W116" s="264"/>
      <c r="X116" s="264"/>
      <c r="Y116" s="264"/>
    </row>
    <row r="117" spans="12:25" x14ac:dyDescent="0.35">
      <c r="L117" s="190"/>
      <c r="M117" s="190"/>
      <c r="N117" s="190"/>
      <c r="O117" s="190"/>
      <c r="P117" s="190"/>
      <c r="Q117" s="190"/>
      <c r="R117" s="190"/>
      <c r="S117" s="190">
        <v>115</v>
      </c>
      <c r="T117" s="190">
        <v>150</v>
      </c>
      <c r="U117" s="190"/>
      <c r="V117" s="190"/>
      <c r="W117" s="264"/>
      <c r="X117" s="264"/>
      <c r="Y117" s="264"/>
    </row>
    <row r="118" spans="12:25" x14ac:dyDescent="0.35">
      <c r="L118" s="190"/>
      <c r="M118" s="190"/>
      <c r="N118" s="190"/>
      <c r="O118" s="190"/>
      <c r="P118" s="190"/>
      <c r="Q118" s="190"/>
      <c r="R118" s="190"/>
      <c r="S118" s="190">
        <v>116</v>
      </c>
      <c r="T118" s="190">
        <v>150</v>
      </c>
      <c r="U118" s="190"/>
      <c r="V118" s="190"/>
      <c r="W118" s="264"/>
      <c r="X118" s="264"/>
      <c r="Y118" s="264"/>
    </row>
    <row r="119" spans="12:25" x14ac:dyDescent="0.35">
      <c r="L119" s="190"/>
      <c r="M119" s="190"/>
      <c r="N119" s="190"/>
      <c r="O119" s="190"/>
      <c r="P119" s="190"/>
      <c r="Q119" s="190"/>
      <c r="R119" s="190"/>
      <c r="S119" s="190">
        <v>117</v>
      </c>
      <c r="T119" s="190">
        <v>150</v>
      </c>
      <c r="U119" s="190"/>
      <c r="V119" s="190"/>
      <c r="W119" s="264"/>
      <c r="X119" s="264"/>
      <c r="Y119" s="264"/>
    </row>
    <row r="120" spans="12:25" x14ac:dyDescent="0.35">
      <c r="L120" s="190"/>
      <c r="M120" s="190"/>
      <c r="N120" s="190"/>
      <c r="O120" s="190"/>
      <c r="P120" s="190"/>
      <c r="Q120" s="190"/>
      <c r="R120" s="190"/>
      <c r="S120" s="190">
        <v>118</v>
      </c>
      <c r="T120" s="190">
        <v>150</v>
      </c>
      <c r="U120" s="190"/>
      <c r="V120" s="190"/>
      <c r="W120" s="264"/>
      <c r="X120" s="264"/>
      <c r="Y120" s="264"/>
    </row>
    <row r="121" spans="12:25" x14ac:dyDescent="0.35">
      <c r="L121" s="190"/>
      <c r="M121" s="190"/>
      <c r="N121" s="190"/>
      <c r="O121" s="190"/>
      <c r="P121" s="190"/>
      <c r="Q121" s="190"/>
      <c r="R121" s="190"/>
      <c r="S121" s="190">
        <v>119</v>
      </c>
      <c r="T121" s="190">
        <v>150</v>
      </c>
      <c r="U121" s="190"/>
      <c r="V121" s="190"/>
      <c r="W121" s="264"/>
      <c r="X121" s="264"/>
      <c r="Y121" s="264"/>
    </row>
    <row r="122" spans="12:25" x14ac:dyDescent="0.35">
      <c r="L122" s="190"/>
      <c r="M122" s="190"/>
      <c r="N122" s="190"/>
      <c r="O122" s="190"/>
      <c r="P122" s="190"/>
      <c r="Q122" s="190"/>
      <c r="R122" s="190"/>
      <c r="S122" s="190">
        <v>120</v>
      </c>
      <c r="T122" s="190">
        <v>150</v>
      </c>
      <c r="U122" s="190"/>
      <c r="V122" s="190"/>
      <c r="W122" s="264"/>
      <c r="X122" s="264"/>
      <c r="Y122" s="264"/>
    </row>
    <row r="123" spans="12:25" x14ac:dyDescent="0.35">
      <c r="L123" s="190"/>
      <c r="M123" s="190"/>
      <c r="N123" s="190"/>
      <c r="O123" s="190"/>
      <c r="P123" s="190"/>
      <c r="Q123" s="190"/>
      <c r="R123" s="190"/>
      <c r="S123" s="190">
        <v>121</v>
      </c>
      <c r="T123" s="190">
        <v>150</v>
      </c>
      <c r="U123" s="190"/>
      <c r="V123" s="190"/>
      <c r="W123" s="264"/>
      <c r="X123" s="264"/>
      <c r="Y123" s="264"/>
    </row>
    <row r="124" spans="12:25" x14ac:dyDescent="0.35">
      <c r="L124" s="190"/>
      <c r="M124" s="190"/>
      <c r="N124" s="190"/>
      <c r="O124" s="190"/>
      <c r="P124" s="190"/>
      <c r="Q124" s="190"/>
      <c r="R124" s="190"/>
      <c r="S124" s="190">
        <v>122</v>
      </c>
      <c r="T124" s="190">
        <v>150</v>
      </c>
      <c r="U124" s="190"/>
      <c r="V124" s="190"/>
      <c r="W124" s="264"/>
      <c r="X124" s="264"/>
      <c r="Y124" s="264"/>
    </row>
    <row r="125" spans="12:25" x14ac:dyDescent="0.35">
      <c r="L125" s="190"/>
      <c r="M125" s="190"/>
      <c r="N125" s="190"/>
      <c r="O125" s="190"/>
      <c r="P125" s="190"/>
      <c r="Q125" s="190"/>
      <c r="R125" s="190"/>
      <c r="S125" s="190">
        <v>123</v>
      </c>
      <c r="T125" s="190">
        <v>150</v>
      </c>
      <c r="U125" s="190"/>
      <c r="V125" s="190"/>
      <c r="W125" s="264"/>
      <c r="X125" s="264"/>
      <c r="Y125" s="264"/>
    </row>
    <row r="126" spans="12:25" x14ac:dyDescent="0.35">
      <c r="L126" s="190"/>
      <c r="M126" s="190"/>
      <c r="N126" s="190"/>
      <c r="O126" s="190"/>
      <c r="P126" s="190"/>
      <c r="Q126" s="190"/>
      <c r="R126" s="190"/>
      <c r="S126" s="190">
        <v>124</v>
      </c>
      <c r="T126" s="190">
        <v>150</v>
      </c>
      <c r="U126" s="190"/>
      <c r="V126" s="190"/>
      <c r="W126" s="264"/>
      <c r="X126" s="264"/>
      <c r="Y126" s="264"/>
    </row>
    <row r="127" spans="12:25" x14ac:dyDescent="0.35">
      <c r="L127" s="190"/>
      <c r="M127" s="190"/>
      <c r="N127" s="190"/>
      <c r="O127" s="190"/>
      <c r="P127" s="190"/>
      <c r="Q127" s="190"/>
      <c r="R127" s="190"/>
      <c r="S127" s="190">
        <v>125</v>
      </c>
      <c r="T127" s="190">
        <v>150</v>
      </c>
      <c r="U127" s="190"/>
      <c r="V127" s="190"/>
      <c r="W127" s="264"/>
      <c r="X127" s="264"/>
      <c r="Y127" s="264"/>
    </row>
    <row r="128" spans="12:25" x14ac:dyDescent="0.35">
      <c r="L128" s="190"/>
      <c r="M128" s="190"/>
      <c r="N128" s="190"/>
      <c r="O128" s="190"/>
      <c r="P128" s="190"/>
      <c r="Q128" s="190"/>
      <c r="R128" s="190"/>
      <c r="S128" s="190">
        <v>126</v>
      </c>
      <c r="T128" s="190">
        <v>150</v>
      </c>
      <c r="U128" s="190"/>
      <c r="V128" s="190"/>
      <c r="W128" s="264"/>
      <c r="X128" s="264"/>
      <c r="Y128" s="264"/>
    </row>
    <row r="129" spans="12:25" x14ac:dyDescent="0.35">
      <c r="L129" s="190"/>
      <c r="M129" s="190"/>
      <c r="N129" s="190"/>
      <c r="O129" s="190"/>
      <c r="P129" s="190"/>
      <c r="Q129" s="190"/>
      <c r="R129" s="190"/>
      <c r="S129" s="190">
        <v>127</v>
      </c>
      <c r="T129" s="190">
        <v>150</v>
      </c>
      <c r="U129" s="190"/>
      <c r="V129" s="190"/>
      <c r="W129" s="264"/>
      <c r="X129" s="264"/>
      <c r="Y129" s="264"/>
    </row>
    <row r="130" spans="12:25" x14ac:dyDescent="0.35">
      <c r="L130" s="190"/>
      <c r="M130" s="190"/>
      <c r="N130" s="190"/>
      <c r="O130" s="190"/>
      <c r="P130" s="190"/>
      <c r="Q130" s="190"/>
      <c r="R130" s="190"/>
      <c r="S130" s="190">
        <v>128</v>
      </c>
      <c r="T130" s="190">
        <v>150</v>
      </c>
      <c r="U130" s="190"/>
      <c r="V130" s="190"/>
      <c r="W130" s="264"/>
      <c r="X130" s="264"/>
      <c r="Y130" s="264"/>
    </row>
    <row r="131" spans="12:25" x14ac:dyDescent="0.35">
      <c r="L131" s="190"/>
      <c r="M131" s="190"/>
      <c r="N131" s="190"/>
      <c r="O131" s="190"/>
      <c r="P131" s="190"/>
      <c r="Q131" s="190"/>
      <c r="R131" s="190"/>
      <c r="S131" s="190">
        <v>129</v>
      </c>
      <c r="T131" s="190">
        <v>150</v>
      </c>
      <c r="U131" s="190"/>
      <c r="V131" s="190"/>
      <c r="W131" s="264"/>
      <c r="X131" s="264"/>
      <c r="Y131" s="264"/>
    </row>
    <row r="132" spans="12:25" x14ac:dyDescent="0.35">
      <c r="L132" s="190"/>
      <c r="M132" s="190"/>
      <c r="N132" s="190"/>
      <c r="O132" s="190"/>
      <c r="P132" s="190"/>
      <c r="Q132" s="190"/>
      <c r="R132" s="190"/>
      <c r="S132" s="190">
        <v>130</v>
      </c>
      <c r="T132" s="190">
        <v>150</v>
      </c>
      <c r="U132" s="190"/>
      <c r="V132" s="190"/>
      <c r="W132" s="264"/>
      <c r="X132" s="264"/>
      <c r="Y132" s="264"/>
    </row>
    <row r="133" spans="12:25" x14ac:dyDescent="0.35">
      <c r="L133" s="190"/>
      <c r="M133" s="190"/>
      <c r="N133" s="190"/>
      <c r="O133" s="190"/>
      <c r="P133" s="190"/>
      <c r="Q133" s="190"/>
      <c r="R133" s="190"/>
      <c r="S133" s="190">
        <v>131</v>
      </c>
      <c r="T133" s="190">
        <v>150</v>
      </c>
      <c r="U133" s="190"/>
      <c r="V133" s="190"/>
      <c r="W133" s="264"/>
      <c r="X133" s="264"/>
      <c r="Y133" s="264"/>
    </row>
    <row r="134" spans="12:25" x14ac:dyDescent="0.35">
      <c r="L134" s="190"/>
      <c r="M134" s="190"/>
      <c r="N134" s="190"/>
      <c r="O134" s="190"/>
      <c r="P134" s="190"/>
      <c r="Q134" s="190"/>
      <c r="R134" s="190"/>
      <c r="S134" s="190">
        <v>132</v>
      </c>
      <c r="T134" s="190">
        <v>150</v>
      </c>
      <c r="U134" s="190"/>
      <c r="V134" s="190"/>
      <c r="W134" s="264"/>
      <c r="X134" s="264"/>
      <c r="Y134" s="264"/>
    </row>
    <row r="135" spans="12:25" x14ac:dyDescent="0.35">
      <c r="L135" s="190"/>
      <c r="M135" s="190"/>
      <c r="N135" s="190"/>
      <c r="O135" s="190"/>
      <c r="P135" s="190"/>
      <c r="Q135" s="190"/>
      <c r="R135" s="190"/>
      <c r="S135" s="190">
        <v>133</v>
      </c>
      <c r="T135" s="190">
        <v>150</v>
      </c>
      <c r="U135" s="190"/>
      <c r="V135" s="190"/>
      <c r="W135" s="264"/>
      <c r="X135" s="264"/>
      <c r="Y135" s="264"/>
    </row>
    <row r="136" spans="12:25" x14ac:dyDescent="0.35">
      <c r="L136" s="190"/>
      <c r="M136" s="190"/>
      <c r="N136" s="190"/>
      <c r="O136" s="190"/>
      <c r="P136" s="190"/>
      <c r="Q136" s="190"/>
      <c r="R136" s="190"/>
      <c r="S136" s="190">
        <v>134</v>
      </c>
      <c r="T136" s="190">
        <v>150</v>
      </c>
      <c r="U136" s="190"/>
      <c r="V136" s="190"/>
      <c r="W136" s="264"/>
      <c r="X136" s="264"/>
      <c r="Y136" s="264"/>
    </row>
    <row r="137" spans="12:25" x14ac:dyDescent="0.35">
      <c r="L137" s="190"/>
      <c r="M137" s="190"/>
      <c r="N137" s="190"/>
      <c r="O137" s="190"/>
      <c r="P137" s="190"/>
      <c r="Q137" s="190"/>
      <c r="R137" s="190"/>
      <c r="S137" s="190">
        <v>135</v>
      </c>
      <c r="T137" s="190">
        <v>150</v>
      </c>
      <c r="U137" s="190"/>
      <c r="V137" s="190"/>
      <c r="W137" s="264"/>
      <c r="X137" s="264"/>
      <c r="Y137" s="264"/>
    </row>
    <row r="138" spans="12:25" x14ac:dyDescent="0.35">
      <c r="L138" s="190"/>
      <c r="M138" s="190"/>
      <c r="N138" s="190"/>
      <c r="O138" s="190"/>
      <c r="P138" s="190"/>
      <c r="Q138" s="190"/>
      <c r="R138" s="190"/>
      <c r="S138" s="190">
        <v>136</v>
      </c>
      <c r="T138" s="190">
        <v>150</v>
      </c>
      <c r="U138" s="190"/>
      <c r="V138" s="190"/>
      <c r="W138" s="264"/>
      <c r="X138" s="264"/>
      <c r="Y138" s="264"/>
    </row>
    <row r="139" spans="12:25" x14ac:dyDescent="0.35">
      <c r="L139" s="190"/>
      <c r="M139" s="190"/>
      <c r="N139" s="190"/>
      <c r="O139" s="190"/>
      <c r="P139" s="190"/>
      <c r="Q139" s="190"/>
      <c r="R139" s="190"/>
      <c r="S139" s="190">
        <v>137</v>
      </c>
      <c r="T139" s="190">
        <v>150</v>
      </c>
      <c r="U139" s="190"/>
      <c r="V139" s="190"/>
      <c r="W139" s="264"/>
      <c r="X139" s="264"/>
      <c r="Y139" s="264"/>
    </row>
    <row r="140" spans="12:25" x14ac:dyDescent="0.35">
      <c r="L140" s="190"/>
      <c r="M140" s="190"/>
      <c r="N140" s="190"/>
      <c r="O140" s="190"/>
      <c r="P140" s="190"/>
      <c r="Q140" s="190"/>
      <c r="R140" s="190"/>
      <c r="S140" s="190">
        <v>138</v>
      </c>
      <c r="T140" s="190">
        <v>150</v>
      </c>
      <c r="U140" s="190"/>
      <c r="V140" s="190"/>
      <c r="W140" s="264"/>
      <c r="X140" s="264"/>
      <c r="Y140" s="264"/>
    </row>
    <row r="141" spans="12:25" x14ac:dyDescent="0.35">
      <c r="L141" s="190"/>
      <c r="M141" s="190"/>
      <c r="N141" s="190"/>
      <c r="O141" s="190"/>
      <c r="P141" s="190"/>
      <c r="Q141" s="190"/>
      <c r="R141" s="190"/>
      <c r="S141" s="190">
        <v>139</v>
      </c>
      <c r="T141" s="190">
        <v>150</v>
      </c>
      <c r="U141" s="190"/>
      <c r="V141" s="190"/>
      <c r="W141" s="264"/>
      <c r="X141" s="264"/>
      <c r="Y141" s="264"/>
    </row>
    <row r="142" spans="12:25" x14ac:dyDescent="0.35">
      <c r="L142" s="190"/>
      <c r="M142" s="190"/>
      <c r="N142" s="190"/>
      <c r="O142" s="190"/>
      <c r="P142" s="190"/>
      <c r="Q142" s="190"/>
      <c r="R142" s="190"/>
      <c r="S142" s="190">
        <v>140</v>
      </c>
      <c r="T142" s="190">
        <v>150</v>
      </c>
      <c r="U142" s="190"/>
      <c r="V142" s="190"/>
      <c r="W142" s="264"/>
      <c r="X142" s="264"/>
      <c r="Y142" s="264"/>
    </row>
    <row r="143" spans="12:25" x14ac:dyDescent="0.35">
      <c r="L143" s="190"/>
      <c r="M143" s="190"/>
      <c r="N143" s="190"/>
      <c r="O143" s="190"/>
      <c r="P143" s="190"/>
      <c r="Q143" s="190"/>
      <c r="R143" s="190"/>
      <c r="S143" s="190">
        <v>141</v>
      </c>
      <c r="T143" s="190">
        <v>150</v>
      </c>
      <c r="U143" s="190"/>
      <c r="V143" s="190"/>
      <c r="W143" s="264"/>
      <c r="X143" s="264"/>
      <c r="Y143" s="264"/>
    </row>
    <row r="144" spans="12:25" x14ac:dyDescent="0.35">
      <c r="L144" s="190"/>
      <c r="M144" s="190"/>
      <c r="N144" s="190"/>
      <c r="O144" s="190"/>
      <c r="P144" s="190"/>
      <c r="Q144" s="190"/>
      <c r="R144" s="190"/>
      <c r="S144" s="190">
        <v>142</v>
      </c>
      <c r="T144" s="190">
        <v>150</v>
      </c>
      <c r="U144" s="190"/>
      <c r="V144" s="190"/>
      <c r="W144" s="264"/>
      <c r="X144" s="264"/>
      <c r="Y144" s="264"/>
    </row>
    <row r="145" spans="12:25" x14ac:dyDescent="0.35">
      <c r="L145" s="190"/>
      <c r="M145" s="190"/>
      <c r="N145" s="190"/>
      <c r="O145" s="190"/>
      <c r="P145" s="190"/>
      <c r="Q145" s="190"/>
      <c r="R145" s="190"/>
      <c r="S145" s="190">
        <v>143</v>
      </c>
      <c r="T145" s="190">
        <v>150</v>
      </c>
      <c r="U145" s="190"/>
      <c r="V145" s="190"/>
      <c r="W145" s="264"/>
      <c r="X145" s="264"/>
      <c r="Y145" s="264"/>
    </row>
    <row r="146" spans="12:25" x14ac:dyDescent="0.35">
      <c r="L146" s="190"/>
      <c r="M146" s="190"/>
      <c r="N146" s="190"/>
      <c r="O146" s="190"/>
      <c r="P146" s="190"/>
      <c r="Q146" s="190"/>
      <c r="R146" s="190"/>
      <c r="S146" s="190">
        <v>144</v>
      </c>
      <c r="T146" s="190">
        <v>150</v>
      </c>
      <c r="U146" s="190"/>
      <c r="V146" s="190"/>
      <c r="W146" s="264"/>
      <c r="X146" s="264"/>
      <c r="Y146" s="264"/>
    </row>
    <row r="147" spans="12:25" x14ac:dyDescent="0.35">
      <c r="L147" s="190"/>
      <c r="M147" s="190"/>
      <c r="N147" s="190"/>
      <c r="O147" s="190"/>
      <c r="P147" s="190"/>
      <c r="Q147" s="190"/>
      <c r="R147" s="190"/>
      <c r="S147" s="190">
        <v>145</v>
      </c>
      <c r="T147" s="190">
        <v>150</v>
      </c>
      <c r="U147" s="190"/>
      <c r="V147" s="190"/>
      <c r="W147" s="264"/>
      <c r="X147" s="264"/>
      <c r="Y147" s="264"/>
    </row>
    <row r="148" spans="12:25" x14ac:dyDescent="0.35">
      <c r="L148" s="190"/>
      <c r="M148" s="190"/>
      <c r="N148" s="190"/>
      <c r="O148" s="190"/>
      <c r="P148" s="190"/>
      <c r="Q148" s="190"/>
      <c r="R148" s="190"/>
      <c r="S148" s="190">
        <v>146</v>
      </c>
      <c r="T148" s="190">
        <v>150</v>
      </c>
      <c r="U148" s="190"/>
      <c r="V148" s="190"/>
      <c r="W148" s="264"/>
      <c r="X148" s="264"/>
      <c r="Y148" s="264"/>
    </row>
    <row r="149" spans="12:25" x14ac:dyDescent="0.35">
      <c r="L149" s="190"/>
      <c r="M149" s="190"/>
      <c r="N149" s="190"/>
      <c r="O149" s="190"/>
      <c r="P149" s="190"/>
      <c r="Q149" s="190"/>
      <c r="R149" s="190"/>
      <c r="S149" s="190">
        <v>147</v>
      </c>
      <c r="T149" s="190">
        <v>150</v>
      </c>
      <c r="U149" s="190"/>
      <c r="V149" s="190"/>
      <c r="W149" s="264"/>
      <c r="X149" s="264"/>
      <c r="Y149" s="264"/>
    </row>
    <row r="150" spans="12:25" x14ac:dyDescent="0.35">
      <c r="L150" s="190"/>
      <c r="M150" s="190"/>
      <c r="N150" s="190"/>
      <c r="O150" s="190"/>
      <c r="P150" s="190"/>
      <c r="Q150" s="190"/>
      <c r="R150" s="190"/>
      <c r="S150" s="190">
        <v>148</v>
      </c>
      <c r="T150" s="190">
        <v>150</v>
      </c>
      <c r="U150" s="190"/>
      <c r="V150" s="190"/>
      <c r="W150" s="264"/>
      <c r="X150" s="264"/>
      <c r="Y150" s="264"/>
    </row>
    <row r="151" spans="12:25" x14ac:dyDescent="0.35">
      <c r="L151" s="190"/>
      <c r="M151" s="190"/>
      <c r="N151" s="190"/>
      <c r="O151" s="190"/>
      <c r="P151" s="190"/>
      <c r="Q151" s="190"/>
      <c r="R151" s="190"/>
      <c r="S151" s="190">
        <v>149</v>
      </c>
      <c r="T151" s="190">
        <v>150</v>
      </c>
      <c r="U151" s="190"/>
      <c r="V151" s="190"/>
      <c r="W151" s="264"/>
      <c r="X151" s="264"/>
      <c r="Y151" s="264"/>
    </row>
    <row r="152" spans="12:25" x14ac:dyDescent="0.35">
      <c r="L152" s="190"/>
      <c r="M152" s="190"/>
      <c r="N152" s="190"/>
      <c r="O152" s="190"/>
      <c r="P152" s="190"/>
      <c r="Q152" s="190"/>
      <c r="R152" s="190"/>
      <c r="S152" s="190">
        <v>150</v>
      </c>
      <c r="T152" s="190">
        <v>150</v>
      </c>
      <c r="U152" s="190">
        <v>150</v>
      </c>
      <c r="V152" s="190"/>
      <c r="W152" s="264"/>
      <c r="X152" s="264"/>
      <c r="Y152" s="264"/>
    </row>
    <row r="153" spans="12:25" x14ac:dyDescent="0.35">
      <c r="L153" s="190"/>
      <c r="M153" s="190"/>
      <c r="N153" s="190"/>
      <c r="O153" s="190"/>
      <c r="P153" s="190"/>
      <c r="Q153" s="190"/>
      <c r="R153" s="190"/>
      <c r="S153" s="190">
        <v>151</v>
      </c>
      <c r="T153" s="190">
        <v>150</v>
      </c>
      <c r="U153" s="190"/>
      <c r="V153" s="190"/>
      <c r="W153" s="264"/>
      <c r="X153" s="264"/>
      <c r="Y153" s="264"/>
    </row>
    <row r="154" spans="12:25" x14ac:dyDescent="0.35">
      <c r="L154" s="190"/>
      <c r="M154" s="190"/>
      <c r="N154" s="190"/>
      <c r="O154" s="190"/>
      <c r="P154" s="190"/>
      <c r="Q154" s="190"/>
      <c r="R154" s="190"/>
      <c r="S154" s="190">
        <v>152</v>
      </c>
      <c r="T154" s="190">
        <v>150</v>
      </c>
      <c r="U154" s="190"/>
      <c r="V154" s="190"/>
      <c r="W154" s="264"/>
      <c r="X154" s="264"/>
      <c r="Y154" s="264"/>
    </row>
    <row r="155" spans="12:25" x14ac:dyDescent="0.35">
      <c r="L155" s="190"/>
      <c r="M155" s="190"/>
      <c r="N155" s="190"/>
      <c r="O155" s="190"/>
      <c r="P155" s="190"/>
      <c r="Q155" s="190"/>
      <c r="R155" s="190"/>
      <c r="S155" s="190">
        <v>153</v>
      </c>
      <c r="T155" s="190">
        <v>150</v>
      </c>
      <c r="U155" s="190"/>
      <c r="V155" s="190"/>
      <c r="W155" s="264"/>
      <c r="X155" s="264"/>
      <c r="Y155" s="264"/>
    </row>
    <row r="156" spans="12:25" x14ac:dyDescent="0.35">
      <c r="L156" s="190"/>
      <c r="M156" s="190"/>
      <c r="N156" s="190"/>
      <c r="O156" s="190"/>
      <c r="P156" s="190"/>
      <c r="Q156" s="190"/>
      <c r="R156" s="190"/>
      <c r="S156" s="190">
        <v>154</v>
      </c>
      <c r="T156" s="190">
        <v>150</v>
      </c>
      <c r="U156" s="190"/>
      <c r="V156" s="190"/>
      <c r="W156" s="264"/>
      <c r="X156" s="264"/>
      <c r="Y156" s="264"/>
    </row>
    <row r="157" spans="12:25" x14ac:dyDescent="0.35">
      <c r="L157" s="190"/>
      <c r="M157" s="190"/>
      <c r="N157" s="190"/>
      <c r="O157" s="190"/>
      <c r="P157" s="190"/>
      <c r="Q157" s="190"/>
      <c r="R157" s="190"/>
      <c r="S157" s="190">
        <v>155</v>
      </c>
      <c r="T157" s="190">
        <v>150</v>
      </c>
      <c r="U157" s="190"/>
      <c r="V157" s="190"/>
      <c r="W157" s="264"/>
      <c r="X157" s="264"/>
      <c r="Y157" s="264"/>
    </row>
    <row r="158" spans="12:25" x14ac:dyDescent="0.35">
      <c r="L158" s="190"/>
      <c r="M158" s="190"/>
      <c r="N158" s="190"/>
      <c r="O158" s="190"/>
      <c r="P158" s="190"/>
      <c r="Q158" s="190"/>
      <c r="R158" s="190"/>
      <c r="S158" s="190">
        <v>156</v>
      </c>
      <c r="T158" s="190">
        <v>150</v>
      </c>
      <c r="U158" s="190"/>
      <c r="V158" s="190"/>
      <c r="W158" s="264"/>
      <c r="X158" s="264"/>
      <c r="Y158" s="264"/>
    </row>
    <row r="159" spans="12:25" x14ac:dyDescent="0.35">
      <c r="L159" s="190"/>
      <c r="M159" s="190"/>
      <c r="N159" s="190"/>
      <c r="O159" s="190"/>
      <c r="P159" s="190"/>
      <c r="Q159" s="190"/>
      <c r="R159" s="190"/>
      <c r="S159" s="190">
        <v>157</v>
      </c>
      <c r="T159" s="190">
        <v>150</v>
      </c>
      <c r="U159" s="190"/>
      <c r="V159" s="190"/>
      <c r="W159" s="264"/>
      <c r="X159" s="264"/>
      <c r="Y159" s="264"/>
    </row>
    <row r="160" spans="12:25" x14ac:dyDescent="0.35">
      <c r="L160" s="190"/>
      <c r="M160" s="190"/>
      <c r="N160" s="190"/>
      <c r="O160" s="190"/>
      <c r="P160" s="190"/>
      <c r="Q160" s="190"/>
      <c r="R160" s="190"/>
      <c r="S160" s="190">
        <v>158</v>
      </c>
      <c r="T160" s="190">
        <v>150</v>
      </c>
      <c r="U160" s="190"/>
      <c r="V160" s="190"/>
      <c r="W160" s="264"/>
      <c r="X160" s="264"/>
      <c r="Y160" s="264"/>
    </row>
    <row r="161" spans="12:25" x14ac:dyDescent="0.35">
      <c r="L161" s="190"/>
      <c r="M161" s="190"/>
      <c r="N161" s="190"/>
      <c r="O161" s="190"/>
      <c r="P161" s="190"/>
      <c r="Q161" s="190"/>
      <c r="R161" s="190"/>
      <c r="S161" s="190">
        <v>159</v>
      </c>
      <c r="T161" s="190">
        <v>150</v>
      </c>
      <c r="U161" s="190"/>
      <c r="V161" s="190"/>
      <c r="W161" s="264"/>
      <c r="X161" s="264"/>
      <c r="Y161" s="264"/>
    </row>
    <row r="162" spans="12:25" x14ac:dyDescent="0.35">
      <c r="L162" s="190"/>
      <c r="M162" s="190"/>
      <c r="N162" s="190"/>
      <c r="O162" s="190"/>
      <c r="P162" s="190"/>
      <c r="Q162" s="190"/>
      <c r="R162" s="190"/>
      <c r="S162" s="190">
        <v>160</v>
      </c>
      <c r="T162" s="190">
        <v>150</v>
      </c>
      <c r="U162" s="190"/>
      <c r="V162" s="190"/>
      <c r="W162" s="264"/>
      <c r="X162" s="264"/>
      <c r="Y162" s="264"/>
    </row>
    <row r="163" spans="12:25" x14ac:dyDescent="0.35">
      <c r="L163" s="190"/>
      <c r="M163" s="190"/>
      <c r="N163" s="190"/>
      <c r="O163" s="190"/>
      <c r="P163" s="190"/>
      <c r="Q163" s="190"/>
      <c r="R163" s="190"/>
      <c r="S163" s="190">
        <v>161</v>
      </c>
      <c r="T163" s="190">
        <v>150</v>
      </c>
      <c r="U163" s="190"/>
      <c r="V163" s="190"/>
      <c r="W163" s="264"/>
      <c r="X163" s="264"/>
      <c r="Y163" s="264"/>
    </row>
    <row r="164" spans="12:25" x14ac:dyDescent="0.35">
      <c r="L164" s="190"/>
      <c r="M164" s="190"/>
      <c r="N164" s="190"/>
      <c r="O164" s="190"/>
      <c r="P164" s="190"/>
      <c r="Q164" s="190"/>
      <c r="R164" s="190"/>
      <c r="S164" s="190">
        <v>162</v>
      </c>
      <c r="T164" s="190">
        <v>150</v>
      </c>
      <c r="U164" s="190"/>
      <c r="V164" s="190"/>
      <c r="W164" s="264"/>
      <c r="X164" s="264"/>
      <c r="Y164" s="264"/>
    </row>
    <row r="165" spans="12:25" x14ac:dyDescent="0.35">
      <c r="L165" s="190"/>
      <c r="M165" s="190"/>
      <c r="N165" s="190"/>
      <c r="O165" s="190"/>
      <c r="P165" s="190"/>
      <c r="Q165" s="190"/>
      <c r="R165" s="190"/>
      <c r="S165" s="190">
        <v>163</v>
      </c>
      <c r="T165" s="190">
        <v>150</v>
      </c>
      <c r="U165" s="190"/>
      <c r="V165" s="190"/>
      <c r="W165" s="264"/>
      <c r="X165" s="264"/>
      <c r="Y165" s="264"/>
    </row>
    <row r="166" spans="12:25" x14ac:dyDescent="0.35">
      <c r="L166" s="190"/>
      <c r="M166" s="190"/>
      <c r="N166" s="190"/>
      <c r="O166" s="190"/>
      <c r="P166" s="190"/>
      <c r="Q166" s="190"/>
      <c r="R166" s="190"/>
      <c r="S166" s="190">
        <v>164</v>
      </c>
      <c r="T166" s="190">
        <v>150</v>
      </c>
      <c r="U166" s="190"/>
      <c r="V166" s="190"/>
      <c r="W166" s="264"/>
      <c r="X166" s="264"/>
      <c r="Y166" s="264"/>
    </row>
    <row r="167" spans="12:25" x14ac:dyDescent="0.35">
      <c r="L167" s="190"/>
      <c r="M167" s="190"/>
      <c r="N167" s="190"/>
      <c r="O167" s="190"/>
      <c r="P167" s="190"/>
      <c r="Q167" s="190"/>
      <c r="R167" s="190"/>
      <c r="S167" s="190">
        <v>165</v>
      </c>
      <c r="T167" s="190">
        <v>150</v>
      </c>
      <c r="U167" s="190"/>
      <c r="V167" s="190"/>
      <c r="W167" s="264"/>
      <c r="X167" s="264"/>
      <c r="Y167" s="264"/>
    </row>
    <row r="168" spans="12:25" x14ac:dyDescent="0.35">
      <c r="L168" s="190"/>
      <c r="M168" s="190"/>
      <c r="N168" s="190"/>
      <c r="O168" s="190"/>
      <c r="P168" s="190"/>
      <c r="Q168" s="190"/>
      <c r="R168" s="190"/>
      <c r="S168" s="190">
        <v>166</v>
      </c>
      <c r="T168" s="190">
        <v>150</v>
      </c>
      <c r="U168" s="190"/>
      <c r="V168" s="190"/>
      <c r="W168" s="264"/>
      <c r="X168" s="264"/>
      <c r="Y168" s="264"/>
    </row>
    <row r="169" spans="12:25" x14ac:dyDescent="0.35">
      <c r="L169" s="190"/>
      <c r="M169" s="190"/>
      <c r="N169" s="190"/>
      <c r="O169" s="190"/>
      <c r="P169" s="190"/>
      <c r="Q169" s="190"/>
      <c r="R169" s="190"/>
      <c r="S169" s="190">
        <v>167</v>
      </c>
      <c r="T169" s="190">
        <v>150</v>
      </c>
      <c r="U169" s="190"/>
      <c r="V169" s="190"/>
      <c r="W169" s="264"/>
      <c r="X169" s="264"/>
      <c r="Y169" s="264"/>
    </row>
    <row r="170" spans="12:25" x14ac:dyDescent="0.35">
      <c r="L170" s="190"/>
      <c r="M170" s="190"/>
      <c r="N170" s="190"/>
      <c r="O170" s="190"/>
      <c r="P170" s="190"/>
      <c r="Q170" s="190"/>
      <c r="R170" s="190"/>
      <c r="S170" s="190">
        <v>168</v>
      </c>
      <c r="T170" s="190">
        <v>150</v>
      </c>
      <c r="U170" s="190"/>
      <c r="V170" s="190"/>
      <c r="W170" s="264"/>
      <c r="X170" s="264"/>
      <c r="Y170" s="264"/>
    </row>
    <row r="171" spans="12:25" x14ac:dyDescent="0.35">
      <c r="L171" s="190"/>
      <c r="M171" s="190"/>
      <c r="N171" s="190"/>
      <c r="O171" s="190"/>
      <c r="P171" s="190"/>
      <c r="Q171" s="190"/>
      <c r="R171" s="190"/>
      <c r="S171" s="190">
        <v>169</v>
      </c>
      <c r="T171" s="190">
        <v>150</v>
      </c>
      <c r="U171" s="190"/>
      <c r="V171" s="190"/>
      <c r="W171" s="264"/>
      <c r="X171" s="264"/>
      <c r="Y171" s="264"/>
    </row>
    <row r="172" spans="12:25" x14ac:dyDescent="0.35">
      <c r="L172" s="190"/>
      <c r="M172" s="190"/>
      <c r="N172" s="190"/>
      <c r="O172" s="190"/>
      <c r="P172" s="190"/>
      <c r="Q172" s="190"/>
      <c r="R172" s="190"/>
      <c r="S172" s="190">
        <v>170</v>
      </c>
      <c r="T172" s="190">
        <v>150</v>
      </c>
      <c r="U172" s="190"/>
      <c r="V172" s="190"/>
      <c r="W172" s="264"/>
      <c r="X172" s="264"/>
      <c r="Y172" s="264"/>
    </row>
    <row r="173" spans="12:25" x14ac:dyDescent="0.35">
      <c r="L173" s="190"/>
      <c r="M173" s="190"/>
      <c r="N173" s="190"/>
      <c r="O173" s="190"/>
      <c r="P173" s="190"/>
      <c r="Q173" s="190"/>
      <c r="R173" s="190"/>
      <c r="S173" s="190">
        <v>171</v>
      </c>
      <c r="T173" s="190">
        <v>150</v>
      </c>
      <c r="U173" s="190"/>
      <c r="V173" s="190"/>
      <c r="W173" s="264"/>
      <c r="X173" s="264"/>
      <c r="Y173" s="264"/>
    </row>
    <row r="174" spans="12:25" x14ac:dyDescent="0.35">
      <c r="L174" s="190"/>
      <c r="M174" s="190"/>
      <c r="N174" s="190"/>
      <c r="O174" s="190"/>
      <c r="P174" s="190"/>
      <c r="Q174" s="190"/>
      <c r="R174" s="190"/>
      <c r="S174" s="190">
        <v>172</v>
      </c>
      <c r="T174" s="190">
        <v>150</v>
      </c>
      <c r="U174" s="190"/>
      <c r="V174" s="190"/>
      <c r="W174" s="264"/>
      <c r="X174" s="264"/>
      <c r="Y174" s="264"/>
    </row>
    <row r="175" spans="12:25" x14ac:dyDescent="0.35">
      <c r="L175" s="190"/>
      <c r="M175" s="190"/>
      <c r="N175" s="190"/>
      <c r="O175" s="190"/>
      <c r="P175" s="190"/>
      <c r="Q175" s="190"/>
      <c r="R175" s="190"/>
      <c r="S175" s="190">
        <v>173</v>
      </c>
      <c r="T175" s="190">
        <v>150</v>
      </c>
      <c r="U175" s="190"/>
      <c r="V175" s="190"/>
      <c r="W175" s="264"/>
      <c r="X175" s="264"/>
      <c r="Y175" s="264"/>
    </row>
    <row r="176" spans="12:25" x14ac:dyDescent="0.35">
      <c r="L176" s="190"/>
      <c r="M176" s="190"/>
      <c r="N176" s="190"/>
      <c r="O176" s="190"/>
      <c r="P176" s="190"/>
      <c r="Q176" s="190"/>
      <c r="R176" s="190"/>
      <c r="S176" s="190">
        <v>174</v>
      </c>
      <c r="T176" s="190">
        <v>150</v>
      </c>
      <c r="U176" s="190"/>
      <c r="V176" s="190"/>
      <c r="W176" s="264"/>
      <c r="X176" s="264"/>
      <c r="Y176" s="264"/>
    </row>
    <row r="177" spans="12:25" x14ac:dyDescent="0.35">
      <c r="L177" s="190"/>
      <c r="M177" s="190"/>
      <c r="N177" s="190"/>
      <c r="O177" s="190"/>
      <c r="P177" s="190"/>
      <c r="Q177" s="190"/>
      <c r="R177" s="190"/>
      <c r="S177" s="190">
        <v>175</v>
      </c>
      <c r="T177" s="190">
        <v>150</v>
      </c>
      <c r="U177" s="190"/>
      <c r="V177" s="190"/>
      <c r="W177" s="264"/>
      <c r="X177" s="264"/>
      <c r="Y177" s="264"/>
    </row>
    <row r="178" spans="12:25" x14ac:dyDescent="0.35">
      <c r="L178" s="190"/>
      <c r="M178" s="190"/>
      <c r="N178" s="190"/>
      <c r="O178" s="190"/>
      <c r="P178" s="190"/>
      <c r="Q178" s="190"/>
      <c r="R178" s="190"/>
      <c r="S178" s="190">
        <v>176</v>
      </c>
      <c r="T178" s="190">
        <v>150</v>
      </c>
      <c r="U178" s="190"/>
      <c r="V178" s="190"/>
      <c r="W178" s="264"/>
      <c r="X178" s="264"/>
      <c r="Y178" s="264"/>
    </row>
    <row r="179" spans="12:25" x14ac:dyDescent="0.35">
      <c r="L179" s="190"/>
      <c r="M179" s="190"/>
      <c r="N179" s="190"/>
      <c r="O179" s="190"/>
      <c r="P179" s="190"/>
      <c r="Q179" s="190"/>
      <c r="R179" s="190"/>
      <c r="S179" s="190">
        <v>177</v>
      </c>
      <c r="T179" s="190">
        <v>150</v>
      </c>
      <c r="U179" s="190"/>
      <c r="V179" s="190"/>
      <c r="W179" s="264"/>
      <c r="X179" s="264"/>
      <c r="Y179" s="264"/>
    </row>
    <row r="180" spans="12:25" x14ac:dyDescent="0.35">
      <c r="L180" s="190"/>
      <c r="M180" s="190"/>
      <c r="N180" s="190"/>
      <c r="O180" s="190"/>
      <c r="P180" s="190"/>
      <c r="Q180" s="190"/>
      <c r="R180" s="190"/>
      <c r="S180" s="190">
        <v>178</v>
      </c>
      <c r="T180" s="190">
        <v>150</v>
      </c>
      <c r="U180" s="190"/>
      <c r="V180" s="190"/>
      <c r="W180" s="264"/>
      <c r="X180" s="264"/>
      <c r="Y180" s="264"/>
    </row>
    <row r="181" spans="12:25" x14ac:dyDescent="0.35">
      <c r="L181" s="190"/>
      <c r="M181" s="190"/>
      <c r="N181" s="190"/>
      <c r="O181" s="190"/>
      <c r="P181" s="190"/>
      <c r="Q181" s="190"/>
      <c r="R181" s="190"/>
      <c r="S181" s="190">
        <v>179</v>
      </c>
      <c r="T181" s="190">
        <v>150</v>
      </c>
      <c r="U181" s="190"/>
      <c r="V181" s="190"/>
      <c r="W181" s="264"/>
      <c r="X181" s="264"/>
      <c r="Y181" s="264"/>
    </row>
    <row r="182" spans="12:25" x14ac:dyDescent="0.35">
      <c r="L182" s="190"/>
      <c r="M182" s="190"/>
      <c r="N182" s="190"/>
      <c r="O182" s="190"/>
      <c r="P182" s="190"/>
      <c r="Q182" s="190"/>
      <c r="R182" s="190"/>
      <c r="S182" s="190">
        <v>180</v>
      </c>
      <c r="T182" s="190">
        <v>150</v>
      </c>
      <c r="U182" s="190"/>
      <c r="V182" s="190"/>
      <c r="W182" s="264"/>
      <c r="X182" s="264"/>
      <c r="Y182" s="264"/>
    </row>
    <row r="183" spans="12:25" x14ac:dyDescent="0.35">
      <c r="L183" s="190"/>
      <c r="M183" s="190"/>
      <c r="N183" s="190"/>
      <c r="O183" s="190"/>
      <c r="P183" s="190"/>
      <c r="Q183" s="190"/>
      <c r="R183" s="190"/>
      <c r="S183" s="190">
        <v>181</v>
      </c>
      <c r="T183" s="190">
        <v>150</v>
      </c>
      <c r="U183" s="190"/>
      <c r="V183" s="190"/>
      <c r="W183" s="264"/>
      <c r="X183" s="264"/>
      <c r="Y183" s="264"/>
    </row>
    <row r="184" spans="12:25" x14ac:dyDescent="0.35">
      <c r="L184" s="190"/>
      <c r="M184" s="190"/>
      <c r="N184" s="190"/>
      <c r="O184" s="190"/>
      <c r="P184" s="190"/>
      <c r="Q184" s="190"/>
      <c r="R184" s="190"/>
      <c r="S184" s="190">
        <v>182</v>
      </c>
      <c r="T184" s="190">
        <v>150</v>
      </c>
      <c r="U184" s="190"/>
      <c r="V184" s="190"/>
      <c r="W184" s="264"/>
      <c r="X184" s="264"/>
      <c r="Y184" s="264"/>
    </row>
    <row r="185" spans="12:25" x14ac:dyDescent="0.35">
      <c r="L185" s="190"/>
      <c r="M185" s="190"/>
      <c r="N185" s="190"/>
      <c r="O185" s="190"/>
      <c r="P185" s="190"/>
      <c r="Q185" s="190"/>
      <c r="R185" s="190"/>
      <c r="S185" s="190">
        <v>183</v>
      </c>
      <c r="T185" s="190">
        <v>150</v>
      </c>
      <c r="U185" s="190"/>
      <c r="V185" s="190"/>
      <c r="W185" s="264"/>
      <c r="X185" s="264"/>
      <c r="Y185" s="264"/>
    </row>
    <row r="186" spans="12:25" x14ac:dyDescent="0.35">
      <c r="L186" s="190"/>
      <c r="M186" s="190"/>
      <c r="N186" s="190"/>
      <c r="O186" s="190"/>
      <c r="P186" s="190"/>
      <c r="Q186" s="190"/>
      <c r="R186" s="190"/>
      <c r="S186" s="190">
        <v>184</v>
      </c>
      <c r="T186" s="190">
        <v>150</v>
      </c>
      <c r="U186" s="190"/>
      <c r="V186" s="190"/>
      <c r="W186" s="264"/>
      <c r="X186" s="264"/>
      <c r="Y186" s="264"/>
    </row>
    <row r="187" spans="12:25" x14ac:dyDescent="0.35">
      <c r="L187" s="190"/>
      <c r="M187" s="190"/>
      <c r="N187" s="190"/>
      <c r="O187" s="190"/>
      <c r="P187" s="190"/>
      <c r="Q187" s="190"/>
      <c r="R187" s="190"/>
      <c r="S187" s="190">
        <v>185</v>
      </c>
      <c r="T187" s="190">
        <v>150</v>
      </c>
      <c r="U187" s="190"/>
      <c r="V187" s="190"/>
      <c r="W187" s="264"/>
      <c r="X187" s="264"/>
      <c r="Y187" s="264"/>
    </row>
    <row r="188" spans="12:25" x14ac:dyDescent="0.35">
      <c r="L188" s="190"/>
      <c r="M188" s="190"/>
      <c r="N188" s="190"/>
      <c r="O188" s="190"/>
      <c r="P188" s="190"/>
      <c r="Q188" s="190"/>
      <c r="R188" s="190"/>
      <c r="S188" s="190">
        <v>186</v>
      </c>
      <c r="T188" s="190">
        <v>150</v>
      </c>
      <c r="U188" s="190"/>
      <c r="V188" s="190"/>
      <c r="W188" s="264"/>
      <c r="X188" s="264"/>
      <c r="Y188" s="264"/>
    </row>
    <row r="189" spans="12:25" x14ac:dyDescent="0.35">
      <c r="L189" s="190"/>
      <c r="M189" s="190"/>
      <c r="N189" s="190"/>
      <c r="O189" s="190"/>
      <c r="P189" s="190"/>
      <c r="Q189" s="190"/>
      <c r="R189" s="190"/>
      <c r="S189" s="190">
        <v>187</v>
      </c>
      <c r="T189" s="190">
        <v>150</v>
      </c>
      <c r="U189" s="190"/>
      <c r="V189" s="190"/>
      <c r="W189" s="264"/>
      <c r="X189" s="264"/>
      <c r="Y189" s="264"/>
    </row>
    <row r="190" spans="12:25" x14ac:dyDescent="0.35">
      <c r="L190" s="190"/>
      <c r="M190" s="190"/>
      <c r="N190" s="190"/>
      <c r="O190" s="190"/>
      <c r="P190" s="190"/>
      <c r="Q190" s="190"/>
      <c r="R190" s="190"/>
      <c r="S190" s="190">
        <v>188</v>
      </c>
      <c r="T190" s="190">
        <v>150</v>
      </c>
      <c r="U190" s="190"/>
      <c r="V190" s="190"/>
      <c r="W190" s="264"/>
      <c r="X190" s="264"/>
      <c r="Y190" s="264"/>
    </row>
    <row r="191" spans="12:25" x14ac:dyDescent="0.35">
      <c r="L191" s="190"/>
      <c r="M191" s="190"/>
      <c r="N191" s="190"/>
      <c r="O191" s="190"/>
      <c r="P191" s="190"/>
      <c r="Q191" s="190"/>
      <c r="R191" s="190"/>
      <c r="S191" s="190">
        <v>189</v>
      </c>
      <c r="T191" s="190">
        <v>150</v>
      </c>
      <c r="U191" s="190"/>
      <c r="V191" s="190"/>
      <c r="W191" s="264"/>
      <c r="X191" s="264"/>
      <c r="Y191" s="264"/>
    </row>
    <row r="192" spans="12:25" x14ac:dyDescent="0.35">
      <c r="L192" s="190"/>
      <c r="M192" s="190"/>
      <c r="N192" s="190"/>
      <c r="O192" s="190"/>
      <c r="P192" s="190"/>
      <c r="Q192" s="190"/>
      <c r="R192" s="190"/>
      <c r="S192" s="190">
        <v>190</v>
      </c>
      <c r="T192" s="190">
        <v>150</v>
      </c>
      <c r="U192" s="190"/>
      <c r="V192" s="190"/>
      <c r="W192" s="264"/>
      <c r="X192" s="264"/>
      <c r="Y192" s="264"/>
    </row>
    <row r="193" spans="12:25" x14ac:dyDescent="0.35">
      <c r="L193" s="190"/>
      <c r="M193" s="190"/>
      <c r="N193" s="190"/>
      <c r="O193" s="190"/>
      <c r="P193" s="190"/>
      <c r="Q193" s="190"/>
      <c r="R193" s="190"/>
      <c r="S193" s="190">
        <v>191</v>
      </c>
      <c r="T193" s="190">
        <v>150</v>
      </c>
      <c r="U193" s="190"/>
      <c r="V193" s="190"/>
      <c r="W193" s="264"/>
      <c r="X193" s="264"/>
      <c r="Y193" s="264"/>
    </row>
    <row r="194" spans="12:25" x14ac:dyDescent="0.35">
      <c r="L194" s="190"/>
      <c r="M194" s="190"/>
      <c r="N194" s="190"/>
      <c r="O194" s="190"/>
      <c r="P194" s="190"/>
      <c r="Q194" s="190"/>
      <c r="R194" s="190"/>
      <c r="S194" s="190">
        <v>192</v>
      </c>
      <c r="T194" s="190">
        <v>150</v>
      </c>
      <c r="U194" s="190"/>
      <c r="V194" s="190"/>
      <c r="W194" s="264"/>
      <c r="X194" s="264"/>
      <c r="Y194" s="264"/>
    </row>
    <row r="195" spans="12:25" x14ac:dyDescent="0.35">
      <c r="L195" s="190"/>
      <c r="M195" s="190"/>
      <c r="N195" s="190"/>
      <c r="O195" s="190"/>
      <c r="P195" s="190"/>
      <c r="Q195" s="190"/>
      <c r="R195" s="190"/>
      <c r="S195" s="190">
        <v>193</v>
      </c>
      <c r="T195" s="190">
        <v>150</v>
      </c>
      <c r="U195" s="190"/>
      <c r="V195" s="190"/>
      <c r="W195" s="264"/>
      <c r="X195" s="264"/>
      <c r="Y195" s="264"/>
    </row>
    <row r="196" spans="12:25" x14ac:dyDescent="0.35">
      <c r="L196" s="190"/>
      <c r="M196" s="190"/>
      <c r="N196" s="190"/>
      <c r="O196" s="190"/>
      <c r="P196" s="190"/>
      <c r="Q196" s="190"/>
      <c r="R196" s="190"/>
      <c r="S196" s="190">
        <v>194</v>
      </c>
      <c r="T196" s="190">
        <v>150</v>
      </c>
      <c r="U196" s="190"/>
      <c r="V196" s="190"/>
      <c r="W196" s="264"/>
      <c r="X196" s="264"/>
      <c r="Y196" s="264"/>
    </row>
    <row r="197" spans="12:25" x14ac:dyDescent="0.35">
      <c r="L197" s="190"/>
      <c r="M197" s="190"/>
      <c r="N197" s="190"/>
      <c r="O197" s="190"/>
      <c r="P197" s="190"/>
      <c r="Q197" s="190"/>
      <c r="R197" s="190"/>
      <c r="S197" s="190">
        <v>195</v>
      </c>
      <c r="T197" s="190">
        <v>150</v>
      </c>
      <c r="U197" s="190"/>
      <c r="V197" s="190"/>
      <c r="W197" s="264"/>
      <c r="X197" s="264"/>
      <c r="Y197" s="264"/>
    </row>
    <row r="198" spans="12:25" x14ac:dyDescent="0.35">
      <c r="L198" s="190"/>
      <c r="M198" s="190"/>
      <c r="N198" s="190"/>
      <c r="O198" s="190"/>
      <c r="P198" s="190"/>
      <c r="Q198" s="190"/>
      <c r="R198" s="190"/>
      <c r="S198" s="190">
        <v>196</v>
      </c>
      <c r="T198" s="190">
        <v>150</v>
      </c>
      <c r="U198" s="190"/>
      <c r="V198" s="190"/>
      <c r="W198" s="264"/>
      <c r="X198" s="264"/>
      <c r="Y198" s="264"/>
    </row>
    <row r="199" spans="12:25" x14ac:dyDescent="0.35">
      <c r="L199" s="190"/>
      <c r="M199" s="190"/>
      <c r="N199" s="190"/>
      <c r="O199" s="190"/>
      <c r="P199" s="190"/>
      <c r="Q199" s="190"/>
      <c r="R199" s="190"/>
      <c r="S199" s="190">
        <v>197</v>
      </c>
      <c r="T199" s="190">
        <v>150</v>
      </c>
      <c r="U199" s="190"/>
      <c r="V199" s="190"/>
      <c r="W199" s="264"/>
      <c r="X199" s="264"/>
      <c r="Y199" s="264"/>
    </row>
    <row r="200" spans="12:25" x14ac:dyDescent="0.35">
      <c r="L200" s="190"/>
      <c r="M200" s="190"/>
      <c r="N200" s="190"/>
      <c r="O200" s="190"/>
      <c r="P200" s="190"/>
      <c r="Q200" s="190"/>
      <c r="R200" s="190"/>
      <c r="S200" s="190">
        <v>198</v>
      </c>
      <c r="T200" s="190">
        <v>150</v>
      </c>
      <c r="U200" s="190"/>
      <c r="V200" s="190"/>
      <c r="W200" s="264"/>
      <c r="X200" s="264"/>
      <c r="Y200" s="264"/>
    </row>
    <row r="201" spans="12:25" x14ac:dyDescent="0.35">
      <c r="L201" s="190"/>
      <c r="M201" s="190"/>
      <c r="N201" s="190"/>
      <c r="O201" s="190"/>
      <c r="P201" s="190"/>
      <c r="Q201" s="190"/>
      <c r="R201" s="190"/>
      <c r="S201" s="190">
        <v>199</v>
      </c>
      <c r="T201" s="190">
        <v>150</v>
      </c>
      <c r="U201" s="190"/>
      <c r="V201" s="190"/>
      <c r="W201" s="264"/>
      <c r="X201" s="264"/>
      <c r="Y201" s="264"/>
    </row>
    <row r="202" spans="12:25" x14ac:dyDescent="0.35">
      <c r="L202" s="190"/>
      <c r="M202" s="190"/>
      <c r="N202" s="190"/>
      <c r="O202" s="190"/>
      <c r="P202" s="190"/>
      <c r="Q202" s="190"/>
      <c r="R202" s="190"/>
      <c r="S202" s="190">
        <v>200</v>
      </c>
      <c r="T202" s="190">
        <v>150</v>
      </c>
      <c r="U202" s="190">
        <v>200</v>
      </c>
      <c r="V202" s="190"/>
      <c r="W202" s="264"/>
      <c r="X202" s="264"/>
      <c r="Y202" s="264"/>
    </row>
    <row r="203" spans="12:25" x14ac:dyDescent="0.35">
      <c r="L203" s="190"/>
      <c r="M203" s="190"/>
      <c r="N203" s="190"/>
      <c r="O203" s="190"/>
      <c r="P203" s="190"/>
      <c r="Q203" s="190"/>
      <c r="R203" s="190"/>
      <c r="S203" s="190">
        <v>201</v>
      </c>
      <c r="T203" s="190">
        <v>150</v>
      </c>
      <c r="U203" s="190"/>
      <c r="V203" s="190"/>
      <c r="W203" s="264"/>
      <c r="X203" s="264"/>
      <c r="Y203" s="264"/>
    </row>
    <row r="204" spans="12:25" x14ac:dyDescent="0.35">
      <c r="L204" s="190"/>
      <c r="M204" s="190"/>
      <c r="N204" s="190"/>
      <c r="O204" s="190"/>
      <c r="P204" s="190"/>
      <c r="Q204" s="190"/>
      <c r="R204" s="190"/>
      <c r="S204" s="190">
        <v>202</v>
      </c>
      <c r="T204" s="190">
        <v>150</v>
      </c>
      <c r="U204" s="190"/>
      <c r="V204" s="190"/>
      <c r="W204" s="264"/>
      <c r="X204" s="264"/>
      <c r="Y204" s="264"/>
    </row>
    <row r="205" spans="12:25" x14ac:dyDescent="0.35">
      <c r="L205" s="190"/>
      <c r="M205" s="190"/>
      <c r="N205" s="190"/>
      <c r="O205" s="190"/>
      <c r="P205" s="190"/>
      <c r="Q205" s="190"/>
      <c r="R205" s="190"/>
      <c r="S205" s="190">
        <v>203</v>
      </c>
      <c r="T205" s="190">
        <v>150</v>
      </c>
      <c r="U205" s="190"/>
      <c r="V205" s="190"/>
      <c r="W205" s="264"/>
      <c r="X205" s="264"/>
      <c r="Y205" s="264"/>
    </row>
    <row r="206" spans="12:25" x14ac:dyDescent="0.35">
      <c r="L206" s="190"/>
      <c r="M206" s="190"/>
      <c r="N206" s="190"/>
      <c r="O206" s="190"/>
      <c r="P206" s="190"/>
      <c r="Q206" s="190"/>
      <c r="R206" s="190"/>
      <c r="S206" s="190">
        <v>204</v>
      </c>
      <c r="T206" s="190">
        <v>150</v>
      </c>
      <c r="U206" s="190"/>
      <c r="V206" s="190"/>
      <c r="W206" s="264"/>
      <c r="X206" s="264"/>
      <c r="Y206" s="264"/>
    </row>
    <row r="207" spans="12:25" x14ac:dyDescent="0.35">
      <c r="L207" s="190"/>
      <c r="M207" s="190"/>
      <c r="N207" s="190"/>
      <c r="O207" s="190"/>
      <c r="P207" s="190"/>
      <c r="Q207" s="190"/>
      <c r="R207" s="190"/>
      <c r="S207" s="190">
        <v>205</v>
      </c>
      <c r="T207" s="190">
        <v>150</v>
      </c>
      <c r="U207" s="190"/>
      <c r="V207" s="190"/>
      <c r="W207" s="264"/>
      <c r="X207" s="264"/>
      <c r="Y207" s="264"/>
    </row>
    <row r="208" spans="12:25" x14ac:dyDescent="0.35">
      <c r="L208" s="190"/>
      <c r="M208" s="190"/>
      <c r="N208" s="190"/>
      <c r="O208" s="190"/>
      <c r="P208" s="190"/>
      <c r="Q208" s="190"/>
      <c r="R208" s="190"/>
      <c r="S208" s="190">
        <v>206</v>
      </c>
      <c r="T208" s="190">
        <v>150</v>
      </c>
      <c r="U208" s="190"/>
      <c r="V208" s="190"/>
      <c r="W208" s="264"/>
      <c r="X208" s="264"/>
      <c r="Y208" s="264"/>
    </row>
    <row r="209" spans="12:25" x14ac:dyDescent="0.35">
      <c r="L209" s="190"/>
      <c r="M209" s="190"/>
      <c r="N209" s="190"/>
      <c r="O209" s="190"/>
      <c r="P209" s="190"/>
      <c r="Q209" s="190"/>
      <c r="R209" s="190"/>
      <c r="S209" s="190">
        <v>207</v>
      </c>
      <c r="T209" s="190">
        <v>150</v>
      </c>
      <c r="U209" s="190"/>
      <c r="V209" s="190"/>
      <c r="W209" s="264"/>
      <c r="X209" s="264"/>
      <c r="Y209" s="264"/>
    </row>
    <row r="210" spans="12:25" x14ac:dyDescent="0.35">
      <c r="L210" s="190"/>
      <c r="M210" s="190"/>
      <c r="N210" s="190"/>
      <c r="O210" s="190"/>
      <c r="P210" s="190"/>
      <c r="Q210" s="190"/>
      <c r="R210" s="190"/>
      <c r="S210" s="190">
        <v>208</v>
      </c>
      <c r="T210" s="190">
        <v>150</v>
      </c>
      <c r="U210" s="190"/>
      <c r="V210" s="190"/>
      <c r="W210" s="264"/>
      <c r="X210" s="264"/>
      <c r="Y210" s="264"/>
    </row>
    <row r="211" spans="12:25" x14ac:dyDescent="0.35">
      <c r="L211" s="190"/>
      <c r="M211" s="190"/>
      <c r="N211" s="190"/>
      <c r="O211" s="190"/>
      <c r="P211" s="190"/>
      <c r="Q211" s="190"/>
      <c r="R211" s="190"/>
      <c r="S211" s="190">
        <v>209</v>
      </c>
      <c r="T211" s="190">
        <v>150</v>
      </c>
      <c r="U211" s="190"/>
      <c r="V211" s="190"/>
      <c r="W211" s="264"/>
      <c r="X211" s="264"/>
      <c r="Y211" s="264"/>
    </row>
    <row r="212" spans="12:25" x14ac:dyDescent="0.35">
      <c r="L212" s="190"/>
      <c r="M212" s="190"/>
      <c r="N212" s="190"/>
      <c r="O212" s="190"/>
      <c r="P212" s="190"/>
      <c r="Q212" s="190"/>
      <c r="R212" s="190"/>
      <c r="S212" s="190">
        <v>210</v>
      </c>
      <c r="T212" s="190">
        <v>150</v>
      </c>
      <c r="U212" s="190"/>
      <c r="V212" s="190"/>
      <c r="W212" s="264"/>
      <c r="X212" s="264"/>
      <c r="Y212" s="264"/>
    </row>
    <row r="213" spans="12:25" x14ac:dyDescent="0.35">
      <c r="L213" s="190"/>
      <c r="M213" s="190"/>
      <c r="N213" s="190"/>
      <c r="O213" s="190"/>
      <c r="P213" s="190"/>
      <c r="Q213" s="190"/>
      <c r="R213" s="190"/>
      <c r="S213" s="190">
        <v>211</v>
      </c>
      <c r="T213" s="190">
        <v>150</v>
      </c>
      <c r="U213" s="190"/>
      <c r="V213" s="190"/>
      <c r="W213" s="264"/>
      <c r="X213" s="264"/>
      <c r="Y213" s="264"/>
    </row>
    <row r="214" spans="12:25" x14ac:dyDescent="0.35">
      <c r="L214" s="190"/>
      <c r="M214" s="190"/>
      <c r="N214" s="190"/>
      <c r="O214" s="190"/>
      <c r="P214" s="190"/>
      <c r="Q214" s="190"/>
      <c r="R214" s="190"/>
      <c r="S214" s="190">
        <v>212</v>
      </c>
      <c r="T214" s="190">
        <v>150</v>
      </c>
      <c r="U214" s="190"/>
      <c r="V214" s="190"/>
      <c r="W214" s="264"/>
      <c r="X214" s="264"/>
      <c r="Y214" s="264"/>
    </row>
    <row r="215" spans="12:25" x14ac:dyDescent="0.35">
      <c r="L215" s="190"/>
      <c r="M215" s="190"/>
      <c r="N215" s="190"/>
      <c r="O215" s="190"/>
      <c r="P215" s="190"/>
      <c r="Q215" s="190"/>
      <c r="R215" s="190"/>
      <c r="S215" s="190">
        <v>213</v>
      </c>
      <c r="T215" s="190">
        <v>150</v>
      </c>
      <c r="U215" s="190"/>
      <c r="V215" s="190"/>
      <c r="W215" s="264"/>
      <c r="X215" s="264"/>
      <c r="Y215" s="264"/>
    </row>
    <row r="216" spans="12:25" x14ac:dyDescent="0.35">
      <c r="L216" s="190"/>
      <c r="M216" s="190"/>
      <c r="N216" s="190"/>
      <c r="O216" s="190"/>
      <c r="P216" s="190"/>
      <c r="Q216" s="190"/>
      <c r="R216" s="190"/>
      <c r="S216" s="190">
        <v>214</v>
      </c>
      <c r="T216" s="190">
        <v>150</v>
      </c>
      <c r="U216" s="190"/>
      <c r="V216" s="190"/>
      <c r="W216" s="264"/>
      <c r="X216" s="264"/>
      <c r="Y216" s="264"/>
    </row>
    <row r="217" spans="12:25" x14ac:dyDescent="0.35">
      <c r="L217" s="190"/>
      <c r="M217" s="190"/>
      <c r="N217" s="190"/>
      <c r="O217" s="190"/>
      <c r="P217" s="190"/>
      <c r="Q217" s="190"/>
      <c r="R217" s="190"/>
      <c r="S217" s="190">
        <v>215</v>
      </c>
      <c r="T217" s="190">
        <v>150</v>
      </c>
      <c r="U217" s="190"/>
      <c r="V217" s="190"/>
      <c r="W217" s="264"/>
      <c r="X217" s="264"/>
      <c r="Y217" s="264"/>
    </row>
    <row r="218" spans="12:25" x14ac:dyDescent="0.35">
      <c r="L218" s="190"/>
      <c r="M218" s="190"/>
      <c r="N218" s="190"/>
      <c r="O218" s="190"/>
      <c r="P218" s="190"/>
      <c r="Q218" s="190"/>
      <c r="R218" s="190"/>
      <c r="S218" s="190">
        <v>216</v>
      </c>
      <c r="T218" s="190">
        <v>150</v>
      </c>
      <c r="U218" s="190"/>
      <c r="V218" s="190"/>
      <c r="W218" s="264"/>
      <c r="X218" s="264"/>
      <c r="Y218" s="264"/>
    </row>
    <row r="219" spans="12:25" x14ac:dyDescent="0.35">
      <c r="L219" s="190"/>
      <c r="M219" s="190"/>
      <c r="N219" s="190"/>
      <c r="O219" s="190"/>
      <c r="P219" s="190"/>
      <c r="Q219" s="190"/>
      <c r="R219" s="190"/>
      <c r="S219" s="190">
        <v>217</v>
      </c>
      <c r="T219" s="190">
        <v>150</v>
      </c>
      <c r="U219" s="190"/>
      <c r="V219" s="190"/>
      <c r="W219" s="264"/>
      <c r="X219" s="264"/>
      <c r="Y219" s="264"/>
    </row>
    <row r="220" spans="12:25" x14ac:dyDescent="0.35">
      <c r="L220" s="190"/>
      <c r="M220" s="190"/>
      <c r="N220" s="190"/>
      <c r="O220" s="190"/>
      <c r="P220" s="190"/>
      <c r="Q220" s="190"/>
      <c r="R220" s="190"/>
      <c r="S220" s="190">
        <v>218</v>
      </c>
      <c r="T220" s="190">
        <v>150</v>
      </c>
      <c r="U220" s="190"/>
      <c r="V220" s="190"/>
      <c r="W220" s="264"/>
      <c r="X220" s="264"/>
      <c r="Y220" s="264"/>
    </row>
    <row r="221" spans="12:25" x14ac:dyDescent="0.35">
      <c r="L221" s="190"/>
      <c r="M221" s="190"/>
      <c r="N221" s="190"/>
      <c r="O221" s="190"/>
      <c r="P221" s="190"/>
      <c r="Q221" s="190"/>
      <c r="R221" s="190"/>
      <c r="S221" s="190">
        <v>219</v>
      </c>
      <c r="T221" s="190">
        <v>150</v>
      </c>
      <c r="U221" s="190"/>
      <c r="V221" s="190"/>
      <c r="W221" s="264"/>
      <c r="X221" s="264"/>
      <c r="Y221" s="264"/>
    </row>
    <row r="222" spans="12:25" x14ac:dyDescent="0.35">
      <c r="L222" s="190"/>
      <c r="M222" s="190"/>
      <c r="N222" s="190"/>
      <c r="O222" s="190"/>
      <c r="P222" s="190"/>
      <c r="Q222" s="190"/>
      <c r="R222" s="190"/>
      <c r="S222" s="190">
        <v>220</v>
      </c>
      <c r="T222" s="190">
        <v>150</v>
      </c>
      <c r="U222" s="190"/>
      <c r="V222" s="190"/>
      <c r="W222" s="264"/>
      <c r="X222" s="264"/>
      <c r="Y222" s="264"/>
    </row>
    <row r="223" spans="12:25" x14ac:dyDescent="0.35">
      <c r="L223" s="190"/>
      <c r="M223" s="190"/>
      <c r="N223" s="190"/>
      <c r="O223" s="190"/>
      <c r="P223" s="190"/>
      <c r="Q223" s="190"/>
      <c r="R223" s="190"/>
      <c r="S223" s="190">
        <v>221</v>
      </c>
      <c r="T223" s="190">
        <v>150</v>
      </c>
      <c r="U223" s="190"/>
      <c r="V223" s="190"/>
      <c r="W223" s="264"/>
      <c r="X223" s="264"/>
      <c r="Y223" s="264"/>
    </row>
    <row r="224" spans="12:25" x14ac:dyDescent="0.35">
      <c r="L224" s="190"/>
      <c r="M224" s="190"/>
      <c r="N224" s="190"/>
      <c r="O224" s="190"/>
      <c r="P224" s="190"/>
      <c r="Q224" s="190"/>
      <c r="R224" s="190"/>
      <c r="S224" s="190">
        <v>222</v>
      </c>
      <c r="T224" s="190">
        <v>150</v>
      </c>
      <c r="U224" s="190"/>
      <c r="V224" s="190"/>
      <c r="W224" s="264"/>
      <c r="X224" s="264"/>
      <c r="Y224" s="264"/>
    </row>
    <row r="225" spans="12:25" x14ac:dyDescent="0.35">
      <c r="L225" s="190"/>
      <c r="M225" s="190"/>
      <c r="N225" s="190"/>
      <c r="O225" s="190"/>
      <c r="P225" s="190"/>
      <c r="Q225" s="190"/>
      <c r="R225" s="190"/>
      <c r="S225" s="190">
        <v>223</v>
      </c>
      <c r="T225" s="190">
        <v>150</v>
      </c>
      <c r="U225" s="190"/>
      <c r="V225" s="190"/>
      <c r="W225" s="264"/>
      <c r="X225" s="264"/>
      <c r="Y225" s="264"/>
    </row>
    <row r="226" spans="12:25" x14ac:dyDescent="0.35">
      <c r="L226" s="190"/>
      <c r="M226" s="190"/>
      <c r="N226" s="190"/>
      <c r="O226" s="190"/>
      <c r="P226" s="190"/>
      <c r="Q226" s="190"/>
      <c r="R226" s="190"/>
      <c r="S226" s="190">
        <v>224</v>
      </c>
      <c r="T226" s="190">
        <v>150</v>
      </c>
      <c r="U226" s="190"/>
      <c r="V226" s="190"/>
      <c r="W226" s="264"/>
      <c r="X226" s="264"/>
      <c r="Y226" s="264"/>
    </row>
    <row r="227" spans="12:25" x14ac:dyDescent="0.35">
      <c r="L227" s="190"/>
      <c r="M227" s="190"/>
      <c r="N227" s="190"/>
      <c r="O227" s="190"/>
      <c r="P227" s="190"/>
      <c r="Q227" s="190"/>
      <c r="R227" s="190"/>
      <c r="S227" s="190">
        <v>225</v>
      </c>
      <c r="T227" s="190">
        <v>150</v>
      </c>
      <c r="U227" s="190"/>
      <c r="V227" s="190"/>
      <c r="W227" s="264"/>
      <c r="X227" s="264"/>
      <c r="Y227" s="264"/>
    </row>
    <row r="228" spans="12:25" x14ac:dyDescent="0.35">
      <c r="L228" s="190"/>
      <c r="M228" s="190"/>
      <c r="N228" s="190"/>
      <c r="O228" s="190"/>
      <c r="P228" s="190"/>
      <c r="Q228" s="190"/>
      <c r="R228" s="190"/>
      <c r="S228" s="190">
        <v>226</v>
      </c>
      <c r="T228" s="190">
        <v>150</v>
      </c>
      <c r="U228" s="190"/>
      <c r="V228" s="190"/>
      <c r="W228" s="264"/>
      <c r="X228" s="264"/>
      <c r="Y228" s="264"/>
    </row>
    <row r="229" spans="12:25" x14ac:dyDescent="0.35">
      <c r="L229" s="190"/>
      <c r="M229" s="190"/>
      <c r="N229" s="190"/>
      <c r="O229" s="190"/>
      <c r="P229" s="190"/>
      <c r="Q229" s="190"/>
      <c r="R229" s="190"/>
      <c r="S229" s="190">
        <v>227</v>
      </c>
      <c r="T229" s="190">
        <v>150</v>
      </c>
      <c r="U229" s="190"/>
      <c r="V229" s="190"/>
      <c r="W229" s="264"/>
      <c r="X229" s="264"/>
      <c r="Y229" s="264"/>
    </row>
    <row r="230" spans="12:25" x14ac:dyDescent="0.35">
      <c r="L230" s="190"/>
      <c r="M230" s="190"/>
      <c r="N230" s="190"/>
      <c r="O230" s="190"/>
      <c r="P230" s="190"/>
      <c r="Q230" s="190"/>
      <c r="R230" s="190"/>
      <c r="S230" s="190">
        <v>228</v>
      </c>
      <c r="T230" s="190">
        <v>150</v>
      </c>
      <c r="U230" s="190"/>
      <c r="V230" s="190"/>
      <c r="W230" s="264"/>
      <c r="X230" s="264"/>
      <c r="Y230" s="264"/>
    </row>
    <row r="231" spans="12:25" x14ac:dyDescent="0.35">
      <c r="L231" s="190"/>
      <c r="M231" s="190"/>
      <c r="N231" s="190"/>
      <c r="O231" s="190"/>
      <c r="P231" s="190"/>
      <c r="Q231" s="190"/>
      <c r="R231" s="190"/>
      <c r="S231" s="190">
        <v>229</v>
      </c>
      <c r="T231" s="190">
        <v>150</v>
      </c>
      <c r="U231" s="190"/>
      <c r="V231" s="190"/>
      <c r="W231" s="264"/>
      <c r="X231" s="264"/>
      <c r="Y231" s="264"/>
    </row>
    <row r="232" spans="12:25" x14ac:dyDescent="0.35">
      <c r="L232" s="190"/>
      <c r="M232" s="190"/>
      <c r="N232" s="190"/>
      <c r="O232" s="190"/>
      <c r="P232" s="190"/>
      <c r="Q232" s="190"/>
      <c r="R232" s="190"/>
      <c r="S232" s="190">
        <v>230</v>
      </c>
      <c r="T232" s="190">
        <v>150</v>
      </c>
      <c r="U232" s="190"/>
      <c r="V232" s="190"/>
      <c r="W232" s="264"/>
      <c r="X232" s="264"/>
      <c r="Y232" s="264"/>
    </row>
    <row r="233" spans="12:25" x14ac:dyDescent="0.35">
      <c r="L233" s="190"/>
      <c r="M233" s="190"/>
      <c r="N233" s="190"/>
      <c r="O233" s="190"/>
      <c r="P233" s="190"/>
      <c r="Q233" s="190"/>
      <c r="R233" s="190"/>
      <c r="S233" s="190">
        <v>231</v>
      </c>
      <c r="T233" s="190">
        <v>150</v>
      </c>
      <c r="U233" s="190"/>
      <c r="V233" s="190"/>
      <c r="W233" s="264"/>
      <c r="X233" s="264"/>
      <c r="Y233" s="264"/>
    </row>
    <row r="234" spans="12:25" x14ac:dyDescent="0.35">
      <c r="L234" s="190"/>
      <c r="M234" s="190"/>
      <c r="N234" s="190"/>
      <c r="O234" s="190"/>
      <c r="P234" s="190"/>
      <c r="Q234" s="190"/>
      <c r="R234" s="190"/>
      <c r="S234" s="190">
        <v>232</v>
      </c>
      <c r="T234" s="190">
        <v>150</v>
      </c>
      <c r="U234" s="190"/>
      <c r="V234" s="190"/>
      <c r="W234" s="264"/>
      <c r="X234" s="264"/>
      <c r="Y234" s="264"/>
    </row>
    <row r="235" spans="12:25" x14ac:dyDescent="0.35">
      <c r="L235" s="190"/>
      <c r="M235" s="190"/>
      <c r="N235" s="190"/>
      <c r="O235" s="190"/>
      <c r="P235" s="190"/>
      <c r="Q235" s="190"/>
      <c r="R235" s="190"/>
      <c r="S235" s="190">
        <v>233</v>
      </c>
      <c r="T235" s="190">
        <v>150</v>
      </c>
      <c r="U235" s="190"/>
      <c r="V235" s="190"/>
      <c r="W235" s="264"/>
      <c r="X235" s="264"/>
      <c r="Y235" s="264"/>
    </row>
    <row r="236" spans="12:25" x14ac:dyDescent="0.35">
      <c r="L236" s="190"/>
      <c r="M236" s="190"/>
      <c r="N236" s="190"/>
      <c r="O236" s="190"/>
      <c r="P236" s="190"/>
      <c r="Q236" s="190"/>
      <c r="R236" s="190"/>
      <c r="S236" s="190">
        <v>234</v>
      </c>
      <c r="T236" s="190">
        <v>150</v>
      </c>
      <c r="U236" s="190"/>
      <c r="V236" s="190"/>
      <c r="W236" s="264"/>
      <c r="X236" s="264"/>
      <c r="Y236" s="264"/>
    </row>
    <row r="237" spans="12:25" x14ac:dyDescent="0.35">
      <c r="L237" s="190"/>
      <c r="M237" s="190"/>
      <c r="N237" s="190"/>
      <c r="O237" s="190"/>
      <c r="P237" s="190"/>
      <c r="Q237" s="190"/>
      <c r="R237" s="190"/>
      <c r="S237" s="190">
        <v>235</v>
      </c>
      <c r="T237" s="190">
        <v>150</v>
      </c>
      <c r="U237" s="190"/>
      <c r="V237" s="190"/>
      <c r="W237" s="264"/>
      <c r="X237" s="264"/>
      <c r="Y237" s="264"/>
    </row>
    <row r="238" spans="12:25" x14ac:dyDescent="0.35">
      <c r="L238" s="190"/>
      <c r="M238" s="190"/>
      <c r="N238" s="190"/>
      <c r="O238" s="190"/>
      <c r="P238" s="190"/>
      <c r="Q238" s="190"/>
      <c r="R238" s="190"/>
      <c r="S238" s="190">
        <v>236</v>
      </c>
      <c r="T238" s="190">
        <v>150</v>
      </c>
      <c r="U238" s="190"/>
      <c r="V238" s="190"/>
      <c r="W238" s="264"/>
      <c r="X238" s="264"/>
      <c r="Y238" s="264"/>
    </row>
    <row r="239" spans="12:25" x14ac:dyDescent="0.35">
      <c r="L239" s="190"/>
      <c r="M239" s="190"/>
      <c r="N239" s="190"/>
      <c r="O239" s="190"/>
      <c r="P239" s="190"/>
      <c r="Q239" s="190"/>
      <c r="R239" s="190"/>
      <c r="S239" s="190">
        <v>237</v>
      </c>
      <c r="T239" s="190">
        <v>150</v>
      </c>
      <c r="U239" s="190"/>
      <c r="V239" s="190"/>
      <c r="W239" s="264"/>
      <c r="X239" s="264"/>
      <c r="Y239" s="264"/>
    </row>
    <row r="240" spans="12:25" x14ac:dyDescent="0.35">
      <c r="L240" s="190"/>
      <c r="M240" s="190"/>
      <c r="N240" s="190"/>
      <c r="O240" s="190"/>
      <c r="P240" s="190"/>
      <c r="Q240" s="190"/>
      <c r="R240" s="190"/>
      <c r="S240" s="190">
        <v>238</v>
      </c>
      <c r="T240" s="190">
        <v>150</v>
      </c>
      <c r="U240" s="190"/>
      <c r="V240" s="190"/>
      <c r="W240" s="264"/>
      <c r="X240" s="264"/>
      <c r="Y240" s="264"/>
    </row>
    <row r="241" spans="12:25" x14ac:dyDescent="0.35">
      <c r="L241" s="190"/>
      <c r="M241" s="190"/>
      <c r="N241" s="190"/>
      <c r="O241" s="190"/>
      <c r="P241" s="190"/>
      <c r="Q241" s="190"/>
      <c r="R241" s="190"/>
      <c r="S241" s="190">
        <v>239</v>
      </c>
      <c r="T241" s="190">
        <v>150</v>
      </c>
      <c r="U241" s="190"/>
      <c r="V241" s="190"/>
      <c r="W241" s="264"/>
      <c r="X241" s="264"/>
      <c r="Y241" s="264"/>
    </row>
    <row r="242" spans="12:25" x14ac:dyDescent="0.35">
      <c r="L242" s="190"/>
      <c r="M242" s="190"/>
      <c r="N242" s="190"/>
      <c r="O242" s="190"/>
      <c r="P242" s="190"/>
      <c r="Q242" s="190"/>
      <c r="R242" s="190"/>
      <c r="S242" s="190">
        <v>240</v>
      </c>
      <c r="T242" s="190">
        <v>150</v>
      </c>
      <c r="U242" s="190"/>
      <c r="V242" s="190"/>
      <c r="W242" s="264"/>
      <c r="X242" s="264"/>
      <c r="Y242" s="264"/>
    </row>
    <row r="243" spans="12:25" x14ac:dyDescent="0.35">
      <c r="L243" s="190"/>
      <c r="M243" s="190"/>
      <c r="N243" s="190"/>
      <c r="O243" s="190"/>
      <c r="P243" s="190"/>
      <c r="Q243" s="190"/>
      <c r="R243" s="190"/>
      <c r="S243" s="190">
        <v>241</v>
      </c>
      <c r="T243" s="190">
        <v>150</v>
      </c>
      <c r="U243" s="190"/>
      <c r="V243" s="190"/>
      <c r="W243" s="264"/>
      <c r="X243" s="264"/>
      <c r="Y243" s="264"/>
    </row>
    <row r="244" spans="12:25" x14ac:dyDescent="0.35">
      <c r="L244" s="190"/>
      <c r="M244" s="190"/>
      <c r="N244" s="190"/>
      <c r="O244" s="190"/>
      <c r="P244" s="190"/>
      <c r="Q244" s="190"/>
      <c r="R244" s="190"/>
      <c r="S244" s="190">
        <v>242</v>
      </c>
      <c r="T244" s="190">
        <v>150</v>
      </c>
      <c r="U244" s="190"/>
      <c r="V244" s="190"/>
      <c r="W244" s="264"/>
      <c r="X244" s="264"/>
      <c r="Y244" s="264"/>
    </row>
    <row r="245" spans="12:25" x14ac:dyDescent="0.35">
      <c r="L245" s="190"/>
      <c r="M245" s="190"/>
      <c r="N245" s="190"/>
      <c r="O245" s="190"/>
      <c r="P245" s="190"/>
      <c r="Q245" s="190"/>
      <c r="R245" s="190"/>
      <c r="S245" s="190">
        <v>243</v>
      </c>
      <c r="T245" s="190">
        <v>150</v>
      </c>
      <c r="U245" s="190"/>
      <c r="V245" s="190"/>
      <c r="W245" s="264"/>
      <c r="X245" s="264"/>
      <c r="Y245" s="264"/>
    </row>
    <row r="246" spans="12:25" x14ac:dyDescent="0.35">
      <c r="L246" s="190"/>
      <c r="M246" s="190"/>
      <c r="N246" s="190"/>
      <c r="O246" s="190"/>
      <c r="P246" s="190"/>
      <c r="Q246" s="190"/>
      <c r="R246" s="190"/>
      <c r="S246" s="190">
        <v>244</v>
      </c>
      <c r="T246" s="190">
        <v>150</v>
      </c>
      <c r="U246" s="190"/>
      <c r="V246" s="190"/>
      <c r="W246" s="264"/>
      <c r="X246" s="264"/>
      <c r="Y246" s="264"/>
    </row>
    <row r="247" spans="12:25" x14ac:dyDescent="0.35">
      <c r="L247" s="190"/>
      <c r="M247" s="190"/>
      <c r="N247" s="190"/>
      <c r="O247" s="190"/>
      <c r="P247" s="190"/>
      <c r="Q247" s="190"/>
      <c r="R247" s="190"/>
      <c r="S247" s="190">
        <v>245</v>
      </c>
      <c r="T247" s="190">
        <v>150</v>
      </c>
      <c r="U247" s="190"/>
      <c r="V247" s="190"/>
      <c r="W247" s="264"/>
      <c r="X247" s="264"/>
      <c r="Y247" s="264"/>
    </row>
    <row r="248" spans="12:25" x14ac:dyDescent="0.35">
      <c r="L248" s="190"/>
      <c r="M248" s="190"/>
      <c r="N248" s="190"/>
      <c r="O248" s="190"/>
      <c r="P248" s="190"/>
      <c r="Q248" s="190"/>
      <c r="R248" s="190"/>
      <c r="S248" s="190">
        <v>246</v>
      </c>
      <c r="T248" s="190">
        <v>150</v>
      </c>
      <c r="U248" s="190"/>
      <c r="V248" s="190"/>
      <c r="W248" s="264"/>
      <c r="X248" s="264"/>
      <c r="Y248" s="264"/>
    </row>
    <row r="249" spans="12:25" x14ac:dyDescent="0.35">
      <c r="L249" s="190"/>
      <c r="M249" s="190"/>
      <c r="N249" s="190"/>
      <c r="O249" s="190"/>
      <c r="P249" s="190"/>
      <c r="Q249" s="190"/>
      <c r="R249" s="190"/>
      <c r="S249" s="190">
        <v>247</v>
      </c>
      <c r="T249" s="190">
        <v>150</v>
      </c>
      <c r="U249" s="190"/>
      <c r="V249" s="190"/>
      <c r="W249" s="264"/>
      <c r="X249" s="264"/>
      <c r="Y249" s="264"/>
    </row>
    <row r="250" spans="12:25" x14ac:dyDescent="0.35">
      <c r="L250" s="190"/>
      <c r="M250" s="190"/>
      <c r="N250" s="190"/>
      <c r="O250" s="190"/>
      <c r="P250" s="190"/>
      <c r="Q250" s="190"/>
      <c r="R250" s="190"/>
      <c r="S250" s="190">
        <v>248</v>
      </c>
      <c r="T250" s="190">
        <v>150</v>
      </c>
      <c r="U250" s="190"/>
      <c r="V250" s="190"/>
      <c r="W250" s="264"/>
      <c r="X250" s="264"/>
      <c r="Y250" s="264"/>
    </row>
    <row r="251" spans="12:25" x14ac:dyDescent="0.35">
      <c r="L251" s="190"/>
      <c r="M251" s="190"/>
      <c r="N251" s="190"/>
      <c r="O251" s="190"/>
      <c r="P251" s="190"/>
      <c r="Q251" s="190"/>
      <c r="R251" s="190"/>
      <c r="S251" s="190">
        <v>249</v>
      </c>
      <c r="T251" s="190">
        <v>150</v>
      </c>
      <c r="U251" s="190"/>
      <c r="V251" s="190"/>
      <c r="W251" s="264"/>
      <c r="X251" s="264"/>
      <c r="Y251" s="264"/>
    </row>
    <row r="252" spans="12:25" x14ac:dyDescent="0.35">
      <c r="L252" s="190"/>
      <c r="M252" s="190"/>
      <c r="N252" s="190"/>
      <c r="O252" s="190"/>
      <c r="P252" s="190"/>
      <c r="Q252" s="190"/>
      <c r="R252" s="190"/>
      <c r="S252" s="190">
        <v>250</v>
      </c>
      <c r="T252" s="190">
        <v>150</v>
      </c>
      <c r="U252" s="190"/>
      <c r="V252" s="190"/>
      <c r="W252" s="264"/>
      <c r="X252" s="264"/>
      <c r="Y252" s="264"/>
    </row>
    <row r="253" spans="12:25" x14ac:dyDescent="0.35">
      <c r="L253" s="190"/>
      <c r="M253" s="190"/>
      <c r="N253" s="190"/>
      <c r="O253" s="190"/>
      <c r="P253" s="190"/>
      <c r="Q253" s="190"/>
      <c r="R253" s="190"/>
      <c r="S253" s="190">
        <v>251</v>
      </c>
      <c r="T253" s="190">
        <v>150</v>
      </c>
      <c r="U253" s="190"/>
      <c r="V253" s="190"/>
      <c r="W253" s="264"/>
      <c r="X253" s="264"/>
      <c r="Y253" s="264"/>
    </row>
    <row r="254" spans="12:25" x14ac:dyDescent="0.35">
      <c r="L254" s="190"/>
      <c r="M254" s="190"/>
      <c r="N254" s="190"/>
      <c r="O254" s="190"/>
      <c r="P254" s="190"/>
      <c r="Q254" s="190"/>
      <c r="R254" s="190"/>
      <c r="S254" s="190">
        <v>252</v>
      </c>
      <c r="T254" s="190">
        <v>150</v>
      </c>
      <c r="U254" s="190"/>
      <c r="V254" s="190"/>
      <c r="W254" s="264"/>
      <c r="X254" s="264"/>
      <c r="Y254" s="264"/>
    </row>
    <row r="255" spans="12:25" x14ac:dyDescent="0.35">
      <c r="L255" s="190"/>
      <c r="M255" s="190"/>
      <c r="N255" s="190"/>
      <c r="O255" s="190"/>
      <c r="P255" s="190"/>
      <c r="Q255" s="190"/>
      <c r="R255" s="190"/>
      <c r="S255" s="190">
        <v>253</v>
      </c>
      <c r="T255" s="190">
        <v>150</v>
      </c>
      <c r="U255" s="190"/>
      <c r="V255" s="190"/>
      <c r="W255" s="264"/>
      <c r="X255" s="264"/>
      <c r="Y255" s="264"/>
    </row>
    <row r="256" spans="12:25" x14ac:dyDescent="0.35">
      <c r="L256" s="190"/>
      <c r="M256" s="190"/>
      <c r="N256" s="190"/>
      <c r="O256" s="190"/>
      <c r="P256" s="190"/>
      <c r="Q256" s="190"/>
      <c r="R256" s="190"/>
      <c r="S256" s="190">
        <v>254</v>
      </c>
      <c r="T256" s="190">
        <v>150</v>
      </c>
      <c r="U256" s="190"/>
      <c r="V256" s="190"/>
      <c r="W256" s="264"/>
      <c r="X256" s="264"/>
      <c r="Y256" s="264"/>
    </row>
    <row r="257" spans="12:25" x14ac:dyDescent="0.35">
      <c r="L257" s="190"/>
      <c r="M257" s="190"/>
      <c r="N257" s="190"/>
      <c r="O257" s="190"/>
      <c r="P257" s="190"/>
      <c r="Q257" s="190"/>
      <c r="R257" s="190"/>
      <c r="S257" s="190">
        <v>255</v>
      </c>
      <c r="T257" s="190">
        <v>150</v>
      </c>
      <c r="U257" s="190"/>
      <c r="V257" s="190"/>
      <c r="W257" s="264"/>
      <c r="X257" s="264"/>
      <c r="Y257" s="264"/>
    </row>
    <row r="258" spans="12:25" x14ac:dyDescent="0.35">
      <c r="L258" s="190"/>
      <c r="M258" s="190"/>
      <c r="N258" s="190"/>
      <c r="O258" s="190"/>
      <c r="P258" s="190"/>
      <c r="Q258" s="190"/>
      <c r="R258" s="190"/>
      <c r="S258" s="190">
        <v>256</v>
      </c>
      <c r="T258" s="190">
        <v>150</v>
      </c>
      <c r="U258" s="190"/>
      <c r="V258" s="190"/>
      <c r="W258" s="264"/>
      <c r="X258" s="264"/>
      <c r="Y258" s="264"/>
    </row>
    <row r="259" spans="12:25" x14ac:dyDescent="0.35">
      <c r="L259" s="190"/>
      <c r="M259" s="190"/>
      <c r="N259" s="190"/>
      <c r="O259" s="190"/>
      <c r="P259" s="190"/>
      <c r="Q259" s="190"/>
      <c r="R259" s="190"/>
      <c r="S259" s="190">
        <v>257</v>
      </c>
      <c r="T259" s="190">
        <v>150</v>
      </c>
      <c r="U259" s="190"/>
      <c r="V259" s="190"/>
      <c r="W259" s="264"/>
      <c r="X259" s="264"/>
      <c r="Y259" s="264"/>
    </row>
    <row r="260" spans="12:25" x14ac:dyDescent="0.35">
      <c r="L260" s="190"/>
      <c r="M260" s="190"/>
      <c r="N260" s="190"/>
      <c r="O260" s="190"/>
      <c r="P260" s="190"/>
      <c r="Q260" s="190"/>
      <c r="R260" s="190"/>
      <c r="S260" s="190">
        <v>258</v>
      </c>
      <c r="T260" s="190">
        <v>150</v>
      </c>
      <c r="U260" s="190"/>
      <c r="V260" s="190"/>
      <c r="W260" s="264"/>
      <c r="X260" s="264"/>
      <c r="Y260" s="264"/>
    </row>
    <row r="261" spans="12:25" x14ac:dyDescent="0.35">
      <c r="L261" s="190"/>
      <c r="M261" s="190"/>
      <c r="N261" s="190"/>
      <c r="O261" s="190"/>
      <c r="P261" s="190"/>
      <c r="Q261" s="190"/>
      <c r="R261" s="190"/>
      <c r="S261" s="190">
        <v>259</v>
      </c>
      <c r="T261" s="190">
        <v>150</v>
      </c>
      <c r="U261" s="190"/>
      <c r="V261" s="190"/>
      <c r="W261" s="264"/>
      <c r="X261" s="264"/>
      <c r="Y261" s="264"/>
    </row>
    <row r="262" spans="12:25" x14ac:dyDescent="0.35">
      <c r="L262" s="190"/>
      <c r="M262" s="190"/>
      <c r="N262" s="190"/>
      <c r="O262" s="190"/>
      <c r="P262" s="190"/>
      <c r="Q262" s="190"/>
      <c r="R262" s="190"/>
      <c r="S262" s="190">
        <v>260</v>
      </c>
      <c r="T262" s="190">
        <v>150</v>
      </c>
      <c r="U262" s="190"/>
      <c r="V262" s="190"/>
      <c r="W262" s="264"/>
      <c r="X262" s="264"/>
      <c r="Y262" s="264"/>
    </row>
    <row r="263" spans="12:25" x14ac:dyDescent="0.35">
      <c r="L263" s="190"/>
      <c r="M263" s="190"/>
      <c r="N263" s="190"/>
      <c r="O263" s="190"/>
      <c r="P263" s="190"/>
      <c r="Q263" s="190"/>
      <c r="R263" s="190"/>
      <c r="S263" s="190">
        <v>261</v>
      </c>
      <c r="T263" s="190">
        <v>150</v>
      </c>
      <c r="U263" s="190"/>
      <c r="V263" s="190"/>
      <c r="W263" s="264"/>
      <c r="X263" s="264"/>
      <c r="Y263" s="264"/>
    </row>
    <row r="264" spans="12:25" x14ac:dyDescent="0.35">
      <c r="L264" s="190"/>
      <c r="M264" s="190"/>
      <c r="N264" s="190"/>
      <c r="O264" s="190"/>
      <c r="P264" s="190"/>
      <c r="Q264" s="190"/>
      <c r="R264" s="190"/>
      <c r="S264" s="190">
        <v>262</v>
      </c>
      <c r="T264" s="190">
        <v>150</v>
      </c>
      <c r="U264" s="190"/>
      <c r="V264" s="190"/>
      <c r="W264" s="264"/>
      <c r="X264" s="264"/>
      <c r="Y264" s="264"/>
    </row>
    <row r="265" spans="12:25" x14ac:dyDescent="0.35">
      <c r="L265" s="190"/>
      <c r="M265" s="190"/>
      <c r="N265" s="190"/>
      <c r="O265" s="190"/>
      <c r="P265" s="190"/>
      <c r="Q265" s="190"/>
      <c r="R265" s="190"/>
      <c r="S265" s="190">
        <v>263</v>
      </c>
      <c r="T265" s="190">
        <v>150</v>
      </c>
      <c r="U265" s="190"/>
      <c r="V265" s="190"/>
      <c r="W265" s="264"/>
      <c r="X265" s="264"/>
      <c r="Y265" s="264"/>
    </row>
    <row r="266" spans="12:25" x14ac:dyDescent="0.35">
      <c r="L266" s="190"/>
      <c r="M266" s="190"/>
      <c r="N266" s="190"/>
      <c r="O266" s="190"/>
      <c r="P266" s="190"/>
      <c r="Q266" s="190"/>
      <c r="R266" s="190"/>
      <c r="S266" s="190">
        <v>264</v>
      </c>
      <c r="T266" s="190">
        <v>150</v>
      </c>
      <c r="U266" s="190"/>
      <c r="V266" s="190"/>
      <c r="W266" s="264"/>
      <c r="X266" s="264"/>
      <c r="Y266" s="264"/>
    </row>
    <row r="267" spans="12:25" x14ac:dyDescent="0.35">
      <c r="L267" s="190"/>
      <c r="M267" s="190"/>
      <c r="N267" s="190"/>
      <c r="O267" s="190"/>
      <c r="P267" s="190"/>
      <c r="Q267" s="190"/>
      <c r="R267" s="190"/>
      <c r="S267" s="190">
        <v>265</v>
      </c>
      <c r="T267" s="190">
        <v>150</v>
      </c>
      <c r="U267" s="190"/>
      <c r="V267" s="190"/>
      <c r="W267" s="264"/>
      <c r="X267" s="264"/>
      <c r="Y267" s="264"/>
    </row>
    <row r="268" spans="12:25" x14ac:dyDescent="0.35">
      <c r="L268" s="190"/>
      <c r="M268" s="190"/>
      <c r="N268" s="190"/>
      <c r="O268" s="190"/>
      <c r="P268" s="190"/>
      <c r="Q268" s="190"/>
      <c r="R268" s="190"/>
      <c r="S268" s="190">
        <v>266</v>
      </c>
      <c r="T268" s="190">
        <v>150</v>
      </c>
      <c r="U268" s="190"/>
      <c r="V268" s="190"/>
      <c r="W268" s="264"/>
      <c r="X268" s="264"/>
      <c r="Y268" s="264"/>
    </row>
    <row r="269" spans="12:25" x14ac:dyDescent="0.35">
      <c r="L269" s="190"/>
      <c r="M269" s="190"/>
      <c r="N269" s="190"/>
      <c r="O269" s="190"/>
      <c r="P269" s="190"/>
      <c r="Q269" s="190"/>
      <c r="R269" s="190"/>
      <c r="S269" s="190">
        <v>267</v>
      </c>
      <c r="T269" s="190">
        <v>150</v>
      </c>
      <c r="U269" s="190"/>
      <c r="V269" s="190"/>
      <c r="W269" s="264"/>
      <c r="X269" s="264"/>
      <c r="Y269" s="264"/>
    </row>
    <row r="270" spans="12:25" x14ac:dyDescent="0.35">
      <c r="L270" s="190"/>
      <c r="M270" s="190"/>
      <c r="N270" s="190"/>
      <c r="O270" s="190"/>
      <c r="P270" s="190"/>
      <c r="Q270" s="190"/>
      <c r="R270" s="190"/>
      <c r="S270" s="190">
        <v>268</v>
      </c>
      <c r="T270" s="190">
        <v>150</v>
      </c>
      <c r="U270" s="190"/>
      <c r="V270" s="190"/>
      <c r="W270" s="264"/>
      <c r="X270" s="264"/>
      <c r="Y270" s="264"/>
    </row>
    <row r="271" spans="12:25" x14ac:dyDescent="0.35">
      <c r="L271" s="190"/>
      <c r="M271" s="190"/>
      <c r="N271" s="190"/>
      <c r="O271" s="190"/>
      <c r="P271" s="190"/>
      <c r="Q271" s="190"/>
      <c r="R271" s="190"/>
      <c r="S271" s="190">
        <v>269</v>
      </c>
      <c r="T271" s="190">
        <v>150</v>
      </c>
      <c r="U271" s="190"/>
      <c r="V271" s="190"/>
      <c r="W271" s="264"/>
      <c r="X271" s="264"/>
      <c r="Y271" s="264"/>
    </row>
    <row r="272" spans="12:25" x14ac:dyDescent="0.35">
      <c r="L272" s="190"/>
      <c r="M272" s="190"/>
      <c r="N272" s="190"/>
      <c r="O272" s="190"/>
      <c r="P272" s="190"/>
      <c r="Q272" s="190"/>
      <c r="R272" s="190"/>
      <c r="S272" s="190">
        <v>270</v>
      </c>
      <c r="T272" s="190">
        <v>150</v>
      </c>
      <c r="U272" s="190"/>
      <c r="V272" s="190"/>
      <c r="W272" s="264"/>
      <c r="X272" s="264"/>
      <c r="Y272" s="264"/>
    </row>
    <row r="273" spans="12:25" x14ac:dyDescent="0.35">
      <c r="L273" s="190"/>
      <c r="M273" s="190"/>
      <c r="N273" s="190"/>
      <c r="O273" s="190"/>
      <c r="P273" s="190"/>
      <c r="Q273" s="190"/>
      <c r="R273" s="190"/>
      <c r="S273" s="190">
        <v>271</v>
      </c>
      <c r="T273" s="190">
        <v>150</v>
      </c>
      <c r="U273" s="190"/>
      <c r="V273" s="190"/>
      <c r="W273" s="264"/>
      <c r="X273" s="264"/>
      <c r="Y273" s="264"/>
    </row>
    <row r="274" spans="12:25" x14ac:dyDescent="0.35">
      <c r="L274" s="190"/>
      <c r="M274" s="190"/>
      <c r="N274" s="190"/>
      <c r="O274" s="190"/>
      <c r="P274" s="190"/>
      <c r="Q274" s="190"/>
      <c r="R274" s="190"/>
      <c r="S274" s="190">
        <v>272</v>
      </c>
      <c r="T274" s="190">
        <v>150</v>
      </c>
      <c r="U274" s="190"/>
      <c r="V274" s="190"/>
      <c r="W274" s="264"/>
      <c r="X274" s="264"/>
      <c r="Y274" s="264"/>
    </row>
    <row r="275" spans="12:25" x14ac:dyDescent="0.35">
      <c r="L275" s="190"/>
      <c r="M275" s="190"/>
      <c r="N275" s="190"/>
      <c r="O275" s="190"/>
      <c r="P275" s="190"/>
      <c r="Q275" s="190"/>
      <c r="R275" s="190"/>
      <c r="S275" s="190">
        <v>273</v>
      </c>
      <c r="T275" s="190">
        <v>150</v>
      </c>
      <c r="U275" s="190"/>
      <c r="V275" s="190"/>
      <c r="W275" s="264"/>
      <c r="X275" s="264"/>
      <c r="Y275" s="264"/>
    </row>
    <row r="276" spans="12:25" x14ac:dyDescent="0.35">
      <c r="L276" s="190"/>
      <c r="M276" s="190"/>
      <c r="N276" s="190"/>
      <c r="O276" s="190"/>
      <c r="P276" s="190"/>
      <c r="Q276" s="190"/>
      <c r="R276" s="190"/>
      <c r="S276" s="190">
        <v>274</v>
      </c>
      <c r="T276" s="190">
        <v>150</v>
      </c>
      <c r="U276" s="190"/>
      <c r="V276" s="190"/>
      <c r="W276" s="264"/>
      <c r="X276" s="264"/>
      <c r="Y276" s="264"/>
    </row>
    <row r="277" spans="12:25" x14ac:dyDescent="0.35">
      <c r="L277" s="190"/>
      <c r="M277" s="190"/>
      <c r="N277" s="190"/>
      <c r="O277" s="190"/>
      <c r="P277" s="190"/>
      <c r="Q277" s="190"/>
      <c r="R277" s="190"/>
      <c r="S277" s="190">
        <v>275</v>
      </c>
      <c r="T277" s="190">
        <v>150</v>
      </c>
      <c r="U277" s="190"/>
      <c r="V277" s="190"/>
      <c r="W277" s="264"/>
      <c r="X277" s="264"/>
      <c r="Y277" s="264"/>
    </row>
    <row r="278" spans="12:25" x14ac:dyDescent="0.35">
      <c r="L278" s="190"/>
      <c r="M278" s="190"/>
      <c r="N278" s="190"/>
      <c r="O278" s="190"/>
      <c r="P278" s="190"/>
      <c r="Q278" s="190"/>
      <c r="R278" s="190"/>
      <c r="S278" s="190">
        <v>276</v>
      </c>
      <c r="T278" s="190">
        <v>150</v>
      </c>
      <c r="U278" s="190"/>
      <c r="V278" s="190"/>
      <c r="W278" s="264"/>
      <c r="X278" s="264"/>
      <c r="Y278" s="264"/>
    </row>
    <row r="279" spans="12:25" x14ac:dyDescent="0.35">
      <c r="L279" s="190"/>
      <c r="M279" s="190"/>
      <c r="N279" s="190"/>
      <c r="O279" s="190"/>
      <c r="P279" s="190"/>
      <c r="Q279" s="190"/>
      <c r="R279" s="190"/>
      <c r="S279" s="190">
        <v>277</v>
      </c>
      <c r="T279" s="190">
        <v>150</v>
      </c>
      <c r="U279" s="190"/>
      <c r="V279" s="190"/>
      <c r="W279" s="264"/>
      <c r="X279" s="264"/>
      <c r="Y279" s="264"/>
    </row>
    <row r="280" spans="12:25" x14ac:dyDescent="0.35">
      <c r="L280" s="190"/>
      <c r="M280" s="190"/>
      <c r="N280" s="190"/>
      <c r="O280" s="190"/>
      <c r="P280" s="190"/>
      <c r="Q280" s="190"/>
      <c r="R280" s="190"/>
      <c r="S280" s="190">
        <v>278</v>
      </c>
      <c r="T280" s="190">
        <v>150</v>
      </c>
      <c r="U280" s="190"/>
      <c r="V280" s="190"/>
      <c r="W280" s="264"/>
      <c r="X280" s="264"/>
      <c r="Y280" s="264"/>
    </row>
    <row r="281" spans="12:25" x14ac:dyDescent="0.35">
      <c r="L281" s="190"/>
      <c r="M281" s="190"/>
      <c r="N281" s="190"/>
      <c r="O281" s="190"/>
      <c r="P281" s="190"/>
      <c r="Q281" s="190"/>
      <c r="R281" s="190"/>
      <c r="S281" s="190">
        <v>279</v>
      </c>
      <c r="T281" s="190">
        <v>150</v>
      </c>
      <c r="U281" s="190"/>
      <c r="V281" s="190"/>
      <c r="W281" s="264"/>
      <c r="X281" s="264"/>
      <c r="Y281" s="264"/>
    </row>
    <row r="282" spans="12:25" x14ac:dyDescent="0.35">
      <c r="L282" s="190"/>
      <c r="M282" s="190"/>
      <c r="N282" s="190"/>
      <c r="O282" s="190"/>
      <c r="P282" s="190"/>
      <c r="Q282" s="190"/>
      <c r="R282" s="190"/>
      <c r="S282" s="190">
        <v>280</v>
      </c>
      <c r="T282" s="190">
        <v>150</v>
      </c>
      <c r="U282" s="190"/>
      <c r="V282" s="190"/>
      <c r="W282" s="264"/>
      <c r="X282" s="264"/>
      <c r="Y282" s="264"/>
    </row>
    <row r="283" spans="12:25" x14ac:dyDescent="0.35">
      <c r="L283" s="190"/>
      <c r="M283" s="190"/>
      <c r="N283" s="190"/>
      <c r="O283" s="190"/>
      <c r="P283" s="190"/>
      <c r="Q283" s="190"/>
      <c r="R283" s="190"/>
      <c r="S283" s="190">
        <v>281</v>
      </c>
      <c r="T283" s="190">
        <v>150</v>
      </c>
      <c r="U283" s="190"/>
      <c r="V283" s="190"/>
      <c r="W283" s="264"/>
      <c r="X283" s="264"/>
      <c r="Y283" s="264"/>
    </row>
    <row r="284" spans="12:25" x14ac:dyDescent="0.35">
      <c r="L284" s="190"/>
      <c r="M284" s="190"/>
      <c r="N284" s="190"/>
      <c r="O284" s="190"/>
      <c r="P284" s="190"/>
      <c r="Q284" s="190"/>
      <c r="R284" s="190"/>
      <c r="S284" s="190">
        <v>282</v>
      </c>
      <c r="T284" s="190">
        <v>150</v>
      </c>
      <c r="U284" s="190"/>
      <c r="V284" s="190"/>
      <c r="W284" s="264"/>
      <c r="X284" s="264"/>
      <c r="Y284" s="264"/>
    </row>
    <row r="285" spans="12:25" x14ac:dyDescent="0.35">
      <c r="L285" s="190"/>
      <c r="M285" s="190"/>
      <c r="N285" s="190"/>
      <c r="O285" s="190"/>
      <c r="P285" s="190"/>
      <c r="Q285" s="190"/>
      <c r="R285" s="190"/>
      <c r="S285" s="190">
        <v>283</v>
      </c>
      <c r="T285" s="190">
        <v>150</v>
      </c>
      <c r="U285" s="190"/>
      <c r="V285" s="190"/>
      <c r="W285" s="264"/>
      <c r="X285" s="264"/>
      <c r="Y285" s="264"/>
    </row>
    <row r="286" spans="12:25" x14ac:dyDescent="0.35">
      <c r="L286" s="190"/>
      <c r="M286" s="190"/>
      <c r="N286" s="190"/>
      <c r="O286" s="190"/>
      <c r="P286" s="190"/>
      <c r="Q286" s="190"/>
      <c r="R286" s="190"/>
      <c r="S286" s="190">
        <v>284</v>
      </c>
      <c r="T286" s="190">
        <v>150</v>
      </c>
      <c r="U286" s="190"/>
      <c r="V286" s="190"/>
      <c r="W286" s="264"/>
      <c r="X286" s="264"/>
      <c r="Y286" s="264"/>
    </row>
    <row r="287" spans="12:25" x14ac:dyDescent="0.35">
      <c r="L287" s="190"/>
      <c r="M287" s="190"/>
      <c r="N287" s="190"/>
      <c r="O287" s="190"/>
      <c r="P287" s="190"/>
      <c r="Q287" s="190"/>
      <c r="R287" s="190"/>
      <c r="S287" s="190">
        <v>285</v>
      </c>
      <c r="T287" s="190">
        <v>150</v>
      </c>
      <c r="U287" s="190"/>
      <c r="V287" s="190"/>
      <c r="W287" s="264"/>
      <c r="X287" s="264"/>
      <c r="Y287" s="264"/>
    </row>
    <row r="288" spans="12:25" x14ac:dyDescent="0.35">
      <c r="L288" s="190"/>
      <c r="M288" s="190"/>
      <c r="N288" s="190"/>
      <c r="O288" s="190"/>
      <c r="P288" s="190"/>
      <c r="Q288" s="190"/>
      <c r="R288" s="190"/>
      <c r="S288" s="190">
        <v>286</v>
      </c>
      <c r="T288" s="190">
        <v>150</v>
      </c>
      <c r="U288" s="190"/>
      <c r="V288" s="190"/>
      <c r="W288" s="264"/>
      <c r="X288" s="264"/>
      <c r="Y288" s="264"/>
    </row>
    <row r="289" spans="12:25" x14ac:dyDescent="0.35">
      <c r="L289" s="190"/>
      <c r="M289" s="190"/>
      <c r="N289" s="190"/>
      <c r="O289" s="190"/>
      <c r="P289" s="190"/>
      <c r="Q289" s="190"/>
      <c r="R289" s="190"/>
      <c r="S289" s="190">
        <v>287</v>
      </c>
      <c r="T289" s="190">
        <v>150</v>
      </c>
      <c r="U289" s="190"/>
      <c r="V289" s="190"/>
      <c r="W289" s="264"/>
      <c r="X289" s="264"/>
      <c r="Y289" s="264"/>
    </row>
    <row r="290" spans="12:25" x14ac:dyDescent="0.35">
      <c r="L290" s="190"/>
      <c r="M290" s="190"/>
      <c r="N290" s="190"/>
      <c r="O290" s="190"/>
      <c r="P290" s="190"/>
      <c r="Q290" s="190"/>
      <c r="R290" s="190"/>
      <c r="S290" s="190">
        <v>288</v>
      </c>
      <c r="T290" s="190">
        <v>150</v>
      </c>
      <c r="U290" s="190"/>
      <c r="V290" s="190"/>
      <c r="W290" s="264"/>
      <c r="X290" s="264"/>
      <c r="Y290" s="264"/>
    </row>
    <row r="291" spans="12:25" x14ac:dyDescent="0.35">
      <c r="L291" s="190"/>
      <c r="M291" s="190"/>
      <c r="N291" s="190"/>
      <c r="O291" s="190"/>
      <c r="P291" s="190"/>
      <c r="Q291" s="190"/>
      <c r="R291" s="190"/>
      <c r="S291" s="190">
        <v>289</v>
      </c>
      <c r="T291" s="190">
        <v>150</v>
      </c>
      <c r="U291" s="190"/>
      <c r="V291" s="190"/>
      <c r="W291" s="264"/>
      <c r="X291" s="264"/>
      <c r="Y291" s="264"/>
    </row>
    <row r="292" spans="12:25" x14ac:dyDescent="0.35">
      <c r="L292" s="190"/>
      <c r="M292" s="190"/>
      <c r="N292" s="190"/>
      <c r="O292" s="190"/>
      <c r="P292" s="190"/>
      <c r="Q292" s="190"/>
      <c r="R292" s="190"/>
      <c r="S292" s="190">
        <v>290</v>
      </c>
      <c r="T292" s="190">
        <v>150</v>
      </c>
      <c r="U292" s="190"/>
      <c r="V292" s="190"/>
      <c r="W292" s="264"/>
      <c r="X292" s="264"/>
      <c r="Y292" s="264"/>
    </row>
    <row r="293" spans="12:25" x14ac:dyDescent="0.35">
      <c r="L293" s="190"/>
      <c r="M293" s="190"/>
      <c r="N293" s="190"/>
      <c r="O293" s="190"/>
      <c r="P293" s="190"/>
      <c r="Q293" s="190"/>
      <c r="R293" s="190"/>
      <c r="S293" s="190">
        <v>291</v>
      </c>
      <c r="T293" s="190">
        <v>150</v>
      </c>
      <c r="U293" s="190"/>
      <c r="V293" s="190"/>
      <c r="W293" s="264"/>
      <c r="X293" s="264"/>
      <c r="Y293" s="264"/>
    </row>
    <row r="294" spans="12:25" x14ac:dyDescent="0.35">
      <c r="L294" s="190"/>
      <c r="M294" s="190"/>
      <c r="N294" s="190"/>
      <c r="O294" s="190"/>
      <c r="P294" s="190"/>
      <c r="Q294" s="190"/>
      <c r="R294" s="190"/>
      <c r="S294" s="190">
        <v>292</v>
      </c>
      <c r="T294" s="190">
        <v>150</v>
      </c>
      <c r="U294" s="190"/>
      <c r="V294" s="190"/>
      <c r="W294" s="264"/>
      <c r="X294" s="264"/>
      <c r="Y294" s="264"/>
    </row>
    <row r="295" spans="12:25" x14ac:dyDescent="0.35">
      <c r="L295" s="190"/>
      <c r="M295" s="190"/>
      <c r="N295" s="190"/>
      <c r="O295" s="190"/>
      <c r="P295" s="190"/>
      <c r="Q295" s="190"/>
      <c r="R295" s="190"/>
      <c r="S295" s="190">
        <v>293</v>
      </c>
      <c r="T295" s="190">
        <v>150</v>
      </c>
      <c r="U295" s="190"/>
      <c r="V295" s="190"/>
      <c r="W295" s="264"/>
      <c r="X295" s="264"/>
      <c r="Y295" s="264"/>
    </row>
    <row r="296" spans="12:25" x14ac:dyDescent="0.35">
      <c r="L296" s="190"/>
      <c r="M296" s="190"/>
      <c r="N296" s="190"/>
      <c r="O296" s="190"/>
      <c r="P296" s="190"/>
      <c r="Q296" s="190"/>
      <c r="R296" s="190"/>
      <c r="S296" s="190">
        <v>294</v>
      </c>
      <c r="T296" s="190">
        <v>150</v>
      </c>
      <c r="U296" s="190"/>
      <c r="V296" s="190"/>
      <c r="W296" s="264"/>
      <c r="X296" s="264"/>
      <c r="Y296" s="264"/>
    </row>
    <row r="297" spans="12:25" x14ac:dyDescent="0.35">
      <c r="L297" s="190"/>
      <c r="M297" s="190"/>
      <c r="N297" s="190"/>
      <c r="O297" s="190"/>
      <c r="P297" s="190"/>
      <c r="Q297" s="190"/>
      <c r="R297" s="190"/>
      <c r="S297" s="190">
        <v>295</v>
      </c>
      <c r="T297" s="190">
        <v>150</v>
      </c>
      <c r="U297" s="190"/>
      <c r="V297" s="190"/>
      <c r="W297" s="264"/>
      <c r="X297" s="264"/>
      <c r="Y297" s="264"/>
    </row>
    <row r="298" spans="12:25" x14ac:dyDescent="0.35">
      <c r="L298" s="190"/>
      <c r="M298" s="190"/>
      <c r="N298" s="190"/>
      <c r="O298" s="190"/>
      <c r="P298" s="190"/>
      <c r="Q298" s="190"/>
      <c r="R298" s="190"/>
      <c r="S298" s="190">
        <v>296</v>
      </c>
      <c r="T298" s="190">
        <v>150</v>
      </c>
      <c r="U298" s="190"/>
      <c r="V298" s="190"/>
      <c r="W298" s="264"/>
      <c r="X298" s="264"/>
      <c r="Y298" s="264"/>
    </row>
    <row r="299" spans="12:25" x14ac:dyDescent="0.35">
      <c r="L299" s="190"/>
      <c r="M299" s="190"/>
      <c r="N299" s="190"/>
      <c r="O299" s="190"/>
      <c r="P299" s="190"/>
      <c r="Q299" s="190"/>
      <c r="R299" s="190"/>
      <c r="S299" s="190">
        <v>297</v>
      </c>
      <c r="T299" s="190">
        <v>150</v>
      </c>
      <c r="U299" s="190"/>
      <c r="V299" s="190"/>
      <c r="W299" s="264"/>
      <c r="X299" s="264"/>
      <c r="Y299" s="264"/>
    </row>
    <row r="300" spans="12:25" x14ac:dyDescent="0.35">
      <c r="L300" s="190"/>
      <c r="M300" s="190"/>
      <c r="N300" s="190"/>
      <c r="O300" s="190"/>
      <c r="P300" s="190"/>
      <c r="Q300" s="190"/>
      <c r="R300" s="190"/>
      <c r="S300" s="190">
        <v>298</v>
      </c>
      <c r="T300" s="190">
        <v>150</v>
      </c>
      <c r="U300" s="190"/>
      <c r="V300" s="190"/>
      <c r="W300" s="264"/>
      <c r="X300" s="264"/>
      <c r="Y300" s="264"/>
    </row>
    <row r="301" spans="12:25" x14ac:dyDescent="0.35">
      <c r="L301" s="190"/>
      <c r="M301" s="190"/>
      <c r="N301" s="190"/>
      <c r="O301" s="190"/>
      <c r="P301" s="190"/>
      <c r="Q301" s="190"/>
      <c r="R301" s="190"/>
      <c r="S301" s="190">
        <v>299</v>
      </c>
      <c r="T301" s="190">
        <v>150</v>
      </c>
      <c r="U301" s="190"/>
      <c r="V301" s="190"/>
      <c r="W301" s="264"/>
      <c r="X301" s="264"/>
      <c r="Y301" s="264"/>
    </row>
    <row r="302" spans="12:25" x14ac:dyDescent="0.35">
      <c r="L302" s="190"/>
      <c r="M302" s="190"/>
      <c r="N302" s="190"/>
      <c r="O302" s="190"/>
      <c r="P302" s="190"/>
      <c r="Q302" s="190"/>
      <c r="R302" s="190"/>
      <c r="S302" s="190">
        <v>300</v>
      </c>
      <c r="T302" s="190">
        <v>150</v>
      </c>
      <c r="U302" s="190">
        <v>300</v>
      </c>
      <c r="V302" s="190"/>
      <c r="W302" s="264"/>
      <c r="X302" s="264"/>
      <c r="Y302" s="264"/>
    </row>
    <row r="303" spans="12:25" x14ac:dyDescent="0.35">
      <c r="L303" s="190"/>
      <c r="M303" s="190"/>
      <c r="N303" s="190"/>
      <c r="O303" s="190"/>
      <c r="P303" s="190"/>
      <c r="Q303" s="190"/>
      <c r="R303" s="190"/>
      <c r="S303" s="190">
        <v>301</v>
      </c>
      <c r="T303" s="190">
        <v>150</v>
      </c>
      <c r="U303" s="190"/>
      <c r="V303" s="190"/>
      <c r="W303" s="264"/>
      <c r="X303" s="264"/>
      <c r="Y303" s="264"/>
    </row>
    <row r="304" spans="12:25" x14ac:dyDescent="0.35">
      <c r="L304" s="190"/>
      <c r="M304" s="190"/>
      <c r="N304" s="190"/>
      <c r="O304" s="190"/>
      <c r="P304" s="190"/>
      <c r="Q304" s="190"/>
      <c r="R304" s="190"/>
      <c r="S304" s="190">
        <v>302</v>
      </c>
      <c r="T304" s="190">
        <v>150</v>
      </c>
      <c r="U304" s="190"/>
      <c r="V304" s="190"/>
      <c r="W304" s="264"/>
      <c r="X304" s="264"/>
      <c r="Y304" s="264"/>
    </row>
    <row r="305" spans="12:25" x14ac:dyDescent="0.35">
      <c r="L305" s="190"/>
      <c r="M305" s="190"/>
      <c r="N305" s="190"/>
      <c r="O305" s="190"/>
      <c r="P305" s="190"/>
      <c r="Q305" s="190"/>
      <c r="R305" s="190"/>
      <c r="S305" s="190">
        <v>303</v>
      </c>
      <c r="T305" s="190">
        <v>150</v>
      </c>
      <c r="U305" s="190"/>
      <c r="V305" s="190"/>
      <c r="W305" s="264"/>
      <c r="X305" s="264"/>
      <c r="Y305" s="264"/>
    </row>
    <row r="306" spans="12:25" x14ac:dyDescent="0.35">
      <c r="L306" s="190"/>
      <c r="M306" s="190"/>
      <c r="N306" s="190"/>
      <c r="O306" s="190"/>
      <c r="P306" s="190"/>
      <c r="Q306" s="190"/>
      <c r="R306" s="190"/>
      <c r="S306" s="190">
        <v>304</v>
      </c>
      <c r="T306" s="190">
        <v>150</v>
      </c>
      <c r="U306" s="190"/>
      <c r="V306" s="190"/>
      <c r="W306" s="264"/>
      <c r="X306" s="264"/>
      <c r="Y306" s="264"/>
    </row>
    <row r="307" spans="12:25" x14ac:dyDescent="0.35">
      <c r="L307" s="190"/>
      <c r="M307" s="190"/>
      <c r="N307" s="190"/>
      <c r="O307" s="190"/>
      <c r="P307" s="190"/>
      <c r="Q307" s="190"/>
      <c r="R307" s="190"/>
      <c r="S307" s="190">
        <v>305</v>
      </c>
      <c r="T307" s="190">
        <v>150</v>
      </c>
      <c r="U307" s="190"/>
      <c r="V307" s="190"/>
      <c r="W307" s="264"/>
      <c r="X307" s="264"/>
      <c r="Y307" s="264"/>
    </row>
    <row r="308" spans="12:25" x14ac:dyDescent="0.35">
      <c r="L308" s="190"/>
      <c r="M308" s="190"/>
      <c r="N308" s="190"/>
      <c r="O308" s="190"/>
      <c r="P308" s="190"/>
      <c r="Q308" s="190"/>
      <c r="R308" s="190"/>
      <c r="S308" s="190">
        <v>306</v>
      </c>
      <c r="T308" s="190">
        <v>150</v>
      </c>
      <c r="U308" s="190"/>
      <c r="V308" s="190"/>
      <c r="W308" s="264"/>
      <c r="X308" s="264"/>
      <c r="Y308" s="264"/>
    </row>
    <row r="309" spans="12:25" x14ac:dyDescent="0.35">
      <c r="L309" s="190"/>
      <c r="M309" s="190"/>
      <c r="N309" s="190"/>
      <c r="O309" s="190"/>
      <c r="P309" s="190"/>
      <c r="Q309" s="190"/>
      <c r="R309" s="190"/>
      <c r="S309" s="190">
        <v>307</v>
      </c>
      <c r="T309" s="190">
        <v>150</v>
      </c>
      <c r="U309" s="190"/>
      <c r="V309" s="190"/>
      <c r="W309" s="264"/>
      <c r="X309" s="264"/>
      <c r="Y309" s="264"/>
    </row>
    <row r="310" spans="12:25" x14ac:dyDescent="0.35">
      <c r="L310" s="190"/>
      <c r="M310" s="190"/>
      <c r="N310" s="190"/>
      <c r="O310" s="190"/>
      <c r="P310" s="190"/>
      <c r="Q310" s="190"/>
      <c r="R310" s="190"/>
      <c r="S310" s="190">
        <v>308</v>
      </c>
      <c r="T310" s="190">
        <v>150</v>
      </c>
      <c r="U310" s="190"/>
      <c r="V310" s="190"/>
      <c r="W310" s="264"/>
      <c r="X310" s="264"/>
      <c r="Y310" s="264"/>
    </row>
    <row r="311" spans="12:25" x14ac:dyDescent="0.35">
      <c r="L311" s="190"/>
      <c r="M311" s="190"/>
      <c r="N311" s="190"/>
      <c r="O311" s="190"/>
      <c r="P311" s="190"/>
      <c r="Q311" s="190"/>
      <c r="R311" s="190"/>
      <c r="S311" s="190">
        <v>309</v>
      </c>
      <c r="T311" s="190">
        <v>150</v>
      </c>
      <c r="U311" s="190"/>
      <c r="V311" s="190"/>
      <c r="W311" s="264"/>
      <c r="X311" s="264"/>
      <c r="Y311" s="264"/>
    </row>
    <row r="312" spans="12:25" x14ac:dyDescent="0.35">
      <c r="L312" s="190"/>
      <c r="M312" s="190"/>
      <c r="N312" s="190"/>
      <c r="O312" s="190"/>
      <c r="P312" s="190"/>
      <c r="Q312" s="190"/>
      <c r="R312" s="190"/>
      <c r="S312" s="190">
        <v>310</v>
      </c>
      <c r="T312" s="190">
        <v>150</v>
      </c>
      <c r="U312" s="190"/>
      <c r="V312" s="190"/>
      <c r="W312" s="264"/>
      <c r="X312" s="264"/>
      <c r="Y312" s="264"/>
    </row>
    <row r="313" spans="12:25" x14ac:dyDescent="0.35">
      <c r="L313" s="190"/>
      <c r="M313" s="190"/>
      <c r="N313" s="190"/>
      <c r="O313" s="190"/>
      <c r="P313" s="190"/>
      <c r="Q313" s="190"/>
      <c r="R313" s="190"/>
      <c r="S313" s="190">
        <v>311</v>
      </c>
      <c r="T313" s="190">
        <v>150</v>
      </c>
      <c r="U313" s="190"/>
      <c r="V313" s="190"/>
      <c r="W313" s="264"/>
      <c r="X313" s="264"/>
      <c r="Y313" s="264"/>
    </row>
    <row r="314" spans="12:25" x14ac:dyDescent="0.35">
      <c r="L314" s="190"/>
      <c r="M314" s="190"/>
      <c r="N314" s="190"/>
      <c r="O314" s="190"/>
      <c r="P314" s="190"/>
      <c r="Q314" s="190"/>
      <c r="R314" s="190"/>
      <c r="S314" s="190">
        <v>312</v>
      </c>
      <c r="T314" s="190">
        <v>150</v>
      </c>
      <c r="U314" s="190"/>
      <c r="V314" s="190"/>
      <c r="W314" s="264"/>
      <c r="X314" s="264"/>
      <c r="Y314" s="264"/>
    </row>
    <row r="315" spans="12:25" x14ac:dyDescent="0.35">
      <c r="L315" s="190"/>
      <c r="M315" s="190"/>
      <c r="N315" s="190"/>
      <c r="O315" s="190"/>
      <c r="P315" s="190"/>
      <c r="Q315" s="190"/>
      <c r="R315" s="190"/>
      <c r="S315" s="190">
        <v>313</v>
      </c>
      <c r="T315" s="190">
        <v>150</v>
      </c>
      <c r="U315" s="190"/>
      <c r="V315" s="190"/>
      <c r="W315" s="264"/>
      <c r="X315" s="264"/>
      <c r="Y315" s="264"/>
    </row>
    <row r="316" spans="12:25" x14ac:dyDescent="0.35">
      <c r="L316" s="190"/>
      <c r="M316" s="190"/>
      <c r="N316" s="190"/>
      <c r="O316" s="190"/>
      <c r="P316" s="190"/>
      <c r="Q316" s="190"/>
      <c r="R316" s="190"/>
      <c r="S316" s="190">
        <v>314</v>
      </c>
      <c r="T316" s="190">
        <v>150</v>
      </c>
      <c r="U316" s="190"/>
      <c r="V316" s="190"/>
      <c r="W316" s="264"/>
      <c r="X316" s="264"/>
      <c r="Y316" s="264"/>
    </row>
    <row r="317" spans="12:25" x14ac:dyDescent="0.35">
      <c r="L317" s="190"/>
      <c r="M317" s="190"/>
      <c r="N317" s="190"/>
      <c r="O317" s="190"/>
      <c r="P317" s="190"/>
      <c r="Q317" s="190"/>
      <c r="R317" s="190"/>
      <c r="S317" s="190">
        <v>315</v>
      </c>
      <c r="T317" s="190">
        <v>150</v>
      </c>
      <c r="U317" s="190"/>
      <c r="V317" s="190"/>
      <c r="W317" s="264"/>
      <c r="X317" s="264"/>
      <c r="Y317" s="264"/>
    </row>
    <row r="318" spans="12:25" x14ac:dyDescent="0.35">
      <c r="L318" s="190"/>
      <c r="M318" s="190"/>
      <c r="N318" s="190"/>
      <c r="O318" s="190"/>
      <c r="P318" s="190"/>
      <c r="Q318" s="190"/>
      <c r="R318" s="190"/>
      <c r="S318" s="190">
        <v>316</v>
      </c>
      <c r="T318" s="190">
        <v>150</v>
      </c>
      <c r="U318" s="190"/>
      <c r="V318" s="190"/>
      <c r="W318" s="264"/>
      <c r="X318" s="264"/>
      <c r="Y318" s="264"/>
    </row>
    <row r="319" spans="12:25" x14ac:dyDescent="0.35">
      <c r="L319" s="190"/>
      <c r="M319" s="190"/>
      <c r="N319" s="190"/>
      <c r="O319" s="190"/>
      <c r="P319" s="190"/>
      <c r="Q319" s="190"/>
      <c r="R319" s="190"/>
      <c r="S319" s="190">
        <v>317</v>
      </c>
      <c r="T319" s="190">
        <v>150</v>
      </c>
      <c r="U319" s="190"/>
      <c r="V319" s="190"/>
      <c r="W319" s="264"/>
      <c r="X319" s="264"/>
      <c r="Y319" s="264"/>
    </row>
    <row r="320" spans="12:25" x14ac:dyDescent="0.35">
      <c r="L320" s="190"/>
      <c r="M320" s="190"/>
      <c r="N320" s="190"/>
      <c r="O320" s="190"/>
      <c r="P320" s="190"/>
      <c r="Q320" s="190"/>
      <c r="R320" s="190"/>
      <c r="S320" s="190">
        <v>318</v>
      </c>
      <c r="T320" s="190">
        <v>150</v>
      </c>
      <c r="U320" s="190"/>
      <c r="V320" s="190"/>
      <c r="W320" s="264"/>
      <c r="X320" s="264"/>
      <c r="Y320" s="264"/>
    </row>
    <row r="321" spans="12:25" x14ac:dyDescent="0.35">
      <c r="L321" s="190"/>
      <c r="M321" s="190"/>
      <c r="N321" s="190"/>
      <c r="O321" s="190"/>
      <c r="P321" s="190"/>
      <c r="Q321" s="190"/>
      <c r="R321" s="190"/>
      <c r="S321" s="190">
        <v>319</v>
      </c>
      <c r="T321" s="190">
        <v>150</v>
      </c>
      <c r="U321" s="190"/>
      <c r="V321" s="190"/>
      <c r="W321" s="264"/>
      <c r="X321" s="264"/>
      <c r="Y321" s="264"/>
    </row>
    <row r="322" spans="12:25" x14ac:dyDescent="0.35">
      <c r="L322" s="190"/>
      <c r="M322" s="190"/>
      <c r="N322" s="190"/>
      <c r="O322" s="190"/>
      <c r="P322" s="190"/>
      <c r="Q322" s="190"/>
      <c r="R322" s="190"/>
      <c r="S322" s="190">
        <v>320</v>
      </c>
      <c r="T322" s="190">
        <v>150</v>
      </c>
      <c r="U322" s="190"/>
      <c r="V322" s="190"/>
      <c r="W322" s="264"/>
      <c r="X322" s="264"/>
      <c r="Y322" s="264"/>
    </row>
    <row r="323" spans="12:25" x14ac:dyDescent="0.35">
      <c r="L323" s="190"/>
      <c r="M323" s="190"/>
      <c r="N323" s="190"/>
      <c r="O323" s="190"/>
      <c r="P323" s="190"/>
      <c r="Q323" s="190"/>
      <c r="R323" s="190"/>
      <c r="S323" s="190">
        <v>321</v>
      </c>
      <c r="T323" s="190">
        <v>150</v>
      </c>
      <c r="U323" s="190"/>
      <c r="V323" s="190"/>
      <c r="W323" s="264"/>
      <c r="X323" s="264"/>
      <c r="Y323" s="264"/>
    </row>
    <row r="324" spans="12:25" x14ac:dyDescent="0.35">
      <c r="L324" s="190"/>
      <c r="M324" s="190"/>
      <c r="N324" s="190"/>
      <c r="O324" s="190"/>
      <c r="P324" s="190"/>
      <c r="Q324" s="190"/>
      <c r="R324" s="190"/>
      <c r="S324" s="190">
        <v>322</v>
      </c>
      <c r="T324" s="190">
        <v>150</v>
      </c>
      <c r="U324" s="190"/>
      <c r="V324" s="190"/>
      <c r="W324" s="264"/>
      <c r="X324" s="264"/>
      <c r="Y324" s="264"/>
    </row>
    <row r="325" spans="12:25" x14ac:dyDescent="0.35">
      <c r="L325" s="190"/>
      <c r="M325" s="190"/>
      <c r="N325" s="190"/>
      <c r="O325" s="190"/>
      <c r="P325" s="190"/>
      <c r="Q325" s="190"/>
      <c r="R325" s="190"/>
      <c r="S325" s="190">
        <v>323</v>
      </c>
      <c r="T325" s="190">
        <v>150</v>
      </c>
      <c r="U325" s="190"/>
      <c r="V325" s="190"/>
      <c r="W325" s="264"/>
      <c r="X325" s="264"/>
      <c r="Y325" s="264"/>
    </row>
    <row r="326" spans="12:25" x14ac:dyDescent="0.35">
      <c r="L326" s="190"/>
      <c r="M326" s="190"/>
      <c r="N326" s="190"/>
      <c r="O326" s="190"/>
      <c r="P326" s="190"/>
      <c r="Q326" s="190"/>
      <c r="R326" s="190"/>
      <c r="S326" s="190">
        <v>324</v>
      </c>
      <c r="T326" s="190">
        <v>150</v>
      </c>
      <c r="U326" s="190"/>
      <c r="V326" s="190"/>
      <c r="W326" s="264"/>
      <c r="X326" s="264"/>
      <c r="Y326" s="264"/>
    </row>
    <row r="327" spans="12:25" x14ac:dyDescent="0.35">
      <c r="L327" s="190"/>
      <c r="M327" s="190"/>
      <c r="N327" s="190"/>
      <c r="O327" s="190"/>
      <c r="P327" s="190"/>
      <c r="Q327" s="190"/>
      <c r="R327" s="190"/>
      <c r="S327" s="190">
        <v>325</v>
      </c>
      <c r="T327" s="190">
        <v>150</v>
      </c>
      <c r="U327" s="190"/>
      <c r="V327" s="190"/>
      <c r="W327" s="264"/>
      <c r="X327" s="264"/>
      <c r="Y327" s="264"/>
    </row>
    <row r="328" spans="12:25" x14ac:dyDescent="0.35">
      <c r="L328" s="190"/>
      <c r="M328" s="190"/>
      <c r="N328" s="190"/>
      <c r="O328" s="190"/>
      <c r="P328" s="190"/>
      <c r="Q328" s="190"/>
      <c r="R328" s="190"/>
      <c r="S328" s="190">
        <v>326</v>
      </c>
      <c r="T328" s="190">
        <v>150</v>
      </c>
      <c r="U328" s="190"/>
      <c r="V328" s="190"/>
      <c r="W328" s="264"/>
      <c r="X328" s="264"/>
      <c r="Y328" s="264"/>
    </row>
    <row r="329" spans="12:25" x14ac:dyDescent="0.35">
      <c r="L329" s="190"/>
      <c r="M329" s="190"/>
      <c r="N329" s="190"/>
      <c r="O329" s="190"/>
      <c r="P329" s="190"/>
      <c r="Q329" s="190"/>
      <c r="R329" s="190"/>
      <c r="S329" s="190">
        <v>327</v>
      </c>
      <c r="T329" s="190">
        <v>150</v>
      </c>
      <c r="U329" s="190"/>
      <c r="V329" s="190"/>
      <c r="W329" s="264"/>
      <c r="X329" s="264"/>
      <c r="Y329" s="264"/>
    </row>
    <row r="330" spans="12:25" x14ac:dyDescent="0.35">
      <c r="L330" s="190"/>
      <c r="M330" s="190"/>
      <c r="N330" s="190"/>
      <c r="O330" s="190"/>
      <c r="P330" s="190"/>
      <c r="Q330" s="190"/>
      <c r="R330" s="190"/>
      <c r="S330" s="190">
        <v>328</v>
      </c>
      <c r="T330" s="190">
        <v>150</v>
      </c>
      <c r="U330" s="190"/>
      <c r="V330" s="190"/>
      <c r="W330" s="264"/>
      <c r="X330" s="264"/>
      <c r="Y330" s="264"/>
    </row>
    <row r="331" spans="12:25" x14ac:dyDescent="0.35">
      <c r="L331" s="190"/>
      <c r="M331" s="190"/>
      <c r="N331" s="190"/>
      <c r="O331" s="190"/>
      <c r="P331" s="190"/>
      <c r="Q331" s="190"/>
      <c r="R331" s="190"/>
      <c r="S331" s="190">
        <v>329</v>
      </c>
      <c r="T331" s="190">
        <v>150</v>
      </c>
      <c r="U331" s="190"/>
      <c r="V331" s="190"/>
      <c r="W331" s="264"/>
      <c r="X331" s="264"/>
      <c r="Y331" s="264"/>
    </row>
    <row r="332" spans="12:25" x14ac:dyDescent="0.35">
      <c r="L332" s="190"/>
      <c r="M332" s="190"/>
      <c r="N332" s="190"/>
      <c r="O332" s="190"/>
      <c r="P332" s="190"/>
      <c r="Q332" s="190"/>
      <c r="R332" s="190"/>
      <c r="S332" s="190">
        <v>330</v>
      </c>
      <c r="T332" s="190">
        <v>150</v>
      </c>
      <c r="U332" s="190"/>
      <c r="V332" s="190"/>
      <c r="W332" s="264"/>
      <c r="X332" s="264"/>
      <c r="Y332" s="264"/>
    </row>
    <row r="333" spans="12:25" x14ac:dyDescent="0.35">
      <c r="L333" s="190"/>
      <c r="M333" s="190"/>
      <c r="N333" s="190"/>
      <c r="O333" s="190"/>
      <c r="P333" s="190"/>
      <c r="Q333" s="190"/>
      <c r="R333" s="190"/>
      <c r="S333" s="190">
        <v>331</v>
      </c>
      <c r="T333" s="190">
        <v>150</v>
      </c>
      <c r="U333" s="190"/>
      <c r="V333" s="190"/>
      <c r="W333" s="264"/>
      <c r="X333" s="264"/>
      <c r="Y333" s="264"/>
    </row>
    <row r="334" spans="12:25" x14ac:dyDescent="0.35">
      <c r="L334" s="190"/>
      <c r="M334" s="190"/>
      <c r="N334" s="190"/>
      <c r="O334" s="190"/>
      <c r="P334" s="190"/>
      <c r="Q334" s="190"/>
      <c r="R334" s="190"/>
      <c r="S334" s="190">
        <v>332</v>
      </c>
      <c r="T334" s="190">
        <v>150</v>
      </c>
      <c r="U334" s="190"/>
      <c r="V334" s="190"/>
      <c r="W334" s="264"/>
      <c r="X334" s="264"/>
      <c r="Y334" s="264"/>
    </row>
    <row r="335" spans="12:25" x14ac:dyDescent="0.35">
      <c r="L335" s="190"/>
      <c r="M335" s="190"/>
      <c r="N335" s="190"/>
      <c r="O335" s="190"/>
      <c r="P335" s="190"/>
      <c r="Q335" s="190"/>
      <c r="R335" s="190"/>
      <c r="S335" s="190">
        <v>333</v>
      </c>
      <c r="T335" s="190">
        <v>150</v>
      </c>
      <c r="U335" s="190"/>
      <c r="V335" s="190"/>
      <c r="W335" s="264"/>
      <c r="X335" s="264"/>
      <c r="Y335" s="264"/>
    </row>
    <row r="336" spans="12:25" x14ac:dyDescent="0.35">
      <c r="L336" s="190"/>
      <c r="M336" s="190"/>
      <c r="N336" s="190"/>
      <c r="O336" s="190"/>
      <c r="P336" s="190"/>
      <c r="Q336" s="190"/>
      <c r="R336" s="190"/>
      <c r="S336" s="190">
        <v>334</v>
      </c>
      <c r="T336" s="190">
        <v>150</v>
      </c>
      <c r="U336" s="190"/>
      <c r="V336" s="190"/>
      <c r="W336" s="264"/>
      <c r="X336" s="264"/>
      <c r="Y336" s="264"/>
    </row>
    <row r="337" spans="12:25" x14ac:dyDescent="0.35">
      <c r="L337" s="190"/>
      <c r="M337" s="190"/>
      <c r="N337" s="190"/>
      <c r="O337" s="190"/>
      <c r="P337" s="190"/>
      <c r="Q337" s="190"/>
      <c r="R337" s="190"/>
      <c r="S337" s="190">
        <v>335</v>
      </c>
      <c r="T337" s="190">
        <v>150</v>
      </c>
      <c r="U337" s="190"/>
      <c r="V337" s="190"/>
      <c r="W337" s="264"/>
      <c r="X337" s="264"/>
      <c r="Y337" s="264"/>
    </row>
    <row r="338" spans="12:25" x14ac:dyDescent="0.35">
      <c r="L338" s="190"/>
      <c r="M338" s="190"/>
      <c r="N338" s="190"/>
      <c r="O338" s="190"/>
      <c r="P338" s="190"/>
      <c r="Q338" s="190"/>
      <c r="R338" s="190"/>
      <c r="S338" s="190">
        <v>336</v>
      </c>
      <c r="T338" s="190">
        <v>150</v>
      </c>
      <c r="U338" s="190"/>
      <c r="V338" s="190"/>
      <c r="W338" s="264"/>
      <c r="X338" s="264"/>
      <c r="Y338" s="264"/>
    </row>
    <row r="339" spans="12:25" x14ac:dyDescent="0.35">
      <c r="L339" s="190"/>
      <c r="M339" s="190"/>
      <c r="N339" s="190"/>
      <c r="O339" s="190"/>
      <c r="P339" s="190"/>
      <c r="Q339" s="190"/>
      <c r="R339" s="190"/>
      <c r="S339" s="190">
        <v>337</v>
      </c>
      <c r="T339" s="190">
        <v>150</v>
      </c>
      <c r="U339" s="190"/>
      <c r="V339" s="190"/>
      <c r="W339" s="264"/>
      <c r="X339" s="264"/>
      <c r="Y339" s="264"/>
    </row>
    <row r="340" spans="12:25" x14ac:dyDescent="0.35">
      <c r="L340" s="190"/>
      <c r="M340" s="190"/>
      <c r="N340" s="190"/>
      <c r="O340" s="190"/>
      <c r="P340" s="190"/>
      <c r="Q340" s="190"/>
      <c r="R340" s="190"/>
      <c r="S340" s="190">
        <v>338</v>
      </c>
      <c r="T340" s="190">
        <v>150</v>
      </c>
      <c r="U340" s="190"/>
      <c r="V340" s="190"/>
      <c r="W340" s="264"/>
      <c r="X340" s="264"/>
      <c r="Y340" s="264"/>
    </row>
    <row r="341" spans="12:25" x14ac:dyDescent="0.35">
      <c r="L341" s="190"/>
      <c r="M341" s="190"/>
      <c r="N341" s="190"/>
      <c r="O341" s="190"/>
      <c r="P341" s="190"/>
      <c r="Q341" s="190"/>
      <c r="R341" s="190"/>
      <c r="S341" s="190">
        <v>339</v>
      </c>
      <c r="T341" s="190">
        <v>150</v>
      </c>
      <c r="U341" s="190"/>
      <c r="V341" s="190"/>
      <c r="W341" s="264"/>
      <c r="X341" s="264"/>
      <c r="Y341" s="264"/>
    </row>
    <row r="342" spans="12:25" x14ac:dyDescent="0.35">
      <c r="L342" s="190"/>
      <c r="M342" s="190"/>
      <c r="N342" s="190"/>
      <c r="O342" s="190"/>
      <c r="P342" s="190"/>
      <c r="Q342" s="190"/>
      <c r="R342" s="190"/>
      <c r="S342" s="190">
        <v>340</v>
      </c>
      <c r="T342" s="190">
        <v>150</v>
      </c>
      <c r="U342" s="190"/>
      <c r="V342" s="190"/>
      <c r="W342" s="264"/>
      <c r="X342" s="264"/>
      <c r="Y342" s="264"/>
    </row>
    <row r="343" spans="12:25" x14ac:dyDescent="0.35">
      <c r="L343" s="190"/>
      <c r="M343" s="190"/>
      <c r="N343" s="190"/>
      <c r="O343" s="190"/>
      <c r="P343" s="190"/>
      <c r="Q343" s="190"/>
      <c r="R343" s="190"/>
      <c r="S343" s="190">
        <v>341</v>
      </c>
      <c r="T343" s="190">
        <v>150</v>
      </c>
      <c r="U343" s="190"/>
      <c r="V343" s="190"/>
      <c r="W343" s="264"/>
      <c r="X343" s="264"/>
      <c r="Y343" s="264"/>
    </row>
    <row r="344" spans="12:25" x14ac:dyDescent="0.35">
      <c r="L344" s="190"/>
      <c r="M344" s="190"/>
      <c r="N344" s="190"/>
      <c r="O344" s="190"/>
      <c r="P344" s="190"/>
      <c r="Q344" s="190"/>
      <c r="R344" s="190"/>
      <c r="S344" s="190">
        <v>342</v>
      </c>
      <c r="T344" s="190">
        <v>150</v>
      </c>
      <c r="U344" s="190"/>
      <c r="V344" s="190"/>
      <c r="W344" s="264"/>
      <c r="X344" s="264"/>
      <c r="Y344" s="264"/>
    </row>
    <row r="345" spans="12:25" x14ac:dyDescent="0.35">
      <c r="L345" s="190"/>
      <c r="M345" s="190"/>
      <c r="N345" s="190"/>
      <c r="O345" s="190"/>
      <c r="P345" s="190"/>
      <c r="Q345" s="190"/>
      <c r="R345" s="190"/>
      <c r="S345" s="190">
        <v>343</v>
      </c>
      <c r="T345" s="190">
        <v>150</v>
      </c>
      <c r="U345" s="190"/>
      <c r="V345" s="190"/>
      <c r="W345" s="264"/>
      <c r="X345" s="264"/>
      <c r="Y345" s="264"/>
    </row>
    <row r="346" spans="12:25" x14ac:dyDescent="0.35">
      <c r="L346" s="190"/>
      <c r="M346" s="190"/>
      <c r="N346" s="190"/>
      <c r="O346" s="190"/>
      <c r="P346" s="190"/>
      <c r="Q346" s="190"/>
      <c r="R346" s="190"/>
      <c r="S346" s="190">
        <v>344</v>
      </c>
      <c r="T346" s="190">
        <v>150</v>
      </c>
      <c r="U346" s="190"/>
      <c r="V346" s="190"/>
      <c r="W346" s="264"/>
      <c r="X346" s="264"/>
      <c r="Y346" s="264"/>
    </row>
    <row r="347" spans="12:25" x14ac:dyDescent="0.35">
      <c r="L347" s="190"/>
      <c r="M347" s="190"/>
      <c r="N347" s="190"/>
      <c r="O347" s="190"/>
      <c r="P347" s="190"/>
      <c r="Q347" s="190"/>
      <c r="R347" s="190"/>
      <c r="S347" s="190">
        <v>345</v>
      </c>
      <c r="T347" s="190">
        <v>150</v>
      </c>
      <c r="U347" s="190"/>
      <c r="V347" s="190"/>
      <c r="W347" s="264"/>
      <c r="X347" s="264"/>
      <c r="Y347" s="264"/>
    </row>
    <row r="348" spans="12:25" x14ac:dyDescent="0.35">
      <c r="L348" s="190"/>
      <c r="M348" s="190"/>
      <c r="N348" s="190"/>
      <c r="O348" s="190"/>
      <c r="P348" s="190"/>
      <c r="Q348" s="190"/>
      <c r="R348" s="190"/>
      <c r="S348" s="190">
        <v>346</v>
      </c>
      <c r="T348" s="190">
        <v>150</v>
      </c>
      <c r="U348" s="190"/>
      <c r="V348" s="190"/>
      <c r="W348" s="264"/>
      <c r="X348" s="264"/>
      <c r="Y348" s="264"/>
    </row>
    <row r="349" spans="12:25" x14ac:dyDescent="0.35">
      <c r="L349" s="190"/>
      <c r="M349" s="190"/>
      <c r="N349" s="190"/>
      <c r="O349" s="190"/>
      <c r="P349" s="190"/>
      <c r="Q349" s="190"/>
      <c r="R349" s="190"/>
      <c r="S349" s="190">
        <v>347</v>
      </c>
      <c r="T349" s="190">
        <v>150</v>
      </c>
      <c r="U349" s="190"/>
      <c r="V349" s="190"/>
      <c r="W349" s="264"/>
      <c r="X349" s="264"/>
      <c r="Y349" s="264"/>
    </row>
    <row r="350" spans="12:25" x14ac:dyDescent="0.35">
      <c r="L350" s="190"/>
      <c r="M350" s="190"/>
      <c r="N350" s="190"/>
      <c r="O350" s="190"/>
      <c r="P350" s="190"/>
      <c r="Q350" s="190"/>
      <c r="R350" s="190"/>
      <c r="S350" s="190">
        <v>348</v>
      </c>
      <c r="T350" s="190">
        <v>150</v>
      </c>
      <c r="U350" s="190"/>
      <c r="V350" s="190"/>
      <c r="W350" s="264"/>
      <c r="X350" s="264"/>
      <c r="Y350" s="264"/>
    </row>
    <row r="351" spans="12:25" x14ac:dyDescent="0.35">
      <c r="L351" s="190"/>
      <c r="M351" s="190"/>
      <c r="N351" s="190"/>
      <c r="O351" s="190"/>
      <c r="P351" s="190"/>
      <c r="Q351" s="190"/>
      <c r="R351" s="190"/>
      <c r="S351" s="190">
        <v>349</v>
      </c>
      <c r="T351" s="190">
        <v>150</v>
      </c>
      <c r="U351" s="190"/>
      <c r="V351" s="190"/>
      <c r="W351" s="264"/>
      <c r="X351" s="264"/>
      <c r="Y351" s="264"/>
    </row>
    <row r="352" spans="12:25" x14ac:dyDescent="0.35">
      <c r="L352" s="190"/>
      <c r="M352" s="190"/>
      <c r="N352" s="190"/>
      <c r="O352" s="190"/>
      <c r="P352" s="190"/>
      <c r="Q352" s="190"/>
      <c r="R352" s="190"/>
      <c r="S352" s="190">
        <v>350</v>
      </c>
      <c r="T352" s="190">
        <v>150</v>
      </c>
      <c r="U352" s="190"/>
      <c r="V352" s="190"/>
      <c r="W352" s="264"/>
      <c r="X352" s="264"/>
      <c r="Y352" s="264"/>
    </row>
    <row r="353" spans="12:25" x14ac:dyDescent="0.35">
      <c r="L353" s="190"/>
      <c r="M353" s="190"/>
      <c r="N353" s="190"/>
      <c r="O353" s="190"/>
      <c r="P353" s="190"/>
      <c r="Q353" s="190"/>
      <c r="R353" s="190"/>
      <c r="S353" s="190">
        <v>351</v>
      </c>
      <c r="T353" s="190">
        <v>150</v>
      </c>
      <c r="U353" s="190"/>
      <c r="V353" s="190"/>
      <c r="W353" s="264"/>
      <c r="X353" s="264"/>
      <c r="Y353" s="264"/>
    </row>
    <row r="354" spans="12:25" x14ac:dyDescent="0.35">
      <c r="L354" s="190"/>
      <c r="M354" s="190"/>
      <c r="N354" s="190"/>
      <c r="O354" s="190"/>
      <c r="P354" s="190"/>
      <c r="Q354" s="190"/>
      <c r="R354" s="190"/>
      <c r="S354" s="190">
        <v>352</v>
      </c>
      <c r="T354" s="190">
        <v>150</v>
      </c>
      <c r="U354" s="190"/>
      <c r="V354" s="190"/>
      <c r="W354" s="264"/>
      <c r="X354" s="264"/>
      <c r="Y354" s="264"/>
    </row>
    <row r="355" spans="12:25" x14ac:dyDescent="0.35">
      <c r="L355" s="190"/>
      <c r="M355" s="190"/>
      <c r="N355" s="190"/>
      <c r="O355" s="190"/>
      <c r="P355" s="190"/>
      <c r="Q355" s="190"/>
      <c r="R355" s="190"/>
      <c r="S355" s="190">
        <v>353</v>
      </c>
      <c r="T355" s="190">
        <v>150</v>
      </c>
      <c r="U355" s="190"/>
      <c r="V355" s="190"/>
      <c r="W355" s="264"/>
      <c r="X355" s="264"/>
      <c r="Y355" s="264"/>
    </row>
    <row r="356" spans="12:25" x14ac:dyDescent="0.35">
      <c r="L356" s="190"/>
      <c r="M356" s="190"/>
      <c r="N356" s="190"/>
      <c r="O356" s="190"/>
      <c r="P356" s="190"/>
      <c r="Q356" s="190"/>
      <c r="R356" s="190"/>
      <c r="S356" s="190">
        <v>354</v>
      </c>
      <c r="T356" s="190">
        <v>150</v>
      </c>
      <c r="U356" s="190"/>
      <c r="V356" s="190"/>
      <c r="W356" s="264"/>
      <c r="X356" s="264"/>
      <c r="Y356" s="264"/>
    </row>
    <row r="357" spans="12:25" x14ac:dyDescent="0.35">
      <c r="L357" s="190"/>
      <c r="M357" s="190"/>
      <c r="N357" s="190"/>
      <c r="O357" s="190"/>
      <c r="P357" s="190"/>
      <c r="Q357" s="190"/>
      <c r="R357" s="190"/>
      <c r="S357" s="190">
        <v>355</v>
      </c>
      <c r="T357" s="190">
        <v>150</v>
      </c>
      <c r="U357" s="190"/>
      <c r="V357" s="190"/>
      <c r="W357" s="264"/>
      <c r="X357" s="264"/>
      <c r="Y357" s="264"/>
    </row>
    <row r="358" spans="12:25" x14ac:dyDescent="0.35">
      <c r="L358" s="190"/>
      <c r="M358" s="190"/>
      <c r="N358" s="190"/>
      <c r="O358" s="190"/>
      <c r="P358" s="190"/>
      <c r="Q358" s="190"/>
      <c r="R358" s="190"/>
      <c r="S358" s="190">
        <v>356</v>
      </c>
      <c r="T358" s="190">
        <v>150</v>
      </c>
      <c r="U358" s="190"/>
      <c r="V358" s="190"/>
      <c r="W358" s="264"/>
      <c r="X358" s="264"/>
      <c r="Y358" s="264"/>
    </row>
    <row r="359" spans="12:25" x14ac:dyDescent="0.35">
      <c r="L359" s="190"/>
      <c r="M359" s="190"/>
      <c r="N359" s="190"/>
      <c r="O359" s="190"/>
      <c r="P359" s="190"/>
      <c r="Q359" s="190"/>
      <c r="R359" s="190"/>
      <c r="S359" s="190">
        <v>357</v>
      </c>
      <c r="T359" s="190">
        <v>150</v>
      </c>
      <c r="U359" s="190"/>
      <c r="V359" s="190"/>
      <c r="W359" s="264"/>
      <c r="X359" s="264"/>
      <c r="Y359" s="264"/>
    </row>
    <row r="360" spans="12:25" x14ac:dyDescent="0.35">
      <c r="L360" s="190"/>
      <c r="M360" s="190"/>
      <c r="N360" s="190"/>
      <c r="O360" s="190"/>
      <c r="P360" s="190"/>
      <c r="Q360" s="190"/>
      <c r="R360" s="190"/>
      <c r="S360" s="190">
        <v>358</v>
      </c>
      <c r="T360" s="190">
        <v>150</v>
      </c>
      <c r="U360" s="190"/>
      <c r="V360" s="190"/>
      <c r="W360" s="264"/>
      <c r="X360" s="264"/>
      <c r="Y360" s="264"/>
    </row>
    <row r="361" spans="12:25" x14ac:dyDescent="0.35">
      <c r="L361" s="190"/>
      <c r="M361" s="190"/>
      <c r="N361" s="190"/>
      <c r="O361" s="190"/>
      <c r="P361" s="190"/>
      <c r="Q361" s="190"/>
      <c r="R361" s="190"/>
      <c r="S361" s="190">
        <v>359</v>
      </c>
      <c r="T361" s="190">
        <v>150</v>
      </c>
      <c r="U361" s="190"/>
      <c r="V361" s="190"/>
      <c r="W361" s="264"/>
      <c r="X361" s="264"/>
      <c r="Y361" s="264"/>
    </row>
    <row r="362" spans="12:25" x14ac:dyDescent="0.35">
      <c r="L362" s="190"/>
      <c r="M362" s="190"/>
      <c r="N362" s="190"/>
      <c r="O362" s="190"/>
      <c r="P362" s="190"/>
      <c r="Q362" s="190"/>
      <c r="R362" s="190"/>
      <c r="S362" s="190">
        <v>360</v>
      </c>
      <c r="T362" s="190">
        <v>150</v>
      </c>
      <c r="U362" s="190">
        <v>360</v>
      </c>
      <c r="V362" s="190"/>
      <c r="W362" s="264"/>
      <c r="X362" s="264"/>
      <c r="Y362" s="264"/>
    </row>
    <row r="363" spans="12:25" x14ac:dyDescent="0.35"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264"/>
      <c r="X363" s="264"/>
      <c r="Y363" s="264"/>
    </row>
    <row r="364" spans="12:25" x14ac:dyDescent="0.35"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264"/>
      <c r="X364" s="264"/>
      <c r="Y364" s="264"/>
    </row>
    <row r="365" spans="12:25" x14ac:dyDescent="0.35"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264"/>
      <c r="X365" s="264"/>
      <c r="Y365" s="264"/>
    </row>
    <row r="366" spans="12:25" x14ac:dyDescent="0.35"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264"/>
      <c r="X366" s="264"/>
      <c r="Y366" s="264"/>
    </row>
    <row r="367" spans="12:25" x14ac:dyDescent="0.35"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264"/>
      <c r="X367" s="264"/>
      <c r="Y367" s="264"/>
    </row>
    <row r="368" spans="12:25" x14ac:dyDescent="0.35"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264"/>
      <c r="X368" s="264"/>
      <c r="Y368" s="264"/>
    </row>
    <row r="369" spans="12:25" x14ac:dyDescent="0.35"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264"/>
      <c r="X369" s="264"/>
      <c r="Y369" s="264"/>
    </row>
    <row r="370" spans="12:25" x14ac:dyDescent="0.35"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264"/>
      <c r="X370" s="264"/>
      <c r="Y370" s="264"/>
    </row>
    <row r="371" spans="12:25" x14ac:dyDescent="0.35"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264"/>
      <c r="X371" s="264"/>
      <c r="Y371" s="264"/>
    </row>
    <row r="372" spans="12:25" x14ac:dyDescent="0.35"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264"/>
      <c r="X372" s="264"/>
      <c r="Y372" s="264"/>
    </row>
    <row r="373" spans="12:25" x14ac:dyDescent="0.35"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264"/>
      <c r="X373" s="264"/>
      <c r="Y373" s="264"/>
    </row>
    <row r="374" spans="12:25" x14ac:dyDescent="0.35"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264"/>
      <c r="X374" s="264"/>
      <c r="Y374" s="264"/>
    </row>
    <row r="375" spans="12:25" x14ac:dyDescent="0.35"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264"/>
      <c r="X375" s="264"/>
      <c r="Y375" s="264"/>
    </row>
    <row r="376" spans="12:25" x14ac:dyDescent="0.35"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264"/>
      <c r="X376" s="264"/>
      <c r="Y376" s="264"/>
    </row>
    <row r="377" spans="12:25" x14ac:dyDescent="0.35"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264"/>
      <c r="X377" s="264"/>
      <c r="Y377" s="264"/>
    </row>
    <row r="378" spans="12:25" x14ac:dyDescent="0.35"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264"/>
      <c r="X378" s="264"/>
      <c r="Y378" s="264"/>
    </row>
    <row r="379" spans="12:25" x14ac:dyDescent="0.35"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264"/>
      <c r="X379" s="264"/>
      <c r="Y379" s="264"/>
    </row>
    <row r="380" spans="12:25" x14ac:dyDescent="0.35"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264"/>
      <c r="X380" s="264"/>
      <c r="Y380" s="264"/>
    </row>
    <row r="381" spans="12:25" x14ac:dyDescent="0.35"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264"/>
      <c r="X381" s="264"/>
      <c r="Y381" s="264"/>
    </row>
    <row r="382" spans="12:25" x14ac:dyDescent="0.35"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264"/>
      <c r="X382" s="264"/>
      <c r="Y382" s="264"/>
    </row>
    <row r="383" spans="12:25" x14ac:dyDescent="0.35"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264"/>
      <c r="X383" s="264"/>
      <c r="Y383" s="264"/>
    </row>
    <row r="384" spans="12:25" x14ac:dyDescent="0.35"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264"/>
      <c r="X384" s="264"/>
      <c r="Y384" s="264"/>
    </row>
    <row r="385" spans="12:25" x14ac:dyDescent="0.35"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264"/>
      <c r="X385" s="264"/>
      <c r="Y385" s="264"/>
    </row>
    <row r="386" spans="12:25" x14ac:dyDescent="0.35"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264"/>
      <c r="X386" s="264"/>
      <c r="Y386" s="264"/>
    </row>
    <row r="387" spans="12:25" x14ac:dyDescent="0.35"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264"/>
      <c r="X387" s="264"/>
      <c r="Y387" s="264"/>
    </row>
    <row r="388" spans="12:25" x14ac:dyDescent="0.35"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264"/>
      <c r="X388" s="264"/>
      <c r="Y388" s="264"/>
    </row>
    <row r="389" spans="12:25" x14ac:dyDescent="0.35"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264"/>
      <c r="X389" s="264"/>
      <c r="Y389" s="264"/>
    </row>
    <row r="390" spans="12:25" x14ac:dyDescent="0.35"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264"/>
    </row>
    <row r="391" spans="12:25" x14ac:dyDescent="0.35"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264"/>
    </row>
    <row r="392" spans="12:25" x14ac:dyDescent="0.35"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264"/>
    </row>
    <row r="393" spans="12:25" x14ac:dyDescent="0.35"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264"/>
    </row>
    <row r="394" spans="12:25" x14ac:dyDescent="0.35"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264"/>
    </row>
    <row r="395" spans="12:25" x14ac:dyDescent="0.35"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264"/>
    </row>
    <row r="396" spans="12:25" x14ac:dyDescent="0.35"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264"/>
    </row>
    <row r="397" spans="12:25" x14ac:dyDescent="0.35"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</row>
    <row r="398" spans="12:25" x14ac:dyDescent="0.35"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</row>
    <row r="399" spans="12:25" x14ac:dyDescent="0.35"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</row>
    <row r="400" spans="12:25" x14ac:dyDescent="0.35"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264"/>
    </row>
    <row r="401" spans="12:25" x14ac:dyDescent="0.35"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</row>
    <row r="402" spans="12:25" x14ac:dyDescent="0.35"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</row>
    <row r="403" spans="12:25" x14ac:dyDescent="0.35"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</row>
    <row r="404" spans="12:25" x14ac:dyDescent="0.35"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264"/>
    </row>
    <row r="405" spans="12:25" x14ac:dyDescent="0.35"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264"/>
    </row>
    <row r="406" spans="12:25" x14ac:dyDescent="0.35"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264"/>
    </row>
    <row r="407" spans="12:25" x14ac:dyDescent="0.35"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264"/>
    </row>
    <row r="408" spans="12:25" x14ac:dyDescent="0.35"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264"/>
    </row>
    <row r="409" spans="12:25" x14ac:dyDescent="0.35"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264"/>
    </row>
    <row r="410" spans="12:25" x14ac:dyDescent="0.35"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264"/>
    </row>
    <row r="411" spans="12:25" x14ac:dyDescent="0.35"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264"/>
    </row>
    <row r="412" spans="12:25" x14ac:dyDescent="0.35"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264"/>
    </row>
    <row r="413" spans="12:25" x14ac:dyDescent="0.35"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264"/>
    </row>
    <row r="414" spans="12:25" x14ac:dyDescent="0.35"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264"/>
    </row>
    <row r="415" spans="12:25" x14ac:dyDescent="0.35"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264"/>
    </row>
    <row r="416" spans="12:25" x14ac:dyDescent="0.35"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264"/>
    </row>
    <row r="417" spans="12:25" x14ac:dyDescent="0.35"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264"/>
    </row>
    <row r="418" spans="12:25" x14ac:dyDescent="0.35"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264"/>
    </row>
    <row r="419" spans="12:25" x14ac:dyDescent="0.35"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264"/>
    </row>
    <row r="420" spans="12:25" x14ac:dyDescent="0.35"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264"/>
    </row>
    <row r="421" spans="12:25" x14ac:dyDescent="0.35"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264"/>
    </row>
    <row r="422" spans="12:25" x14ac:dyDescent="0.35"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264"/>
    </row>
    <row r="423" spans="12:25" x14ac:dyDescent="0.35"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264"/>
    </row>
    <row r="424" spans="12:25" x14ac:dyDescent="0.35"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264"/>
    </row>
    <row r="425" spans="12:25" x14ac:dyDescent="0.35"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264"/>
    </row>
    <row r="426" spans="12:25" x14ac:dyDescent="0.35"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264"/>
    </row>
    <row r="427" spans="12:25" x14ac:dyDescent="0.35"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264"/>
    </row>
    <row r="428" spans="12:25" x14ac:dyDescent="0.35"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264"/>
    </row>
    <row r="429" spans="12:25" x14ac:dyDescent="0.35"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264"/>
    </row>
    <row r="430" spans="12:25" x14ac:dyDescent="0.35"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264"/>
    </row>
    <row r="431" spans="12:25" x14ac:dyDescent="0.35"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264"/>
    </row>
    <row r="432" spans="12:25" x14ac:dyDescent="0.35"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264"/>
    </row>
    <row r="433" spans="12:25" x14ac:dyDescent="0.35"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264"/>
    </row>
    <row r="434" spans="12:25" x14ac:dyDescent="0.35"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264"/>
    </row>
    <row r="435" spans="12:25" x14ac:dyDescent="0.35">
      <c r="L435" s="264"/>
      <c r="M435" s="264"/>
      <c r="N435" s="264"/>
      <c r="O435" s="264"/>
      <c r="P435" s="264"/>
      <c r="Q435" s="264"/>
      <c r="R435" s="264"/>
      <c r="S435" s="264"/>
      <c r="T435" s="264"/>
      <c r="U435" s="264"/>
      <c r="V435" s="264"/>
      <c r="W435" s="264"/>
      <c r="X435" s="264"/>
      <c r="Y435" s="264"/>
    </row>
    <row r="436" spans="12:25" x14ac:dyDescent="0.35">
      <c r="L436" s="264"/>
      <c r="M436" s="264"/>
      <c r="N436" s="264"/>
      <c r="O436" s="264"/>
      <c r="P436" s="264"/>
      <c r="Q436" s="264"/>
      <c r="R436" s="264"/>
      <c r="S436" s="264"/>
      <c r="T436" s="264"/>
      <c r="U436" s="264"/>
      <c r="V436" s="264"/>
      <c r="W436" s="264"/>
      <c r="X436" s="264"/>
      <c r="Y436" s="264"/>
    </row>
    <row r="437" spans="12:25" x14ac:dyDescent="0.35">
      <c r="L437" s="264"/>
      <c r="M437" s="264"/>
      <c r="N437" s="264"/>
      <c r="O437" s="264"/>
      <c r="P437" s="264"/>
      <c r="Q437" s="264"/>
      <c r="R437" s="264"/>
      <c r="S437" s="264"/>
      <c r="T437" s="264"/>
      <c r="U437" s="264"/>
      <c r="V437" s="264"/>
      <c r="W437" s="264"/>
      <c r="X437" s="264"/>
      <c r="Y437" s="264"/>
    </row>
    <row r="438" spans="12:25" x14ac:dyDescent="0.35">
      <c r="L438" s="264"/>
      <c r="M438" s="264"/>
      <c r="N438" s="264"/>
      <c r="O438" s="264"/>
      <c r="P438" s="264"/>
      <c r="Q438" s="264"/>
      <c r="R438" s="264"/>
      <c r="S438" s="264"/>
      <c r="T438" s="264"/>
      <c r="U438" s="264"/>
      <c r="V438" s="264"/>
      <c r="W438" s="264"/>
      <c r="X438" s="264"/>
      <c r="Y438" s="264"/>
    </row>
    <row r="439" spans="12:25" x14ac:dyDescent="0.35">
      <c r="L439" s="264"/>
      <c r="M439" s="264"/>
      <c r="N439" s="264"/>
      <c r="O439" s="264"/>
      <c r="P439" s="264"/>
      <c r="Q439" s="264"/>
      <c r="R439" s="264"/>
      <c r="S439" s="264"/>
      <c r="T439" s="264"/>
      <c r="U439" s="264"/>
      <c r="V439" s="264"/>
      <c r="W439" s="264"/>
      <c r="X439" s="264"/>
      <c r="Y439" s="264"/>
    </row>
    <row r="440" spans="12:25" x14ac:dyDescent="0.35">
      <c r="L440" s="264"/>
      <c r="M440" s="264"/>
      <c r="N440" s="264"/>
      <c r="O440" s="264"/>
      <c r="P440" s="264"/>
      <c r="Q440" s="264"/>
      <c r="R440" s="264"/>
      <c r="S440" s="264"/>
      <c r="T440" s="264"/>
      <c r="U440" s="264"/>
      <c r="V440" s="264"/>
      <c r="W440" s="264"/>
      <c r="X440" s="264"/>
      <c r="Y440" s="264"/>
    </row>
    <row r="441" spans="12:25" x14ac:dyDescent="0.35">
      <c r="L441" s="264"/>
      <c r="M441" s="264"/>
      <c r="N441" s="264"/>
      <c r="O441" s="264"/>
      <c r="P441" s="264"/>
      <c r="Q441" s="264"/>
      <c r="R441" s="264"/>
      <c r="S441" s="264"/>
      <c r="T441" s="264"/>
      <c r="U441" s="264"/>
      <c r="V441" s="264"/>
      <c r="W441" s="264"/>
      <c r="X441" s="264"/>
      <c r="Y441" s="264"/>
    </row>
    <row r="442" spans="12:25" x14ac:dyDescent="0.35">
      <c r="L442" s="264"/>
      <c r="M442" s="264"/>
      <c r="N442" s="264"/>
      <c r="O442" s="264"/>
      <c r="P442" s="264"/>
      <c r="Q442" s="264"/>
      <c r="R442" s="264"/>
      <c r="S442" s="264"/>
      <c r="T442" s="264"/>
      <c r="U442" s="264"/>
      <c r="V442" s="264"/>
      <c r="W442" s="264"/>
      <c r="X442" s="264"/>
      <c r="Y442" s="264"/>
    </row>
    <row r="443" spans="12:25" x14ac:dyDescent="0.35">
      <c r="L443" s="264"/>
      <c r="M443" s="264"/>
      <c r="N443" s="264"/>
      <c r="O443" s="264"/>
      <c r="P443" s="264"/>
      <c r="Q443" s="264"/>
      <c r="R443" s="264"/>
      <c r="S443" s="264"/>
      <c r="T443" s="264"/>
      <c r="U443" s="264"/>
      <c r="V443" s="264"/>
      <c r="W443" s="264"/>
      <c r="X443" s="264"/>
      <c r="Y443" s="264"/>
    </row>
    <row r="444" spans="12:25" x14ac:dyDescent="0.35">
      <c r="L444" s="264"/>
      <c r="M444" s="264"/>
      <c r="N444" s="264"/>
      <c r="O444" s="264"/>
      <c r="P444" s="264"/>
      <c r="Q444" s="264"/>
      <c r="R444" s="264"/>
      <c r="S444" s="264"/>
      <c r="T444" s="264"/>
      <c r="U444" s="264"/>
      <c r="V444" s="264"/>
      <c r="W444" s="264"/>
      <c r="X444" s="264"/>
      <c r="Y444" s="264"/>
    </row>
    <row r="445" spans="12:25" x14ac:dyDescent="0.35">
      <c r="L445" s="264"/>
      <c r="M445" s="264"/>
      <c r="N445" s="264"/>
      <c r="O445" s="264"/>
      <c r="P445" s="264"/>
      <c r="Q445" s="264"/>
      <c r="R445" s="264"/>
      <c r="S445" s="264"/>
      <c r="T445" s="264"/>
      <c r="U445" s="264"/>
      <c r="V445" s="264"/>
      <c r="W445" s="264"/>
      <c r="X445" s="264"/>
      <c r="Y445" s="264"/>
    </row>
    <row r="446" spans="12:25" x14ac:dyDescent="0.35">
      <c r="L446" s="264"/>
      <c r="M446" s="264"/>
      <c r="N446" s="264"/>
      <c r="O446" s="264"/>
      <c r="P446" s="264"/>
      <c r="Q446" s="264"/>
      <c r="R446" s="264"/>
      <c r="S446" s="264"/>
      <c r="T446" s="264"/>
      <c r="U446" s="264"/>
      <c r="V446" s="264"/>
      <c r="W446" s="264"/>
      <c r="X446" s="264"/>
      <c r="Y446" s="264"/>
    </row>
    <row r="447" spans="12:25" x14ac:dyDescent="0.35">
      <c r="L447" s="264"/>
      <c r="M447" s="264"/>
      <c r="N447" s="264"/>
      <c r="O447" s="264"/>
      <c r="P447" s="264"/>
      <c r="Q447" s="264"/>
      <c r="R447" s="264"/>
      <c r="S447" s="264"/>
      <c r="T447" s="264"/>
      <c r="U447" s="264"/>
      <c r="V447" s="264"/>
      <c r="W447" s="264"/>
      <c r="X447" s="264"/>
      <c r="Y447" s="264"/>
    </row>
    <row r="448" spans="12:25" x14ac:dyDescent="0.35">
      <c r="L448" s="264"/>
      <c r="M448" s="264"/>
      <c r="N448" s="264"/>
      <c r="O448" s="264"/>
      <c r="P448" s="264"/>
      <c r="Q448" s="264"/>
      <c r="R448" s="264"/>
      <c r="S448" s="264"/>
      <c r="T448" s="264"/>
      <c r="U448" s="264"/>
      <c r="V448" s="264"/>
      <c r="W448" s="264"/>
      <c r="X448" s="264"/>
      <c r="Y448" s="264"/>
    </row>
    <row r="449" spans="12:25" x14ac:dyDescent="0.35">
      <c r="L449" s="264"/>
      <c r="M449" s="264"/>
      <c r="N449" s="264"/>
      <c r="O449" s="264"/>
      <c r="P449" s="264"/>
      <c r="Q449" s="264"/>
      <c r="R449" s="264"/>
      <c r="S449" s="264"/>
      <c r="T449" s="264"/>
      <c r="U449" s="264"/>
      <c r="V449" s="264"/>
      <c r="W449" s="264"/>
      <c r="X449" s="264"/>
      <c r="Y449" s="264"/>
    </row>
    <row r="450" spans="12:25" x14ac:dyDescent="0.35">
      <c r="L450" s="264"/>
      <c r="M450" s="264"/>
      <c r="N450" s="264"/>
      <c r="O450" s="264"/>
      <c r="P450" s="264"/>
      <c r="Q450" s="264"/>
      <c r="R450" s="264"/>
      <c r="S450" s="264"/>
      <c r="T450" s="264"/>
      <c r="U450" s="264"/>
      <c r="V450" s="264"/>
      <c r="W450" s="264"/>
      <c r="X450" s="264"/>
      <c r="Y450" s="264"/>
    </row>
    <row r="451" spans="12:25" x14ac:dyDescent="0.35">
      <c r="Y451" s="264"/>
    </row>
    <row r="452" spans="12:25" x14ac:dyDescent="0.35">
      <c r="Y452" s="264"/>
    </row>
  </sheetData>
  <sheetProtection algorithmName="SHA-512" hashValue="3zTKkJp+pszkj5OykzoILxn9g28l9UN0mHW/2tqlU1c+V+kziA9/tBwVkwzxfjszKAcy1Z3D3tg3uuPb1SH6Mw==" saltValue="0Ni5C/r09wIcgbhLRh1OQ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728</v>
      </c>
      <c r="B1" t="s">
        <v>298</v>
      </c>
      <c r="C1" t="s">
        <v>729</v>
      </c>
    </row>
    <row r="2" spans="1:3" x14ac:dyDescent="0.35">
      <c r="A2" t="s">
        <v>730</v>
      </c>
      <c r="B2" t="s">
        <v>354</v>
      </c>
    </row>
    <row r="3" spans="1:3" x14ac:dyDescent="0.35">
      <c r="A3" t="s">
        <v>730</v>
      </c>
      <c r="B3" t="s">
        <v>364</v>
      </c>
    </row>
    <row r="4" spans="1:3" x14ac:dyDescent="0.35">
      <c r="A4" t="s">
        <v>730</v>
      </c>
      <c r="B4" t="s">
        <v>219</v>
      </c>
    </row>
    <row r="5" spans="1:3" x14ac:dyDescent="0.35">
      <c r="A5" t="s">
        <v>730</v>
      </c>
      <c r="B5" t="s">
        <v>220</v>
      </c>
    </row>
    <row r="6" spans="1:3" x14ac:dyDescent="0.35">
      <c r="A6" t="s">
        <v>730</v>
      </c>
      <c r="B6" t="s">
        <v>221</v>
      </c>
    </row>
    <row r="7" spans="1:3" x14ac:dyDescent="0.35">
      <c r="A7" t="s">
        <v>730</v>
      </c>
      <c r="B7" t="s">
        <v>222</v>
      </c>
    </row>
    <row r="8" spans="1:3" x14ac:dyDescent="0.35">
      <c r="A8" t="s">
        <v>730</v>
      </c>
      <c r="B8" t="s">
        <v>223</v>
      </c>
    </row>
    <row r="9" spans="1:3" x14ac:dyDescent="0.35">
      <c r="A9" t="s">
        <v>730</v>
      </c>
      <c r="B9" t="s">
        <v>224</v>
      </c>
    </row>
    <row r="10" spans="1:3" x14ac:dyDescent="0.35">
      <c r="A10" t="s">
        <v>730</v>
      </c>
      <c r="B10" t="s">
        <v>387</v>
      </c>
      <c r="C10" s="37"/>
    </row>
    <row r="11" spans="1:3" x14ac:dyDescent="0.35">
      <c r="A11" t="s">
        <v>730</v>
      </c>
      <c r="B11" t="s">
        <v>461</v>
      </c>
      <c r="C11" s="37"/>
    </row>
    <row r="12" spans="1:3" x14ac:dyDescent="0.35">
      <c r="A12" t="s">
        <v>730</v>
      </c>
      <c r="B12" t="s">
        <v>462</v>
      </c>
    </row>
    <row r="13" spans="1:3" x14ac:dyDescent="0.35">
      <c r="A13" t="s">
        <v>730</v>
      </c>
      <c r="B13" t="s">
        <v>463</v>
      </c>
    </row>
    <row r="14" spans="1:3" x14ac:dyDescent="0.35">
      <c r="A14" t="s">
        <v>730</v>
      </c>
      <c r="B14" t="s">
        <v>464</v>
      </c>
    </row>
    <row r="15" spans="1:3" x14ac:dyDescent="0.35">
      <c r="A15" t="s">
        <v>730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zoomScaleNormal="100" workbookViewId="0">
      <selection activeCell="D15" sqref="D15:J1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1" customWidth="1"/>
    <col min="13" max="16384" width="10.73046875" style="58"/>
  </cols>
  <sheetData>
    <row r="2" spans="1:12" ht="12.65" customHeight="1" x14ac:dyDescent="0.35">
      <c r="B2" s="82"/>
      <c r="C2" s="83" t="s">
        <v>1433</v>
      </c>
      <c r="D2" s="56">
        <f ca="1">TODAY()</f>
        <v>42192</v>
      </c>
      <c r="E2" s="83" t="s">
        <v>1434</v>
      </c>
      <c r="F2" s="362" t="str">
        <f>AchterNaam&amp;", "&amp;VoorNaam</f>
        <v>Achternaam, Voornaam</v>
      </c>
      <c r="G2" s="362"/>
      <c r="H2" s="84" t="s">
        <v>879</v>
      </c>
      <c r="I2" s="58" t="str">
        <f>Gewicht/10&amp;" kg"</f>
        <v>10 kg</v>
      </c>
      <c r="J2" s="57"/>
      <c r="L2" s="100"/>
    </row>
    <row r="3" spans="1:12" ht="12.65" customHeight="1" x14ac:dyDescent="0.35">
      <c r="B3" s="82"/>
      <c r="C3" s="83" t="s">
        <v>618</v>
      </c>
      <c r="D3" s="59">
        <f ca="1">AfspraakDatum-OpnDatum+1</f>
        <v>830</v>
      </c>
      <c r="E3" s="83" t="s">
        <v>1432</v>
      </c>
      <c r="F3" s="60">
        <f>GebDatum</f>
        <v>40909</v>
      </c>
      <c r="G3" s="57"/>
      <c r="H3" s="84" t="s">
        <v>413</v>
      </c>
      <c r="I3" s="58" t="str">
        <f>Lengte&amp;" cm"</f>
        <v>80 cm</v>
      </c>
      <c r="J3" s="57"/>
      <c r="L3" s="100"/>
    </row>
    <row r="4" spans="1:12" ht="12" customHeight="1" x14ac:dyDescent="0.35">
      <c r="D4" s="57"/>
      <c r="F4" s="57"/>
      <c r="H4" s="84" t="s">
        <v>415</v>
      </c>
      <c r="I4" s="58" t="str">
        <f>ROUND(POWER(Gewicht/10,0.425)*POWER(((Lengte/100)*100),0.725)*0.007184,2)&amp;" m2"</f>
        <v>0,46 m2</v>
      </c>
      <c r="L4" s="100"/>
    </row>
    <row r="5" spans="1:12" ht="14.15" customHeight="1" x14ac:dyDescent="0.35">
      <c r="A5" s="65"/>
      <c r="B5" s="70" t="str">
        <f>Intake!C7</f>
        <v>Voeding</v>
      </c>
      <c r="C5" s="65"/>
      <c r="D5" s="65"/>
      <c r="E5" s="65"/>
      <c r="F5" s="65"/>
      <c r="G5" s="65"/>
      <c r="H5" s="65"/>
      <c r="I5" s="65"/>
      <c r="J5" s="65"/>
      <c r="K5" s="61"/>
      <c r="L5" s="100"/>
    </row>
    <row r="6" spans="1:12" ht="14.15" customHeight="1" x14ac:dyDescent="0.35">
      <c r="B6" s="82"/>
      <c r="C6" s="84" t="s">
        <v>709</v>
      </c>
      <c r="D6" s="84"/>
      <c r="E6" s="58" t="str">
        <f>INDEX(tblSonde,ber_PO!A1,1)</f>
        <v>Geen sonde</v>
      </c>
      <c r="K6" s="61"/>
      <c r="L6" s="100"/>
    </row>
    <row r="7" spans="1:12" ht="14.15" customHeight="1" x14ac:dyDescent="0.35">
      <c r="C7" s="58">
        <f>IF(E7&lt;&gt;"",INDEX(tblVoedingPO,KeuzePO_1,1),)</f>
        <v>0</v>
      </c>
      <c r="D7" s="58" t="str">
        <f>Intake!G8</f>
        <v/>
      </c>
      <c r="E7" s="58" t="str">
        <f>Intake!C8&amp;" "&amp;Intake!D8</f>
        <v xml:space="preserve"> </v>
      </c>
      <c r="F7" s="64" t="str">
        <f>IF(KeuzePO_2&gt;1,"met "&amp;Intake!C9&amp;" "&amp;Intake!D9&amp;" "&amp;INDEX(ber_PO!B22:B39,KeuzePO_2,1),"")</f>
        <v/>
      </c>
      <c r="I7" s="58" t="str">
        <f>Intake!I9</f>
        <v/>
      </c>
      <c r="K7" s="61"/>
      <c r="L7" s="100"/>
    </row>
    <row r="8" spans="1:12" ht="12.65" customHeight="1" x14ac:dyDescent="0.35">
      <c r="B8" s="82"/>
      <c r="C8" s="84"/>
      <c r="D8" s="84"/>
      <c r="F8" s="64" t="str">
        <f>IF(ber_PO!P24&gt;1,"met "&amp;Intake!C10&amp;" "&amp;Intake!D10&amp;" "&amp;INDEX(ber_PO!B22:B33,KeuzePO_3,1),"")</f>
        <v/>
      </c>
      <c r="I8" s="58" t="str">
        <f>Intake!I10</f>
        <v/>
      </c>
      <c r="K8" s="61"/>
      <c r="L8" s="100"/>
    </row>
    <row r="9" spans="1:12" ht="12.65" customHeight="1" x14ac:dyDescent="0.35">
      <c r="B9" s="82"/>
      <c r="C9" s="84"/>
      <c r="D9" s="84"/>
      <c r="F9" s="64" t="str">
        <f>IF(ber_PO!P25&gt;1,"met "&amp;Intake!C11&amp;" "&amp;Intake!D11&amp;" "&amp;INDEX(ber_PO!B22:B33,KeuzePO_4,1),"")</f>
        <v/>
      </c>
      <c r="I9" s="58" t="str">
        <f>Intake!I11</f>
        <v/>
      </c>
      <c r="K9" s="63"/>
      <c r="L9" s="100"/>
    </row>
    <row r="10" spans="1:12" ht="12.65" customHeight="1" x14ac:dyDescent="0.35">
      <c r="K10" s="63"/>
      <c r="L10" s="100"/>
    </row>
    <row r="11" spans="1:12" ht="12.65" customHeight="1" x14ac:dyDescent="0.35">
      <c r="A11" s="65"/>
      <c r="B11" s="85"/>
      <c r="C11" s="86" t="s">
        <v>912</v>
      </c>
      <c r="D11" s="365">
        <f>ber_Opm!C15</f>
        <v>0</v>
      </c>
      <c r="E11" s="366"/>
      <c r="F11" s="366"/>
      <c r="G11" s="366"/>
      <c r="H11" s="366"/>
      <c r="I11" s="366"/>
      <c r="J11" s="366"/>
      <c r="K11" s="63"/>
      <c r="L11" s="100"/>
    </row>
    <row r="12" spans="1:12" ht="12.65" customHeight="1" x14ac:dyDescent="0.35">
      <c r="L12" s="100"/>
    </row>
    <row r="13" spans="1:12" ht="12.65" customHeight="1" x14ac:dyDescent="0.35">
      <c r="A13" s="65"/>
      <c r="B13" s="70" t="s">
        <v>387</v>
      </c>
      <c r="C13" s="65"/>
      <c r="D13" s="65"/>
      <c r="E13" s="65"/>
      <c r="F13" s="65"/>
      <c r="G13" s="65"/>
      <c r="H13" s="65"/>
      <c r="I13" s="65"/>
      <c r="J13" s="65"/>
      <c r="L13" s="100"/>
    </row>
    <row r="14" spans="1:12" ht="12.65" customHeight="1" x14ac:dyDescent="0.35">
      <c r="B14" s="84"/>
      <c r="C14" s="84" t="s">
        <v>1182</v>
      </c>
      <c r="D14" s="369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70"/>
      <c r="F14" s="370"/>
      <c r="G14" s="370"/>
      <c r="H14" s="370"/>
      <c r="I14" s="370"/>
      <c r="J14" s="370"/>
      <c r="L14" s="100"/>
    </row>
    <row r="15" spans="1:12" ht="12.65" customHeight="1" x14ac:dyDescent="0.35">
      <c r="B15" s="84"/>
      <c r="C15" s="84" t="s">
        <v>1421</v>
      </c>
      <c r="D15" s="363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4"/>
      <c r="F15" s="364"/>
      <c r="G15" s="364"/>
      <c r="H15" s="364"/>
      <c r="I15" s="364"/>
      <c r="J15" s="364"/>
      <c r="L15" s="100"/>
    </row>
    <row r="16" spans="1:12" ht="12.65" customHeight="1" x14ac:dyDescent="0.35">
      <c r="B16" s="84"/>
      <c r="C16" s="84" t="s">
        <v>1422</v>
      </c>
      <c r="D16" s="363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1"/>
      <c r="F16" s="371"/>
      <c r="G16" s="371"/>
      <c r="H16" s="371"/>
      <c r="I16" s="371"/>
      <c r="J16" s="371"/>
      <c r="L16" s="100"/>
    </row>
    <row r="17" spans="1:12" ht="12.65" customHeight="1" x14ac:dyDescent="0.35">
      <c r="B17" s="84"/>
      <c r="C17" s="84" t="s">
        <v>451</v>
      </c>
      <c r="D17" s="363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1"/>
      <c r="F17" s="371"/>
      <c r="G17" s="371"/>
      <c r="H17" s="371"/>
      <c r="I17" s="371"/>
      <c r="J17" s="371"/>
      <c r="L17" s="100"/>
    </row>
    <row r="18" spans="1:12" ht="12.65" customHeight="1" x14ac:dyDescent="0.35">
      <c r="B18" s="84"/>
      <c r="C18" s="89" t="s">
        <v>71</v>
      </c>
      <c r="D18" s="363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2"/>
      <c r="F18" s="372"/>
      <c r="G18" s="372"/>
      <c r="H18" s="372"/>
      <c r="I18" s="372"/>
      <c r="J18" s="372"/>
      <c r="L18" s="100"/>
    </row>
    <row r="19" spans="1:12" ht="12.65" customHeight="1" x14ac:dyDescent="0.35">
      <c r="B19" s="84"/>
      <c r="C19" s="89" t="s">
        <v>912</v>
      </c>
      <c r="D19" s="357">
        <f>ber_Opm!C10</f>
        <v>0</v>
      </c>
      <c r="E19" s="358"/>
      <c r="F19" s="358"/>
      <c r="G19" s="358"/>
      <c r="H19" s="358"/>
      <c r="I19" s="358"/>
      <c r="J19" s="358"/>
      <c r="L19" s="100"/>
    </row>
    <row r="20" spans="1:12" ht="12.65" customHeight="1" x14ac:dyDescent="0.35">
      <c r="A20" s="65"/>
      <c r="B20" s="86"/>
      <c r="C20" s="88"/>
      <c r="D20" s="359"/>
      <c r="E20" s="359"/>
      <c r="F20" s="359"/>
      <c r="G20" s="359"/>
      <c r="H20" s="359"/>
      <c r="I20" s="359"/>
      <c r="J20" s="359"/>
      <c r="L20" s="100"/>
    </row>
    <row r="21" spans="1:12" ht="12.65" customHeight="1" x14ac:dyDescent="0.35">
      <c r="L21" s="100"/>
    </row>
    <row r="22" spans="1:12" ht="12.65" customHeight="1" x14ac:dyDescent="0.35">
      <c r="A22" s="65"/>
      <c r="B22" s="70" t="s">
        <v>233</v>
      </c>
      <c r="C22" s="67"/>
      <c r="D22" s="65"/>
      <c r="E22" s="65"/>
      <c r="F22" s="65"/>
      <c r="G22" s="65"/>
      <c r="H22" s="65"/>
      <c r="I22" s="65"/>
      <c r="J22" s="65"/>
      <c r="L22" s="100"/>
    </row>
    <row r="23" spans="1:12" ht="12.65" customHeight="1" x14ac:dyDescent="0.35">
      <c r="B23" s="61" t="s">
        <v>892</v>
      </c>
      <c r="C23" s="58">
        <f>INDEX(tblAanvAfspr,ber_Infusen!M1,1)</f>
        <v>0</v>
      </c>
      <c r="L23" s="100"/>
    </row>
    <row r="24" spans="1:12" ht="12.65" customHeight="1" x14ac:dyDescent="0.35">
      <c r="B24" s="61" t="s">
        <v>893</v>
      </c>
      <c r="C24" s="58">
        <f>INDEX(tblAanvAfspr,ber_Infusen!M2,1)</f>
        <v>0</v>
      </c>
      <c r="L24" s="100"/>
    </row>
    <row r="25" spans="1:12" ht="12.65" customHeight="1" x14ac:dyDescent="0.35">
      <c r="B25" s="61" t="s">
        <v>894</v>
      </c>
      <c r="C25" s="58">
        <f>INDEX(tblAanvAfspr,ber_Infusen!M3,1)</f>
        <v>0</v>
      </c>
      <c r="L25" s="100"/>
    </row>
    <row r="26" spans="1:12" ht="12.65" customHeight="1" x14ac:dyDescent="0.35">
      <c r="B26" s="61" t="s">
        <v>895</v>
      </c>
      <c r="C26" s="58">
        <f>INDEX(tblAanvAfspr,ber_Infusen!M4,1)</f>
        <v>0</v>
      </c>
      <c r="L26" s="100"/>
    </row>
    <row r="27" spans="1:12" ht="12.65" customHeight="1" x14ac:dyDescent="0.35">
      <c r="B27" s="61" t="s">
        <v>896</v>
      </c>
      <c r="C27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100"/>
    </row>
    <row r="28" spans="1:12" ht="12.65" customHeight="1" x14ac:dyDescent="0.35">
      <c r="B28" s="61" t="s">
        <v>234</v>
      </c>
      <c r="C28" s="36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1"/>
      <c r="E28" s="361"/>
      <c r="F28" s="361"/>
      <c r="G28" s="361"/>
      <c r="H28" s="361"/>
      <c r="I28" s="361"/>
      <c r="J28" s="361"/>
      <c r="L28" s="100"/>
    </row>
    <row r="29" spans="1:12" ht="12.65" customHeight="1" x14ac:dyDescent="0.35">
      <c r="C29" s="361"/>
      <c r="D29" s="361"/>
      <c r="E29" s="361"/>
      <c r="F29" s="361"/>
      <c r="G29" s="361"/>
      <c r="H29" s="361"/>
      <c r="I29" s="361"/>
      <c r="J29" s="361"/>
      <c r="L29" s="100"/>
    </row>
    <row r="30" spans="1:12" ht="12.65" customHeight="1" x14ac:dyDescent="0.35">
      <c r="B30" s="61" t="s">
        <v>235</v>
      </c>
      <c r="C30" s="367">
        <f>ber_Opm!C11</f>
        <v>0</v>
      </c>
      <c r="D30" s="367"/>
      <c r="E30" s="367"/>
      <c r="F30" s="367"/>
      <c r="G30" s="367"/>
      <c r="H30" s="367"/>
      <c r="I30" s="367"/>
      <c r="J30" s="367"/>
      <c r="L30" s="100"/>
    </row>
    <row r="31" spans="1:12" ht="7" customHeight="1" x14ac:dyDescent="0.35">
      <c r="C31" s="368"/>
      <c r="D31" s="368"/>
      <c r="E31" s="368"/>
      <c r="F31" s="368"/>
      <c r="G31" s="368"/>
      <c r="H31" s="368"/>
      <c r="I31" s="368"/>
      <c r="J31" s="368"/>
      <c r="L31" s="100"/>
    </row>
    <row r="32" spans="1:12" ht="7" customHeight="1" x14ac:dyDescent="0.35">
      <c r="C32" s="368"/>
      <c r="D32" s="368"/>
      <c r="E32" s="368"/>
      <c r="F32" s="368"/>
      <c r="G32" s="368"/>
      <c r="H32" s="368"/>
      <c r="I32" s="368"/>
      <c r="J32" s="368"/>
      <c r="L32" s="100"/>
    </row>
    <row r="33" spans="1:12" ht="7" customHeight="1" x14ac:dyDescent="0.35">
      <c r="C33" s="368"/>
      <c r="D33" s="368"/>
      <c r="E33" s="368"/>
      <c r="F33" s="368"/>
      <c r="G33" s="368"/>
      <c r="H33" s="368"/>
      <c r="I33" s="368"/>
      <c r="J33" s="368"/>
      <c r="L33" s="100"/>
    </row>
    <row r="34" spans="1:12" ht="12.65" customHeight="1" x14ac:dyDescent="0.35">
      <c r="B34" s="61">
        <v>8</v>
      </c>
      <c r="C34" s="327" t="s">
        <v>230</v>
      </c>
      <c r="D34" s="326"/>
      <c r="E34" s="326"/>
      <c r="F34" s="326"/>
      <c r="G34" s="326"/>
      <c r="H34" s="326"/>
      <c r="I34" s="326"/>
      <c r="J34" s="326"/>
      <c r="L34" s="100"/>
    </row>
    <row r="35" spans="1:12" ht="12.65" customHeight="1" x14ac:dyDescent="0.35">
      <c r="C35" s="327"/>
      <c r="D35" s="326"/>
      <c r="E35" s="326"/>
      <c r="F35" s="326"/>
      <c r="G35" s="326"/>
      <c r="H35" s="326"/>
      <c r="I35" s="326"/>
      <c r="J35" s="326"/>
      <c r="L35" s="100"/>
    </row>
    <row r="36" spans="1:12" ht="12.65" customHeight="1" x14ac:dyDescent="0.35">
      <c r="C36" s="327"/>
      <c r="D36" s="326"/>
      <c r="E36" s="326"/>
      <c r="F36" s="326"/>
      <c r="G36" s="326"/>
      <c r="H36" s="326"/>
      <c r="I36" s="326"/>
      <c r="J36" s="326"/>
      <c r="L36" s="100"/>
    </row>
    <row r="37" spans="1:12" ht="12.65" customHeight="1" x14ac:dyDescent="0.35">
      <c r="C37" s="327"/>
      <c r="D37" s="326"/>
      <c r="E37" s="326"/>
      <c r="F37" s="326"/>
      <c r="G37" s="326"/>
      <c r="H37" s="326"/>
      <c r="I37" s="326"/>
      <c r="J37" s="326"/>
      <c r="L37" s="100"/>
    </row>
    <row r="38" spans="1:12" ht="12.65" customHeight="1" x14ac:dyDescent="0.35">
      <c r="C38" s="327"/>
      <c r="D38" s="326"/>
      <c r="E38" s="326"/>
      <c r="F38" s="326"/>
      <c r="G38" s="326"/>
      <c r="H38" s="326"/>
      <c r="I38" s="326"/>
      <c r="J38" s="326"/>
      <c r="L38" s="100"/>
    </row>
    <row r="39" spans="1:12" ht="12.65" customHeight="1" x14ac:dyDescent="0.35">
      <c r="B39" s="71" t="s">
        <v>294</v>
      </c>
      <c r="C39" s="65"/>
      <c r="D39" s="65"/>
      <c r="F39" s="65" t="s">
        <v>1419</v>
      </c>
      <c r="G39" s="65"/>
      <c r="H39" s="65"/>
      <c r="I39" s="65"/>
      <c r="L39" s="100"/>
    </row>
    <row r="40" spans="1:12" ht="12.65" customHeight="1" x14ac:dyDescent="0.35">
      <c r="L40" s="100"/>
    </row>
    <row r="41" spans="1:12" ht="12.65" customHeight="1" x14ac:dyDescent="0.35">
      <c r="B41" s="82"/>
      <c r="C41" s="83" t="s">
        <v>1433</v>
      </c>
      <c r="D41" s="56">
        <f ca="1">TODAY()</f>
        <v>42192</v>
      </c>
      <c r="E41" s="83" t="s">
        <v>1434</v>
      </c>
      <c r="F41" s="362" t="str">
        <f>AchterNaam&amp;", "&amp;VoorNaam</f>
        <v>Achternaam, Voornaam</v>
      </c>
      <c r="G41" s="362"/>
      <c r="H41" s="84" t="s">
        <v>879</v>
      </c>
      <c r="I41" s="58" t="str">
        <f>Gewicht/10&amp;" kg"</f>
        <v>10 kg</v>
      </c>
      <c r="J41" s="350"/>
      <c r="L41" s="100"/>
    </row>
    <row r="42" spans="1:12" ht="12.65" customHeight="1" x14ac:dyDescent="0.35">
      <c r="B42" s="82"/>
      <c r="C42" s="83" t="s">
        <v>618</v>
      </c>
      <c r="D42" s="59">
        <f ca="1">AfspraakDatum-OpnDatum+1</f>
        <v>830</v>
      </c>
      <c r="E42" s="83" t="s">
        <v>1432</v>
      </c>
      <c r="F42" s="60">
        <f>GebDatum</f>
        <v>40909</v>
      </c>
      <c r="G42" s="350"/>
      <c r="H42" s="84" t="s">
        <v>413</v>
      </c>
      <c r="I42" s="58" t="str">
        <f>Lengte&amp;" cm"</f>
        <v>80 cm</v>
      </c>
      <c r="J42" s="350"/>
      <c r="L42" s="100"/>
    </row>
    <row r="43" spans="1:12" ht="12.65" customHeight="1" x14ac:dyDescent="0.35">
      <c r="D43" s="350"/>
      <c r="F43" s="350"/>
      <c r="H43" s="84" t="s">
        <v>415</v>
      </c>
      <c r="I43" s="58" t="str">
        <f>ROUND(POWER(Gewicht/10,0.425)*POWER(((Lengte/100)*100),0.725)*0.007184,2)&amp;" m2"</f>
        <v>0,46 m2</v>
      </c>
      <c r="L43" s="100"/>
    </row>
    <row r="44" spans="1:12" ht="12.65" customHeight="1" x14ac:dyDescent="0.35">
      <c r="D44" s="57"/>
      <c r="F44" s="57"/>
      <c r="L44" s="100"/>
    </row>
    <row r="45" spans="1:12" ht="12.65" customHeight="1" x14ac:dyDescent="0.35">
      <c r="A45" s="65"/>
      <c r="B45" s="70" t="s">
        <v>102</v>
      </c>
      <c r="C45" s="67"/>
      <c r="D45" s="65"/>
      <c r="E45" s="65"/>
      <c r="F45" s="65"/>
      <c r="G45" s="65"/>
      <c r="H45" s="68"/>
      <c r="I45" s="68"/>
      <c r="J45" s="68"/>
      <c r="L45" s="100"/>
    </row>
    <row r="46" spans="1:12" ht="12.65" customHeight="1" x14ac:dyDescent="0.35">
      <c r="B46" s="61">
        <v>1</v>
      </c>
      <c r="C46" s="58">
        <f>INDEX(tblInfusen,ber_Infusen!E2,1)</f>
        <v>0</v>
      </c>
      <c r="H46" s="62"/>
      <c r="I46" s="62"/>
      <c r="J46" s="62"/>
      <c r="L46" s="100" t="str">
        <f t="shared" ref="L46:L51" si="0">IF(C46=0,"D","")</f>
        <v>D</v>
      </c>
    </row>
    <row r="47" spans="1:12" ht="12.65" customHeight="1" x14ac:dyDescent="0.35">
      <c r="B47" s="61">
        <v>2</v>
      </c>
      <c r="C47" s="58">
        <f>INDEX(tblInfusen,ber_Infusen!E3,1)</f>
        <v>0</v>
      </c>
      <c r="H47" s="62"/>
      <c r="I47" s="62"/>
      <c r="J47" s="62"/>
      <c r="L47" s="100" t="str">
        <f t="shared" si="0"/>
        <v>D</v>
      </c>
    </row>
    <row r="48" spans="1:12" ht="12.65" customHeight="1" x14ac:dyDescent="0.35">
      <c r="B48" s="61">
        <v>3</v>
      </c>
      <c r="C48" s="58">
        <f>INDEX(tblInfusen,ber_Infusen!E4,1)</f>
        <v>0</v>
      </c>
      <c r="H48" s="62"/>
      <c r="I48" s="62"/>
      <c r="J48" s="62"/>
      <c r="L48" s="100" t="str">
        <f t="shared" si="0"/>
        <v>D</v>
      </c>
    </row>
    <row r="49" spans="1:12" ht="12.65" customHeight="1" x14ac:dyDescent="0.35">
      <c r="B49" s="61">
        <v>4</v>
      </c>
      <c r="C49" s="58">
        <f>INDEX(tblInfusen,ber_Infusen!E5,1)</f>
        <v>0</v>
      </c>
      <c r="H49" s="62"/>
      <c r="I49" s="62"/>
      <c r="J49" s="62"/>
      <c r="L49" s="100" t="str">
        <f t="shared" si="0"/>
        <v>D</v>
      </c>
    </row>
    <row r="50" spans="1:12" ht="12.65" customHeight="1" x14ac:dyDescent="0.35">
      <c r="B50" s="61">
        <v>5</v>
      </c>
      <c r="C50" s="58">
        <f>INDEX(tblInfusen,ber_Infusen!E6,1)</f>
        <v>0</v>
      </c>
      <c r="H50" s="62"/>
      <c r="I50" s="62"/>
      <c r="J50" s="62"/>
      <c r="L50" s="100" t="str">
        <f t="shared" si="0"/>
        <v>D</v>
      </c>
    </row>
    <row r="51" spans="1:12" ht="12.65" customHeight="1" x14ac:dyDescent="0.35">
      <c r="B51" s="61">
        <v>6</v>
      </c>
      <c r="C51" s="58">
        <f>INDEX(tblInfusen,ber_Infusen!E7,1)</f>
        <v>0</v>
      </c>
      <c r="H51" s="62"/>
      <c r="I51" s="62"/>
      <c r="J51" s="62"/>
      <c r="L51" s="100" t="str">
        <f t="shared" si="0"/>
        <v>D</v>
      </c>
    </row>
    <row r="52" spans="1:12" ht="12.65" customHeight="1" x14ac:dyDescent="0.35">
      <c r="H52" s="62"/>
      <c r="I52" s="62"/>
      <c r="J52" s="62"/>
      <c r="L52" s="100"/>
    </row>
    <row r="53" spans="1:12" ht="12.65" customHeight="1" x14ac:dyDescent="0.35">
      <c r="A53" s="65"/>
      <c r="B53" s="85"/>
      <c r="C53" s="86" t="s">
        <v>912</v>
      </c>
      <c r="D53" s="365">
        <f>ber_Opm!C3</f>
        <v>0</v>
      </c>
      <c r="E53" s="366"/>
      <c r="F53" s="366"/>
      <c r="G53" s="366"/>
      <c r="H53" s="366"/>
      <c r="I53" s="366"/>
      <c r="J53" s="366"/>
      <c r="L53" s="100"/>
    </row>
    <row r="54" spans="1:12" ht="12.65" customHeight="1" x14ac:dyDescent="0.35">
      <c r="L54" s="100"/>
    </row>
    <row r="55" spans="1:12" ht="12.65" customHeight="1" x14ac:dyDescent="0.35">
      <c r="L55" s="100"/>
    </row>
    <row r="56" spans="1:12" ht="12.65" customHeight="1" x14ac:dyDescent="0.35">
      <c r="A56" s="65"/>
      <c r="B56" s="70" t="s">
        <v>913</v>
      </c>
      <c r="C56" s="65"/>
      <c r="D56" s="65"/>
      <c r="E56" s="65"/>
      <c r="F56" s="65"/>
      <c r="G56" s="65"/>
      <c r="H56" s="65"/>
      <c r="I56" s="65"/>
      <c r="J56" s="65"/>
      <c r="L56" s="100"/>
    </row>
    <row r="57" spans="1:12" ht="12.65" customHeight="1" x14ac:dyDescent="0.35">
      <c r="B57" s="82"/>
      <c r="C57" s="84" t="s">
        <v>940</v>
      </c>
      <c r="D57" s="84"/>
      <c r="E57" s="84" t="s">
        <v>305</v>
      </c>
      <c r="F57" s="84"/>
      <c r="G57" s="84" t="s">
        <v>943</v>
      </c>
      <c r="H57" s="84"/>
      <c r="I57" s="84"/>
      <c r="J57" s="84" t="s">
        <v>594</v>
      </c>
      <c r="L57" s="100"/>
    </row>
    <row r="58" spans="1:12" ht="12.65" customHeight="1" x14ac:dyDescent="0.35">
      <c r="B58" s="61">
        <v>1</v>
      </c>
      <c r="C58" s="58">
        <f>MedicatieIV!C8</f>
        <v>0</v>
      </c>
      <c r="E58" s="58" t="str">
        <f>IF(C58&lt;&gt;0,MedicatieIV!D8&amp;" in "&amp;MedicatieIV!E8&amp;IF(AND(ber_IVmed!D5&lt;&gt;4,MedicatieIV!F8&lt;&gt;0)," "&amp;MedicatieIV!F8,""),"")</f>
        <v/>
      </c>
      <c r="G58" s="58" t="str">
        <f>IF(C58&lt;&gt;0,MedicatieIV!G8&amp;" (="&amp;MedicatieIV!H8&amp;")","")</f>
        <v/>
      </c>
      <c r="J58" s="58" t="str">
        <f>MedicatieIV!I8</f>
        <v/>
      </c>
      <c r="L58" s="100" t="str">
        <f t="shared" ref="L58:L72" si="1">IF(C58=0,"D","")</f>
        <v>D</v>
      </c>
    </row>
    <row r="59" spans="1:12" ht="12.65" customHeight="1" x14ac:dyDescent="0.35">
      <c r="B59" s="61">
        <v>2</v>
      </c>
      <c r="C59" s="58">
        <f>MedicatieIV!C9</f>
        <v>0</v>
      </c>
      <c r="E59" s="58" t="str">
        <f>IF(C59&lt;&gt;0,MedicatieIV!D9&amp;" in "&amp;MedicatieIV!E9&amp;IF(AND(ber_IVmed!D6&lt;&gt;4,MedicatieIV!F9&lt;&gt;0)," "&amp;MedicatieIV!F9,""),"")</f>
        <v/>
      </c>
      <c r="G59" s="58" t="str">
        <f>IF(C59&lt;&gt;0,MedicatieIV!G9&amp;" (="&amp;MedicatieIV!H9&amp;")","")</f>
        <v/>
      </c>
      <c r="J59" s="58" t="str">
        <f>MedicatieIV!I9</f>
        <v/>
      </c>
      <c r="L59" s="100" t="str">
        <f t="shared" si="1"/>
        <v>D</v>
      </c>
    </row>
    <row r="60" spans="1:12" ht="12.65" customHeight="1" x14ac:dyDescent="0.35">
      <c r="B60" s="61">
        <v>3</v>
      </c>
      <c r="C60" s="58">
        <f>MedicatieIV!C10</f>
        <v>0</v>
      </c>
      <c r="E60" s="58" t="str">
        <f>IF(C60&lt;&gt;0,MedicatieIV!D10&amp;" in "&amp;MedicatieIV!E10&amp;IF(AND(ber_IVmed!D7&lt;&gt;4,MedicatieIV!F10&lt;&gt;0)," "&amp;MedicatieIV!F10,""),"")</f>
        <v/>
      </c>
      <c r="G60" s="58" t="str">
        <f>IF(C60&lt;&gt;0,MedicatieIV!G10&amp;" (="&amp;MedicatieIV!H10&amp;")","")</f>
        <v/>
      </c>
      <c r="J60" s="58" t="str">
        <f>MedicatieIV!I10</f>
        <v/>
      </c>
      <c r="L60" s="100" t="str">
        <f t="shared" si="1"/>
        <v>D</v>
      </c>
    </row>
    <row r="61" spans="1:12" ht="12.65" customHeight="1" x14ac:dyDescent="0.35">
      <c r="B61" s="61">
        <v>4</v>
      </c>
      <c r="C61" s="58">
        <f>MedicatieIV!C11</f>
        <v>0</v>
      </c>
      <c r="E61" s="58" t="str">
        <f>IF(C61&lt;&gt;0,MedicatieIV!D11&amp;" in "&amp;MedicatieIV!E11&amp;IF(AND(ber_IVmed!D8&lt;&gt;4,MedicatieIV!F11&lt;&gt;0)," "&amp;MedicatieIV!F11,""),"")</f>
        <v/>
      </c>
      <c r="G61" s="58" t="str">
        <f>IF(C61&lt;&gt;0,MedicatieIV!G11&amp;" (="&amp;MedicatieIV!H11&amp;")","")</f>
        <v/>
      </c>
      <c r="J61" s="58" t="str">
        <f>MedicatieIV!I11</f>
        <v/>
      </c>
      <c r="L61" s="100" t="str">
        <f t="shared" si="1"/>
        <v>D</v>
      </c>
    </row>
    <row r="62" spans="1:12" ht="12.65" customHeight="1" x14ac:dyDescent="0.35">
      <c r="B62" s="61">
        <v>5</v>
      </c>
      <c r="C62" s="58">
        <f>MedicatieIV!C12</f>
        <v>0</v>
      </c>
      <c r="E62" s="58" t="str">
        <f>IF(C62&lt;&gt;0,MedicatieIV!D12&amp;" in "&amp;MedicatieIV!E12&amp;IF(AND(ber_IVmed!D10&lt;&gt;4,MedicatieIV!F12&lt;&gt;0)," "&amp;MedicatieIV!F12,""),"")</f>
        <v/>
      </c>
      <c r="G62" s="58" t="str">
        <f>IF(C62&lt;&gt;0,MedicatieIV!G12&amp;" (="&amp;MedicatieIV!H12&amp;")","")</f>
        <v/>
      </c>
      <c r="J62" s="58" t="str">
        <f>MedicatieIV!I12</f>
        <v/>
      </c>
      <c r="L62" s="100" t="str">
        <f t="shared" si="1"/>
        <v>D</v>
      </c>
    </row>
    <row r="63" spans="1:12" ht="12.65" customHeight="1" x14ac:dyDescent="0.35">
      <c r="B63" s="61">
        <v>6</v>
      </c>
      <c r="C63" s="58">
        <f>MedicatieIV!C13</f>
        <v>0</v>
      </c>
      <c r="E63" s="58" t="str">
        <f>IF(C63&lt;&gt;0,MedicatieIV!D13&amp;" in "&amp;MedicatieIV!E13&amp;IF(AND(ber_IVmed!D11&lt;&gt;4,MedicatieIV!F13&lt;&gt;0)," "&amp;MedicatieIV!F13,""),"")</f>
        <v/>
      </c>
      <c r="G63" s="58" t="str">
        <f>IF(C63&lt;&gt;0,MedicatieIV!G13&amp;" (="&amp;MedicatieIV!H13&amp;")","")</f>
        <v/>
      </c>
      <c r="J63" s="58" t="str">
        <f>MedicatieIV!I13</f>
        <v/>
      </c>
      <c r="L63" s="100" t="str">
        <f t="shared" si="1"/>
        <v>D</v>
      </c>
    </row>
    <row r="64" spans="1:12" ht="12.65" customHeight="1" x14ac:dyDescent="0.35">
      <c r="B64" s="61">
        <v>7</v>
      </c>
      <c r="C64" s="58">
        <f>MedicatieIV!C14</f>
        <v>0</v>
      </c>
      <c r="E64" s="58" t="str">
        <f>IF(C64&lt;&gt;0,MedicatieIV!D14&amp;" in "&amp;MedicatieIV!E14&amp;IF(AND(ber_IVmed!D12&lt;&gt;4,MedicatieIV!F14&lt;&gt;0)," "&amp;MedicatieIV!F14,""),"")</f>
        <v/>
      </c>
      <c r="G64" s="58" t="str">
        <f>IF(C64&lt;&gt;0,MedicatieIV!G14&amp;" (="&amp;MedicatieIV!H14&amp;")","")</f>
        <v/>
      </c>
      <c r="J64" s="58" t="str">
        <f>MedicatieIV!I14</f>
        <v/>
      </c>
      <c r="L64" s="100" t="str">
        <f t="shared" si="1"/>
        <v>D</v>
      </c>
    </row>
    <row r="65" spans="1:12" ht="12.65" customHeight="1" x14ac:dyDescent="0.35">
      <c r="B65" s="61">
        <v>8</v>
      </c>
      <c r="C65" s="58">
        <f>MedicatieIV!C15</f>
        <v>0</v>
      </c>
      <c r="E65" s="58" t="str">
        <f>IF(C65&lt;&gt;0,MedicatieIV!D15&amp;" in "&amp;MedicatieIV!E15&amp;IF(AND(ber_IVmed!D13&lt;&gt;4,MedicatieIV!F15&lt;&gt;0)," "&amp;MedicatieIV!F15,""),"")</f>
        <v/>
      </c>
      <c r="G65" s="58" t="str">
        <f>IF(C65&lt;&gt;0,MedicatieIV!G15&amp;" (="&amp;MedicatieIV!H15&amp;")","")</f>
        <v/>
      </c>
      <c r="J65" s="58" t="str">
        <f>MedicatieIV!I15</f>
        <v/>
      </c>
      <c r="L65" s="100" t="str">
        <f t="shared" si="1"/>
        <v>D</v>
      </c>
    </row>
    <row r="66" spans="1:12" ht="12.65" customHeight="1" x14ac:dyDescent="0.35">
      <c r="B66" s="61">
        <v>9</v>
      </c>
      <c r="C66" s="58">
        <f>MedicatieIV!C16</f>
        <v>0</v>
      </c>
      <c r="E66" s="58" t="str">
        <f>IF(C66&lt;&gt;0,MedicatieIV!D16&amp;" in "&amp;MedicatieIV!E16&amp;IF(AND(ber_IVmed!D14&lt;&gt;4,MedicatieIV!F16&lt;&gt;0)," "&amp;MedicatieIV!F16,""),"")</f>
        <v/>
      </c>
      <c r="G66" s="58" t="str">
        <f>IF(C66&lt;&gt;0,MedicatieIV!G16&amp;" (="&amp;MedicatieIV!H16&amp;")","")</f>
        <v/>
      </c>
      <c r="J66" s="58" t="str">
        <f>MedicatieIV!I16</f>
        <v/>
      </c>
      <c r="L66" s="100" t="str">
        <f t="shared" si="1"/>
        <v>D</v>
      </c>
    </row>
    <row r="67" spans="1:12" ht="12.65" customHeight="1" x14ac:dyDescent="0.35">
      <c r="B67" s="61">
        <v>10</v>
      </c>
      <c r="C67" s="58">
        <f>MedicatieIV!C17</f>
        <v>0</v>
      </c>
      <c r="E67" s="58" t="str">
        <f>IF(C67&lt;&gt;0,MedicatieIV!D17&amp;" in "&amp;MedicatieIV!E17&amp;IF(AND(ber_IVmed!D15&lt;&gt;4,MedicatieIV!F17&lt;&gt;0)," "&amp;MedicatieIV!F17,""),"")</f>
        <v/>
      </c>
      <c r="G67" s="58" t="str">
        <f>IF(C67&lt;&gt;0,MedicatieIV!G17&amp;" (="&amp;MedicatieIV!H17&amp;")","")</f>
        <v/>
      </c>
      <c r="J67" s="58" t="str">
        <f>MedicatieIV!I17</f>
        <v/>
      </c>
      <c r="L67" s="100" t="str">
        <f t="shared" si="1"/>
        <v>D</v>
      </c>
    </row>
    <row r="68" spans="1:12" ht="12.65" customHeight="1" x14ac:dyDescent="0.35">
      <c r="B68" s="61">
        <v>11</v>
      </c>
      <c r="C68" s="58">
        <f>MedicatieIV!C19</f>
        <v>0</v>
      </c>
      <c r="E68" s="58" t="str">
        <f>IF(C68&lt;&gt;0,MedicatieIV!D19&amp;" in "&amp;MedicatieIV!E19&amp;IF(AND(ber_IVmed!D27&lt;&gt;4,MedicatieIV!F19&lt;&gt;0)," "&amp;MedicatieIV!F19,""),"")</f>
        <v/>
      </c>
      <c r="G68" s="58">
        <f>MedicatieIV!G19</f>
        <v>0</v>
      </c>
      <c r="J68" s="58" t="str">
        <f>MedicatieIV!I19</f>
        <v/>
      </c>
      <c r="L68" s="100" t="str">
        <f t="shared" si="1"/>
        <v>D</v>
      </c>
    </row>
    <row r="69" spans="1:12" ht="12.65" customHeight="1" x14ac:dyDescent="0.35">
      <c r="B69" s="61">
        <v>12</v>
      </c>
      <c r="C69" s="58">
        <f>MedicatieIV!C20</f>
        <v>0</v>
      </c>
      <c r="E69" s="58" t="str">
        <f>IF(C69&lt;&gt;0,MedicatieIV!D20&amp;" in "&amp;MedicatieIV!E20&amp;IF(AND(ber_IVmed!D28&lt;&gt;4,MedicatieIV!F20&lt;&gt;0)," "&amp;MedicatieIV!F20,""),"")</f>
        <v/>
      </c>
      <c r="G69" s="58">
        <f>MedicatieIV!G20</f>
        <v>0</v>
      </c>
      <c r="J69" s="58" t="str">
        <f>MedicatieIV!I20</f>
        <v/>
      </c>
      <c r="L69" s="100" t="str">
        <f t="shared" si="1"/>
        <v>D</v>
      </c>
    </row>
    <row r="70" spans="1:12" ht="12.65" customHeight="1" x14ac:dyDescent="0.35">
      <c r="B70" s="61">
        <v>13</v>
      </c>
      <c r="C70" s="58">
        <f>MedicatieIV!C21</f>
        <v>0</v>
      </c>
      <c r="E70" s="58" t="str">
        <f>IF(C70&lt;&gt;0,MedicatieIV!D21&amp;" in "&amp;MedicatieIV!E21&amp;IF(AND(ber_IVmed!D29&lt;&gt;4,MedicatieIV!F21&lt;&gt;0)," "&amp;MedicatieIV!F21,""),"")</f>
        <v/>
      </c>
      <c r="G70" s="58">
        <f>MedicatieIV!G21</f>
        <v>0</v>
      </c>
      <c r="J70" s="58" t="str">
        <f>MedicatieIV!I21</f>
        <v/>
      </c>
      <c r="L70" s="100" t="str">
        <f t="shared" si="1"/>
        <v>D</v>
      </c>
    </row>
    <row r="71" spans="1:12" ht="12.65" customHeight="1" x14ac:dyDescent="0.35">
      <c r="B71" s="61">
        <v>14</v>
      </c>
      <c r="C71" s="58">
        <f>MedicatieIV!C22</f>
        <v>0</v>
      </c>
      <c r="E71" s="58" t="str">
        <f>IF(C71&lt;&gt;0,MedicatieIV!D22&amp;" in "&amp;MedicatieIV!E22&amp;IF(AND(ber_IVmed!D30&lt;&gt;4,MedicatieIV!F22&lt;&gt;0)," "&amp;MedicatieIV!F22,""),"")</f>
        <v/>
      </c>
      <c r="G71" s="58">
        <f>MedicatieIV!G22</f>
        <v>0</v>
      </c>
      <c r="J71" s="58" t="str">
        <f>MedicatieIV!I22</f>
        <v/>
      </c>
      <c r="L71" s="100" t="str">
        <f t="shared" si="1"/>
        <v>D</v>
      </c>
    </row>
    <row r="72" spans="1:12" ht="12.65" customHeight="1" x14ac:dyDescent="0.35">
      <c r="B72" s="61">
        <v>15</v>
      </c>
      <c r="C72" s="58">
        <f>MedicatieIV!C23</f>
        <v>0</v>
      </c>
      <c r="E72" s="58" t="str">
        <f>IF(C72&lt;&gt;0,MedicatieIV!D23&amp;" in "&amp;MedicatieIV!E23&amp;IF(AND(ber_IVmed!D31&lt;&gt;4,MedicatieIV!F23&lt;&gt;0)," "&amp;MedicatieIV!F23,""),"")</f>
        <v/>
      </c>
      <c r="G72" s="58">
        <f>MedicatieIV!G23</f>
        <v>0</v>
      </c>
      <c r="J72" s="58" t="str">
        <f>MedicatieIV!I23</f>
        <v/>
      </c>
      <c r="L72" s="100" t="str">
        <f t="shared" si="1"/>
        <v>D</v>
      </c>
    </row>
    <row r="73" spans="1:12" ht="12.65" customHeight="1" x14ac:dyDescent="0.35">
      <c r="L73" s="100"/>
    </row>
    <row r="74" spans="1:12" ht="12.65" customHeight="1" x14ac:dyDescent="0.35">
      <c r="B74" s="82"/>
      <c r="C74" s="84" t="s">
        <v>912</v>
      </c>
      <c r="D74" s="357">
        <f>ber_Opm!C4</f>
        <v>0</v>
      </c>
      <c r="E74" s="357"/>
      <c r="F74" s="357"/>
      <c r="G74" s="357"/>
      <c r="H74" s="357"/>
      <c r="I74" s="357"/>
      <c r="J74" s="357"/>
      <c r="L74" s="100"/>
    </row>
    <row r="75" spans="1:12" ht="12.65" customHeight="1" x14ac:dyDescent="0.35">
      <c r="D75" s="360"/>
      <c r="E75" s="360"/>
      <c r="F75" s="360"/>
      <c r="G75" s="360"/>
      <c r="H75" s="360"/>
      <c r="I75" s="360"/>
      <c r="J75" s="360"/>
      <c r="L75" s="100"/>
    </row>
    <row r="76" spans="1:12" ht="12.65" customHeight="1" x14ac:dyDescent="0.35">
      <c r="A76" s="65"/>
      <c r="B76" s="70" t="str">
        <f>Intake!C14</f>
        <v>Infuus</v>
      </c>
      <c r="C76" s="67"/>
      <c r="D76" s="65"/>
      <c r="E76" s="65"/>
      <c r="F76" s="65"/>
      <c r="G76" s="65"/>
      <c r="H76" s="65"/>
      <c r="I76" s="65"/>
      <c r="J76" s="65"/>
      <c r="L76" s="100"/>
    </row>
    <row r="77" spans="1:12" ht="12.65" customHeight="1" x14ac:dyDescent="0.35">
      <c r="B77" s="82"/>
      <c r="C77" s="84"/>
      <c r="D77" s="114">
        <f>IF(E77&lt;&gt;"",Intake!C15,)</f>
        <v>0</v>
      </c>
      <c r="E77" s="66" t="str">
        <f>IF(TPN2tot6kg!G21&lt;&gt;0,TPN2tot6kg!A14&amp;" ml","")</f>
        <v/>
      </c>
      <c r="F77" s="66" t="str">
        <f>IF(TPN2tot6kg!G21&lt;&gt;0,TPN2tot6kg!G21&amp;" ml","")</f>
        <v/>
      </c>
      <c r="G77" s="120"/>
      <c r="H77" s="114">
        <f>IF(I77&lt;&gt;"",Intake!H15,)</f>
        <v>0</v>
      </c>
      <c r="I77" s="66" t="str">
        <f>Intake!I15</f>
        <v/>
      </c>
      <c r="J77" s="66" t="str">
        <f>Intake!J15</f>
        <v/>
      </c>
      <c r="L77" s="100"/>
    </row>
    <row r="78" spans="1:12" ht="12.65" customHeight="1" x14ac:dyDescent="0.35">
      <c r="B78" s="82"/>
      <c r="C78" s="84"/>
      <c r="D78" s="83" t="str">
        <f>IF(F78&lt;&gt;"",ber_TPN!A27,"")</f>
        <v/>
      </c>
      <c r="E78" s="58" t="str">
        <f>IF(ber_TPN!B4=4,ROUND(ber_TPN!D4,1)&amp;" ml/uur","")</f>
        <v/>
      </c>
      <c r="F78" s="58" t="str">
        <f>Intake!E16</f>
        <v/>
      </c>
      <c r="G78" s="84"/>
      <c r="H78" s="83">
        <f>IF(J78&lt;&gt;"",INDEX(tblSSTGlucose,SSTGlucose_2,1),)</f>
        <v>0</v>
      </c>
      <c r="J78" s="58" t="str">
        <f>Intake!J17</f>
        <v/>
      </c>
      <c r="L78" s="100" t="str">
        <f>IF(AND(D78="",H78=0),"D","")</f>
        <v>D</v>
      </c>
    </row>
    <row r="79" spans="1:12" ht="12.65" customHeight="1" x14ac:dyDescent="0.35">
      <c r="B79" s="82"/>
      <c r="C79" s="84"/>
      <c r="D79" s="83" t="str">
        <f>IF(Intake!G16&lt;&gt;"","Peditrace","")</f>
        <v/>
      </c>
      <c r="E79" s="156" t="str">
        <f>IF(Intake!G16&lt;&gt;"",Intake!G16&amp;" "&amp;Intake!F17,"")</f>
        <v/>
      </c>
      <c r="F79" s="157"/>
      <c r="G79" s="84"/>
      <c r="H79" s="83">
        <f>IF(J79&lt;&gt;"",Intake!H18,)</f>
        <v>0</v>
      </c>
      <c r="J79" s="58" t="str">
        <f>Intake!J18</f>
        <v/>
      </c>
      <c r="L79" s="100" t="str">
        <f>IF(AND(D79="",H79=0),"D","")</f>
        <v>D</v>
      </c>
    </row>
    <row r="80" spans="1:12" ht="12.65" customHeight="1" x14ac:dyDescent="0.35">
      <c r="B80" s="82"/>
      <c r="C80" s="84"/>
      <c r="D80" s="83">
        <f>IF(F80&lt;&gt;"",INDEX(tblSSTGlucose,SSTglucose,1),)</f>
        <v>0</v>
      </c>
      <c r="F80" s="58" t="str">
        <f>IF(AND(TPN=2,SSTglucose&lt;11,Gewicht/10&lt;=50),ROUND(ber_TPN!F6,0)&amp;" ml","")</f>
        <v/>
      </c>
      <c r="G80" s="84"/>
      <c r="H80" s="83">
        <f>IF(J80&lt;&gt;"",Intake!H19,)</f>
        <v>0</v>
      </c>
      <c r="J80" s="58" t="str">
        <f>Intake!J19</f>
        <v/>
      </c>
      <c r="L80" s="100" t="str">
        <f>IF(AND(D80="",H80=0),"D","")</f>
        <v/>
      </c>
    </row>
    <row r="81" spans="2:12" ht="12.65" customHeight="1" x14ac:dyDescent="0.35">
      <c r="B81" s="82"/>
      <c r="C81" s="84"/>
      <c r="D81" s="83">
        <f>IF(F81&lt;&gt;"",Intake!C18,)</f>
        <v>0</v>
      </c>
      <c r="F81" s="58" t="str">
        <f>IF(AND(TPN2tot6kg!G14&lt;&gt;"",ber_TPN!$F$4&gt;0),TPN2tot6kg!G14&amp;" ml","")</f>
        <v/>
      </c>
      <c r="L81" s="100" t="str">
        <f>IF(D81=0,"D","")</f>
        <v>D</v>
      </c>
    </row>
    <row r="82" spans="2:12" ht="12.65" customHeight="1" x14ac:dyDescent="0.35">
      <c r="B82" s="82"/>
      <c r="C82" s="84"/>
      <c r="D82" s="83">
        <f>IF(F82&lt;&gt;"",Intake!C19,)</f>
        <v>0</v>
      </c>
      <c r="F82" s="58" t="str">
        <f>IF(AND(TPN2tot6kg!G15&lt;&gt;"",ber_TPN!$F$4&gt;0),TPN2tot6kg!G15&amp;" ml","")</f>
        <v/>
      </c>
      <c r="L82" s="100" t="str">
        <f>IF(D82=0,"D","")</f>
        <v>D</v>
      </c>
    </row>
    <row r="83" spans="2:12" ht="12.65" customHeight="1" x14ac:dyDescent="0.35">
      <c r="D83" s="69"/>
      <c r="H83" s="69"/>
      <c r="L83" s="100"/>
    </row>
    <row r="84" spans="2:12" ht="12.65" customHeight="1" x14ac:dyDescent="0.35">
      <c r="B84" s="82"/>
      <c r="C84" s="84"/>
      <c r="D84" s="115" t="str">
        <f>IF(F84&lt;&gt;"","Electrolyt/Glucose mengsel","")</f>
        <v/>
      </c>
      <c r="E84" s="65" t="str">
        <f>IF(AND(Gewicht/10&gt;50,TPNboven50kg!A27&lt;&gt;""),TPNboven50kg!A27,TPN2tot6kg!A29)</f>
        <v/>
      </c>
      <c r="F84" s="65" t="str">
        <f>IF(AND(Gewicht/10&gt;50,TPNboven50kg!G35&lt;&gt;0),TPNboven50kg!G35&amp;" ml",IF(TPN2tot6kg!G36&lt;&gt;0,TPN2tot6kg!G36&amp;" ml",""))</f>
        <v/>
      </c>
      <c r="G84" s="65"/>
      <c r="H84" s="117"/>
      <c r="I84" s="65"/>
      <c r="J84" s="65"/>
      <c r="L84" s="100"/>
    </row>
    <row r="85" spans="2:12" ht="12.65" customHeight="1" x14ac:dyDescent="0.35">
      <c r="B85" s="82"/>
      <c r="C85" s="84"/>
      <c r="D85" s="83">
        <f>IF(F85&lt;&gt;"",INDEX(tblSSTGlucose,SSTglucose,1),)</f>
        <v>0</v>
      </c>
      <c r="E85" s="113"/>
      <c r="F85" s="58" t="str">
        <f>IF(AND(OR(TPN=1,AND(TPN=2,SSTglucose&gt;10),Gewicht/10&gt;50),ROUND(ber_TPN!F6,0)&lt;&gt;0,SSTglucose&lt;&gt;2),ROUND(ber_TPN!F6,0)&amp;" ml","")</f>
        <v/>
      </c>
      <c r="L85" s="100" t="str">
        <f>IF(D85=0,"D","")</f>
        <v>D</v>
      </c>
    </row>
    <row r="86" spans="2:12" ht="12.65" customHeight="1" x14ac:dyDescent="0.35">
      <c r="B86" s="82"/>
      <c r="C86" s="84"/>
      <c r="D86" s="83">
        <f>IF(F86&lt;&gt;"","CaGluc 10%",)</f>
        <v>0</v>
      </c>
      <c r="F86" s="58" t="str">
        <f>Intake!E21</f>
        <v/>
      </c>
      <c r="L86" s="100" t="str">
        <f t="shared" ref="L86:L92" si="2">IF(D86=0,"D","")</f>
        <v>D</v>
      </c>
    </row>
    <row r="87" spans="2:12" ht="12.65" customHeight="1" x14ac:dyDescent="0.35">
      <c r="B87" s="82"/>
      <c r="C87" s="84"/>
      <c r="D87" s="83">
        <f>IF(F87&lt;&gt;"","MgCl 10%",)</f>
        <v>0</v>
      </c>
      <c r="F87" s="58" t="str">
        <f>Intake!E22</f>
        <v/>
      </c>
      <c r="L87" s="100" t="str">
        <f t="shared" si="2"/>
        <v>D</v>
      </c>
    </row>
    <row r="88" spans="2:12" ht="12.65" customHeight="1" x14ac:dyDescent="0.35">
      <c r="B88" s="82"/>
      <c r="C88" s="84"/>
      <c r="D88" s="83">
        <f>IF(F88&lt;&gt;"",Intake!C18,)</f>
        <v>0</v>
      </c>
      <c r="F88" s="58" t="str">
        <f>IF(AND(Gewicht/10&gt;50,TPNboven50kg!G27&lt;&gt;0),TPNboven50kg!G27&amp;" ml",IF(OR(AND(TPN2tot6kg!G29&lt;&gt;0,ber_TPN!$F$4=0),AND(TPN2tot6kg!G29&lt;&gt;0,Gewicht/10&gt;50)),TPN2tot6kg!G29&amp;" ml",""))</f>
        <v/>
      </c>
      <c r="H88" s="69"/>
      <c r="L88" s="100" t="str">
        <f t="shared" si="2"/>
        <v>D</v>
      </c>
    </row>
    <row r="89" spans="2:12" ht="12.65" customHeight="1" x14ac:dyDescent="0.35">
      <c r="B89" s="82"/>
      <c r="C89" s="84"/>
      <c r="D89" s="83">
        <f>IF(F89&lt;&gt;"",Intake!C19,)</f>
        <v>0</v>
      </c>
      <c r="F89" s="58" t="str">
        <f>IF(AND(Gewicht/10&gt;51,TPNboven50kg!G28&lt;&gt;0),TPNboven50kg!G28&amp;" ml",IF(OR(AND(TPN2tot6kg!G30&lt;&gt;0,ber_TPN!$F$4=0),AND(TPN2tot6kg!G30&lt;&gt;0,Gewicht/10&gt;50)),TPN2tot6kg!G30&amp;" ml",""))</f>
        <v/>
      </c>
      <c r="H89" s="69"/>
      <c r="L89" s="100" t="str">
        <f t="shared" si="2"/>
        <v>D</v>
      </c>
    </row>
    <row r="90" spans="2:12" ht="12.65" customHeight="1" x14ac:dyDescent="0.35">
      <c r="B90" s="82"/>
      <c r="C90" s="84"/>
      <c r="D90" s="83" t="str">
        <f>IF(F90&lt;&gt;"","Glucose 10%","")</f>
        <v/>
      </c>
      <c r="F90" s="58" t="str">
        <f>IF(AND(Gewicht/10&gt;51,TPNboven50kg!G31&lt;&gt;0),TPNboven50kg!G31&amp;" ml",IF(AND(TPN2tot6kg!G33&lt;&gt;0,Gewicht/10&lt;=50),TPN2tot6kg!G33&amp;" ml",""))</f>
        <v/>
      </c>
      <c r="H90" s="69"/>
      <c r="L90" s="100" t="str">
        <f t="shared" si="2"/>
        <v/>
      </c>
    </row>
    <row r="91" spans="2:12" ht="12.65" customHeight="1" x14ac:dyDescent="0.35">
      <c r="L91" s="100"/>
    </row>
    <row r="92" spans="2:12" ht="12.65" customHeight="1" x14ac:dyDescent="0.35">
      <c r="B92" s="82"/>
      <c r="C92" s="84"/>
      <c r="D92" s="121">
        <f>IF(E92&lt;&gt;" ","KNaFosfaat",)</f>
        <v>0</v>
      </c>
      <c r="E92" s="65" t="str">
        <f>Intake!E23&amp;" "&amp;Intake!H23</f>
        <v xml:space="preserve"> </v>
      </c>
      <c r="F92" s="65"/>
      <c r="L92" s="100" t="str">
        <f t="shared" si="2"/>
        <v>D</v>
      </c>
    </row>
    <row r="93" spans="2:12" ht="12.65" customHeight="1" x14ac:dyDescent="0.35">
      <c r="L93" s="100"/>
    </row>
    <row r="94" spans="2:12" ht="12.65" customHeight="1" x14ac:dyDescent="0.35">
      <c r="B94" s="82"/>
      <c r="C94" s="84"/>
      <c r="D94" s="116">
        <f>IF(E94&lt;&gt;"",Intake!C24,)</f>
        <v>0</v>
      </c>
      <c r="E94" s="65" t="str">
        <f>Intake!D24</f>
        <v/>
      </c>
      <c r="F94" s="65" t="str">
        <f>IF(ROUND(ber_TPN!F12,0)&gt;0,ROUND(ber_TPN!F12,0)&amp;" ml","")</f>
        <v/>
      </c>
      <c r="H94" s="57"/>
      <c r="L94" s="100"/>
    </row>
    <row r="95" spans="2:12" ht="12.65" customHeight="1" x14ac:dyDescent="0.35">
      <c r="B95" s="82"/>
      <c r="C95" s="84"/>
      <c r="D95" s="83">
        <f>IF(F95&lt;&gt;"","Intralipid 20%",)</f>
        <v>0</v>
      </c>
      <c r="F95" s="58" t="str">
        <f>Intake!E25</f>
        <v/>
      </c>
      <c r="H95" s="69"/>
      <c r="L95" s="100" t="str">
        <f>IF(D95=0,"D","")</f>
        <v>D</v>
      </c>
    </row>
    <row r="96" spans="2:12" ht="12.65" customHeight="1" x14ac:dyDescent="0.35">
      <c r="B96" s="82"/>
      <c r="C96" s="84"/>
      <c r="D96" s="83">
        <f>IF(F96&lt;&gt;"","Vitintra Infant",)</f>
        <v>0</v>
      </c>
      <c r="F96" s="58" t="str">
        <f>Intake!E26</f>
        <v/>
      </c>
      <c r="H96" s="69"/>
      <c r="L96" s="100" t="str">
        <f>IF(D96=0,"D","")</f>
        <v>D</v>
      </c>
    </row>
    <row r="97" spans="1:12" ht="12.65" customHeight="1" x14ac:dyDescent="0.35">
      <c r="B97" s="82"/>
      <c r="C97" s="84"/>
      <c r="D97" s="83">
        <f>IF(F97&lt;&gt;"","Soluvit",)</f>
        <v>0</v>
      </c>
      <c r="F97" s="58" t="str">
        <f>Intake!E27</f>
        <v/>
      </c>
      <c r="H97" s="69"/>
      <c r="L97" s="100" t="str">
        <f>IF(D97=0,"D","")</f>
        <v>D</v>
      </c>
    </row>
    <row r="98" spans="1:12" ht="12.65" customHeight="1" x14ac:dyDescent="0.35">
      <c r="C98" s="69"/>
      <c r="L98" s="100"/>
    </row>
    <row r="99" spans="1:12" ht="12.65" customHeight="1" x14ac:dyDescent="0.35">
      <c r="A99" s="65"/>
      <c r="B99" s="85"/>
      <c r="C99" s="86" t="s">
        <v>912</v>
      </c>
      <c r="D99" s="365">
        <f>ber_Opm!C9</f>
        <v>0</v>
      </c>
      <c r="E99" s="366"/>
      <c r="F99" s="366"/>
      <c r="G99" s="366"/>
      <c r="H99" s="366"/>
      <c r="I99" s="366"/>
      <c r="J99" s="366"/>
      <c r="L99" s="100"/>
    </row>
    <row r="100" spans="1:12" ht="12.65" customHeight="1" x14ac:dyDescent="0.35">
      <c r="L100" s="100"/>
    </row>
    <row r="101" spans="1:12" ht="12.65" customHeight="1" x14ac:dyDescent="0.35">
      <c r="L101" s="100"/>
    </row>
    <row r="102" spans="1:12" ht="12.65" customHeight="1" x14ac:dyDescent="0.35">
      <c r="A102" s="65"/>
      <c r="B102" s="70" t="s">
        <v>1096</v>
      </c>
      <c r="C102" s="67"/>
      <c r="D102" s="65"/>
      <c r="E102" s="65"/>
      <c r="F102" s="65"/>
      <c r="G102" s="65"/>
      <c r="H102" s="65"/>
      <c r="I102" s="65"/>
      <c r="J102" s="65"/>
      <c r="L102" s="100"/>
    </row>
    <row r="103" spans="1:12" ht="12.65" customHeight="1" x14ac:dyDescent="0.35">
      <c r="B103" s="82"/>
      <c r="C103" s="83" t="str">
        <f>Intake!B31</f>
        <v>Vocht</v>
      </c>
      <c r="D103" s="58" t="str">
        <f>Intake!D31</f>
        <v>0 ml/kg</v>
      </c>
      <c r="E103" s="83" t="str">
        <f>Intake!B32</f>
        <v>Calorieen</v>
      </c>
      <c r="F103" s="58" t="str">
        <f>Intake!D32</f>
        <v>0 kCal/kg</v>
      </c>
      <c r="G103" s="83" t="str">
        <f>Intake!B35</f>
        <v>Kalium</v>
      </c>
      <c r="H103" s="58" t="str">
        <f>Intake!D35</f>
        <v>0 mmol/kg</v>
      </c>
      <c r="I103" s="83" t="str">
        <f>Intake!B34</f>
        <v xml:space="preserve">Natrium </v>
      </c>
      <c r="J103" s="58" t="str">
        <f>Intake!D34</f>
        <v>0 mmol/kg</v>
      </c>
      <c r="L103" s="100"/>
    </row>
    <row r="104" spans="1:12" ht="12.65" customHeight="1" x14ac:dyDescent="0.35">
      <c r="B104" s="82"/>
      <c r="C104" s="83" t="str">
        <f>Intake!H31</f>
        <v>Eiwit</v>
      </c>
      <c r="D104" s="58" t="str">
        <f>Intake!I31</f>
        <v>0  gram/kg</v>
      </c>
      <c r="E104" s="83" t="str">
        <f>Intake!H32</f>
        <v>Vet</v>
      </c>
      <c r="F104" s="58" t="str">
        <f>Intake!I32</f>
        <v>0 gram/kg</v>
      </c>
      <c r="G104" s="83" t="str">
        <f>Intake!H33</f>
        <v>Calcium</v>
      </c>
      <c r="H104" s="58" t="str">
        <f>Intake!I33</f>
        <v>0 mmol/kg</v>
      </c>
      <c r="I104" s="83" t="str">
        <f>Intake!H35</f>
        <v>Fosfaat</v>
      </c>
      <c r="J104" s="58" t="str">
        <f>Intake!I35</f>
        <v>0 mmol/kg</v>
      </c>
      <c r="L104" s="100"/>
    </row>
    <row r="105" spans="1:12" ht="12.65" customHeight="1" x14ac:dyDescent="0.35">
      <c r="A105" s="65"/>
      <c r="B105" s="85"/>
      <c r="C105" s="87" t="str">
        <f>Intake!B33</f>
        <v>Glucose/KH</v>
      </c>
      <c r="D105" s="65" t="str">
        <f>Intake!D33</f>
        <v>0 g/kg</v>
      </c>
      <c r="E105" s="86"/>
      <c r="F105" s="65"/>
      <c r="G105" s="87" t="s">
        <v>977</v>
      </c>
      <c r="H105" s="65" t="str">
        <f>Intake!I34</f>
        <v>0 mmol/kg</v>
      </c>
      <c r="I105" s="86"/>
      <c r="J105" s="65"/>
      <c r="L105" s="100"/>
    </row>
    <row r="106" spans="1:12" ht="12.65" customHeight="1" x14ac:dyDescent="0.35">
      <c r="B106" s="82"/>
      <c r="C106" s="83" t="s">
        <v>1433</v>
      </c>
      <c r="D106" s="56">
        <f ca="1">TODAY()</f>
        <v>42192</v>
      </c>
      <c r="E106" s="83" t="s">
        <v>1434</v>
      </c>
      <c r="F106" s="362" t="str">
        <f>AchterNaam&amp;", "&amp;VoorNaam</f>
        <v>Achternaam, Voornaam</v>
      </c>
      <c r="G106" s="362"/>
      <c r="H106" s="84" t="s">
        <v>879</v>
      </c>
      <c r="I106" s="58" t="str">
        <f>Gewicht/10&amp;" kg"</f>
        <v>10 kg</v>
      </c>
      <c r="J106" s="350"/>
      <c r="L106" s="100"/>
    </row>
    <row r="107" spans="1:12" ht="12.65" customHeight="1" x14ac:dyDescent="0.35">
      <c r="B107" s="82"/>
      <c r="C107" s="83" t="s">
        <v>618</v>
      </c>
      <c r="D107" s="59">
        <f ca="1">AfspraakDatum-OpnDatum+1</f>
        <v>830</v>
      </c>
      <c r="E107" s="83" t="s">
        <v>1432</v>
      </c>
      <c r="F107" s="60">
        <f>GebDatum</f>
        <v>40909</v>
      </c>
      <c r="G107" s="350"/>
      <c r="H107" s="84" t="s">
        <v>413</v>
      </c>
      <c r="I107" s="58" t="str">
        <f>Lengte&amp;" cm"</f>
        <v>80 cm</v>
      </c>
      <c r="J107" s="350"/>
      <c r="L107" s="100"/>
    </row>
    <row r="108" spans="1:12" ht="12.65" customHeight="1" x14ac:dyDescent="0.35">
      <c r="D108" s="350"/>
      <c r="F108" s="350"/>
      <c r="H108" s="84" t="s">
        <v>415</v>
      </c>
      <c r="I108" s="58" t="str">
        <f>ROUND(POWER(Gewicht/10,0.425)*POWER(((Lengte/100)*100),0.725)*0.007184,2)&amp;" m2"</f>
        <v>0,46 m2</v>
      </c>
      <c r="L108" s="100"/>
    </row>
    <row r="109" spans="1:12" ht="12.65" customHeight="1" x14ac:dyDescent="0.35">
      <c r="D109" s="57"/>
      <c r="F109" s="57"/>
      <c r="L109" s="100"/>
    </row>
    <row r="110" spans="1:12" ht="12.65" customHeight="1" x14ac:dyDescent="0.35">
      <c r="D110" s="57"/>
      <c r="F110" s="57"/>
      <c r="L110" s="100"/>
    </row>
    <row r="111" spans="1:12" ht="12.65" customHeight="1" x14ac:dyDescent="0.35">
      <c r="D111" s="57"/>
      <c r="F111" s="57"/>
      <c r="L111" s="100"/>
    </row>
    <row r="112" spans="1:12" ht="12.65" customHeight="1" x14ac:dyDescent="0.35">
      <c r="B112" s="70" t="s">
        <v>117</v>
      </c>
      <c r="C112" s="65"/>
      <c r="D112" s="71"/>
      <c r="E112" s="65"/>
      <c r="F112" s="70" t="str">
        <f>IF(Comfort,"Ja","Nee")</f>
        <v>Ja</v>
      </c>
      <c r="L112" s="100"/>
    </row>
    <row r="113" spans="1:13" ht="12.65" customHeight="1" x14ac:dyDescent="0.35">
      <c r="L113" s="100"/>
    </row>
    <row r="114" spans="1:13" ht="12.65" customHeight="1" x14ac:dyDescent="0.35">
      <c r="D114" s="316" t="s">
        <v>871</v>
      </c>
      <c r="G114" s="316" t="s">
        <v>406</v>
      </c>
      <c r="L114" s="100"/>
    </row>
    <row r="115" spans="1:13" ht="25" customHeight="1" x14ac:dyDescent="0.4">
      <c r="A115" s="373" t="s">
        <v>404</v>
      </c>
      <c r="B115" s="374"/>
      <c r="C115" s="143" t="s">
        <v>405</v>
      </c>
      <c r="D115" s="143" t="s">
        <v>407</v>
      </c>
      <c r="E115" s="373" t="s">
        <v>409</v>
      </c>
      <c r="F115" s="374"/>
      <c r="G115" s="148" t="s">
        <v>407</v>
      </c>
      <c r="H115" s="373" t="s">
        <v>408</v>
      </c>
      <c r="I115" s="374"/>
      <c r="J115" s="148" t="s">
        <v>726</v>
      </c>
      <c r="K115" s="61"/>
      <c r="L115" s="100"/>
    </row>
    <row r="116" spans="1:13" ht="20.100000000000001" customHeight="1" x14ac:dyDescent="0.35">
      <c r="A116" s="144"/>
      <c r="B116" s="318"/>
      <c r="C116" s="143"/>
      <c r="D116" s="143"/>
      <c r="E116" s="144"/>
      <c r="F116" s="318"/>
      <c r="G116" s="145"/>
      <c r="H116" s="146"/>
      <c r="I116" s="147"/>
      <c r="J116" s="149"/>
      <c r="K116" s="61"/>
      <c r="L116" s="100"/>
    </row>
    <row r="117" spans="1:13" ht="20.100000000000001" customHeight="1" x14ac:dyDescent="0.35">
      <c r="A117" s="144"/>
      <c r="B117" s="318"/>
      <c r="C117" s="143"/>
      <c r="D117" s="143"/>
      <c r="E117" s="144"/>
      <c r="F117" s="318"/>
      <c r="G117" s="145"/>
      <c r="H117" s="146"/>
      <c r="I117" s="147"/>
      <c r="J117" s="149"/>
      <c r="K117" s="61"/>
      <c r="L117" s="100"/>
    </row>
    <row r="118" spans="1:13" ht="20.100000000000001" customHeight="1" x14ac:dyDescent="0.35">
      <c r="A118" s="144"/>
      <c r="B118" s="318"/>
      <c r="C118" s="143"/>
      <c r="D118" s="143"/>
      <c r="E118" s="144"/>
      <c r="F118" s="318"/>
      <c r="G118" s="145"/>
      <c r="H118" s="146"/>
      <c r="I118" s="147"/>
      <c r="J118" s="149"/>
      <c r="K118" s="61"/>
      <c r="L118" s="100"/>
    </row>
    <row r="119" spans="1:13" ht="20.100000000000001" customHeight="1" x14ac:dyDescent="0.35">
      <c r="A119" s="144"/>
      <c r="B119" s="318"/>
      <c r="C119" s="143"/>
      <c r="D119" s="143"/>
      <c r="E119" s="144"/>
      <c r="F119" s="318"/>
      <c r="G119" s="145"/>
      <c r="H119" s="146"/>
      <c r="I119" s="147"/>
      <c r="J119" s="149"/>
      <c r="K119" s="61"/>
      <c r="L119" s="100"/>
    </row>
    <row r="120" spans="1:13" ht="20.100000000000001" customHeight="1" x14ac:dyDescent="0.35">
      <c r="A120" s="144"/>
      <c r="B120" s="318"/>
      <c r="C120" s="143"/>
      <c r="D120" s="143"/>
      <c r="E120" s="144"/>
      <c r="F120" s="318"/>
      <c r="G120" s="145"/>
      <c r="H120" s="146"/>
      <c r="I120" s="147"/>
      <c r="J120" s="149"/>
      <c r="K120" s="61"/>
      <c r="L120" s="100"/>
    </row>
    <row r="121" spans="1:13" ht="20.100000000000001" customHeight="1" x14ac:dyDescent="0.35">
      <c r="A121" s="144"/>
      <c r="B121" s="318"/>
      <c r="C121" s="143"/>
      <c r="D121" s="143"/>
      <c r="E121" s="144"/>
      <c r="F121" s="318"/>
      <c r="G121" s="145"/>
      <c r="H121" s="146"/>
      <c r="I121" s="147"/>
      <c r="J121" s="149"/>
      <c r="K121" s="61"/>
      <c r="L121" s="100"/>
    </row>
    <row r="122" spans="1:13" ht="20.100000000000001" customHeight="1" x14ac:dyDescent="0.35">
      <c r="A122" s="144"/>
      <c r="B122" s="318"/>
      <c r="C122" s="143"/>
      <c r="D122" s="143"/>
      <c r="E122" s="144"/>
      <c r="F122" s="318"/>
      <c r="G122" s="145"/>
      <c r="H122" s="146"/>
      <c r="I122" s="147"/>
      <c r="J122" s="149"/>
      <c r="K122" s="61"/>
      <c r="L122" s="100"/>
    </row>
    <row r="123" spans="1:13" ht="20.100000000000001" customHeight="1" x14ac:dyDescent="0.35">
      <c r="A123" s="144"/>
      <c r="B123" s="318"/>
      <c r="C123" s="143"/>
      <c r="D123" s="143"/>
      <c r="E123" s="144"/>
      <c r="F123" s="318"/>
      <c r="G123" s="145"/>
      <c r="H123" s="146"/>
      <c r="I123" s="147"/>
      <c r="J123" s="149"/>
      <c r="K123" s="61"/>
      <c r="L123" s="100"/>
    </row>
    <row r="124" spans="1:13" ht="20.100000000000001" customHeight="1" x14ac:dyDescent="0.35">
      <c r="A124" s="144"/>
      <c r="B124" s="318"/>
      <c r="C124" s="143"/>
      <c r="D124" s="143"/>
      <c r="E124" s="144"/>
      <c r="F124" s="318"/>
      <c r="G124" s="145"/>
      <c r="H124" s="146"/>
      <c r="I124" s="147"/>
      <c r="J124" s="149"/>
      <c r="K124" s="61"/>
      <c r="L124" s="100"/>
    </row>
    <row r="125" spans="1:13" ht="20.100000000000001" customHeight="1" x14ac:dyDescent="0.35">
      <c r="A125" s="144"/>
      <c r="B125" s="318"/>
      <c r="C125" s="143"/>
      <c r="D125" s="143"/>
      <c r="E125" s="144"/>
      <c r="F125" s="318"/>
      <c r="G125" s="145"/>
      <c r="H125" s="146"/>
      <c r="I125" s="147"/>
      <c r="J125" s="149"/>
      <c r="K125"/>
      <c r="L125" s="100"/>
      <c r="M125" s="101"/>
    </row>
    <row r="126" spans="1:13" ht="20.100000000000001" customHeight="1" x14ac:dyDescent="0.35">
      <c r="A126" s="144"/>
      <c r="B126" s="318"/>
      <c r="C126" s="143"/>
      <c r="D126" s="143"/>
      <c r="E126" s="144"/>
      <c r="F126" s="318"/>
      <c r="G126" s="145"/>
      <c r="H126" s="146"/>
      <c r="I126" s="147"/>
      <c r="J126" s="149"/>
      <c r="K126"/>
      <c r="L126" s="100"/>
      <c r="M126" s="101"/>
    </row>
    <row r="127" spans="1:13" ht="20.100000000000001" customHeight="1" x14ac:dyDescent="0.35">
      <c r="A127" s="144"/>
      <c r="B127" s="318"/>
      <c r="C127" s="143"/>
      <c r="D127" s="143"/>
      <c r="E127" s="144"/>
      <c r="F127" s="318"/>
      <c r="G127" s="145"/>
      <c r="H127" s="146"/>
      <c r="I127" s="147"/>
      <c r="J127" s="149"/>
      <c r="K127"/>
      <c r="L127" s="100"/>
      <c r="M127" s="101"/>
    </row>
    <row r="128" spans="1:13" ht="20.100000000000001" customHeight="1" x14ac:dyDescent="0.35">
      <c r="A128" s="144"/>
      <c r="B128" s="318"/>
      <c r="C128" s="143"/>
      <c r="D128" s="143"/>
      <c r="E128" s="144"/>
      <c r="F128" s="318"/>
      <c r="G128" s="145"/>
      <c r="H128" s="146"/>
      <c r="I128" s="147"/>
      <c r="J128" s="149"/>
      <c r="K128"/>
      <c r="L128" s="100"/>
      <c r="M128" s="101"/>
    </row>
    <row r="129" spans="1:13" ht="20.100000000000001" customHeight="1" x14ac:dyDescent="0.35">
      <c r="A129" s="144"/>
      <c r="B129" s="318"/>
      <c r="C129" s="143"/>
      <c r="D129" s="143"/>
      <c r="E129" s="144"/>
      <c r="F129" s="318"/>
      <c r="G129" s="145"/>
      <c r="H129" s="146"/>
      <c r="I129" s="147"/>
      <c r="J129" s="149"/>
      <c r="K129"/>
      <c r="L129" s="100"/>
      <c r="M129" s="101"/>
    </row>
    <row r="130" spans="1:13" ht="20.100000000000001" customHeight="1" x14ac:dyDescent="0.35">
      <c r="A130" s="144"/>
      <c r="B130" s="318"/>
      <c r="C130" s="143"/>
      <c r="D130" s="143"/>
      <c r="E130" s="144"/>
      <c r="F130" s="318"/>
      <c r="G130" s="145"/>
      <c r="H130" s="146"/>
      <c r="I130" s="147"/>
      <c r="J130" s="149"/>
      <c r="K130"/>
      <c r="L130" s="100"/>
      <c r="M130" s="101"/>
    </row>
    <row r="131" spans="1:13" ht="20.100000000000001" customHeight="1" x14ac:dyDescent="0.35">
      <c r="A131" s="144"/>
      <c r="B131" s="318"/>
      <c r="C131" s="143"/>
      <c r="D131" s="143"/>
      <c r="E131" s="144"/>
      <c r="F131" s="318"/>
      <c r="G131" s="145"/>
      <c r="H131" s="146"/>
      <c r="I131" s="147"/>
      <c r="J131" s="149"/>
      <c r="K131"/>
      <c r="L131" s="100"/>
      <c r="M131" s="101"/>
    </row>
    <row r="132" spans="1:13" ht="20.100000000000001" customHeight="1" x14ac:dyDescent="0.35">
      <c r="A132" s="144"/>
      <c r="B132" s="318"/>
      <c r="C132" s="143"/>
      <c r="D132" s="143"/>
      <c r="E132" s="144"/>
      <c r="F132" s="318"/>
      <c r="G132" s="145"/>
      <c r="H132" s="146"/>
      <c r="I132" s="147"/>
      <c r="J132" s="149"/>
      <c r="K132"/>
      <c r="L132" s="100"/>
      <c r="M132" s="101"/>
    </row>
    <row r="133" spans="1:13" ht="30" customHeight="1" x14ac:dyDescent="0.4">
      <c r="A133" s="322" t="s">
        <v>410</v>
      </c>
      <c r="B133" s="320"/>
      <c r="C133" s="319"/>
      <c r="D133" s="319"/>
      <c r="E133" s="319"/>
      <c r="F133" s="320"/>
      <c r="G133" s="320"/>
      <c r="H133" s="321"/>
      <c r="I133" s="321"/>
      <c r="J133" s="321"/>
      <c r="K133"/>
      <c r="L133" s="100"/>
      <c r="M133" s="101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1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1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1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1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1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1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1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8"/>
      <c r="L147" s="100"/>
    </row>
    <row r="148" spans="1:12" ht="30" customHeight="1" x14ac:dyDescent="0.35">
      <c r="B148" s="58"/>
      <c r="L148" s="100"/>
    </row>
    <row r="149" spans="1:12" ht="30" customHeight="1" x14ac:dyDescent="0.35">
      <c r="B149" s="58"/>
      <c r="L149" s="100"/>
    </row>
    <row r="150" spans="1:12" ht="30" customHeight="1" x14ac:dyDescent="0.35">
      <c r="B150" s="58"/>
      <c r="L150" s="100"/>
    </row>
    <row r="151" spans="1:12" ht="30" customHeight="1" x14ac:dyDescent="0.35">
      <c r="B151" s="58"/>
      <c r="L151" s="100"/>
    </row>
    <row r="152" spans="1:12" ht="30" customHeight="1" x14ac:dyDescent="0.35">
      <c r="B152" s="58"/>
      <c r="L152" s="100"/>
    </row>
    <row r="153" spans="1:12" ht="30" customHeight="1" x14ac:dyDescent="0.35">
      <c r="B153" s="58"/>
      <c r="L153" s="100"/>
    </row>
    <row r="154" spans="1:12" ht="30" customHeight="1" x14ac:dyDescent="0.35">
      <c r="B154" s="58"/>
      <c r="L154" s="100"/>
    </row>
    <row r="155" spans="1:12" ht="30" customHeight="1" x14ac:dyDescent="0.35">
      <c r="B155" s="58"/>
      <c r="L155" s="100"/>
    </row>
    <row r="156" spans="1:12" ht="30" customHeight="1" x14ac:dyDescent="0.35">
      <c r="B156" s="58"/>
      <c r="L156" s="100"/>
    </row>
    <row r="157" spans="1:12" ht="11.7" x14ac:dyDescent="0.35">
      <c r="B157" s="58"/>
      <c r="L157" s="100"/>
    </row>
    <row r="158" spans="1:12" ht="11.7" x14ac:dyDescent="0.35">
      <c r="B158" s="58"/>
      <c r="L158" s="100"/>
    </row>
    <row r="159" spans="1:12" ht="11.7" x14ac:dyDescent="0.35">
      <c r="B159" s="58"/>
      <c r="L159" s="100"/>
    </row>
    <row r="160" spans="1:12" ht="11.7" x14ac:dyDescent="0.35">
      <c r="B160" s="58"/>
      <c r="L160" s="100"/>
    </row>
    <row r="161" spans="2:12" ht="11.7" x14ac:dyDescent="0.35">
      <c r="B161" s="58"/>
      <c r="L161" s="100"/>
    </row>
    <row r="162" spans="2:12" ht="12.65" customHeight="1" x14ac:dyDescent="0.35">
      <c r="B162" s="58"/>
      <c r="L162" s="100"/>
    </row>
    <row r="163" spans="2:12" ht="12.65" customHeight="1" x14ac:dyDescent="0.35">
      <c r="B163" s="58"/>
      <c r="L163" s="100"/>
    </row>
    <row r="164" spans="2:12" ht="12.65" customHeight="1" x14ac:dyDescent="0.35">
      <c r="B164" s="58"/>
      <c r="L164" s="100" t="str">
        <f t="shared" ref="L164:L169" si="3">IF(C23=0,"D","")</f>
        <v>D</v>
      </c>
    </row>
    <row r="165" spans="2:12" ht="12.65" customHeight="1" x14ac:dyDescent="0.35">
      <c r="B165" s="58"/>
      <c r="L165" s="100" t="str">
        <f t="shared" si="3"/>
        <v>D</v>
      </c>
    </row>
    <row r="166" spans="2:12" ht="12.65" customHeight="1" x14ac:dyDescent="0.35">
      <c r="B166" s="58"/>
      <c r="L166" s="100" t="str">
        <f t="shared" si="3"/>
        <v>D</v>
      </c>
    </row>
    <row r="167" spans="2:12" ht="12.65" customHeight="1" x14ac:dyDescent="0.35">
      <c r="B167" s="58"/>
      <c r="L167" s="100" t="str">
        <f t="shared" si="3"/>
        <v>D</v>
      </c>
    </row>
    <row r="168" spans="2:12" ht="12.65" customHeight="1" x14ac:dyDescent="0.35">
      <c r="B168" s="58"/>
      <c r="L168" s="100" t="str">
        <f t="shared" si="3"/>
        <v/>
      </c>
    </row>
    <row r="169" spans="2:12" ht="12.65" customHeight="1" x14ac:dyDescent="0.35">
      <c r="B169" s="58"/>
      <c r="L169" s="100" t="str">
        <f t="shared" si="3"/>
        <v/>
      </c>
    </row>
    <row r="170" spans="2:12" ht="12.65" customHeight="1" x14ac:dyDescent="0.35">
      <c r="B170" s="58"/>
      <c r="L170" s="100"/>
    </row>
    <row r="171" spans="2:12" ht="12.65" customHeight="1" x14ac:dyDescent="0.35">
      <c r="B171" s="58"/>
      <c r="L171" s="100"/>
    </row>
    <row r="172" spans="2:12" ht="12.65" customHeight="1" x14ac:dyDescent="0.35">
      <c r="B172" s="58"/>
      <c r="L172" s="100"/>
    </row>
    <row r="173" spans="2:12" ht="12.65" customHeight="1" x14ac:dyDescent="0.35">
      <c r="L173" s="100"/>
    </row>
    <row r="174" spans="2:12" ht="12.65" customHeight="1" x14ac:dyDescent="0.35">
      <c r="L174" s="100"/>
    </row>
    <row r="175" spans="2:12" ht="12.65" customHeight="1" x14ac:dyDescent="0.35">
      <c r="L175" s="100"/>
    </row>
    <row r="176" spans="2:12" ht="12.65" customHeight="1" x14ac:dyDescent="0.35">
      <c r="L176" s="100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qqD8SG5jSTGBjglDb/3OAEBVK+zETI2KgbdMUAYF4PtHIxI6hirYc5yUdzXKofA8rWYis2hA/C65aelasCpFMw==" saltValue="P7+m7mpmpAHCZmLvUKnFKg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1180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879</v>
      </c>
      <c r="H1" t="s">
        <v>413</v>
      </c>
      <c r="I1" t="s">
        <v>1112</v>
      </c>
      <c r="J1" t="s">
        <v>634</v>
      </c>
      <c r="K1" t="s">
        <v>1131</v>
      </c>
      <c r="L1" t="s">
        <v>414</v>
      </c>
      <c r="M1" t="s">
        <v>1360</v>
      </c>
      <c r="N1" t="s">
        <v>994</v>
      </c>
      <c r="O1" t="s">
        <v>865</v>
      </c>
      <c r="P1" t="s">
        <v>866</v>
      </c>
      <c r="Q1" t="s">
        <v>354</v>
      </c>
      <c r="R1" t="s">
        <v>635</v>
      </c>
      <c r="S1" t="s">
        <v>704</v>
      </c>
      <c r="T1" t="s">
        <v>705</v>
      </c>
      <c r="U1" t="s">
        <v>868</v>
      </c>
      <c r="V1" t="s">
        <v>1133</v>
      </c>
      <c r="W1" t="s">
        <v>1134</v>
      </c>
      <c r="X1" t="s">
        <v>1135</v>
      </c>
      <c r="Y1" t="s">
        <v>706</v>
      </c>
      <c r="Z1" t="s">
        <v>707</v>
      </c>
      <c r="AA1" t="s">
        <v>708</v>
      </c>
      <c r="AB1" t="s">
        <v>1136</v>
      </c>
      <c r="AC1" t="s">
        <v>950</v>
      </c>
      <c r="AD1" t="s">
        <v>1120</v>
      </c>
      <c r="AE1" t="s">
        <v>1121</v>
      </c>
      <c r="AF1" t="s">
        <v>1122</v>
      </c>
      <c r="AG1" t="s">
        <v>1123</v>
      </c>
      <c r="AH1" t="s">
        <v>625</v>
      </c>
      <c r="AI1" t="s">
        <v>1124</v>
      </c>
      <c r="AJ1" t="s">
        <v>1125</v>
      </c>
      <c r="AK1" t="s">
        <v>1126</v>
      </c>
      <c r="AL1" t="s">
        <v>1127</v>
      </c>
      <c r="AM1" t="s">
        <v>1128</v>
      </c>
      <c r="AN1" t="s">
        <v>1129</v>
      </c>
      <c r="AO1" t="s">
        <v>1130</v>
      </c>
      <c r="AP1" t="s">
        <v>1090</v>
      </c>
      <c r="AQ1" t="s">
        <v>1403</v>
      </c>
    </row>
    <row r="2" spans="1:43" x14ac:dyDescent="0.35">
      <c r="B2" s="42">
        <f ca="1">TODAY()</f>
        <v>42192</v>
      </c>
      <c r="C2" s="42">
        <v>41363</v>
      </c>
      <c r="D2" t="s">
        <v>859</v>
      </c>
      <c r="E2" t="s">
        <v>860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1089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9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859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1185</v>
      </c>
      <c r="B9">
        <v>10</v>
      </c>
    </row>
    <row r="10" spans="1:2 4305:4305" x14ac:dyDescent="0.35">
      <c r="A10" t="s">
        <v>1375</v>
      </c>
      <c r="B10">
        <v>10</v>
      </c>
    </row>
    <row r="11" spans="1:2 4305:4305" x14ac:dyDescent="0.35">
      <c r="A11" t="s">
        <v>1368</v>
      </c>
    </row>
    <row r="12" spans="1:2 4305:4305" x14ac:dyDescent="0.35">
      <c r="A12" t="s">
        <v>1369</v>
      </c>
      <c r="B12">
        <v>5</v>
      </c>
    </row>
    <row r="13" spans="1:2 4305:4305" x14ac:dyDescent="0.35">
      <c r="A13" t="s">
        <v>1370</v>
      </c>
    </row>
    <row r="14" spans="1:2 4305:4305" x14ac:dyDescent="0.35">
      <c r="A14" t="s">
        <v>1186</v>
      </c>
      <c r="B14">
        <v>1</v>
      </c>
    </row>
    <row r="15" spans="1:2 4305:4305" x14ac:dyDescent="0.35">
      <c r="A15" t="s">
        <v>1371</v>
      </c>
    </row>
    <row r="16" spans="1:2 4305:4305" x14ac:dyDescent="0.35">
      <c r="A16" t="s">
        <v>1372</v>
      </c>
      <c r="B16">
        <v>50</v>
      </c>
    </row>
    <row r="17" spans="1:2" x14ac:dyDescent="0.35">
      <c r="A17" t="s">
        <v>1373</v>
      </c>
      <c r="B17">
        <v>5</v>
      </c>
    </row>
    <row r="18" spans="1:2" x14ac:dyDescent="0.35">
      <c r="A18" t="s">
        <v>1374</v>
      </c>
      <c r="B18">
        <v>500</v>
      </c>
    </row>
    <row r="19" spans="1:2" x14ac:dyDescent="0.35">
      <c r="A19" t="s">
        <v>1187</v>
      </c>
      <c r="B19">
        <v>10</v>
      </c>
    </row>
    <row r="20" spans="1:2" x14ac:dyDescent="0.35">
      <c r="A20" t="s">
        <v>1188</v>
      </c>
      <c r="B20">
        <v>50</v>
      </c>
    </row>
    <row r="21" spans="1:2" x14ac:dyDescent="0.35">
      <c r="A21" t="s">
        <v>1189</v>
      </c>
      <c r="B21">
        <v>150</v>
      </c>
    </row>
    <row r="22" spans="1:2" x14ac:dyDescent="0.35">
      <c r="A22" t="s">
        <v>1190</v>
      </c>
      <c r="B22">
        <v>2500</v>
      </c>
    </row>
    <row r="23" spans="1:2" x14ac:dyDescent="0.35">
      <c r="A23" t="s">
        <v>1191</v>
      </c>
      <c r="B23">
        <v>200</v>
      </c>
    </row>
    <row r="24" spans="1:2" x14ac:dyDescent="0.35">
      <c r="A24" t="s">
        <v>1192</v>
      </c>
      <c r="B24">
        <v>50</v>
      </c>
    </row>
    <row r="25" spans="1:2" x14ac:dyDescent="0.35">
      <c r="A25" t="s">
        <v>1193</v>
      </c>
      <c r="B25">
        <v>100</v>
      </c>
    </row>
    <row r="26" spans="1:2" x14ac:dyDescent="0.35">
      <c r="A26" t="s">
        <v>867</v>
      </c>
      <c r="B26">
        <v>1</v>
      </c>
    </row>
    <row r="27" spans="1:2" x14ac:dyDescent="0.35">
      <c r="A27" t="s">
        <v>354</v>
      </c>
      <c r="B27" t="s">
        <v>1089</v>
      </c>
    </row>
    <row r="28" spans="1:2" x14ac:dyDescent="0.35">
      <c r="A28" t="s">
        <v>1153</v>
      </c>
      <c r="B28" t="b">
        <v>0</v>
      </c>
    </row>
    <row r="29" spans="1:2" x14ac:dyDescent="0.35">
      <c r="A29" t="s">
        <v>1154</v>
      </c>
    </row>
    <row r="30" spans="1:2" x14ac:dyDescent="0.35">
      <c r="A30" t="s">
        <v>625</v>
      </c>
    </row>
    <row r="31" spans="1:2" x14ac:dyDescent="0.35">
      <c r="A31" t="s">
        <v>870</v>
      </c>
      <c r="B31" t="b">
        <v>1</v>
      </c>
    </row>
    <row r="32" spans="1:2" x14ac:dyDescent="0.35">
      <c r="A32" t="s">
        <v>1229</v>
      </c>
    </row>
    <row r="33" spans="1:1" x14ac:dyDescent="0.35">
      <c r="A33" t="s">
        <v>1092</v>
      </c>
    </row>
    <row r="34" spans="1:1" x14ac:dyDescent="0.35">
      <c r="A34" t="s">
        <v>1093</v>
      </c>
    </row>
    <row r="35" spans="1:1" x14ac:dyDescent="0.35">
      <c r="A35" t="s">
        <v>1094</v>
      </c>
    </row>
    <row r="36" spans="1:1" x14ac:dyDescent="0.35">
      <c r="A36" t="s">
        <v>1095</v>
      </c>
    </row>
    <row r="37" spans="1:1" x14ac:dyDescent="0.35">
      <c r="A37" t="s">
        <v>1118</v>
      </c>
    </row>
    <row r="38" spans="1:1" x14ac:dyDescent="0.35">
      <c r="A38" t="s">
        <v>1119</v>
      </c>
    </row>
    <row r="39" spans="1:1" x14ac:dyDescent="0.35">
      <c r="A39" t="s">
        <v>1150</v>
      </c>
    </row>
    <row r="40" spans="1:1" x14ac:dyDescent="0.35">
      <c r="A40" t="s">
        <v>1151</v>
      </c>
    </row>
    <row r="41" spans="1:1" x14ac:dyDescent="0.35">
      <c r="A41" t="s">
        <v>1152</v>
      </c>
    </row>
    <row r="42" spans="1:1" x14ac:dyDescent="0.35">
      <c r="A42" t="s">
        <v>1123</v>
      </c>
    </row>
    <row r="43" spans="1:1" x14ac:dyDescent="0.35">
      <c r="A43" t="s">
        <v>1128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1059</v>
      </c>
    </row>
    <row r="51" spans="1:2" x14ac:dyDescent="0.35">
      <c r="A51" t="s">
        <v>1060</v>
      </c>
    </row>
    <row r="52" spans="1:2" x14ac:dyDescent="0.35">
      <c r="A52" t="s">
        <v>1061</v>
      </c>
    </row>
    <row r="53" spans="1:2" x14ac:dyDescent="0.35">
      <c r="A53" t="s">
        <v>1062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1120</v>
      </c>
      <c r="B64">
        <v>30</v>
      </c>
    </row>
    <row r="65" spans="1:2" x14ac:dyDescent="0.35">
      <c r="A65" t="s">
        <v>1127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879</v>
      </c>
      <c r="B92">
        <v>100</v>
      </c>
    </row>
    <row r="93" spans="1:2" x14ac:dyDescent="0.35">
      <c r="A93" t="s">
        <v>866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1160</v>
      </c>
      <c r="B99">
        <v>1</v>
      </c>
    </row>
    <row r="100" spans="1:2" x14ac:dyDescent="0.35">
      <c r="A100" t="s">
        <v>1126</v>
      </c>
    </row>
    <row r="101" spans="1:2" x14ac:dyDescent="0.35">
      <c r="A101" t="s">
        <v>1161</v>
      </c>
      <c r="B101">
        <v>5</v>
      </c>
    </row>
    <row r="102" spans="1:2" x14ac:dyDescent="0.35">
      <c r="A102" t="s">
        <v>1162</v>
      </c>
      <c r="B102">
        <v>20</v>
      </c>
    </row>
    <row r="103" spans="1:2" x14ac:dyDescent="0.35">
      <c r="A103" t="s">
        <v>1163</v>
      </c>
      <c r="B103">
        <v>15</v>
      </c>
    </row>
    <row r="104" spans="1:2" x14ac:dyDescent="0.35">
      <c r="A104" t="s">
        <v>1164</v>
      </c>
      <c r="B104">
        <v>10</v>
      </c>
    </row>
    <row r="105" spans="1:2" x14ac:dyDescent="0.35">
      <c r="A105" t="s">
        <v>1165</v>
      </c>
      <c r="B105">
        <v>10</v>
      </c>
    </row>
    <row r="106" spans="1:2" x14ac:dyDescent="0.35">
      <c r="A106" t="s">
        <v>852</v>
      </c>
      <c r="B106">
        <v>10</v>
      </c>
    </row>
    <row r="107" spans="1:2" x14ac:dyDescent="0.35">
      <c r="A107" t="s">
        <v>853</v>
      </c>
      <c r="B107">
        <v>30</v>
      </c>
    </row>
    <row r="108" spans="1:2" x14ac:dyDescent="0.35">
      <c r="A108" t="s">
        <v>854</v>
      </c>
      <c r="B108">
        <v>250</v>
      </c>
    </row>
    <row r="109" spans="1:2" x14ac:dyDescent="0.35">
      <c r="A109" t="s">
        <v>1409</v>
      </c>
    </row>
    <row r="110" spans="1:2" x14ac:dyDescent="0.35">
      <c r="A110" t="s">
        <v>1410</v>
      </c>
      <c r="B110">
        <v>10</v>
      </c>
    </row>
    <row r="111" spans="1:2" x14ac:dyDescent="0.35">
      <c r="A111" t="s">
        <v>1411</v>
      </c>
    </row>
    <row r="112" spans="1:2" x14ac:dyDescent="0.35">
      <c r="A112" t="s">
        <v>1166</v>
      </c>
      <c r="B112">
        <v>10</v>
      </c>
    </row>
    <row r="113" spans="1:2" x14ac:dyDescent="0.35">
      <c r="A113" t="s">
        <v>1376</v>
      </c>
    </row>
    <row r="114" spans="1:2" x14ac:dyDescent="0.35">
      <c r="A114" t="s">
        <v>1377</v>
      </c>
      <c r="B114">
        <v>6</v>
      </c>
    </row>
    <row r="115" spans="1:2" x14ac:dyDescent="0.35">
      <c r="A115" t="s">
        <v>1407</v>
      </c>
      <c r="B115">
        <v>2</v>
      </c>
    </row>
    <row r="116" spans="1:2" x14ac:dyDescent="0.35">
      <c r="A116" t="s">
        <v>1408</v>
      </c>
      <c r="B116">
        <v>70</v>
      </c>
    </row>
    <row r="117" spans="1:2" x14ac:dyDescent="0.35">
      <c r="A117" t="s">
        <v>1167</v>
      </c>
      <c r="B117">
        <v>5</v>
      </c>
    </row>
    <row r="118" spans="1:2" x14ac:dyDescent="0.35">
      <c r="A118" t="s">
        <v>1168</v>
      </c>
      <c r="B118">
        <v>25</v>
      </c>
    </row>
    <row r="119" spans="1:2" x14ac:dyDescent="0.35">
      <c r="A119" t="s">
        <v>1169</v>
      </c>
      <c r="B119">
        <v>100</v>
      </c>
    </row>
    <row r="120" spans="1:2" x14ac:dyDescent="0.35">
      <c r="A120" t="s">
        <v>1170</v>
      </c>
      <c r="B120">
        <v>10</v>
      </c>
    </row>
    <row r="121" spans="1:2" x14ac:dyDescent="0.35">
      <c r="A121" t="s">
        <v>1171</v>
      </c>
      <c r="B121">
        <v>5</v>
      </c>
    </row>
    <row r="122" spans="1:2" x14ac:dyDescent="0.35">
      <c r="A122" t="s">
        <v>1172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1279</v>
      </c>
      <c r="B124">
        <v>10</v>
      </c>
    </row>
    <row r="125" spans="1:2" x14ac:dyDescent="0.35">
      <c r="A125" t="s">
        <v>1280</v>
      </c>
      <c r="B125">
        <v>10</v>
      </c>
    </row>
    <row r="126" spans="1:2" x14ac:dyDescent="0.35">
      <c r="A126" t="s">
        <v>1281</v>
      </c>
      <c r="B126">
        <v>10</v>
      </c>
    </row>
    <row r="127" spans="1:2" x14ac:dyDescent="0.35">
      <c r="A127" t="s">
        <v>1282</v>
      </c>
      <c r="B127">
        <v>10</v>
      </c>
    </row>
    <row r="128" spans="1:2" x14ac:dyDescent="0.35">
      <c r="A128" t="s">
        <v>1283</v>
      </c>
      <c r="B128">
        <v>10</v>
      </c>
    </row>
    <row r="129" spans="1:2" x14ac:dyDescent="0.35">
      <c r="A129" t="s">
        <v>1006</v>
      </c>
      <c r="B129">
        <v>10</v>
      </c>
    </row>
    <row r="130" spans="1:2" x14ac:dyDescent="0.35">
      <c r="A130" t="s">
        <v>1007</v>
      </c>
      <c r="B130">
        <v>10</v>
      </c>
    </row>
    <row r="131" spans="1:2" x14ac:dyDescent="0.35">
      <c r="A131" t="s">
        <v>851</v>
      </c>
      <c r="B131">
        <v>10</v>
      </c>
    </row>
    <row r="132" spans="1:2" x14ac:dyDescent="0.35">
      <c r="A132" t="s">
        <v>1416</v>
      </c>
    </row>
    <row r="133" spans="1:2" x14ac:dyDescent="0.35">
      <c r="A133" t="s">
        <v>1417</v>
      </c>
      <c r="B133">
        <v>10</v>
      </c>
    </row>
    <row r="134" spans="1:2" x14ac:dyDescent="0.35">
      <c r="A134" t="s">
        <v>1418</v>
      </c>
    </row>
    <row r="135" spans="1:2" x14ac:dyDescent="0.35">
      <c r="A135" t="s">
        <v>1284</v>
      </c>
      <c r="B135">
        <v>10</v>
      </c>
    </row>
    <row r="136" spans="1:2" x14ac:dyDescent="0.35">
      <c r="A136" t="s">
        <v>1412</v>
      </c>
    </row>
    <row r="137" spans="1:2" x14ac:dyDescent="0.35">
      <c r="A137" t="s">
        <v>1413</v>
      </c>
      <c r="B137">
        <v>10</v>
      </c>
    </row>
    <row r="138" spans="1:2" x14ac:dyDescent="0.35">
      <c r="A138" t="s">
        <v>1414</v>
      </c>
      <c r="B138">
        <v>10</v>
      </c>
    </row>
    <row r="139" spans="1:2" x14ac:dyDescent="0.35">
      <c r="A139" t="s">
        <v>1415</v>
      </c>
      <c r="B139">
        <v>10</v>
      </c>
    </row>
    <row r="140" spans="1:2" x14ac:dyDescent="0.35">
      <c r="A140" t="s">
        <v>1285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1008</v>
      </c>
      <c r="B143">
        <v>10</v>
      </c>
    </row>
    <row r="144" spans="1:2" x14ac:dyDescent="0.35">
      <c r="A144" t="s">
        <v>1009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1109</v>
      </c>
    </row>
    <row r="149" spans="1:2" x14ac:dyDescent="0.35">
      <c r="A149" t="s">
        <v>429</v>
      </c>
    </row>
    <row r="150" spans="1:2" x14ac:dyDescent="0.35">
      <c r="A150" t="s">
        <v>1110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976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1194</v>
      </c>
    </row>
    <row r="158" spans="1:2" x14ac:dyDescent="0.35">
      <c r="A158" t="s">
        <v>1202</v>
      </c>
    </row>
    <row r="159" spans="1:2" x14ac:dyDescent="0.35">
      <c r="A159" t="s">
        <v>1203</v>
      </c>
    </row>
    <row r="160" spans="1:2" x14ac:dyDescent="0.35">
      <c r="A160" t="s">
        <v>452</v>
      </c>
    </row>
    <row r="161" spans="1:1" x14ac:dyDescent="0.35">
      <c r="A161" t="s">
        <v>453</v>
      </c>
    </row>
    <row r="162" spans="1:1" x14ac:dyDescent="0.35">
      <c r="A162" t="s">
        <v>454</v>
      </c>
    </row>
    <row r="163" spans="1:1" x14ac:dyDescent="0.35">
      <c r="A163" t="s">
        <v>455</v>
      </c>
    </row>
    <row r="164" spans="1:1" x14ac:dyDescent="0.35">
      <c r="A164" t="s">
        <v>923</v>
      </c>
    </row>
    <row r="165" spans="1:1" x14ac:dyDescent="0.35">
      <c r="A165" t="s">
        <v>924</v>
      </c>
    </row>
    <row r="166" spans="1:1" x14ac:dyDescent="0.35">
      <c r="A166" t="s">
        <v>1195</v>
      </c>
    </row>
    <row r="167" spans="1:1" x14ac:dyDescent="0.35">
      <c r="A167" t="s">
        <v>1196</v>
      </c>
    </row>
    <row r="168" spans="1:1" x14ac:dyDescent="0.35">
      <c r="A168" t="s">
        <v>1197</v>
      </c>
    </row>
    <row r="169" spans="1:1" x14ac:dyDescent="0.35">
      <c r="A169" t="s">
        <v>1198</v>
      </c>
    </row>
    <row r="170" spans="1:1" x14ac:dyDescent="0.35">
      <c r="A170" t="s">
        <v>1199</v>
      </c>
    </row>
    <row r="171" spans="1:1" x14ac:dyDescent="0.35">
      <c r="A171" t="s">
        <v>1200</v>
      </c>
    </row>
    <row r="172" spans="1:1" x14ac:dyDescent="0.35">
      <c r="A172" t="s">
        <v>1201</v>
      </c>
    </row>
    <row r="173" spans="1:1" x14ac:dyDescent="0.35">
      <c r="A173" t="s">
        <v>333</v>
      </c>
    </row>
    <row r="174" spans="1:1" x14ac:dyDescent="0.35">
      <c r="A174" t="s">
        <v>334</v>
      </c>
    </row>
    <row r="175" spans="1:1" x14ac:dyDescent="0.35">
      <c r="A175" t="s">
        <v>335</v>
      </c>
    </row>
    <row r="176" spans="1:1" x14ac:dyDescent="0.35">
      <c r="A176" t="s">
        <v>336</v>
      </c>
    </row>
    <row r="177" spans="1:1" x14ac:dyDescent="0.35">
      <c r="A177" t="s">
        <v>337</v>
      </c>
    </row>
    <row r="178" spans="1:1" x14ac:dyDescent="0.35">
      <c r="A178" t="s">
        <v>338</v>
      </c>
    </row>
    <row r="179" spans="1:1" x14ac:dyDescent="0.35">
      <c r="A179" t="s">
        <v>339</v>
      </c>
    </row>
    <row r="180" spans="1:1" x14ac:dyDescent="0.35">
      <c r="A180" t="s">
        <v>340</v>
      </c>
    </row>
    <row r="181" spans="1:1" x14ac:dyDescent="0.35">
      <c r="A181" t="s">
        <v>341</v>
      </c>
    </row>
    <row r="182" spans="1:1" x14ac:dyDescent="0.35">
      <c r="A182" t="s">
        <v>342</v>
      </c>
    </row>
    <row r="183" spans="1:1" x14ac:dyDescent="0.35">
      <c r="A183" t="s">
        <v>343</v>
      </c>
    </row>
    <row r="184" spans="1:1" x14ac:dyDescent="0.35">
      <c r="A184" t="s">
        <v>344</v>
      </c>
    </row>
    <row r="185" spans="1:1" x14ac:dyDescent="0.35">
      <c r="A185" t="s">
        <v>345</v>
      </c>
    </row>
    <row r="186" spans="1:1" x14ac:dyDescent="0.35">
      <c r="A186" t="s">
        <v>346</v>
      </c>
    </row>
    <row r="187" spans="1:1" x14ac:dyDescent="0.35">
      <c r="A187" t="s">
        <v>347</v>
      </c>
    </row>
    <row r="188" spans="1:1" x14ac:dyDescent="0.35">
      <c r="A188" t="s">
        <v>348</v>
      </c>
    </row>
    <row r="189" spans="1:1" x14ac:dyDescent="0.35">
      <c r="A189" t="s">
        <v>784</v>
      </c>
    </row>
    <row r="190" spans="1:1" x14ac:dyDescent="0.35">
      <c r="A190" t="s">
        <v>785</v>
      </c>
    </row>
    <row r="191" spans="1:1" x14ac:dyDescent="0.35">
      <c r="A191" t="s">
        <v>786</v>
      </c>
    </row>
    <row r="192" spans="1:1" x14ac:dyDescent="0.35">
      <c r="A192" t="s">
        <v>787</v>
      </c>
    </row>
    <row r="193" spans="1:1" x14ac:dyDescent="0.35">
      <c r="A193" t="s">
        <v>788</v>
      </c>
    </row>
    <row r="194" spans="1:1" x14ac:dyDescent="0.35">
      <c r="A194" t="s">
        <v>789</v>
      </c>
    </row>
    <row r="195" spans="1:1" x14ac:dyDescent="0.35">
      <c r="A195" t="s">
        <v>790</v>
      </c>
    </row>
    <row r="196" spans="1:1" x14ac:dyDescent="0.35">
      <c r="A196" t="s">
        <v>791</v>
      </c>
    </row>
    <row r="197" spans="1:1" x14ac:dyDescent="0.35">
      <c r="A197" t="s">
        <v>792</v>
      </c>
    </row>
    <row r="198" spans="1:1" x14ac:dyDescent="0.35">
      <c r="A198" t="s">
        <v>793</v>
      </c>
    </row>
    <row r="199" spans="1:1" x14ac:dyDescent="0.35">
      <c r="A199" t="s">
        <v>794</v>
      </c>
    </row>
    <row r="200" spans="1:1" x14ac:dyDescent="0.35">
      <c r="A200" t="s">
        <v>795</v>
      </c>
    </row>
    <row r="201" spans="1:1" x14ac:dyDescent="0.35">
      <c r="A201" t="s">
        <v>796</v>
      </c>
    </row>
    <row r="202" spans="1:1" x14ac:dyDescent="0.35">
      <c r="A202" t="s">
        <v>797</v>
      </c>
    </row>
    <row r="203" spans="1:1" x14ac:dyDescent="0.35">
      <c r="A203" t="s">
        <v>798</v>
      </c>
    </row>
    <row r="204" spans="1:1" x14ac:dyDescent="0.35">
      <c r="A204" t="s">
        <v>799</v>
      </c>
    </row>
    <row r="205" spans="1:1" x14ac:dyDescent="0.35">
      <c r="A205" t="s">
        <v>800</v>
      </c>
    </row>
    <row r="206" spans="1:1" x14ac:dyDescent="0.35">
      <c r="A206" t="s">
        <v>801</v>
      </c>
    </row>
    <row r="207" spans="1:1" x14ac:dyDescent="0.35">
      <c r="A207" t="s">
        <v>802</v>
      </c>
    </row>
    <row r="208" spans="1:1" x14ac:dyDescent="0.35">
      <c r="A208" t="s">
        <v>803</v>
      </c>
    </row>
    <row r="209" spans="1:1" x14ac:dyDescent="0.35">
      <c r="A209" t="s">
        <v>804</v>
      </c>
    </row>
    <row r="210" spans="1:1" x14ac:dyDescent="0.35">
      <c r="A210" t="s">
        <v>805</v>
      </c>
    </row>
    <row r="211" spans="1:1" x14ac:dyDescent="0.35">
      <c r="A211" t="s">
        <v>806</v>
      </c>
    </row>
    <row r="212" spans="1:1" x14ac:dyDescent="0.35">
      <c r="A212" t="s">
        <v>807</v>
      </c>
    </row>
    <row r="213" spans="1:1" x14ac:dyDescent="0.35">
      <c r="A213" t="s">
        <v>808</v>
      </c>
    </row>
    <row r="214" spans="1:1" x14ac:dyDescent="0.35">
      <c r="A214" t="s">
        <v>809</v>
      </c>
    </row>
    <row r="215" spans="1:1" x14ac:dyDescent="0.35">
      <c r="A215" t="s">
        <v>810</v>
      </c>
    </row>
    <row r="216" spans="1:1" x14ac:dyDescent="0.35">
      <c r="A216" t="s">
        <v>811</v>
      </c>
    </row>
    <row r="217" spans="1:1" x14ac:dyDescent="0.35">
      <c r="A217" t="s">
        <v>812</v>
      </c>
    </row>
    <row r="218" spans="1:1" x14ac:dyDescent="0.35">
      <c r="A218" t="s">
        <v>813</v>
      </c>
    </row>
    <row r="219" spans="1:1" x14ac:dyDescent="0.35">
      <c r="A219" t="s">
        <v>814</v>
      </c>
    </row>
    <row r="220" spans="1:1" x14ac:dyDescent="0.35">
      <c r="A220" t="s">
        <v>815</v>
      </c>
    </row>
    <row r="221" spans="1:1" x14ac:dyDescent="0.35">
      <c r="A221" t="s">
        <v>816</v>
      </c>
    </row>
    <row r="222" spans="1:1" x14ac:dyDescent="0.35">
      <c r="A222" t="s">
        <v>817</v>
      </c>
    </row>
    <row r="223" spans="1:1" x14ac:dyDescent="0.35">
      <c r="A223" t="s">
        <v>818</v>
      </c>
    </row>
    <row r="224" spans="1:1" x14ac:dyDescent="0.35">
      <c r="A224" t="s">
        <v>819</v>
      </c>
    </row>
    <row r="225" spans="1:1" x14ac:dyDescent="0.35">
      <c r="A225" t="s">
        <v>820</v>
      </c>
    </row>
    <row r="226" spans="1:1" x14ac:dyDescent="0.35">
      <c r="A226" t="s">
        <v>821</v>
      </c>
    </row>
    <row r="227" spans="1:1" x14ac:dyDescent="0.35">
      <c r="A227" t="s">
        <v>822</v>
      </c>
    </row>
    <row r="228" spans="1:1" x14ac:dyDescent="0.35">
      <c r="A228" t="s">
        <v>823</v>
      </c>
    </row>
    <row r="229" spans="1:1" x14ac:dyDescent="0.35">
      <c r="A229" t="s">
        <v>824</v>
      </c>
    </row>
    <row r="230" spans="1:1" x14ac:dyDescent="0.35">
      <c r="A230" t="s">
        <v>825</v>
      </c>
    </row>
    <row r="231" spans="1:1" x14ac:dyDescent="0.35">
      <c r="A231" t="s">
        <v>826</v>
      </c>
    </row>
    <row r="232" spans="1:1" x14ac:dyDescent="0.35">
      <c r="A232" t="s">
        <v>827</v>
      </c>
    </row>
    <row r="233" spans="1:1" x14ac:dyDescent="0.35">
      <c r="A233" t="s">
        <v>828</v>
      </c>
    </row>
    <row r="234" spans="1:1" x14ac:dyDescent="0.35">
      <c r="A234" t="s">
        <v>829</v>
      </c>
    </row>
    <row r="235" spans="1:1" x14ac:dyDescent="0.35">
      <c r="A235" t="s">
        <v>830</v>
      </c>
    </row>
    <row r="236" spans="1:1" x14ac:dyDescent="0.35">
      <c r="A236" t="s">
        <v>831</v>
      </c>
    </row>
    <row r="237" spans="1:1" x14ac:dyDescent="0.35">
      <c r="A237" t="s">
        <v>832</v>
      </c>
    </row>
    <row r="238" spans="1:1" x14ac:dyDescent="0.35">
      <c r="A238" t="s">
        <v>833</v>
      </c>
    </row>
    <row r="239" spans="1:1" x14ac:dyDescent="0.35">
      <c r="A239" t="s">
        <v>834</v>
      </c>
    </row>
    <row r="240" spans="1:1" x14ac:dyDescent="0.35">
      <c r="A240" t="s">
        <v>835</v>
      </c>
    </row>
    <row r="241" spans="1:1" x14ac:dyDescent="0.35">
      <c r="A241" t="s">
        <v>836</v>
      </c>
    </row>
    <row r="242" spans="1:1" x14ac:dyDescent="0.35">
      <c r="A242" t="s">
        <v>837</v>
      </c>
    </row>
    <row r="243" spans="1:1" x14ac:dyDescent="0.35">
      <c r="A243" t="s">
        <v>838</v>
      </c>
    </row>
    <row r="244" spans="1:1" x14ac:dyDescent="0.35">
      <c r="A244" t="s">
        <v>839</v>
      </c>
    </row>
    <row r="245" spans="1:1" x14ac:dyDescent="0.35">
      <c r="A245" t="s">
        <v>840</v>
      </c>
    </row>
    <row r="246" spans="1:1" x14ac:dyDescent="0.35">
      <c r="A246" t="s">
        <v>841</v>
      </c>
    </row>
    <row r="247" spans="1:1" x14ac:dyDescent="0.35">
      <c r="A247" t="s">
        <v>842</v>
      </c>
    </row>
    <row r="248" spans="1:1" x14ac:dyDescent="0.35">
      <c r="A248" t="s">
        <v>843</v>
      </c>
    </row>
    <row r="249" spans="1:1" x14ac:dyDescent="0.35">
      <c r="A249" t="s">
        <v>844</v>
      </c>
    </row>
    <row r="250" spans="1:1" x14ac:dyDescent="0.35">
      <c r="A250" t="s">
        <v>845</v>
      </c>
    </row>
    <row r="251" spans="1:1" x14ac:dyDescent="0.35">
      <c r="A251" t="s">
        <v>846</v>
      </c>
    </row>
    <row r="252" spans="1:1" x14ac:dyDescent="0.35">
      <c r="A252" t="s">
        <v>847</v>
      </c>
    </row>
    <row r="253" spans="1:1" x14ac:dyDescent="0.35">
      <c r="A253" t="s">
        <v>848</v>
      </c>
    </row>
    <row r="254" spans="1:1" x14ac:dyDescent="0.35">
      <c r="A254" t="s">
        <v>849</v>
      </c>
    </row>
    <row r="255" spans="1:1" x14ac:dyDescent="0.35">
      <c r="A255" t="s">
        <v>850</v>
      </c>
    </row>
    <row r="256" spans="1:1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1068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1069</v>
      </c>
    </row>
    <row r="275" spans="1:1" x14ac:dyDescent="0.35">
      <c r="A275" t="s">
        <v>1070</v>
      </c>
    </row>
    <row r="276" spans="1:1" x14ac:dyDescent="0.35">
      <c r="A276" t="s">
        <v>1071</v>
      </c>
    </row>
    <row r="277" spans="1:1" x14ac:dyDescent="0.35">
      <c r="A277" t="s">
        <v>1072</v>
      </c>
    </row>
    <row r="278" spans="1:1" x14ac:dyDescent="0.35">
      <c r="A278" t="s">
        <v>1073</v>
      </c>
    </row>
    <row r="279" spans="1:1" x14ac:dyDescent="0.35">
      <c r="A279" t="s">
        <v>1074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716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717</v>
      </c>
    </row>
    <row r="338" spans="1:2" x14ac:dyDescent="0.35">
      <c r="A338" t="s">
        <v>718</v>
      </c>
    </row>
    <row r="339" spans="1:2" x14ac:dyDescent="0.35">
      <c r="A339" t="s">
        <v>719</v>
      </c>
    </row>
    <row r="340" spans="1:2" x14ac:dyDescent="0.35">
      <c r="A340" t="s">
        <v>720</v>
      </c>
    </row>
    <row r="341" spans="1:2" x14ac:dyDescent="0.35">
      <c r="A341" t="s">
        <v>721</v>
      </c>
    </row>
    <row r="342" spans="1:2" x14ac:dyDescent="0.35">
      <c r="A342" t="s">
        <v>722</v>
      </c>
    </row>
    <row r="343" spans="1:2" x14ac:dyDescent="0.35">
      <c r="A343" t="s">
        <v>723</v>
      </c>
    </row>
    <row r="344" spans="1:2" x14ac:dyDescent="0.35">
      <c r="A344" t="s">
        <v>724</v>
      </c>
    </row>
    <row r="345" spans="1:2" x14ac:dyDescent="0.35">
      <c r="A345" t="s">
        <v>725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1051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1023</v>
      </c>
    </row>
    <row r="358" spans="1:1" x14ac:dyDescent="0.35">
      <c r="A358" t="s">
        <v>1024</v>
      </c>
    </row>
    <row r="359" spans="1:1" x14ac:dyDescent="0.35">
      <c r="A359" t="s">
        <v>1025</v>
      </c>
    </row>
    <row r="360" spans="1:1" x14ac:dyDescent="0.35">
      <c r="A360" t="s">
        <v>1026</v>
      </c>
    </row>
    <row r="361" spans="1:1" x14ac:dyDescent="0.35">
      <c r="A361" t="s">
        <v>1027</v>
      </c>
    </row>
    <row r="362" spans="1:1" x14ac:dyDescent="0.35">
      <c r="A362" t="s">
        <v>776</v>
      </c>
    </row>
    <row r="363" spans="1:1" x14ac:dyDescent="0.35">
      <c r="A363" t="s">
        <v>777</v>
      </c>
    </row>
    <row r="364" spans="1:1" x14ac:dyDescent="0.35">
      <c r="A364" t="s">
        <v>778</v>
      </c>
    </row>
    <row r="365" spans="1:1" x14ac:dyDescent="0.35">
      <c r="A365" t="s">
        <v>779</v>
      </c>
    </row>
    <row r="366" spans="1:1" x14ac:dyDescent="0.35">
      <c r="A366" t="s">
        <v>917</v>
      </c>
    </row>
    <row r="367" spans="1:1" x14ac:dyDescent="0.35">
      <c r="A367" t="s">
        <v>918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1028</v>
      </c>
    </row>
    <row r="375" spans="1:1" x14ac:dyDescent="0.35">
      <c r="A375" t="s">
        <v>1029</v>
      </c>
    </row>
    <row r="376" spans="1:1" x14ac:dyDescent="0.35">
      <c r="A376" t="s">
        <v>1030</v>
      </c>
    </row>
    <row r="377" spans="1:1" x14ac:dyDescent="0.35">
      <c r="A377" t="s">
        <v>1031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1354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1205</v>
      </c>
    </row>
    <row r="386" spans="1:2" x14ac:dyDescent="0.35">
      <c r="A386" t="s">
        <v>1206</v>
      </c>
    </row>
    <row r="387" spans="1:2" x14ac:dyDescent="0.35">
      <c r="A387" t="s">
        <v>1207</v>
      </c>
    </row>
    <row r="388" spans="1:2" x14ac:dyDescent="0.35">
      <c r="A388" t="s">
        <v>1208</v>
      </c>
      <c r="B388">
        <v>1</v>
      </c>
    </row>
    <row r="389" spans="1:2" x14ac:dyDescent="0.35">
      <c r="A389" t="s">
        <v>1209</v>
      </c>
      <c r="B389">
        <v>1</v>
      </c>
    </row>
    <row r="390" spans="1:2" x14ac:dyDescent="0.35">
      <c r="A390" t="s">
        <v>1210</v>
      </c>
    </row>
    <row r="391" spans="1:2" x14ac:dyDescent="0.35">
      <c r="A391" t="s">
        <v>1211</v>
      </c>
    </row>
    <row r="392" spans="1:2" x14ac:dyDescent="0.35">
      <c r="A392" t="s">
        <v>1212</v>
      </c>
    </row>
    <row r="393" spans="1:2" x14ac:dyDescent="0.35">
      <c r="A393" t="s">
        <v>1267</v>
      </c>
    </row>
    <row r="394" spans="1:2" x14ac:dyDescent="0.35">
      <c r="A394" t="s">
        <v>1268</v>
      </c>
    </row>
    <row r="395" spans="1:2" x14ac:dyDescent="0.35">
      <c r="A395" t="s">
        <v>1269</v>
      </c>
      <c r="B395">
        <v>1</v>
      </c>
    </row>
    <row r="396" spans="1:2" x14ac:dyDescent="0.35">
      <c r="A396" t="s">
        <v>1270</v>
      </c>
      <c r="B396">
        <v>1</v>
      </c>
    </row>
    <row r="397" spans="1:2" x14ac:dyDescent="0.35">
      <c r="A397" t="s">
        <v>1271</v>
      </c>
      <c r="B397">
        <v>1</v>
      </c>
    </row>
    <row r="398" spans="1:2" x14ac:dyDescent="0.35">
      <c r="A398" t="s">
        <v>1272</v>
      </c>
      <c r="B398">
        <v>1</v>
      </c>
    </row>
    <row r="399" spans="1:2" x14ac:dyDescent="0.35">
      <c r="A399" t="s">
        <v>1273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715</v>
      </c>
      <c r="B411">
        <v>50</v>
      </c>
    </row>
    <row r="412" spans="1:2" x14ac:dyDescent="0.35">
      <c r="A412" t="s">
        <v>1345</v>
      </c>
      <c r="B412">
        <v>50</v>
      </c>
    </row>
    <row r="413" spans="1:2" x14ac:dyDescent="0.35">
      <c r="A413" t="s">
        <v>1346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1005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873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874</v>
      </c>
      <c r="B425">
        <v>1</v>
      </c>
    </row>
    <row r="426" spans="1:2" x14ac:dyDescent="0.35">
      <c r="A426" t="s">
        <v>875</v>
      </c>
      <c r="B426">
        <v>50</v>
      </c>
    </row>
    <row r="427" spans="1:2" x14ac:dyDescent="0.35">
      <c r="A427" t="s">
        <v>1338</v>
      </c>
      <c r="B427">
        <v>50</v>
      </c>
    </row>
    <row r="428" spans="1:2" x14ac:dyDescent="0.35">
      <c r="A428" t="s">
        <v>758</v>
      </c>
      <c r="B428">
        <v>50</v>
      </c>
    </row>
    <row r="429" spans="1:2" x14ac:dyDescent="0.35">
      <c r="A429" t="s">
        <v>759</v>
      </c>
      <c r="B429">
        <v>50</v>
      </c>
    </row>
    <row r="430" spans="1:2" x14ac:dyDescent="0.35">
      <c r="A430" t="s">
        <v>760</v>
      </c>
      <c r="B430">
        <v>50</v>
      </c>
    </row>
    <row r="431" spans="1:2" x14ac:dyDescent="0.35">
      <c r="A431" t="s">
        <v>1155</v>
      </c>
      <c r="B431">
        <v>50</v>
      </c>
    </row>
    <row r="432" spans="1:2" x14ac:dyDescent="0.35">
      <c r="A432" t="s">
        <v>1156</v>
      </c>
      <c r="B432">
        <v>4</v>
      </c>
    </row>
    <row r="433" spans="1:2" x14ac:dyDescent="0.35">
      <c r="A433" t="s">
        <v>1157</v>
      </c>
      <c r="B433">
        <v>4</v>
      </c>
    </row>
    <row r="434" spans="1:2" x14ac:dyDescent="0.35">
      <c r="A434" t="s">
        <v>1158</v>
      </c>
      <c r="B434">
        <v>4</v>
      </c>
    </row>
    <row r="435" spans="1:2" x14ac:dyDescent="0.35">
      <c r="A435" t="s">
        <v>1020</v>
      </c>
      <c r="B435">
        <v>4</v>
      </c>
    </row>
    <row r="436" spans="1:2" x14ac:dyDescent="0.35">
      <c r="A436" t="s">
        <v>1114</v>
      </c>
      <c r="B436">
        <v>4</v>
      </c>
    </row>
    <row r="437" spans="1:2" x14ac:dyDescent="0.35">
      <c r="A437" t="s">
        <v>1115</v>
      </c>
      <c r="B437">
        <v>4</v>
      </c>
    </row>
    <row r="438" spans="1:2" x14ac:dyDescent="0.35">
      <c r="A438" t="s">
        <v>1116</v>
      </c>
      <c r="B438">
        <v>4</v>
      </c>
    </row>
    <row r="439" spans="1:2" x14ac:dyDescent="0.35">
      <c r="A439" t="s">
        <v>1117</v>
      </c>
      <c r="B439">
        <v>4</v>
      </c>
    </row>
    <row r="440" spans="1:2" x14ac:dyDescent="0.35">
      <c r="A440" t="s">
        <v>1018</v>
      </c>
      <c r="B440">
        <v>4</v>
      </c>
    </row>
    <row r="441" spans="1:2" x14ac:dyDescent="0.35">
      <c r="A441" t="s">
        <v>1019</v>
      </c>
      <c r="B441">
        <v>4</v>
      </c>
    </row>
    <row r="442" spans="1:2" x14ac:dyDescent="0.35">
      <c r="A442" t="s">
        <v>1014</v>
      </c>
      <c r="B442">
        <v>4</v>
      </c>
    </row>
    <row r="443" spans="1:2" x14ac:dyDescent="0.35">
      <c r="A443" t="s">
        <v>1015</v>
      </c>
      <c r="B443">
        <v>4</v>
      </c>
    </row>
    <row r="444" spans="1:2" x14ac:dyDescent="0.35">
      <c r="A444" t="s">
        <v>1016</v>
      </c>
      <c r="B444">
        <v>4</v>
      </c>
    </row>
    <row r="445" spans="1:2" x14ac:dyDescent="0.35">
      <c r="A445" t="s">
        <v>1000</v>
      </c>
      <c r="B445">
        <v>4</v>
      </c>
    </row>
    <row r="446" spans="1:2" x14ac:dyDescent="0.35">
      <c r="A446" t="s">
        <v>1001</v>
      </c>
      <c r="B446">
        <v>4</v>
      </c>
    </row>
    <row r="447" spans="1:2" x14ac:dyDescent="0.35">
      <c r="A447" t="s">
        <v>1002</v>
      </c>
      <c r="B447">
        <v>1</v>
      </c>
    </row>
    <row r="448" spans="1:2" x14ac:dyDescent="0.35">
      <c r="A448" t="s">
        <v>1003</v>
      </c>
    </row>
    <row r="449" spans="1:1" x14ac:dyDescent="0.35">
      <c r="A449" t="s">
        <v>1004</v>
      </c>
    </row>
    <row r="450" spans="1:1" x14ac:dyDescent="0.35">
      <c r="A450" t="s">
        <v>1240</v>
      </c>
    </row>
    <row r="451" spans="1:1" x14ac:dyDescent="0.35">
      <c r="A451" t="s">
        <v>1241</v>
      </c>
    </row>
    <row r="452" spans="1:1" x14ac:dyDescent="0.35">
      <c r="A452" t="s">
        <v>1242</v>
      </c>
    </row>
    <row r="453" spans="1:1" x14ac:dyDescent="0.35">
      <c r="A453" t="s">
        <v>1243</v>
      </c>
    </row>
    <row r="454" spans="1:1" x14ac:dyDescent="0.35">
      <c r="A454" t="s">
        <v>1244</v>
      </c>
    </row>
    <row r="455" spans="1:1" x14ac:dyDescent="0.35">
      <c r="A455" t="s">
        <v>1245</v>
      </c>
    </row>
    <row r="456" spans="1:1" x14ac:dyDescent="0.35">
      <c r="A456" t="s">
        <v>1246</v>
      </c>
    </row>
    <row r="457" spans="1:1" x14ac:dyDescent="0.35">
      <c r="A457" t="s">
        <v>1247</v>
      </c>
    </row>
    <row r="458" spans="1:1" x14ac:dyDescent="0.35">
      <c r="A458" t="s">
        <v>1248</v>
      </c>
    </row>
    <row r="459" spans="1:1" x14ac:dyDescent="0.35">
      <c r="A459" t="s">
        <v>1249</v>
      </c>
    </row>
    <row r="460" spans="1:1" x14ac:dyDescent="0.35">
      <c r="A460" t="s">
        <v>1250</v>
      </c>
    </row>
    <row r="461" spans="1:1" x14ac:dyDescent="0.35">
      <c r="A461" t="s">
        <v>1251</v>
      </c>
    </row>
    <row r="462" spans="1:1" x14ac:dyDescent="0.35">
      <c r="A462" t="s">
        <v>1252</v>
      </c>
    </row>
    <row r="463" spans="1:1" x14ac:dyDescent="0.35">
      <c r="A463" t="s">
        <v>904</v>
      </c>
    </row>
    <row r="464" spans="1:1" x14ac:dyDescent="0.35">
      <c r="A464" t="s">
        <v>905</v>
      </c>
    </row>
    <row r="465" spans="1:1" x14ac:dyDescent="0.35">
      <c r="A465" t="s">
        <v>906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907</v>
      </c>
    </row>
    <row r="473" spans="1:1" x14ac:dyDescent="0.35">
      <c r="A473" t="s">
        <v>908</v>
      </c>
    </row>
    <row r="474" spans="1:1" x14ac:dyDescent="0.35">
      <c r="A474" t="s">
        <v>909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929</v>
      </c>
    </row>
    <row r="495" spans="1:1" x14ac:dyDescent="0.35">
      <c r="A495" t="s">
        <v>930</v>
      </c>
    </row>
    <row r="496" spans="1:1" x14ac:dyDescent="0.35">
      <c r="A496" t="s">
        <v>1217</v>
      </c>
    </row>
    <row r="497" spans="1:1" x14ac:dyDescent="0.35">
      <c r="A497" t="s">
        <v>742</v>
      </c>
    </row>
    <row r="498" spans="1:1" x14ac:dyDescent="0.35">
      <c r="A498" t="s">
        <v>743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1339</v>
      </c>
    </row>
    <row r="506" spans="1:1" x14ac:dyDescent="0.35">
      <c r="A506" t="s">
        <v>1340</v>
      </c>
    </row>
    <row r="507" spans="1:1" x14ac:dyDescent="0.35">
      <c r="A507" t="s">
        <v>1341</v>
      </c>
    </row>
    <row r="508" spans="1:1" x14ac:dyDescent="0.35">
      <c r="A508" t="s">
        <v>1342</v>
      </c>
    </row>
    <row r="509" spans="1:1" x14ac:dyDescent="0.35">
      <c r="A509" t="s">
        <v>1343</v>
      </c>
    </row>
    <row r="510" spans="1:1" x14ac:dyDescent="0.35">
      <c r="A510" t="s">
        <v>1344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987</v>
      </c>
    </row>
    <row r="523" spans="1:2" x14ac:dyDescent="0.35">
      <c r="A523" t="s">
        <v>988</v>
      </c>
    </row>
    <row r="524" spans="1:2" x14ac:dyDescent="0.35">
      <c r="A524" t="s">
        <v>989</v>
      </c>
    </row>
    <row r="525" spans="1:2" x14ac:dyDescent="0.35">
      <c r="A525" t="s">
        <v>922</v>
      </c>
    </row>
    <row r="526" spans="1:2" x14ac:dyDescent="0.35">
      <c r="A526" t="s">
        <v>968</v>
      </c>
    </row>
    <row r="527" spans="1:2" x14ac:dyDescent="0.35">
      <c r="A527" t="s">
        <v>969</v>
      </c>
      <c r="B527">
        <v>1500</v>
      </c>
    </row>
    <row r="528" spans="1:2" x14ac:dyDescent="0.35">
      <c r="A528" t="s">
        <v>970</v>
      </c>
      <c r="B528">
        <v>1500</v>
      </c>
    </row>
    <row r="529" spans="1:2" x14ac:dyDescent="0.35">
      <c r="A529" t="s">
        <v>971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744</v>
      </c>
      <c r="B534">
        <v>1500</v>
      </c>
    </row>
    <row r="535" spans="1:2" x14ac:dyDescent="0.35">
      <c r="A535" t="s">
        <v>752</v>
      </c>
      <c r="B535">
        <v>1500</v>
      </c>
    </row>
    <row r="536" spans="1:2" x14ac:dyDescent="0.35">
      <c r="A536" t="s">
        <v>753</v>
      </c>
      <c r="B536">
        <v>1500</v>
      </c>
    </row>
    <row r="537" spans="1:2" x14ac:dyDescent="0.35">
      <c r="A537" t="s">
        <v>754</v>
      </c>
      <c r="B537">
        <v>1500</v>
      </c>
    </row>
    <row r="538" spans="1:2" x14ac:dyDescent="0.35">
      <c r="A538" t="s">
        <v>755</v>
      </c>
      <c r="B538">
        <v>1500</v>
      </c>
    </row>
    <row r="539" spans="1:2" x14ac:dyDescent="0.35">
      <c r="A539" t="s">
        <v>756</v>
      </c>
      <c r="B539">
        <v>1500</v>
      </c>
    </row>
    <row r="540" spans="1:2" x14ac:dyDescent="0.35">
      <c r="A540" t="s">
        <v>757</v>
      </c>
      <c r="B540">
        <v>1500</v>
      </c>
    </row>
    <row r="541" spans="1:2" x14ac:dyDescent="0.35">
      <c r="A541" t="s">
        <v>751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738</v>
      </c>
      <c r="B547">
        <v>1</v>
      </c>
    </row>
    <row r="548" spans="1:2" x14ac:dyDescent="0.35">
      <c r="A548" t="s">
        <v>739</v>
      </c>
      <c r="B548">
        <v>1</v>
      </c>
    </row>
    <row r="549" spans="1:2" x14ac:dyDescent="0.35">
      <c r="A549" t="s">
        <v>740</v>
      </c>
      <c r="B549">
        <v>1</v>
      </c>
    </row>
    <row r="550" spans="1:2" x14ac:dyDescent="0.35">
      <c r="A550" t="s">
        <v>741</v>
      </c>
      <c r="B550">
        <v>1</v>
      </c>
    </row>
    <row r="551" spans="1:2" x14ac:dyDescent="0.35">
      <c r="A551" t="s">
        <v>1231</v>
      </c>
      <c r="B551">
        <v>1</v>
      </c>
    </row>
    <row r="552" spans="1:2" x14ac:dyDescent="0.35">
      <c r="A552" t="s">
        <v>1232</v>
      </c>
      <c r="B552">
        <v>1</v>
      </c>
    </row>
    <row r="553" spans="1:2" x14ac:dyDescent="0.35">
      <c r="A553" t="s">
        <v>1233</v>
      </c>
      <c r="B553">
        <v>1</v>
      </c>
    </row>
    <row r="554" spans="1:2" x14ac:dyDescent="0.35">
      <c r="A554" t="s">
        <v>1234</v>
      </c>
      <c r="B554">
        <v>1</v>
      </c>
    </row>
    <row r="555" spans="1:2" x14ac:dyDescent="0.35">
      <c r="A555" t="s">
        <v>1235</v>
      </c>
      <c r="B555">
        <v>1</v>
      </c>
    </row>
    <row r="556" spans="1:2" x14ac:dyDescent="0.35">
      <c r="A556" t="s">
        <v>1253</v>
      </c>
      <c r="B556">
        <v>1</v>
      </c>
    </row>
    <row r="557" spans="1:2" x14ac:dyDescent="0.35">
      <c r="A557" t="s">
        <v>1254</v>
      </c>
      <c r="B557">
        <v>1</v>
      </c>
    </row>
    <row r="558" spans="1:2" x14ac:dyDescent="0.35">
      <c r="A558" t="s">
        <v>1255</v>
      </c>
      <c r="B558">
        <v>1</v>
      </c>
    </row>
    <row r="559" spans="1:2" x14ac:dyDescent="0.35">
      <c r="A559" t="s">
        <v>1256</v>
      </c>
      <c r="B559">
        <v>1</v>
      </c>
    </row>
    <row r="560" spans="1:2" x14ac:dyDescent="0.35">
      <c r="A560" t="s">
        <v>1257</v>
      </c>
      <c r="B560">
        <v>1</v>
      </c>
    </row>
    <row r="561" spans="1:2" x14ac:dyDescent="0.35">
      <c r="A561" t="s">
        <v>1258</v>
      </c>
      <c r="B561">
        <v>1</v>
      </c>
    </row>
    <row r="562" spans="1:2" x14ac:dyDescent="0.35">
      <c r="A562" t="s">
        <v>1259</v>
      </c>
      <c r="B562">
        <v>1</v>
      </c>
    </row>
    <row r="563" spans="1:2" x14ac:dyDescent="0.35">
      <c r="A563" t="s">
        <v>1032</v>
      </c>
      <c r="B563">
        <v>1</v>
      </c>
    </row>
    <row r="564" spans="1:2" x14ac:dyDescent="0.35">
      <c r="A564" t="s">
        <v>1137</v>
      </c>
      <c r="B564">
        <v>1</v>
      </c>
    </row>
    <row r="565" spans="1:2" x14ac:dyDescent="0.35">
      <c r="A565" t="s">
        <v>1138</v>
      </c>
      <c r="B565">
        <v>1</v>
      </c>
    </row>
    <row r="566" spans="1:2" x14ac:dyDescent="0.35">
      <c r="A566" t="s">
        <v>1139</v>
      </c>
      <c r="B566">
        <v>1</v>
      </c>
    </row>
    <row r="567" spans="1:2" x14ac:dyDescent="0.35">
      <c r="A567" t="s">
        <v>1140</v>
      </c>
    </row>
    <row r="568" spans="1:2" x14ac:dyDescent="0.35">
      <c r="A568" t="s">
        <v>1141</v>
      </c>
    </row>
    <row r="569" spans="1:2" x14ac:dyDescent="0.35">
      <c r="A569" t="s">
        <v>590</v>
      </c>
    </row>
    <row r="570" spans="1:2" x14ac:dyDescent="0.35">
      <c r="A570" t="s">
        <v>745</v>
      </c>
    </row>
    <row r="571" spans="1:2" x14ac:dyDescent="0.35">
      <c r="A571" t="s">
        <v>746</v>
      </c>
    </row>
    <row r="572" spans="1:2" x14ac:dyDescent="0.35">
      <c r="A572" t="s">
        <v>747</v>
      </c>
    </row>
    <row r="573" spans="1:2" x14ac:dyDescent="0.35">
      <c r="A573" t="s">
        <v>748</v>
      </c>
    </row>
    <row r="574" spans="1:2" x14ac:dyDescent="0.35">
      <c r="A574" t="s">
        <v>749</v>
      </c>
    </row>
    <row r="575" spans="1:2" x14ac:dyDescent="0.35">
      <c r="A575" t="s">
        <v>750</v>
      </c>
    </row>
    <row r="576" spans="1:2" x14ac:dyDescent="0.35">
      <c r="A576" t="s">
        <v>1099</v>
      </c>
    </row>
    <row r="577" spans="1:2" x14ac:dyDescent="0.35">
      <c r="A577" t="s">
        <v>1064</v>
      </c>
    </row>
    <row r="578" spans="1:2" x14ac:dyDescent="0.35">
      <c r="A578" t="s">
        <v>1065</v>
      </c>
    </row>
    <row r="579" spans="1:2" x14ac:dyDescent="0.35">
      <c r="A579" t="s">
        <v>1066</v>
      </c>
    </row>
    <row r="580" spans="1:2" x14ac:dyDescent="0.35">
      <c r="A580" t="s">
        <v>1067</v>
      </c>
    </row>
    <row r="581" spans="1:2" x14ac:dyDescent="0.35">
      <c r="A581" t="s">
        <v>1213</v>
      </c>
    </row>
    <row r="582" spans="1:2" x14ac:dyDescent="0.35">
      <c r="A582" t="s">
        <v>1275</v>
      </c>
    </row>
    <row r="583" spans="1:2" x14ac:dyDescent="0.35">
      <c r="A583" t="s">
        <v>1276</v>
      </c>
    </row>
    <row r="584" spans="1:2" x14ac:dyDescent="0.35">
      <c r="A584" t="s">
        <v>1277</v>
      </c>
    </row>
    <row r="585" spans="1:2" x14ac:dyDescent="0.35">
      <c r="A585" t="s">
        <v>1278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868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1222</v>
      </c>
    </row>
    <row r="593" spans="1:1" x14ac:dyDescent="0.35">
      <c r="A593" t="s">
        <v>104</v>
      </c>
    </row>
    <row r="594" spans="1:1" x14ac:dyDescent="0.35">
      <c r="A594" t="s">
        <v>1361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932</v>
      </c>
    </row>
    <row r="598" spans="1:1" x14ac:dyDescent="0.35">
      <c r="A598" t="s">
        <v>933</v>
      </c>
    </row>
    <row r="599" spans="1:1" x14ac:dyDescent="0.35">
      <c r="A599" t="s">
        <v>934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1021</v>
      </c>
    </row>
    <row r="612" spans="1:1" x14ac:dyDescent="0.35">
      <c r="A612" t="s">
        <v>1022</v>
      </c>
    </row>
    <row r="613" spans="1:1" x14ac:dyDescent="0.35">
      <c r="A613" t="s">
        <v>926</v>
      </c>
    </row>
    <row r="614" spans="1:1" x14ac:dyDescent="0.35">
      <c r="A614" t="s">
        <v>927</v>
      </c>
    </row>
    <row r="615" spans="1:1" x14ac:dyDescent="0.35">
      <c r="A615" t="s">
        <v>928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947</v>
      </c>
    </row>
    <row r="628" spans="1:2" x14ac:dyDescent="0.35">
      <c r="A628" t="s">
        <v>1097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1052</v>
      </c>
      <c r="B631">
        <v>1</v>
      </c>
    </row>
    <row r="632" spans="1:2" x14ac:dyDescent="0.35">
      <c r="A632" t="s">
        <v>1053</v>
      </c>
      <c r="B632">
        <v>1</v>
      </c>
    </row>
    <row r="633" spans="1:2" x14ac:dyDescent="0.35">
      <c r="A633" t="s">
        <v>1054</v>
      </c>
      <c r="B633">
        <v>1</v>
      </c>
    </row>
    <row r="634" spans="1:2" x14ac:dyDescent="0.35">
      <c r="A634" t="s">
        <v>1055</v>
      </c>
      <c r="B634">
        <v>1</v>
      </c>
    </row>
    <row r="635" spans="1:2" x14ac:dyDescent="0.35">
      <c r="A635" t="s">
        <v>1056</v>
      </c>
      <c r="B635">
        <v>1</v>
      </c>
    </row>
    <row r="636" spans="1:2" x14ac:dyDescent="0.35">
      <c r="A636" t="s">
        <v>1180</v>
      </c>
    </row>
    <row r="637" spans="1:2" x14ac:dyDescent="0.35">
      <c r="A637" t="s">
        <v>958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774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950</v>
      </c>
    </row>
    <row r="648" spans="1:1" x14ac:dyDescent="0.35">
      <c r="A648" t="s">
        <v>1136</v>
      </c>
    </row>
    <row r="649" spans="1:1" x14ac:dyDescent="0.35">
      <c r="A649" t="s">
        <v>780</v>
      </c>
    </row>
    <row r="650" spans="1:1" x14ac:dyDescent="0.35">
      <c r="A650" t="s">
        <v>781</v>
      </c>
    </row>
    <row r="651" spans="1:1" x14ac:dyDescent="0.35">
      <c r="A651" t="s">
        <v>782</v>
      </c>
    </row>
    <row r="652" spans="1:1" x14ac:dyDescent="0.35">
      <c r="A652" t="s">
        <v>783</v>
      </c>
    </row>
    <row r="653" spans="1:1" x14ac:dyDescent="0.35">
      <c r="A653" t="s">
        <v>1317</v>
      </c>
    </row>
    <row r="654" spans="1:1" x14ac:dyDescent="0.35">
      <c r="A654" t="s">
        <v>1318</v>
      </c>
    </row>
    <row r="655" spans="1:1" x14ac:dyDescent="0.35">
      <c r="A655" t="s">
        <v>1319</v>
      </c>
    </row>
    <row r="656" spans="1:1" x14ac:dyDescent="0.35">
      <c r="A656" t="s">
        <v>1320</v>
      </c>
    </row>
    <row r="657" spans="1:2" x14ac:dyDescent="0.35">
      <c r="A657" t="s">
        <v>714</v>
      </c>
    </row>
    <row r="658" spans="1:2" x14ac:dyDescent="0.35">
      <c r="A658" t="s">
        <v>1214</v>
      </c>
    </row>
    <row r="659" spans="1:2" x14ac:dyDescent="0.35">
      <c r="A659" t="s">
        <v>1215</v>
      </c>
    </row>
    <row r="660" spans="1:2" x14ac:dyDescent="0.35">
      <c r="A660" t="s">
        <v>1216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1223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961</v>
      </c>
    </row>
    <row r="674" spans="1:2" x14ac:dyDescent="0.35">
      <c r="A674" t="s">
        <v>962</v>
      </c>
    </row>
    <row r="675" spans="1:2" x14ac:dyDescent="0.35">
      <c r="A675" t="s">
        <v>963</v>
      </c>
    </row>
    <row r="676" spans="1:2" x14ac:dyDescent="0.35">
      <c r="A676" t="s">
        <v>964</v>
      </c>
    </row>
    <row r="677" spans="1:2" x14ac:dyDescent="0.35">
      <c r="A677" t="s">
        <v>965</v>
      </c>
    </row>
    <row r="678" spans="1:2" x14ac:dyDescent="0.35">
      <c r="A678" t="s">
        <v>966</v>
      </c>
    </row>
    <row r="679" spans="1:2" x14ac:dyDescent="0.35">
      <c r="A679" t="s">
        <v>586</v>
      </c>
    </row>
    <row r="680" spans="1:2" x14ac:dyDescent="0.35">
      <c r="A680" t="s">
        <v>1238</v>
      </c>
    </row>
    <row r="681" spans="1:2" x14ac:dyDescent="0.35">
      <c r="A681" t="s">
        <v>1239</v>
      </c>
    </row>
    <row r="682" spans="1:2" x14ac:dyDescent="0.35">
      <c r="A682" t="s">
        <v>956</v>
      </c>
      <c r="B682">
        <v>0</v>
      </c>
    </row>
    <row r="683" spans="1:2" x14ac:dyDescent="0.35">
      <c r="A683" t="s">
        <v>916</v>
      </c>
      <c r="B683">
        <v>1</v>
      </c>
    </row>
    <row r="684" spans="1:2" x14ac:dyDescent="0.35">
      <c r="A684" t="s">
        <v>1316</v>
      </c>
      <c r="B684">
        <v>1</v>
      </c>
    </row>
    <row r="685" spans="1:2" x14ac:dyDescent="0.35">
      <c r="A685" t="s">
        <v>1224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1362</v>
      </c>
      <c r="B706">
        <v>1500</v>
      </c>
    </row>
    <row r="707" spans="1:2" x14ac:dyDescent="0.35">
      <c r="A707" t="s">
        <v>1363</v>
      </c>
      <c r="B707">
        <v>1500</v>
      </c>
    </row>
    <row r="708" spans="1:2" x14ac:dyDescent="0.35">
      <c r="A708" t="s">
        <v>1364</v>
      </c>
      <c r="B708">
        <v>1500</v>
      </c>
    </row>
    <row r="709" spans="1:2" x14ac:dyDescent="0.35">
      <c r="A709" t="s">
        <v>1365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855</v>
      </c>
      <c r="B722">
        <v>1500</v>
      </c>
    </row>
    <row r="723" spans="1:2" x14ac:dyDescent="0.35">
      <c r="A723" t="s">
        <v>856</v>
      </c>
      <c r="B723">
        <v>1500</v>
      </c>
    </row>
    <row r="724" spans="1:2" x14ac:dyDescent="0.35">
      <c r="A724" t="s">
        <v>857</v>
      </c>
      <c r="B724">
        <v>1500</v>
      </c>
    </row>
    <row r="725" spans="1:2" x14ac:dyDescent="0.35">
      <c r="A725" t="s">
        <v>858</v>
      </c>
      <c r="B725">
        <v>1500</v>
      </c>
    </row>
    <row r="726" spans="1:2" x14ac:dyDescent="0.35">
      <c r="A726" t="s">
        <v>1130</v>
      </c>
    </row>
    <row r="727" spans="1:2" x14ac:dyDescent="0.35">
      <c r="A727" t="s">
        <v>1135</v>
      </c>
      <c r="B727">
        <v>40</v>
      </c>
    </row>
    <row r="728" spans="1:2" x14ac:dyDescent="0.35">
      <c r="A728" t="s">
        <v>1134</v>
      </c>
      <c r="B728">
        <v>80</v>
      </c>
    </row>
    <row r="729" spans="1:2" x14ac:dyDescent="0.35">
      <c r="A729" t="s">
        <v>1124</v>
      </c>
    </row>
    <row r="730" spans="1:2" x14ac:dyDescent="0.35">
      <c r="A730" t="s">
        <v>1122</v>
      </c>
    </row>
    <row r="731" spans="1:2" x14ac:dyDescent="0.35">
      <c r="A731" t="s">
        <v>1129</v>
      </c>
    </row>
    <row r="732" spans="1:2" x14ac:dyDescent="0.35">
      <c r="A732" t="s">
        <v>1112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1225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1131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1226</v>
      </c>
      <c r="B739" t="b">
        <v>0</v>
      </c>
    </row>
    <row r="740" spans="1:2" x14ac:dyDescent="0.35">
      <c r="A740" t="s">
        <v>1227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1057</v>
      </c>
    </row>
    <row r="743" spans="1:2" x14ac:dyDescent="0.35">
      <c r="A743" t="s">
        <v>1058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860</v>
      </c>
    </row>
    <row r="746" spans="1:2" x14ac:dyDescent="0.35">
      <c r="A746" t="s">
        <v>931</v>
      </c>
      <c r="B746" t="b">
        <v>0</v>
      </c>
    </row>
    <row r="747" spans="1:2" x14ac:dyDescent="0.35">
      <c r="A747" t="s">
        <v>1360</v>
      </c>
      <c r="B747">
        <v>1</v>
      </c>
    </row>
    <row r="748" spans="1:2" x14ac:dyDescent="0.35">
      <c r="A748" t="s">
        <v>1395</v>
      </c>
      <c r="B748" t="b">
        <v>0</v>
      </c>
    </row>
    <row r="749" spans="1:2" x14ac:dyDescent="0.35">
      <c r="A749" t="s">
        <v>1396</v>
      </c>
      <c r="B749">
        <v>30</v>
      </c>
    </row>
    <row r="750" spans="1:2" x14ac:dyDescent="0.35">
      <c r="A750" t="s">
        <v>1367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4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4" t="s">
        <v>727</v>
      </c>
      <c r="T1">
        <v>0</v>
      </c>
    </row>
    <row r="2" spans="1:20" x14ac:dyDescent="0.35">
      <c r="A2" s="25" t="s">
        <v>631</v>
      </c>
      <c r="B2" s="74" t="s">
        <v>859</v>
      </c>
      <c r="C2" s="74" t="s">
        <v>859</v>
      </c>
    </row>
    <row r="3" spans="1:20" x14ac:dyDescent="0.35">
      <c r="A3" s="25" t="s">
        <v>85</v>
      </c>
      <c r="B3" s="74">
        <v>10</v>
      </c>
      <c r="C3" s="74">
        <v>10</v>
      </c>
      <c r="D3">
        <v>10</v>
      </c>
    </row>
    <row r="4" spans="1:20" x14ac:dyDescent="0.35">
      <c r="A4" s="25" t="s">
        <v>86</v>
      </c>
      <c r="B4" s="74">
        <v>20</v>
      </c>
      <c r="C4" s="74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4">
        <v>2</v>
      </c>
      <c r="C6" s="74">
        <v>2</v>
      </c>
      <c r="D6">
        <v>2</v>
      </c>
    </row>
    <row r="7" spans="1:20" x14ac:dyDescent="0.35">
      <c r="A7" s="25" t="s">
        <v>358</v>
      </c>
      <c r="B7" s="74">
        <v>10</v>
      </c>
      <c r="C7" s="74">
        <v>10</v>
      </c>
      <c r="D7">
        <v>5</v>
      </c>
    </row>
    <row r="8" spans="1:20" x14ac:dyDescent="0.35">
      <c r="A8" s="25" t="s">
        <v>359</v>
      </c>
      <c r="B8" s="74">
        <v>5</v>
      </c>
      <c r="C8" s="74">
        <v>5</v>
      </c>
      <c r="D8">
        <v>50</v>
      </c>
    </row>
    <row r="9" spans="1:20" x14ac:dyDescent="0.35">
      <c r="A9" s="25" t="s">
        <v>1185</v>
      </c>
      <c r="B9" s="74">
        <v>10</v>
      </c>
      <c r="C9" s="74">
        <v>10</v>
      </c>
      <c r="D9">
        <v>1</v>
      </c>
    </row>
    <row r="10" spans="1:20" x14ac:dyDescent="0.35">
      <c r="A10" s="25" t="s">
        <v>1375</v>
      </c>
      <c r="B10" s="74">
        <v>10</v>
      </c>
      <c r="C10" s="74">
        <v>10</v>
      </c>
      <c r="D10">
        <v>1</v>
      </c>
    </row>
    <row r="11" spans="1:20" x14ac:dyDescent="0.35">
      <c r="A11" t="s">
        <v>1368</v>
      </c>
      <c r="C11"/>
    </row>
    <row r="12" spans="1:20" x14ac:dyDescent="0.35">
      <c r="A12" t="s">
        <v>1369</v>
      </c>
      <c r="B12">
        <v>5</v>
      </c>
      <c r="C12">
        <v>5</v>
      </c>
      <c r="D12">
        <v>1</v>
      </c>
    </row>
    <row r="13" spans="1:20" x14ac:dyDescent="0.35">
      <c r="A13" t="s">
        <v>1370</v>
      </c>
      <c r="C13"/>
    </row>
    <row r="14" spans="1:20" x14ac:dyDescent="0.35">
      <c r="A14" s="25" t="s">
        <v>1186</v>
      </c>
      <c r="B14" s="74">
        <v>1</v>
      </c>
      <c r="C14" s="74">
        <v>1</v>
      </c>
      <c r="D14">
        <v>0.1</v>
      </c>
    </row>
    <row r="15" spans="1:20" x14ac:dyDescent="0.35">
      <c r="A15" t="s">
        <v>1371</v>
      </c>
      <c r="C15"/>
    </row>
    <row r="16" spans="1:20" x14ac:dyDescent="0.35">
      <c r="A16" t="s">
        <v>1372</v>
      </c>
      <c r="B16">
        <v>50</v>
      </c>
      <c r="C16">
        <v>50</v>
      </c>
      <c r="D16">
        <v>10</v>
      </c>
    </row>
    <row r="17" spans="1:4" x14ac:dyDescent="0.35">
      <c r="A17" t="s">
        <v>1373</v>
      </c>
      <c r="B17">
        <v>5</v>
      </c>
      <c r="C17">
        <v>5</v>
      </c>
      <c r="D17">
        <v>1</v>
      </c>
    </row>
    <row r="18" spans="1:4" x14ac:dyDescent="0.35">
      <c r="A18" t="s">
        <v>1374</v>
      </c>
      <c r="B18">
        <v>500</v>
      </c>
      <c r="C18">
        <v>500</v>
      </c>
      <c r="D18">
        <v>100</v>
      </c>
    </row>
    <row r="19" spans="1:4" x14ac:dyDescent="0.35">
      <c r="A19" s="25" t="s">
        <v>1187</v>
      </c>
      <c r="B19" s="74">
        <v>10</v>
      </c>
      <c r="C19" s="74">
        <v>10</v>
      </c>
      <c r="D19">
        <v>10</v>
      </c>
    </row>
    <row r="20" spans="1:4" x14ac:dyDescent="0.35">
      <c r="A20" s="25" t="s">
        <v>1188</v>
      </c>
      <c r="B20" s="74">
        <v>50</v>
      </c>
      <c r="C20" s="74">
        <v>50</v>
      </c>
      <c r="D20">
        <v>0.5</v>
      </c>
    </row>
    <row r="21" spans="1:4" x14ac:dyDescent="0.35">
      <c r="A21" s="25" t="s">
        <v>1189</v>
      </c>
      <c r="B21" s="74">
        <v>150</v>
      </c>
      <c r="C21" s="74">
        <v>150</v>
      </c>
      <c r="D21">
        <v>0.15</v>
      </c>
    </row>
    <row r="22" spans="1:4" x14ac:dyDescent="0.35">
      <c r="A22" s="25" t="s">
        <v>1190</v>
      </c>
      <c r="B22" s="74">
        <v>2500</v>
      </c>
      <c r="C22" s="74">
        <v>2500</v>
      </c>
      <c r="D22">
        <v>12.5</v>
      </c>
    </row>
    <row r="23" spans="1:4" x14ac:dyDescent="0.35">
      <c r="A23" s="25" t="s">
        <v>1191</v>
      </c>
      <c r="B23" s="74">
        <v>200</v>
      </c>
      <c r="C23" s="74">
        <v>200</v>
      </c>
      <c r="D23">
        <v>40</v>
      </c>
    </row>
    <row r="24" spans="1:4" x14ac:dyDescent="0.35">
      <c r="A24" s="25" t="s">
        <v>1192</v>
      </c>
      <c r="B24" s="74">
        <v>50</v>
      </c>
      <c r="C24" s="74">
        <v>50</v>
      </c>
      <c r="D24">
        <v>5</v>
      </c>
    </row>
    <row r="25" spans="1:4" x14ac:dyDescent="0.35">
      <c r="A25" s="25" t="s">
        <v>1193</v>
      </c>
      <c r="B25" s="74">
        <v>100</v>
      </c>
      <c r="C25" s="74">
        <v>100</v>
      </c>
      <c r="D25">
        <v>25</v>
      </c>
    </row>
    <row r="26" spans="1:4" x14ac:dyDescent="0.35">
      <c r="A26" s="25" t="s">
        <v>867</v>
      </c>
      <c r="B26" s="74">
        <v>1</v>
      </c>
      <c r="C26" s="74">
        <v>1</v>
      </c>
    </row>
    <row r="27" spans="1:4" x14ac:dyDescent="0.35">
      <c r="A27" s="25" t="s">
        <v>354</v>
      </c>
      <c r="B27" s="74" t="s">
        <v>1089</v>
      </c>
      <c r="C27" s="74" t="s">
        <v>1089</v>
      </c>
    </row>
    <row r="28" spans="1:4" x14ac:dyDescent="0.35">
      <c r="A28" s="25" t="s">
        <v>1153</v>
      </c>
      <c r="B28" s="74" t="b">
        <v>0</v>
      </c>
      <c r="C28" s="74" t="b">
        <v>0</v>
      </c>
    </row>
    <row r="29" spans="1:4" x14ac:dyDescent="0.35">
      <c r="A29" s="25" t="s">
        <v>1154</v>
      </c>
      <c r="B29" s="74"/>
    </row>
    <row r="30" spans="1:4" x14ac:dyDescent="0.35">
      <c r="A30" s="25" t="s">
        <v>625</v>
      </c>
      <c r="B30" s="74"/>
    </row>
    <row r="31" spans="1:4" x14ac:dyDescent="0.35">
      <c r="A31" s="25" t="s">
        <v>870</v>
      </c>
      <c r="B31" t="b">
        <v>1</v>
      </c>
      <c r="C31" t="b">
        <v>1</v>
      </c>
    </row>
    <row r="32" spans="1:4" x14ac:dyDescent="0.35">
      <c r="A32" s="102" t="s">
        <v>1229</v>
      </c>
      <c r="C32"/>
    </row>
    <row r="33" spans="1:3" x14ac:dyDescent="0.35">
      <c r="A33" s="102" t="s">
        <v>1092</v>
      </c>
      <c r="C33"/>
    </row>
    <row r="34" spans="1:3" x14ac:dyDescent="0.35">
      <c r="A34" s="102" t="s">
        <v>1093</v>
      </c>
      <c r="C34"/>
    </row>
    <row r="35" spans="1:3" x14ac:dyDescent="0.35">
      <c r="A35" s="102" t="s">
        <v>1094</v>
      </c>
      <c r="C35"/>
    </row>
    <row r="36" spans="1:3" x14ac:dyDescent="0.35">
      <c r="A36" s="102" t="s">
        <v>1095</v>
      </c>
      <c r="C36"/>
    </row>
    <row r="37" spans="1:3" x14ac:dyDescent="0.35">
      <c r="A37" s="102" t="s">
        <v>1118</v>
      </c>
      <c r="C37"/>
    </row>
    <row r="38" spans="1:3" x14ac:dyDescent="0.35">
      <c r="A38" s="102" t="s">
        <v>1119</v>
      </c>
      <c r="C38"/>
    </row>
    <row r="39" spans="1:3" x14ac:dyDescent="0.35">
      <c r="A39" s="102" t="s">
        <v>1150</v>
      </c>
      <c r="C39"/>
    </row>
    <row r="40" spans="1:3" x14ac:dyDescent="0.35">
      <c r="A40" s="102" t="s">
        <v>1151</v>
      </c>
      <c r="C40"/>
    </row>
    <row r="41" spans="1:3" x14ac:dyDescent="0.35">
      <c r="A41" s="102" t="s">
        <v>1152</v>
      </c>
      <c r="C41"/>
    </row>
    <row r="42" spans="1:3" x14ac:dyDescent="0.35">
      <c r="A42" s="25" t="s">
        <v>1123</v>
      </c>
      <c r="B42" s="74"/>
    </row>
    <row r="43" spans="1:3" x14ac:dyDescent="0.35">
      <c r="A43" s="25" t="s">
        <v>1128</v>
      </c>
      <c r="B43" s="74"/>
    </row>
    <row r="44" spans="1:3" x14ac:dyDescent="0.35">
      <c r="A44" s="25" t="s">
        <v>146</v>
      </c>
      <c r="B44" s="74"/>
    </row>
    <row r="45" spans="1:3" x14ac:dyDescent="0.35">
      <c r="A45" s="25" t="s">
        <v>147</v>
      </c>
      <c r="B45" s="74"/>
    </row>
    <row r="46" spans="1:3" x14ac:dyDescent="0.35">
      <c r="A46" s="25" t="s">
        <v>148</v>
      </c>
      <c r="B46" s="74"/>
    </row>
    <row r="47" spans="1:3" x14ac:dyDescent="0.35">
      <c r="A47" s="25" t="s">
        <v>149</v>
      </c>
      <c r="B47" s="74"/>
    </row>
    <row r="48" spans="1:3" x14ac:dyDescent="0.35">
      <c r="A48" s="25" t="s">
        <v>39</v>
      </c>
      <c r="B48" s="74"/>
    </row>
    <row r="49" spans="1:3" x14ac:dyDescent="0.35">
      <c r="A49" s="25" t="s">
        <v>40</v>
      </c>
      <c r="B49" s="74"/>
    </row>
    <row r="50" spans="1:3" x14ac:dyDescent="0.35">
      <c r="A50" s="25" t="s">
        <v>1059</v>
      </c>
      <c r="B50" s="74"/>
    </row>
    <row r="51" spans="1:3" x14ac:dyDescent="0.35">
      <c r="A51" s="25" t="s">
        <v>1060</v>
      </c>
      <c r="B51" s="74"/>
    </row>
    <row r="52" spans="1:3" x14ac:dyDescent="0.35">
      <c r="A52" s="25" t="s">
        <v>1061</v>
      </c>
      <c r="B52" s="74"/>
    </row>
    <row r="53" spans="1:3" x14ac:dyDescent="0.35">
      <c r="A53" s="25" t="s">
        <v>1062</v>
      </c>
      <c r="B53" s="74"/>
    </row>
    <row r="54" spans="1:3" x14ac:dyDescent="0.35">
      <c r="A54" s="25" t="s">
        <v>647</v>
      </c>
      <c r="B54" s="74"/>
    </row>
    <row r="55" spans="1:3" x14ac:dyDescent="0.35">
      <c r="A55" s="25" t="s">
        <v>648</v>
      </c>
      <c r="B55" s="74"/>
    </row>
    <row r="56" spans="1:3" x14ac:dyDescent="0.35">
      <c r="A56" s="25" t="s">
        <v>649</v>
      </c>
      <c r="B56" s="74"/>
    </row>
    <row r="57" spans="1:3" x14ac:dyDescent="0.35">
      <c r="A57" s="25" t="s">
        <v>650</v>
      </c>
      <c r="B57" s="74"/>
    </row>
    <row r="58" spans="1:3" x14ac:dyDescent="0.35">
      <c r="A58" s="25" t="s">
        <v>118</v>
      </c>
      <c r="B58" s="74"/>
    </row>
    <row r="59" spans="1:3" x14ac:dyDescent="0.35">
      <c r="A59" s="25" t="s">
        <v>119</v>
      </c>
      <c r="B59" s="74"/>
    </row>
    <row r="60" spans="1:3" x14ac:dyDescent="0.35">
      <c r="A60" s="25" t="s">
        <v>120</v>
      </c>
      <c r="B60" s="74"/>
    </row>
    <row r="61" spans="1:3" x14ac:dyDescent="0.35">
      <c r="A61" s="25" t="s">
        <v>121</v>
      </c>
      <c r="B61" s="74"/>
    </row>
    <row r="62" spans="1:3" x14ac:dyDescent="0.35">
      <c r="A62" s="25" t="s">
        <v>122</v>
      </c>
      <c r="B62" s="74"/>
    </row>
    <row r="63" spans="1:3" x14ac:dyDescent="0.35">
      <c r="A63" s="25" t="s">
        <v>238</v>
      </c>
      <c r="B63" s="74"/>
    </row>
    <row r="64" spans="1:3" x14ac:dyDescent="0.35">
      <c r="A64" s="25" t="s">
        <v>1120</v>
      </c>
      <c r="B64" s="74">
        <v>30</v>
      </c>
      <c r="C64" s="74">
        <v>30</v>
      </c>
    </row>
    <row r="65" spans="1:3" x14ac:dyDescent="0.35">
      <c r="A65" s="25" t="s">
        <v>1127</v>
      </c>
      <c r="B65" s="74"/>
    </row>
    <row r="66" spans="1:3" x14ac:dyDescent="0.35">
      <c r="A66" s="25" t="s">
        <v>414</v>
      </c>
      <c r="B66" s="74">
        <v>1</v>
      </c>
      <c r="C66" s="74">
        <v>1</v>
      </c>
    </row>
    <row r="67" spans="1:3" x14ac:dyDescent="0.35">
      <c r="A67" s="25" t="s">
        <v>239</v>
      </c>
      <c r="B67" s="74"/>
    </row>
    <row r="68" spans="1:3" x14ac:dyDescent="0.35">
      <c r="A68" s="25" t="s">
        <v>240</v>
      </c>
      <c r="B68" s="74"/>
    </row>
    <row r="69" spans="1:3" x14ac:dyDescent="0.35">
      <c r="A69" s="25" t="s">
        <v>241</v>
      </c>
      <c r="B69" s="74"/>
    </row>
    <row r="70" spans="1:3" x14ac:dyDescent="0.35">
      <c r="A70" s="25" t="s">
        <v>242</v>
      </c>
      <c r="B70" s="74"/>
    </row>
    <row r="71" spans="1:3" x14ac:dyDescent="0.35">
      <c r="A71" s="25" t="s">
        <v>243</v>
      </c>
      <c r="B71" s="74"/>
    </row>
    <row r="72" spans="1:3" x14ac:dyDescent="0.35">
      <c r="A72" s="25" t="s">
        <v>244</v>
      </c>
      <c r="B72" s="74"/>
    </row>
    <row r="73" spans="1:3" x14ac:dyDescent="0.35">
      <c r="A73" s="25" t="s">
        <v>245</v>
      </c>
      <c r="B73" s="74"/>
    </row>
    <row r="74" spans="1:3" x14ac:dyDescent="0.35">
      <c r="A74" s="25" t="s">
        <v>246</v>
      </c>
      <c r="B74" s="74"/>
    </row>
    <row r="75" spans="1:3" x14ac:dyDescent="0.35">
      <c r="A75" s="25" t="s">
        <v>247</v>
      </c>
      <c r="B75" s="74"/>
    </row>
    <row r="76" spans="1:3" x14ac:dyDescent="0.35">
      <c r="A76" s="25" t="s">
        <v>248</v>
      </c>
      <c r="B76" s="74"/>
    </row>
    <row r="77" spans="1:3" x14ac:dyDescent="0.35">
      <c r="A77" s="25" t="s">
        <v>249</v>
      </c>
      <c r="B77" s="74"/>
    </row>
    <row r="78" spans="1:3" x14ac:dyDescent="0.35">
      <c r="A78" s="25" t="s">
        <v>250</v>
      </c>
      <c r="B78" s="74"/>
    </row>
    <row r="79" spans="1:3" x14ac:dyDescent="0.35">
      <c r="A79" s="25" t="s">
        <v>251</v>
      </c>
      <c r="B79" s="74"/>
    </row>
    <row r="80" spans="1:3" x14ac:dyDescent="0.35">
      <c r="A80" s="25" t="s">
        <v>252</v>
      </c>
      <c r="B80" s="74"/>
    </row>
    <row r="81" spans="1:3" x14ac:dyDescent="0.35">
      <c r="A81" s="25" t="s">
        <v>253</v>
      </c>
      <c r="B81" s="74"/>
    </row>
    <row r="82" spans="1:3" x14ac:dyDescent="0.35">
      <c r="A82" s="25" t="s">
        <v>254</v>
      </c>
      <c r="B82" s="74"/>
    </row>
    <row r="83" spans="1:3" x14ac:dyDescent="0.35">
      <c r="A83" s="25" t="s">
        <v>255</v>
      </c>
      <c r="B83" s="74"/>
    </row>
    <row r="84" spans="1:3" x14ac:dyDescent="0.35">
      <c r="A84" s="25" t="s">
        <v>676</v>
      </c>
      <c r="B84" s="74"/>
    </row>
    <row r="85" spans="1:3" x14ac:dyDescent="0.35">
      <c r="A85" s="25" t="s">
        <v>677</v>
      </c>
      <c r="B85" s="74"/>
    </row>
    <row r="86" spans="1:3" x14ac:dyDescent="0.35">
      <c r="A86" s="25" t="s">
        <v>701</v>
      </c>
      <c r="B86" s="74"/>
    </row>
    <row r="87" spans="1:3" x14ac:dyDescent="0.35">
      <c r="A87" s="73" t="s">
        <v>466</v>
      </c>
      <c r="B87" s="74">
        <v>1</v>
      </c>
      <c r="C87" s="74">
        <v>1</v>
      </c>
    </row>
    <row r="88" spans="1:3" x14ac:dyDescent="0.35">
      <c r="A88" s="73" t="s">
        <v>467</v>
      </c>
      <c r="B88" s="74"/>
    </row>
    <row r="89" spans="1:3" x14ac:dyDescent="0.35">
      <c r="A89" s="73" t="s">
        <v>468</v>
      </c>
      <c r="B89" s="74"/>
    </row>
    <row r="90" spans="1:3" x14ac:dyDescent="0.35">
      <c r="A90" s="73" t="s">
        <v>469</v>
      </c>
      <c r="B90" s="74"/>
    </row>
    <row r="91" spans="1:3" x14ac:dyDescent="0.35">
      <c r="A91" s="25" t="s">
        <v>633</v>
      </c>
      <c r="B91" s="75">
        <v>40909</v>
      </c>
      <c r="C91" s="75">
        <v>40909</v>
      </c>
    </row>
    <row r="92" spans="1:3" x14ac:dyDescent="0.35">
      <c r="A92" s="25" t="s">
        <v>879</v>
      </c>
      <c r="B92" s="74">
        <v>100</v>
      </c>
      <c r="C92" s="74">
        <v>100</v>
      </c>
    </row>
    <row r="93" spans="1:3" x14ac:dyDescent="0.35">
      <c r="A93" s="25" t="s">
        <v>866</v>
      </c>
      <c r="B93" s="74" t="b">
        <v>0</v>
      </c>
      <c r="C93" s="74" t="b">
        <v>0</v>
      </c>
    </row>
    <row r="94" spans="1:3" x14ac:dyDescent="0.35">
      <c r="A94" s="25" t="s">
        <v>456</v>
      </c>
      <c r="B94" s="74">
        <v>1</v>
      </c>
      <c r="C94" s="74">
        <v>1</v>
      </c>
    </row>
    <row r="95" spans="1:3" x14ac:dyDescent="0.35">
      <c r="A95" s="25" t="s">
        <v>457</v>
      </c>
      <c r="B95" s="74">
        <v>1</v>
      </c>
      <c r="C95" s="74">
        <v>1</v>
      </c>
    </row>
    <row r="96" spans="1:3" x14ac:dyDescent="0.35">
      <c r="A96" s="25" t="s">
        <v>458</v>
      </c>
      <c r="B96" s="74">
        <v>1</v>
      </c>
      <c r="C96" s="74">
        <v>1</v>
      </c>
    </row>
    <row r="97" spans="1:3" x14ac:dyDescent="0.35">
      <c r="A97" s="25" t="s">
        <v>459</v>
      </c>
      <c r="B97" s="74">
        <v>1</v>
      </c>
      <c r="C97" s="74">
        <v>1</v>
      </c>
    </row>
    <row r="98" spans="1:3" x14ac:dyDescent="0.35">
      <c r="A98" s="25" t="s">
        <v>460</v>
      </c>
      <c r="B98" s="74">
        <v>1</v>
      </c>
      <c r="C98" s="74">
        <v>1</v>
      </c>
    </row>
    <row r="99" spans="1:3" x14ac:dyDescent="0.35">
      <c r="A99" s="25" t="s">
        <v>1160</v>
      </c>
      <c r="B99" s="74">
        <v>1</v>
      </c>
      <c r="C99" s="74">
        <v>1</v>
      </c>
    </row>
    <row r="100" spans="1:3" x14ac:dyDescent="0.35">
      <c r="A100" s="25" t="s">
        <v>1126</v>
      </c>
      <c r="B100" s="74"/>
    </row>
    <row r="101" spans="1:3" x14ac:dyDescent="0.35">
      <c r="A101" s="25" t="s">
        <v>1161</v>
      </c>
      <c r="B101" s="74">
        <v>5</v>
      </c>
      <c r="C101" s="74">
        <v>5</v>
      </c>
    </row>
    <row r="102" spans="1:3" x14ac:dyDescent="0.35">
      <c r="A102" s="25" t="s">
        <v>1162</v>
      </c>
      <c r="B102" s="74">
        <v>20</v>
      </c>
      <c r="C102" s="74">
        <v>20</v>
      </c>
    </row>
    <row r="103" spans="1:3" x14ac:dyDescent="0.35">
      <c r="A103" s="25" t="s">
        <v>1163</v>
      </c>
      <c r="B103" s="74">
        <v>15</v>
      </c>
      <c r="C103" s="74">
        <v>15</v>
      </c>
    </row>
    <row r="104" spans="1:3" x14ac:dyDescent="0.35">
      <c r="A104" s="25" t="s">
        <v>1164</v>
      </c>
      <c r="B104" s="74">
        <v>10</v>
      </c>
      <c r="C104" s="74">
        <v>10</v>
      </c>
    </row>
    <row r="105" spans="1:3" x14ac:dyDescent="0.35">
      <c r="A105" s="25" t="s">
        <v>1165</v>
      </c>
      <c r="B105" s="74">
        <v>10</v>
      </c>
      <c r="C105" s="74">
        <v>10</v>
      </c>
    </row>
    <row r="106" spans="1:3" x14ac:dyDescent="0.35">
      <c r="A106" t="s">
        <v>852</v>
      </c>
      <c r="B106">
        <v>10</v>
      </c>
      <c r="C106">
        <v>10</v>
      </c>
    </row>
    <row r="107" spans="1:3" x14ac:dyDescent="0.35">
      <c r="A107" t="s">
        <v>853</v>
      </c>
      <c r="B107">
        <v>30</v>
      </c>
      <c r="C107">
        <v>30</v>
      </c>
    </row>
    <row r="108" spans="1:3" x14ac:dyDescent="0.35">
      <c r="A108" t="s">
        <v>854</v>
      </c>
      <c r="B108">
        <v>250</v>
      </c>
      <c r="C108">
        <v>250</v>
      </c>
    </row>
    <row r="109" spans="1:3" x14ac:dyDescent="0.35">
      <c r="A109" t="s">
        <v>1409</v>
      </c>
      <c r="C109"/>
    </row>
    <row r="110" spans="1:3" x14ac:dyDescent="0.35">
      <c r="A110" t="s">
        <v>1410</v>
      </c>
      <c r="B110">
        <v>10</v>
      </c>
      <c r="C110">
        <v>10</v>
      </c>
    </row>
    <row r="111" spans="1:3" x14ac:dyDescent="0.35">
      <c r="A111" t="s">
        <v>1411</v>
      </c>
      <c r="C111"/>
    </row>
    <row r="112" spans="1:3" x14ac:dyDescent="0.35">
      <c r="A112" s="25" t="s">
        <v>1166</v>
      </c>
      <c r="B112" s="74">
        <v>10</v>
      </c>
      <c r="C112" s="74">
        <v>10</v>
      </c>
    </row>
    <row r="113" spans="1:3" x14ac:dyDescent="0.35">
      <c r="A113" s="25" t="s">
        <v>1376</v>
      </c>
      <c r="B113" s="74"/>
    </row>
    <row r="114" spans="1:3" x14ac:dyDescent="0.35">
      <c r="A114" s="25" t="s">
        <v>1377</v>
      </c>
      <c r="B114" s="74">
        <v>6</v>
      </c>
      <c r="C114" s="74">
        <v>6</v>
      </c>
    </row>
    <row r="115" spans="1:3" x14ac:dyDescent="0.35">
      <c r="A115" s="25" t="s">
        <v>1407</v>
      </c>
      <c r="B115" s="74">
        <v>2</v>
      </c>
      <c r="C115" s="74">
        <v>2</v>
      </c>
    </row>
    <row r="116" spans="1:3" x14ac:dyDescent="0.35">
      <c r="A116" s="25" t="s">
        <v>1408</v>
      </c>
      <c r="B116" s="74">
        <v>70</v>
      </c>
      <c r="C116" s="74">
        <v>70</v>
      </c>
    </row>
    <row r="117" spans="1:3" x14ac:dyDescent="0.35">
      <c r="A117" s="25" t="s">
        <v>1167</v>
      </c>
      <c r="B117" s="74">
        <v>5</v>
      </c>
      <c r="C117" s="74">
        <v>5</v>
      </c>
    </row>
    <row r="118" spans="1:3" x14ac:dyDescent="0.35">
      <c r="A118" s="25" t="s">
        <v>1168</v>
      </c>
      <c r="B118" s="74">
        <v>25</v>
      </c>
      <c r="C118" s="74">
        <v>25</v>
      </c>
    </row>
    <row r="119" spans="1:3" x14ac:dyDescent="0.35">
      <c r="A119" s="25" t="s">
        <v>1169</v>
      </c>
      <c r="B119" s="74">
        <v>100</v>
      </c>
      <c r="C119" s="74">
        <v>100</v>
      </c>
    </row>
    <row r="120" spans="1:3" x14ac:dyDescent="0.35">
      <c r="A120" s="25" t="s">
        <v>1170</v>
      </c>
      <c r="B120" s="74">
        <v>10</v>
      </c>
      <c r="C120" s="74">
        <v>10</v>
      </c>
    </row>
    <row r="121" spans="1:3" x14ac:dyDescent="0.35">
      <c r="A121" s="25" t="s">
        <v>1171</v>
      </c>
      <c r="B121" s="74">
        <v>5</v>
      </c>
      <c r="C121" s="74">
        <v>5</v>
      </c>
    </row>
    <row r="122" spans="1:3" x14ac:dyDescent="0.35">
      <c r="A122" s="25" t="s">
        <v>1172</v>
      </c>
      <c r="B122" s="74">
        <v>10</v>
      </c>
      <c r="C122" s="74">
        <v>10</v>
      </c>
    </row>
    <row r="123" spans="1:3" x14ac:dyDescent="0.35">
      <c r="A123" s="25" t="s">
        <v>639</v>
      </c>
      <c r="B123" s="74">
        <v>5</v>
      </c>
      <c r="C123" s="74">
        <v>5</v>
      </c>
    </row>
    <row r="124" spans="1:3" x14ac:dyDescent="0.35">
      <c r="A124" s="25" t="s">
        <v>1279</v>
      </c>
      <c r="B124" s="74">
        <v>10</v>
      </c>
      <c r="C124" s="74">
        <v>10</v>
      </c>
    </row>
    <row r="125" spans="1:3" x14ac:dyDescent="0.35">
      <c r="A125" s="25" t="s">
        <v>1280</v>
      </c>
      <c r="B125" s="74">
        <v>10</v>
      </c>
      <c r="C125" s="74">
        <v>10</v>
      </c>
    </row>
    <row r="126" spans="1:3" x14ac:dyDescent="0.35">
      <c r="A126" s="25" t="s">
        <v>1281</v>
      </c>
      <c r="B126" s="74">
        <v>10</v>
      </c>
      <c r="C126" s="74">
        <v>10</v>
      </c>
    </row>
    <row r="127" spans="1:3" x14ac:dyDescent="0.35">
      <c r="A127" s="25" t="s">
        <v>1282</v>
      </c>
      <c r="B127" s="74">
        <v>10</v>
      </c>
      <c r="C127" s="74">
        <v>10</v>
      </c>
    </row>
    <row r="128" spans="1:3" x14ac:dyDescent="0.35">
      <c r="A128" s="25" t="s">
        <v>1283</v>
      </c>
      <c r="B128" s="74">
        <v>10</v>
      </c>
      <c r="C128" s="74">
        <v>10</v>
      </c>
    </row>
    <row r="129" spans="1:3" x14ac:dyDescent="0.35">
      <c r="A129" t="s">
        <v>1006</v>
      </c>
      <c r="B129">
        <v>10</v>
      </c>
      <c r="C129">
        <v>10</v>
      </c>
    </row>
    <row r="130" spans="1:3" x14ac:dyDescent="0.35">
      <c r="A130" t="s">
        <v>1007</v>
      </c>
      <c r="B130">
        <v>10</v>
      </c>
      <c r="C130">
        <v>10</v>
      </c>
    </row>
    <row r="131" spans="1:3" x14ac:dyDescent="0.35">
      <c r="A131" t="s">
        <v>851</v>
      </c>
      <c r="B131">
        <v>10</v>
      </c>
      <c r="C131">
        <v>10</v>
      </c>
    </row>
    <row r="132" spans="1:3" x14ac:dyDescent="0.35">
      <c r="A132" t="s">
        <v>1416</v>
      </c>
      <c r="C132"/>
    </row>
    <row r="133" spans="1:3" x14ac:dyDescent="0.35">
      <c r="A133" t="s">
        <v>1417</v>
      </c>
      <c r="B133">
        <v>10</v>
      </c>
      <c r="C133">
        <v>10</v>
      </c>
    </row>
    <row r="134" spans="1:3" x14ac:dyDescent="0.35">
      <c r="A134" t="s">
        <v>1418</v>
      </c>
      <c r="C134"/>
    </row>
    <row r="135" spans="1:3" x14ac:dyDescent="0.35">
      <c r="A135" s="25" t="s">
        <v>1284</v>
      </c>
      <c r="B135" s="74">
        <v>10</v>
      </c>
      <c r="C135" s="74">
        <v>10</v>
      </c>
    </row>
    <row r="136" spans="1:3" x14ac:dyDescent="0.35">
      <c r="A136" s="25" t="s">
        <v>1412</v>
      </c>
      <c r="B136" s="74"/>
    </row>
    <row r="137" spans="1:3" x14ac:dyDescent="0.35">
      <c r="A137" s="25" t="s">
        <v>1413</v>
      </c>
      <c r="B137" s="74">
        <v>10</v>
      </c>
      <c r="C137" s="74">
        <v>10</v>
      </c>
    </row>
    <row r="138" spans="1:3" x14ac:dyDescent="0.35">
      <c r="A138" s="25" t="s">
        <v>1414</v>
      </c>
      <c r="B138" s="74">
        <v>10</v>
      </c>
      <c r="C138" s="74">
        <v>10</v>
      </c>
    </row>
    <row r="139" spans="1:3" x14ac:dyDescent="0.35">
      <c r="A139" s="25" t="s">
        <v>1415</v>
      </c>
      <c r="B139" s="74">
        <v>10</v>
      </c>
      <c r="C139" s="74">
        <v>10</v>
      </c>
    </row>
    <row r="140" spans="1:3" x14ac:dyDescent="0.35">
      <c r="A140" s="25" t="s">
        <v>1285</v>
      </c>
      <c r="B140" s="74">
        <v>10</v>
      </c>
      <c r="C140" s="74">
        <v>10</v>
      </c>
    </row>
    <row r="141" spans="1:3" x14ac:dyDescent="0.35">
      <c r="A141" s="25" t="s">
        <v>491</v>
      </c>
      <c r="B141" s="74">
        <v>10</v>
      </c>
      <c r="C141" s="74">
        <v>10</v>
      </c>
    </row>
    <row r="142" spans="1:3" x14ac:dyDescent="0.35">
      <c r="A142" s="25" t="s">
        <v>656</v>
      </c>
      <c r="B142" s="74">
        <v>10</v>
      </c>
      <c r="C142" s="74">
        <v>10</v>
      </c>
    </row>
    <row r="143" spans="1:3" x14ac:dyDescent="0.35">
      <c r="A143" s="25" t="s">
        <v>1008</v>
      </c>
      <c r="B143" s="74">
        <v>10</v>
      </c>
      <c r="C143" s="74">
        <v>10</v>
      </c>
    </row>
    <row r="144" spans="1:3" x14ac:dyDescent="0.35">
      <c r="A144" s="25" t="s">
        <v>1009</v>
      </c>
      <c r="B144" s="74">
        <v>10</v>
      </c>
      <c r="C144" s="74">
        <v>10</v>
      </c>
    </row>
    <row r="145" spans="1:8" x14ac:dyDescent="0.35">
      <c r="A145" s="25" t="s">
        <v>150</v>
      </c>
      <c r="B145" s="74">
        <v>10</v>
      </c>
      <c r="C145" s="74">
        <v>10</v>
      </c>
    </row>
    <row r="146" spans="1:8" x14ac:dyDescent="0.35">
      <c r="A146" s="25" t="s">
        <v>151</v>
      </c>
      <c r="B146" s="74">
        <v>10</v>
      </c>
      <c r="C146" s="74">
        <v>10</v>
      </c>
    </row>
    <row r="147" spans="1:8" x14ac:dyDescent="0.35">
      <c r="A147" s="25" t="s">
        <v>428</v>
      </c>
      <c r="B147" s="74" t="b">
        <v>0</v>
      </c>
      <c r="C147" s="74" t="b">
        <v>0</v>
      </c>
    </row>
    <row r="148" spans="1:8" x14ac:dyDescent="0.35">
      <c r="A148" s="25" t="s">
        <v>1109</v>
      </c>
      <c r="C148"/>
    </row>
    <row r="149" spans="1:8" x14ac:dyDescent="0.35">
      <c r="A149" s="25" t="s">
        <v>429</v>
      </c>
      <c r="B149" s="74"/>
    </row>
    <row r="150" spans="1:8" x14ac:dyDescent="0.35">
      <c r="A150" s="25" t="s">
        <v>1110</v>
      </c>
      <c r="C150"/>
    </row>
    <row r="151" spans="1:8" x14ac:dyDescent="0.35">
      <c r="A151" s="73" t="s">
        <v>470</v>
      </c>
      <c r="B151" s="74">
        <v>1</v>
      </c>
      <c r="C151" s="74">
        <v>1</v>
      </c>
    </row>
    <row r="152" spans="1:8" x14ac:dyDescent="0.35">
      <c r="A152" s="73" t="s">
        <v>471</v>
      </c>
      <c r="B152" s="74"/>
    </row>
    <row r="153" spans="1:8" x14ac:dyDescent="0.35">
      <c r="A153" s="73" t="s">
        <v>472</v>
      </c>
      <c r="B153" s="74"/>
      <c r="G153" s="25"/>
      <c r="H153" s="25"/>
    </row>
    <row r="154" spans="1:8" x14ac:dyDescent="0.35">
      <c r="A154" s="73" t="s">
        <v>473</v>
      </c>
      <c r="B154" s="74"/>
      <c r="G154" s="25"/>
      <c r="H154" s="25"/>
    </row>
    <row r="155" spans="1:8" x14ac:dyDescent="0.35">
      <c r="A155" s="25" t="s">
        <v>976</v>
      </c>
      <c r="B155" s="74" t="b">
        <v>0</v>
      </c>
      <c r="C155" s="74" t="b">
        <v>0</v>
      </c>
      <c r="G155" s="25"/>
      <c r="H155" s="25"/>
    </row>
    <row r="156" spans="1:8" x14ac:dyDescent="0.35">
      <c r="A156" s="25" t="s">
        <v>126</v>
      </c>
      <c r="B156" s="74"/>
      <c r="G156" s="25"/>
      <c r="H156" s="25"/>
    </row>
    <row r="157" spans="1:8" x14ac:dyDescent="0.35">
      <c r="A157" s="25" t="s">
        <v>1194</v>
      </c>
      <c r="B157" s="74"/>
      <c r="G157" s="25"/>
      <c r="H157" s="25"/>
    </row>
    <row r="158" spans="1:8" x14ac:dyDescent="0.35">
      <c r="A158" s="25" t="s">
        <v>1202</v>
      </c>
      <c r="B158" s="74"/>
      <c r="G158" s="25"/>
      <c r="H158" s="25"/>
    </row>
    <row r="159" spans="1:8" x14ac:dyDescent="0.35">
      <c r="A159" s="25" t="s">
        <v>1203</v>
      </c>
      <c r="B159" s="74"/>
      <c r="G159" s="25"/>
      <c r="H159" s="25"/>
    </row>
    <row r="160" spans="1:8" x14ac:dyDescent="0.35">
      <c r="A160" s="25" t="s">
        <v>452</v>
      </c>
      <c r="B160" s="74"/>
      <c r="G160" s="25"/>
      <c r="H160" s="25"/>
    </row>
    <row r="161" spans="1:8" x14ac:dyDescent="0.35">
      <c r="A161" s="25" t="s">
        <v>453</v>
      </c>
      <c r="B161" s="74"/>
      <c r="G161" s="25"/>
      <c r="H161" s="25"/>
    </row>
    <row r="162" spans="1:8" x14ac:dyDescent="0.35">
      <c r="A162" s="25" t="s">
        <v>454</v>
      </c>
      <c r="B162" s="74"/>
      <c r="G162" s="25"/>
      <c r="H162" s="25"/>
    </row>
    <row r="163" spans="1:8" x14ac:dyDescent="0.35">
      <c r="A163" s="25" t="s">
        <v>455</v>
      </c>
      <c r="B163" s="74"/>
      <c r="G163" s="25"/>
      <c r="H163" s="25"/>
    </row>
    <row r="164" spans="1:8" x14ac:dyDescent="0.35">
      <c r="A164" s="25" t="s">
        <v>923</v>
      </c>
      <c r="B164" s="74"/>
      <c r="G164" s="25"/>
      <c r="H164" s="25"/>
    </row>
    <row r="165" spans="1:8" x14ac:dyDescent="0.35">
      <c r="A165" s="25" t="s">
        <v>924</v>
      </c>
      <c r="B165" s="74"/>
      <c r="G165" s="25"/>
      <c r="H165" s="25"/>
    </row>
    <row r="166" spans="1:8" x14ac:dyDescent="0.35">
      <c r="A166" s="25" t="s">
        <v>1195</v>
      </c>
      <c r="B166" s="74"/>
      <c r="G166" s="25"/>
      <c r="H166" s="25"/>
    </row>
    <row r="167" spans="1:8" x14ac:dyDescent="0.35">
      <c r="A167" s="25" t="s">
        <v>1196</v>
      </c>
      <c r="B167" s="74"/>
      <c r="G167" s="25"/>
      <c r="H167" s="25"/>
    </row>
    <row r="168" spans="1:8" x14ac:dyDescent="0.35">
      <c r="A168" s="25" t="s">
        <v>1197</v>
      </c>
      <c r="B168" s="74"/>
      <c r="G168" s="25"/>
      <c r="H168" s="25"/>
    </row>
    <row r="169" spans="1:8" x14ac:dyDescent="0.35">
      <c r="A169" s="25" t="s">
        <v>1198</v>
      </c>
      <c r="B169" s="74"/>
      <c r="G169" s="25"/>
      <c r="H169" s="25"/>
    </row>
    <row r="170" spans="1:8" x14ac:dyDescent="0.35">
      <c r="A170" s="25" t="s">
        <v>1199</v>
      </c>
      <c r="B170" s="74"/>
      <c r="G170" s="25"/>
      <c r="H170" s="25"/>
    </row>
    <row r="171" spans="1:8" x14ac:dyDescent="0.35">
      <c r="A171" s="25" t="s">
        <v>1200</v>
      </c>
      <c r="B171" s="74"/>
      <c r="G171" s="25"/>
      <c r="H171" s="25"/>
    </row>
    <row r="172" spans="1:8" x14ac:dyDescent="0.35">
      <c r="A172" s="25" t="s">
        <v>1201</v>
      </c>
      <c r="B172" s="74"/>
      <c r="G172" s="25"/>
      <c r="H172" s="25"/>
    </row>
    <row r="173" spans="1:8" x14ac:dyDescent="0.35">
      <c r="A173" s="25" t="s">
        <v>333</v>
      </c>
      <c r="B173" s="74"/>
      <c r="G173" s="25"/>
      <c r="H173" s="25"/>
    </row>
    <row r="174" spans="1:8" x14ac:dyDescent="0.35">
      <c r="A174" s="25" t="s">
        <v>334</v>
      </c>
      <c r="B174" s="74"/>
      <c r="G174" s="25"/>
      <c r="H174" s="25"/>
    </row>
    <row r="175" spans="1:8" x14ac:dyDescent="0.35">
      <c r="A175" s="25" t="s">
        <v>335</v>
      </c>
      <c r="B175" s="74"/>
      <c r="G175" s="25"/>
      <c r="H175" s="25"/>
    </row>
    <row r="176" spans="1:8" x14ac:dyDescent="0.35">
      <c r="A176" s="25" t="s">
        <v>336</v>
      </c>
      <c r="B176" s="74"/>
      <c r="G176" s="25"/>
      <c r="H176" s="25"/>
    </row>
    <row r="177" spans="1:8" x14ac:dyDescent="0.35">
      <c r="A177" s="25" t="s">
        <v>337</v>
      </c>
      <c r="B177" s="74"/>
      <c r="G177" s="25"/>
      <c r="H177" s="25"/>
    </row>
    <row r="178" spans="1:8" x14ac:dyDescent="0.35">
      <c r="A178" s="25" t="s">
        <v>338</v>
      </c>
      <c r="B178" s="74"/>
      <c r="G178" s="25"/>
      <c r="H178" s="25"/>
    </row>
    <row r="179" spans="1:8" x14ac:dyDescent="0.35">
      <c r="A179" s="25" t="s">
        <v>339</v>
      </c>
      <c r="B179" s="74"/>
      <c r="G179" s="25"/>
      <c r="H179" s="25"/>
    </row>
    <row r="180" spans="1:8" x14ac:dyDescent="0.35">
      <c r="A180" s="25" t="s">
        <v>340</v>
      </c>
      <c r="B180" s="74"/>
      <c r="G180" s="25"/>
      <c r="H180" s="25"/>
    </row>
    <row r="181" spans="1:8" x14ac:dyDescent="0.35">
      <c r="A181" s="25" t="s">
        <v>341</v>
      </c>
      <c r="B181" s="74"/>
      <c r="G181" s="25"/>
      <c r="H181" s="25"/>
    </row>
    <row r="182" spans="1:8" x14ac:dyDescent="0.35">
      <c r="A182" s="25" t="s">
        <v>342</v>
      </c>
      <c r="B182" s="74"/>
      <c r="G182" s="25"/>
      <c r="H182" s="25"/>
    </row>
    <row r="183" spans="1:8" x14ac:dyDescent="0.35">
      <c r="A183" s="25" t="s">
        <v>343</v>
      </c>
      <c r="B183" s="74"/>
      <c r="G183" s="25"/>
      <c r="H183" s="25"/>
    </row>
    <row r="184" spans="1:8" x14ac:dyDescent="0.35">
      <c r="A184" s="25" t="s">
        <v>344</v>
      </c>
      <c r="B184" s="74"/>
      <c r="G184" s="25"/>
      <c r="H184" s="25"/>
    </row>
    <row r="185" spans="1:8" x14ac:dyDescent="0.35">
      <c r="A185" s="25" t="s">
        <v>345</v>
      </c>
      <c r="B185" s="74"/>
      <c r="G185" s="25"/>
      <c r="H185" s="25"/>
    </row>
    <row r="186" spans="1:8" x14ac:dyDescent="0.35">
      <c r="A186" s="25" t="s">
        <v>346</v>
      </c>
      <c r="B186" s="74"/>
      <c r="G186" s="25"/>
      <c r="H186" s="25"/>
    </row>
    <row r="187" spans="1:8" x14ac:dyDescent="0.35">
      <c r="A187" s="25" t="s">
        <v>347</v>
      </c>
      <c r="B187" s="74"/>
      <c r="G187" s="25"/>
      <c r="H187" s="25"/>
    </row>
    <row r="188" spans="1:8" x14ac:dyDescent="0.35">
      <c r="A188" s="25" t="s">
        <v>348</v>
      </c>
      <c r="B188" s="74"/>
      <c r="G188" s="25"/>
      <c r="H188" s="25"/>
    </row>
    <row r="189" spans="1:8" x14ac:dyDescent="0.35">
      <c r="A189" s="25" t="s">
        <v>784</v>
      </c>
      <c r="B189" s="74"/>
      <c r="G189" s="25"/>
      <c r="H189" s="25"/>
    </row>
    <row r="190" spans="1:8" x14ac:dyDescent="0.35">
      <c r="A190" s="25" t="s">
        <v>785</v>
      </c>
      <c r="B190" s="74"/>
      <c r="G190" s="25"/>
      <c r="H190" s="25"/>
    </row>
    <row r="191" spans="1:8" x14ac:dyDescent="0.35">
      <c r="A191" s="25" t="s">
        <v>786</v>
      </c>
      <c r="B191" s="74"/>
      <c r="G191" s="25"/>
      <c r="H191" s="25"/>
    </row>
    <row r="192" spans="1:8" x14ac:dyDescent="0.35">
      <c r="A192" s="25" t="s">
        <v>787</v>
      </c>
      <c r="B192" s="74"/>
      <c r="G192" s="25"/>
      <c r="H192" s="25"/>
    </row>
    <row r="193" spans="1:8" x14ac:dyDescent="0.35">
      <c r="A193" s="25" t="s">
        <v>788</v>
      </c>
      <c r="B193" s="74"/>
      <c r="G193" s="25"/>
      <c r="H193" s="25"/>
    </row>
    <row r="194" spans="1:8" x14ac:dyDescent="0.35">
      <c r="A194" s="25" t="s">
        <v>789</v>
      </c>
      <c r="B194" s="74"/>
      <c r="G194" s="25"/>
      <c r="H194" s="25"/>
    </row>
    <row r="195" spans="1:8" x14ac:dyDescent="0.35">
      <c r="A195" s="25" t="s">
        <v>790</v>
      </c>
      <c r="B195" s="74"/>
      <c r="G195" s="25"/>
      <c r="H195" s="25"/>
    </row>
    <row r="196" spans="1:8" x14ac:dyDescent="0.35">
      <c r="A196" s="25" t="s">
        <v>791</v>
      </c>
      <c r="B196" s="74"/>
      <c r="G196" s="25"/>
      <c r="H196" s="25"/>
    </row>
    <row r="197" spans="1:8" x14ac:dyDescent="0.35">
      <c r="A197" s="25" t="s">
        <v>792</v>
      </c>
      <c r="B197" s="74"/>
      <c r="G197" s="25"/>
      <c r="H197" s="25"/>
    </row>
    <row r="198" spans="1:8" x14ac:dyDescent="0.35">
      <c r="A198" s="25" t="s">
        <v>793</v>
      </c>
      <c r="B198" s="74"/>
      <c r="G198" s="25"/>
      <c r="H198" s="25"/>
    </row>
    <row r="199" spans="1:8" x14ac:dyDescent="0.35">
      <c r="A199" s="25" t="s">
        <v>794</v>
      </c>
      <c r="B199" s="74"/>
      <c r="G199" s="25"/>
      <c r="H199" s="25"/>
    </row>
    <row r="200" spans="1:8" x14ac:dyDescent="0.35">
      <c r="A200" s="25" t="s">
        <v>795</v>
      </c>
      <c r="B200" s="74"/>
      <c r="G200" s="25"/>
      <c r="H200" s="25"/>
    </row>
    <row r="201" spans="1:8" x14ac:dyDescent="0.35">
      <c r="A201" s="25" t="s">
        <v>796</v>
      </c>
      <c r="B201" s="74"/>
      <c r="G201" s="25"/>
      <c r="H201" s="25"/>
    </row>
    <row r="202" spans="1:8" x14ac:dyDescent="0.35">
      <c r="A202" s="25" t="s">
        <v>797</v>
      </c>
      <c r="B202" s="74"/>
      <c r="G202" s="25"/>
      <c r="H202" s="25"/>
    </row>
    <row r="203" spans="1:8" x14ac:dyDescent="0.35">
      <c r="A203" s="25" t="s">
        <v>798</v>
      </c>
      <c r="B203" s="74"/>
      <c r="G203" s="25"/>
      <c r="H203" s="25"/>
    </row>
    <row r="204" spans="1:8" x14ac:dyDescent="0.35">
      <c r="A204" s="25" t="s">
        <v>799</v>
      </c>
      <c r="B204" s="74"/>
      <c r="G204" s="25"/>
      <c r="H204" s="25"/>
    </row>
    <row r="205" spans="1:8" x14ac:dyDescent="0.35">
      <c r="A205" s="25" t="s">
        <v>800</v>
      </c>
      <c r="B205" s="74"/>
      <c r="G205" s="25"/>
      <c r="H205" s="25"/>
    </row>
    <row r="206" spans="1:8" x14ac:dyDescent="0.35">
      <c r="A206" s="25" t="s">
        <v>801</v>
      </c>
      <c r="B206" s="74"/>
      <c r="G206" s="25"/>
      <c r="H206" s="25"/>
    </row>
    <row r="207" spans="1:8" x14ac:dyDescent="0.35">
      <c r="A207" s="25" t="s">
        <v>802</v>
      </c>
      <c r="B207" s="74"/>
      <c r="G207" s="25"/>
      <c r="H207" s="25"/>
    </row>
    <row r="208" spans="1:8" x14ac:dyDescent="0.35">
      <c r="A208" s="25" t="s">
        <v>803</v>
      </c>
      <c r="B208" s="74"/>
      <c r="G208" s="25"/>
      <c r="H208" s="25"/>
    </row>
    <row r="209" spans="1:8" x14ac:dyDescent="0.35">
      <c r="A209" s="25" t="s">
        <v>804</v>
      </c>
      <c r="B209" s="74"/>
      <c r="G209" s="25"/>
      <c r="H209" s="25"/>
    </row>
    <row r="210" spans="1:8" x14ac:dyDescent="0.35">
      <c r="A210" s="25" t="s">
        <v>805</v>
      </c>
      <c r="B210" s="74"/>
      <c r="G210" s="25"/>
      <c r="H210" s="25"/>
    </row>
    <row r="211" spans="1:8" x14ac:dyDescent="0.35">
      <c r="A211" s="25" t="s">
        <v>806</v>
      </c>
      <c r="B211" s="74"/>
      <c r="G211" s="25"/>
      <c r="H211" s="25"/>
    </row>
    <row r="212" spans="1:8" x14ac:dyDescent="0.35">
      <c r="A212" s="25" t="s">
        <v>807</v>
      </c>
      <c r="B212" s="74"/>
      <c r="G212" s="25"/>
      <c r="H212" s="25"/>
    </row>
    <row r="213" spans="1:8" x14ac:dyDescent="0.35">
      <c r="A213" s="25" t="s">
        <v>808</v>
      </c>
      <c r="B213" s="74"/>
      <c r="G213" s="25"/>
      <c r="H213" s="25"/>
    </row>
    <row r="214" spans="1:8" x14ac:dyDescent="0.35">
      <c r="A214" s="25" t="s">
        <v>809</v>
      </c>
      <c r="B214" s="74"/>
      <c r="G214" s="25"/>
      <c r="H214" s="25"/>
    </row>
    <row r="215" spans="1:8" x14ac:dyDescent="0.35">
      <c r="A215" s="25" t="s">
        <v>810</v>
      </c>
      <c r="B215" s="74"/>
      <c r="G215" s="25"/>
      <c r="H215" s="25"/>
    </row>
    <row r="216" spans="1:8" x14ac:dyDescent="0.35">
      <c r="A216" s="25" t="s">
        <v>811</v>
      </c>
      <c r="B216" s="74"/>
      <c r="G216" s="25"/>
      <c r="H216" s="25"/>
    </row>
    <row r="217" spans="1:8" x14ac:dyDescent="0.35">
      <c r="A217" s="25" t="s">
        <v>812</v>
      </c>
      <c r="B217" s="74"/>
      <c r="G217" s="25"/>
      <c r="H217" s="25"/>
    </row>
    <row r="218" spans="1:8" x14ac:dyDescent="0.35">
      <c r="A218" s="25" t="s">
        <v>813</v>
      </c>
      <c r="B218" s="74"/>
      <c r="G218" s="25"/>
      <c r="H218" s="25"/>
    </row>
    <row r="219" spans="1:8" x14ac:dyDescent="0.35">
      <c r="A219" s="25" t="s">
        <v>814</v>
      </c>
      <c r="B219" s="74"/>
      <c r="G219" s="25"/>
      <c r="H219" s="25"/>
    </row>
    <row r="220" spans="1:8" x14ac:dyDescent="0.35">
      <c r="A220" s="25" t="s">
        <v>815</v>
      </c>
      <c r="B220" s="74"/>
      <c r="G220" s="25"/>
      <c r="H220" s="25"/>
    </row>
    <row r="221" spans="1:8" x14ac:dyDescent="0.35">
      <c r="A221" s="25" t="s">
        <v>816</v>
      </c>
      <c r="B221" s="74"/>
      <c r="G221" s="25"/>
      <c r="H221" s="25"/>
    </row>
    <row r="222" spans="1:8" x14ac:dyDescent="0.35">
      <c r="A222" s="25" t="s">
        <v>817</v>
      </c>
      <c r="B222" s="74"/>
      <c r="G222" s="25"/>
      <c r="H222" s="25"/>
    </row>
    <row r="223" spans="1:8" x14ac:dyDescent="0.35">
      <c r="A223" s="25" t="s">
        <v>818</v>
      </c>
      <c r="B223" s="74"/>
      <c r="G223" s="25"/>
      <c r="H223" s="25"/>
    </row>
    <row r="224" spans="1:8" x14ac:dyDescent="0.35">
      <c r="A224" s="25" t="s">
        <v>819</v>
      </c>
      <c r="B224" s="74"/>
      <c r="G224" s="25"/>
      <c r="H224" s="25"/>
    </row>
    <row r="225" spans="1:8" x14ac:dyDescent="0.35">
      <c r="A225" s="25" t="s">
        <v>820</v>
      </c>
      <c r="B225" s="74"/>
      <c r="G225" s="25"/>
      <c r="H225" s="25"/>
    </row>
    <row r="226" spans="1:8" x14ac:dyDescent="0.35">
      <c r="A226" s="25" t="s">
        <v>821</v>
      </c>
      <c r="B226" s="74"/>
      <c r="G226" s="25"/>
      <c r="H226" s="25"/>
    </row>
    <row r="227" spans="1:8" x14ac:dyDescent="0.35">
      <c r="A227" s="25" t="s">
        <v>822</v>
      </c>
      <c r="B227" s="74"/>
      <c r="G227" s="25"/>
      <c r="H227" s="25"/>
    </row>
    <row r="228" spans="1:8" x14ac:dyDescent="0.35">
      <c r="A228" s="25" t="s">
        <v>823</v>
      </c>
      <c r="B228" s="74"/>
      <c r="G228" s="25"/>
      <c r="H228" s="25"/>
    </row>
    <row r="229" spans="1:8" x14ac:dyDescent="0.35">
      <c r="A229" s="25" t="s">
        <v>824</v>
      </c>
      <c r="B229" s="74"/>
      <c r="G229" s="25"/>
      <c r="H229" s="25"/>
    </row>
    <row r="230" spans="1:8" x14ac:dyDescent="0.35">
      <c r="A230" s="25" t="s">
        <v>825</v>
      </c>
      <c r="B230" s="74"/>
      <c r="G230" s="25"/>
      <c r="H230" s="25"/>
    </row>
    <row r="231" spans="1:8" x14ac:dyDescent="0.35">
      <c r="A231" s="25" t="s">
        <v>826</v>
      </c>
      <c r="B231" s="74"/>
      <c r="G231" s="25"/>
      <c r="H231" s="25"/>
    </row>
    <row r="232" spans="1:8" x14ac:dyDescent="0.35">
      <c r="A232" s="25" t="s">
        <v>827</v>
      </c>
      <c r="B232" s="74"/>
      <c r="G232" s="25"/>
      <c r="H232" s="25"/>
    </row>
    <row r="233" spans="1:8" x14ac:dyDescent="0.35">
      <c r="A233" s="25" t="s">
        <v>828</v>
      </c>
      <c r="B233" s="74"/>
      <c r="G233" s="25"/>
      <c r="H233" s="25"/>
    </row>
    <row r="234" spans="1:8" x14ac:dyDescent="0.35">
      <c r="A234" s="25" t="s">
        <v>829</v>
      </c>
      <c r="B234" s="74"/>
      <c r="G234" s="25"/>
      <c r="H234" s="25"/>
    </row>
    <row r="235" spans="1:8" x14ac:dyDescent="0.35">
      <c r="A235" s="25" t="s">
        <v>830</v>
      </c>
      <c r="B235" s="74"/>
      <c r="G235" s="25"/>
      <c r="H235" s="25"/>
    </row>
    <row r="236" spans="1:8" x14ac:dyDescent="0.35">
      <c r="A236" s="25" t="s">
        <v>831</v>
      </c>
      <c r="B236" s="74"/>
      <c r="G236" s="25"/>
      <c r="H236" s="25"/>
    </row>
    <row r="237" spans="1:8" x14ac:dyDescent="0.35">
      <c r="A237" s="25" t="s">
        <v>832</v>
      </c>
      <c r="B237" s="74"/>
      <c r="G237" s="25"/>
      <c r="H237" s="25"/>
    </row>
    <row r="238" spans="1:8" x14ac:dyDescent="0.35">
      <c r="A238" s="25" t="s">
        <v>833</v>
      </c>
      <c r="B238" s="74"/>
      <c r="G238" s="25"/>
      <c r="H238" s="25"/>
    </row>
    <row r="239" spans="1:8" x14ac:dyDescent="0.35">
      <c r="A239" s="25" t="s">
        <v>834</v>
      </c>
      <c r="B239" s="74"/>
      <c r="G239" s="25"/>
      <c r="H239" s="25"/>
    </row>
    <row r="240" spans="1:8" x14ac:dyDescent="0.35">
      <c r="A240" s="25" t="s">
        <v>835</v>
      </c>
      <c r="B240" s="74"/>
      <c r="G240" s="25"/>
      <c r="H240" s="25"/>
    </row>
    <row r="241" spans="1:8" x14ac:dyDescent="0.35">
      <c r="A241" s="25" t="s">
        <v>836</v>
      </c>
      <c r="B241" s="74"/>
      <c r="G241" s="25"/>
      <c r="H241" s="25"/>
    </row>
    <row r="242" spans="1:8" x14ac:dyDescent="0.35">
      <c r="A242" s="25" t="s">
        <v>837</v>
      </c>
      <c r="B242" s="74"/>
      <c r="G242" s="25"/>
      <c r="H242" s="25"/>
    </row>
    <row r="243" spans="1:8" x14ac:dyDescent="0.35">
      <c r="A243" s="25" t="s">
        <v>838</v>
      </c>
      <c r="B243" s="74"/>
      <c r="G243" s="25"/>
      <c r="H243" s="25"/>
    </row>
    <row r="244" spans="1:8" x14ac:dyDescent="0.35">
      <c r="A244" s="25" t="s">
        <v>839</v>
      </c>
      <c r="B244" s="74"/>
      <c r="G244" s="25"/>
      <c r="H244" s="25"/>
    </row>
    <row r="245" spans="1:8" x14ac:dyDescent="0.35">
      <c r="A245" s="25" t="s">
        <v>840</v>
      </c>
      <c r="B245" s="74"/>
      <c r="G245" s="25"/>
      <c r="H245" s="25"/>
    </row>
    <row r="246" spans="1:8" x14ac:dyDescent="0.35">
      <c r="A246" s="25" t="s">
        <v>841</v>
      </c>
      <c r="B246" s="74"/>
      <c r="G246" s="25"/>
      <c r="H246" s="25"/>
    </row>
    <row r="247" spans="1:8" x14ac:dyDescent="0.35">
      <c r="A247" s="25" t="s">
        <v>842</v>
      </c>
      <c r="B247" s="74"/>
      <c r="G247" s="25"/>
      <c r="H247" s="25"/>
    </row>
    <row r="248" spans="1:8" x14ac:dyDescent="0.35">
      <c r="A248" s="25" t="s">
        <v>843</v>
      </c>
      <c r="B248" s="74"/>
      <c r="G248" s="25"/>
      <c r="H248" s="25"/>
    </row>
    <row r="249" spans="1:8" x14ac:dyDescent="0.35">
      <c r="A249" s="25" t="s">
        <v>844</v>
      </c>
      <c r="B249" s="74"/>
      <c r="G249" s="25"/>
      <c r="H249" s="25"/>
    </row>
    <row r="250" spans="1:8" x14ac:dyDescent="0.35">
      <c r="A250" s="25" t="s">
        <v>845</v>
      </c>
      <c r="B250" s="74"/>
      <c r="G250" s="25"/>
      <c r="H250" s="25"/>
    </row>
    <row r="251" spans="1:8" x14ac:dyDescent="0.35">
      <c r="A251" s="25" t="s">
        <v>846</v>
      </c>
      <c r="B251" s="74"/>
      <c r="G251" s="25"/>
      <c r="H251" s="25"/>
    </row>
    <row r="252" spans="1:8" x14ac:dyDescent="0.35">
      <c r="A252" s="25" t="s">
        <v>847</v>
      </c>
      <c r="B252" s="74"/>
      <c r="G252" s="25"/>
      <c r="H252" s="25"/>
    </row>
    <row r="253" spans="1:8" x14ac:dyDescent="0.35">
      <c r="A253" s="25" t="s">
        <v>848</v>
      </c>
      <c r="B253" s="74"/>
      <c r="G253" s="25"/>
      <c r="H253" s="25"/>
    </row>
    <row r="254" spans="1:8" x14ac:dyDescent="0.35">
      <c r="A254" s="25" t="s">
        <v>849</v>
      </c>
      <c r="B254" s="74"/>
      <c r="G254" s="25"/>
      <c r="H254" s="25"/>
    </row>
    <row r="255" spans="1:8" x14ac:dyDescent="0.35">
      <c r="A255" s="25" t="s">
        <v>850</v>
      </c>
      <c r="B255" s="74"/>
      <c r="G255" s="25"/>
      <c r="H255" s="25"/>
    </row>
    <row r="256" spans="1:8" x14ac:dyDescent="0.35">
      <c r="A256" s="25" t="s">
        <v>430</v>
      </c>
      <c r="B256" s="74"/>
      <c r="G256" s="25"/>
      <c r="H256" s="25"/>
    </row>
    <row r="257" spans="1:8" x14ac:dyDescent="0.35">
      <c r="A257" s="25" t="s">
        <v>431</v>
      </c>
      <c r="B257" s="74"/>
      <c r="G257" s="25"/>
      <c r="H257" s="25"/>
    </row>
    <row r="258" spans="1:8" x14ac:dyDescent="0.35">
      <c r="A258" s="25" t="s">
        <v>432</v>
      </c>
      <c r="B258" s="74"/>
      <c r="G258" s="25"/>
      <c r="H258" s="25"/>
    </row>
    <row r="259" spans="1:8" x14ac:dyDescent="0.35">
      <c r="A259" s="25" t="s">
        <v>433</v>
      </c>
      <c r="B259" s="74"/>
      <c r="G259" s="25"/>
      <c r="H259" s="25"/>
    </row>
    <row r="260" spans="1:8" x14ac:dyDescent="0.35">
      <c r="A260" s="25" t="s">
        <v>434</v>
      </c>
      <c r="B260" s="74"/>
      <c r="G260" s="25"/>
      <c r="H260" s="25"/>
    </row>
    <row r="261" spans="1:8" x14ac:dyDescent="0.35">
      <c r="A261" s="25" t="s">
        <v>435</v>
      </c>
      <c r="B261" s="74"/>
      <c r="G261" s="25"/>
      <c r="H261" s="25"/>
    </row>
    <row r="262" spans="1:8" x14ac:dyDescent="0.35">
      <c r="A262" s="25" t="s">
        <v>436</v>
      </c>
      <c r="B262" s="74"/>
      <c r="G262" s="25"/>
      <c r="H262" s="25"/>
    </row>
    <row r="263" spans="1:8" x14ac:dyDescent="0.35">
      <c r="A263" s="25" t="s">
        <v>437</v>
      </c>
      <c r="B263" s="74"/>
      <c r="G263" s="25"/>
      <c r="H263" s="25"/>
    </row>
    <row r="264" spans="1:8" x14ac:dyDescent="0.35">
      <c r="A264" s="25" t="s">
        <v>438</v>
      </c>
      <c r="B264" s="74"/>
      <c r="G264" s="25"/>
      <c r="H264" s="25"/>
    </row>
    <row r="265" spans="1:8" x14ac:dyDescent="0.35">
      <c r="A265" s="25" t="s">
        <v>1068</v>
      </c>
      <c r="B265" s="74"/>
      <c r="G265" s="25"/>
      <c r="H265" s="25"/>
    </row>
    <row r="266" spans="1:8" x14ac:dyDescent="0.35">
      <c r="A266" s="25" t="s">
        <v>260</v>
      </c>
      <c r="B266" s="74"/>
      <c r="G266" s="25"/>
      <c r="H266" s="25"/>
    </row>
    <row r="267" spans="1:8" x14ac:dyDescent="0.35">
      <c r="A267" s="25" t="s">
        <v>269</v>
      </c>
      <c r="B267" s="74"/>
      <c r="G267" s="25"/>
      <c r="H267" s="25"/>
    </row>
    <row r="268" spans="1:8" x14ac:dyDescent="0.35">
      <c r="A268" s="25" t="s">
        <v>270</v>
      </c>
      <c r="B268" s="74"/>
      <c r="G268" s="25"/>
      <c r="H268" s="25"/>
    </row>
    <row r="269" spans="1:8" x14ac:dyDescent="0.35">
      <c r="A269" s="25" t="s">
        <v>271</v>
      </c>
      <c r="B269" s="74"/>
      <c r="G269" s="25"/>
      <c r="H269" s="25"/>
    </row>
    <row r="270" spans="1:8" x14ac:dyDescent="0.35">
      <c r="A270" s="25" t="s">
        <v>272</v>
      </c>
      <c r="B270" s="74"/>
      <c r="G270" s="25"/>
      <c r="H270" s="25"/>
    </row>
    <row r="271" spans="1:8" x14ac:dyDescent="0.35">
      <c r="A271" s="25" t="s">
        <v>273</v>
      </c>
      <c r="B271" s="74"/>
      <c r="G271" s="25"/>
      <c r="H271" s="25"/>
    </row>
    <row r="272" spans="1:8" x14ac:dyDescent="0.35">
      <c r="A272" s="25" t="s">
        <v>274</v>
      </c>
      <c r="B272" s="74"/>
      <c r="G272" s="25"/>
      <c r="H272" s="25"/>
    </row>
    <row r="273" spans="1:8" x14ac:dyDescent="0.35">
      <c r="A273" s="25" t="s">
        <v>275</v>
      </c>
      <c r="B273" s="74"/>
      <c r="G273" s="25"/>
      <c r="H273" s="25"/>
    </row>
    <row r="274" spans="1:8" x14ac:dyDescent="0.35">
      <c r="A274" s="25" t="s">
        <v>1069</v>
      </c>
      <c r="B274" s="74"/>
      <c r="G274" s="25"/>
      <c r="H274" s="25"/>
    </row>
    <row r="275" spans="1:8" x14ac:dyDescent="0.35">
      <c r="A275" s="25" t="s">
        <v>1070</v>
      </c>
      <c r="B275" s="74"/>
      <c r="G275" s="25"/>
      <c r="H275" s="25"/>
    </row>
    <row r="276" spans="1:8" x14ac:dyDescent="0.35">
      <c r="A276" s="25" t="s">
        <v>1071</v>
      </c>
      <c r="B276" s="74"/>
      <c r="G276" s="25"/>
      <c r="H276" s="25"/>
    </row>
    <row r="277" spans="1:8" x14ac:dyDescent="0.35">
      <c r="A277" s="25" t="s">
        <v>1072</v>
      </c>
      <c r="B277" s="74"/>
      <c r="G277" s="25"/>
      <c r="H277" s="25"/>
    </row>
    <row r="278" spans="1:8" x14ac:dyDescent="0.35">
      <c r="A278" s="25" t="s">
        <v>1073</v>
      </c>
      <c r="B278" s="74"/>
      <c r="G278" s="25"/>
      <c r="H278" s="25"/>
    </row>
    <row r="279" spans="1:8" x14ac:dyDescent="0.35">
      <c r="A279" s="25" t="s">
        <v>1074</v>
      </c>
      <c r="B279" s="74"/>
      <c r="G279" s="25"/>
      <c r="H279" s="25"/>
    </row>
    <row r="280" spans="1:8" x14ac:dyDescent="0.35">
      <c r="A280" s="25" t="s">
        <v>256</v>
      </c>
      <c r="B280" s="74"/>
      <c r="G280" s="25"/>
      <c r="H280" s="25"/>
    </row>
    <row r="281" spans="1:8" x14ac:dyDescent="0.35">
      <c r="A281" s="25" t="s">
        <v>257</v>
      </c>
      <c r="B281" s="74"/>
      <c r="G281" s="25"/>
      <c r="H281" s="25"/>
    </row>
    <row r="282" spans="1:8" x14ac:dyDescent="0.35">
      <c r="A282" s="25" t="s">
        <v>258</v>
      </c>
      <c r="B282" s="74"/>
      <c r="G282" s="25"/>
      <c r="H282" s="25"/>
    </row>
    <row r="283" spans="1:8" x14ac:dyDescent="0.35">
      <c r="A283" s="25" t="s">
        <v>259</v>
      </c>
      <c r="B283" s="74"/>
      <c r="G283" s="25"/>
      <c r="H283" s="25"/>
    </row>
    <row r="284" spans="1:8" x14ac:dyDescent="0.35">
      <c r="A284" s="25" t="s">
        <v>261</v>
      </c>
      <c r="B284" s="74"/>
      <c r="G284" s="25"/>
      <c r="H284" s="25"/>
    </row>
    <row r="285" spans="1:8" x14ac:dyDescent="0.35">
      <c r="A285" s="25" t="s">
        <v>262</v>
      </c>
      <c r="B285" s="74"/>
      <c r="G285" s="25"/>
      <c r="H285" s="25"/>
    </row>
    <row r="286" spans="1:8" x14ac:dyDescent="0.35">
      <c r="A286" s="25" t="s">
        <v>263</v>
      </c>
      <c r="B286" s="74"/>
      <c r="G286" s="25"/>
      <c r="H286" s="25"/>
    </row>
    <row r="287" spans="1:8" x14ac:dyDescent="0.35">
      <c r="A287" s="25" t="s">
        <v>264</v>
      </c>
      <c r="B287" s="74"/>
      <c r="G287" s="25"/>
      <c r="H287" s="25"/>
    </row>
    <row r="288" spans="1:8" x14ac:dyDescent="0.35">
      <c r="A288" s="25" t="s">
        <v>265</v>
      </c>
      <c r="B288" s="74"/>
      <c r="G288" s="25"/>
      <c r="H288" s="25"/>
    </row>
    <row r="289" spans="1:8" x14ac:dyDescent="0.35">
      <c r="A289" s="25" t="s">
        <v>266</v>
      </c>
      <c r="B289" s="74"/>
      <c r="G289" s="25"/>
      <c r="H289" s="25"/>
    </row>
    <row r="290" spans="1:8" x14ac:dyDescent="0.35">
      <c r="A290" s="25" t="s">
        <v>267</v>
      </c>
      <c r="B290" s="74"/>
      <c r="G290" s="25"/>
      <c r="H290" s="25"/>
    </row>
    <row r="291" spans="1:8" x14ac:dyDescent="0.35">
      <c r="A291" s="25" t="s">
        <v>268</v>
      </c>
      <c r="B291" s="74"/>
      <c r="G291" s="25"/>
      <c r="H291" s="25"/>
    </row>
    <row r="292" spans="1:8" x14ac:dyDescent="0.35">
      <c r="A292" s="25" t="s">
        <v>315</v>
      </c>
      <c r="B292" s="74"/>
      <c r="G292" s="25"/>
      <c r="H292" s="25"/>
    </row>
    <row r="293" spans="1:8" x14ac:dyDescent="0.35">
      <c r="A293" s="25" t="s">
        <v>325</v>
      </c>
      <c r="B293" s="74"/>
      <c r="G293" s="25"/>
      <c r="H293" s="25"/>
    </row>
    <row r="294" spans="1:8" x14ac:dyDescent="0.35">
      <c r="A294" s="25" t="s">
        <v>326</v>
      </c>
      <c r="B294" s="74"/>
      <c r="G294" s="25"/>
      <c r="H294" s="25"/>
    </row>
    <row r="295" spans="1:8" x14ac:dyDescent="0.35">
      <c r="A295" s="25" t="s">
        <v>327</v>
      </c>
      <c r="B295" s="74"/>
      <c r="G295" s="25"/>
      <c r="H295" s="25"/>
    </row>
    <row r="296" spans="1:8" x14ac:dyDescent="0.35">
      <c r="A296" s="25" t="s">
        <v>328</v>
      </c>
      <c r="B296" s="74"/>
      <c r="G296" s="25"/>
      <c r="H296" s="25"/>
    </row>
    <row r="297" spans="1:8" x14ac:dyDescent="0.35">
      <c r="A297" s="25" t="s">
        <v>329</v>
      </c>
      <c r="B297" s="74"/>
      <c r="G297" s="25"/>
      <c r="H297" s="25"/>
    </row>
    <row r="298" spans="1:8" x14ac:dyDescent="0.35">
      <c r="A298" s="25" t="s">
        <v>330</v>
      </c>
      <c r="B298" s="74"/>
      <c r="G298" s="25"/>
      <c r="H298" s="25"/>
    </row>
    <row r="299" spans="1:8" x14ac:dyDescent="0.35">
      <c r="A299" s="25" t="s">
        <v>331</v>
      </c>
      <c r="B299" s="74"/>
      <c r="G299" s="25"/>
      <c r="H299" s="25"/>
    </row>
    <row r="300" spans="1:8" x14ac:dyDescent="0.35">
      <c r="A300" s="25" t="s">
        <v>332</v>
      </c>
      <c r="B300" s="74"/>
      <c r="G300" s="25"/>
      <c r="H300" s="25"/>
    </row>
    <row r="301" spans="1:8" x14ac:dyDescent="0.35">
      <c r="A301" s="25" t="s">
        <v>316</v>
      </c>
      <c r="B301" s="74"/>
      <c r="G301" s="25"/>
      <c r="H301" s="25"/>
    </row>
    <row r="302" spans="1:8" x14ac:dyDescent="0.35">
      <c r="A302" s="25" t="s">
        <v>317</v>
      </c>
      <c r="B302" s="74"/>
      <c r="G302" s="25"/>
      <c r="H302" s="25"/>
    </row>
    <row r="303" spans="1:8" x14ac:dyDescent="0.35">
      <c r="A303" s="25" t="s">
        <v>318</v>
      </c>
      <c r="B303" s="74"/>
      <c r="G303" s="25"/>
      <c r="H303" s="25"/>
    </row>
    <row r="304" spans="1:8" x14ac:dyDescent="0.35">
      <c r="A304" s="25" t="s">
        <v>319</v>
      </c>
      <c r="B304" s="74"/>
      <c r="G304" s="25"/>
      <c r="H304" s="25"/>
    </row>
    <row r="305" spans="1:8" x14ac:dyDescent="0.35">
      <c r="A305" s="25" t="s">
        <v>320</v>
      </c>
      <c r="B305" s="74"/>
      <c r="G305" s="25"/>
      <c r="H305" s="25"/>
    </row>
    <row r="306" spans="1:8" x14ac:dyDescent="0.35">
      <c r="A306" s="25" t="s">
        <v>321</v>
      </c>
      <c r="B306" s="74"/>
      <c r="G306" s="25"/>
      <c r="H306" s="25"/>
    </row>
    <row r="307" spans="1:8" x14ac:dyDescent="0.35">
      <c r="A307" s="25" t="s">
        <v>322</v>
      </c>
      <c r="B307" s="74"/>
      <c r="G307" s="25"/>
      <c r="H307" s="25"/>
    </row>
    <row r="308" spans="1:8" x14ac:dyDescent="0.35">
      <c r="A308" s="25" t="s">
        <v>323</v>
      </c>
      <c r="B308" s="74"/>
      <c r="G308" s="25"/>
      <c r="H308" s="25"/>
    </row>
    <row r="309" spans="1:8" x14ac:dyDescent="0.35">
      <c r="A309" s="25" t="s">
        <v>324</v>
      </c>
      <c r="B309" s="74"/>
      <c r="G309" s="25"/>
      <c r="H309" s="25"/>
    </row>
    <row r="310" spans="1:8" x14ac:dyDescent="0.35">
      <c r="A310" s="25" t="s">
        <v>276</v>
      </c>
      <c r="B310" s="74"/>
      <c r="G310" s="25"/>
      <c r="H310" s="25"/>
    </row>
    <row r="311" spans="1:8" x14ac:dyDescent="0.35">
      <c r="A311" s="25" t="s">
        <v>277</v>
      </c>
      <c r="B311" s="74"/>
      <c r="G311" s="25"/>
      <c r="H311" s="25"/>
    </row>
    <row r="312" spans="1:8" x14ac:dyDescent="0.35">
      <c r="A312" s="25" t="s">
        <v>278</v>
      </c>
      <c r="B312" s="74"/>
      <c r="G312" s="25"/>
      <c r="H312" s="25"/>
    </row>
    <row r="313" spans="1:8" x14ac:dyDescent="0.35">
      <c r="A313" s="25" t="s">
        <v>279</v>
      </c>
      <c r="B313" s="74"/>
      <c r="G313" s="25"/>
      <c r="H313" s="25"/>
    </row>
    <row r="314" spans="1:8" x14ac:dyDescent="0.35">
      <c r="A314" s="25" t="s">
        <v>280</v>
      </c>
      <c r="B314" s="74"/>
      <c r="G314" s="25"/>
      <c r="H314" s="25"/>
    </row>
    <row r="315" spans="1:8" x14ac:dyDescent="0.35">
      <c r="A315" s="25" t="s">
        <v>281</v>
      </c>
      <c r="B315" s="74"/>
      <c r="G315" s="25"/>
      <c r="H315" s="25"/>
    </row>
    <row r="316" spans="1:8" x14ac:dyDescent="0.35">
      <c r="A316" s="25" t="s">
        <v>282</v>
      </c>
      <c r="B316" s="74"/>
      <c r="G316" s="25"/>
      <c r="H316" s="25"/>
    </row>
    <row r="317" spans="1:8" x14ac:dyDescent="0.35">
      <c r="A317" s="25" t="s">
        <v>283</v>
      </c>
      <c r="B317" s="74"/>
      <c r="G317" s="25"/>
      <c r="H317" s="25"/>
    </row>
    <row r="318" spans="1:8" x14ac:dyDescent="0.35">
      <c r="A318" s="25" t="s">
        <v>716</v>
      </c>
      <c r="B318" s="74"/>
      <c r="G318" s="25"/>
      <c r="H318" s="25"/>
    </row>
    <row r="319" spans="1:8" x14ac:dyDescent="0.35">
      <c r="A319" s="25" t="s">
        <v>0</v>
      </c>
      <c r="B319" s="74"/>
      <c r="G319" s="25"/>
      <c r="H319" s="25"/>
    </row>
    <row r="320" spans="1:8" x14ac:dyDescent="0.35">
      <c r="A320" s="25" t="s">
        <v>10</v>
      </c>
      <c r="B320" s="74"/>
      <c r="G320" s="25"/>
      <c r="H320" s="25"/>
    </row>
    <row r="321" spans="1:8" x14ac:dyDescent="0.35">
      <c r="A321" s="25" t="s">
        <v>11</v>
      </c>
      <c r="B321" s="74"/>
      <c r="G321" s="25"/>
      <c r="H321" s="25"/>
    </row>
    <row r="322" spans="1:8" x14ac:dyDescent="0.35">
      <c r="A322" s="25" t="s">
        <v>12</v>
      </c>
      <c r="B322" s="74"/>
      <c r="G322" s="25"/>
      <c r="H322" s="25"/>
    </row>
    <row r="323" spans="1:8" x14ac:dyDescent="0.35">
      <c r="A323" s="25" t="s">
        <v>13</v>
      </c>
      <c r="B323" s="74"/>
      <c r="G323" s="25"/>
      <c r="H323" s="25"/>
    </row>
    <row r="324" spans="1:8" x14ac:dyDescent="0.35">
      <c r="A324" s="25" t="s">
        <v>14</v>
      </c>
      <c r="B324" s="74"/>
      <c r="G324" s="25"/>
      <c r="H324" s="25"/>
    </row>
    <row r="325" spans="1:8" x14ac:dyDescent="0.35">
      <c r="A325" s="25" t="s">
        <v>15</v>
      </c>
      <c r="B325" s="74"/>
      <c r="G325" s="25"/>
      <c r="H325" s="25"/>
    </row>
    <row r="326" spans="1:8" x14ac:dyDescent="0.35">
      <c r="A326" s="25" t="s">
        <v>16</v>
      </c>
      <c r="B326" s="74"/>
      <c r="G326" s="25"/>
      <c r="H326" s="25"/>
    </row>
    <row r="327" spans="1:8" x14ac:dyDescent="0.35">
      <c r="A327" s="25" t="s">
        <v>17</v>
      </c>
      <c r="B327" s="74"/>
      <c r="G327" s="25"/>
      <c r="H327" s="25"/>
    </row>
    <row r="328" spans="1:8" x14ac:dyDescent="0.35">
      <c r="A328" s="25" t="s">
        <v>1</v>
      </c>
      <c r="B328" s="74"/>
      <c r="G328" s="25"/>
      <c r="H328" s="25"/>
    </row>
    <row r="329" spans="1:8" x14ac:dyDescent="0.35">
      <c r="A329" s="25" t="s">
        <v>2</v>
      </c>
      <c r="B329" s="74"/>
      <c r="G329" s="25"/>
      <c r="H329" s="25"/>
    </row>
    <row r="330" spans="1:8" x14ac:dyDescent="0.35">
      <c r="A330" s="25" t="s">
        <v>3</v>
      </c>
      <c r="B330" s="74"/>
      <c r="G330" s="25"/>
      <c r="H330" s="25"/>
    </row>
    <row r="331" spans="1:8" x14ac:dyDescent="0.35">
      <c r="A331" s="25" t="s">
        <v>4</v>
      </c>
      <c r="B331" s="74"/>
      <c r="G331" s="25"/>
      <c r="H331" s="25"/>
    </row>
    <row r="332" spans="1:8" x14ac:dyDescent="0.35">
      <c r="A332" s="25" t="s">
        <v>5</v>
      </c>
      <c r="B332" s="74"/>
      <c r="G332" s="25"/>
      <c r="H332" s="25"/>
    </row>
    <row r="333" spans="1:8" x14ac:dyDescent="0.35">
      <c r="A333" s="25" t="s">
        <v>6</v>
      </c>
      <c r="B333" s="74"/>
      <c r="G333" s="25"/>
      <c r="H333" s="25"/>
    </row>
    <row r="334" spans="1:8" x14ac:dyDescent="0.35">
      <c r="A334" s="25" t="s">
        <v>7</v>
      </c>
      <c r="B334" s="74"/>
      <c r="G334" s="25"/>
      <c r="H334" s="25"/>
    </row>
    <row r="335" spans="1:8" x14ac:dyDescent="0.35">
      <c r="A335" s="25" t="s">
        <v>8</v>
      </c>
      <c r="B335" s="74"/>
      <c r="G335" s="25"/>
      <c r="H335" s="25"/>
    </row>
    <row r="336" spans="1:8" x14ac:dyDescent="0.35">
      <c r="A336" s="25" t="s">
        <v>9</v>
      </c>
      <c r="B336" s="74"/>
      <c r="G336" s="25"/>
      <c r="H336" s="25"/>
    </row>
    <row r="337" spans="1:8" x14ac:dyDescent="0.35">
      <c r="A337" s="25" t="s">
        <v>717</v>
      </c>
      <c r="B337" s="74"/>
      <c r="G337" s="25"/>
      <c r="H337" s="25"/>
    </row>
    <row r="338" spans="1:8" x14ac:dyDescent="0.35">
      <c r="A338" s="25" t="s">
        <v>718</v>
      </c>
      <c r="B338" s="74"/>
      <c r="G338" s="25"/>
      <c r="H338" s="25"/>
    </row>
    <row r="339" spans="1:8" x14ac:dyDescent="0.35">
      <c r="A339" s="25" t="s">
        <v>719</v>
      </c>
      <c r="B339" s="74"/>
      <c r="G339" s="25"/>
      <c r="H339" s="25"/>
    </row>
    <row r="340" spans="1:8" x14ac:dyDescent="0.35">
      <c r="A340" s="25" t="s">
        <v>720</v>
      </c>
      <c r="B340" s="74"/>
      <c r="G340" s="25"/>
      <c r="H340" s="25"/>
    </row>
    <row r="341" spans="1:8" x14ac:dyDescent="0.35">
      <c r="A341" s="25" t="s">
        <v>721</v>
      </c>
      <c r="B341" s="74"/>
      <c r="G341" s="25"/>
      <c r="H341" s="25"/>
    </row>
    <row r="342" spans="1:8" x14ac:dyDescent="0.35">
      <c r="A342" s="25" t="s">
        <v>722</v>
      </c>
      <c r="B342" s="74"/>
      <c r="G342" s="25"/>
      <c r="H342" s="25"/>
    </row>
    <row r="343" spans="1:8" x14ac:dyDescent="0.35">
      <c r="A343" s="25" t="s">
        <v>723</v>
      </c>
      <c r="B343" s="74"/>
      <c r="G343" s="25"/>
      <c r="H343" s="25"/>
    </row>
    <row r="344" spans="1:8" x14ac:dyDescent="0.35">
      <c r="A344" s="25" t="s">
        <v>724</v>
      </c>
      <c r="B344" s="74"/>
      <c r="G344" s="25"/>
      <c r="H344" s="25"/>
    </row>
    <row r="345" spans="1:8" x14ac:dyDescent="0.35">
      <c r="A345" s="25" t="s">
        <v>725</v>
      </c>
      <c r="B345" s="74"/>
      <c r="G345" s="25"/>
      <c r="H345" s="25"/>
    </row>
    <row r="346" spans="1:8" x14ac:dyDescent="0.35">
      <c r="A346" s="25" t="s">
        <v>413</v>
      </c>
      <c r="B346" s="74">
        <v>80</v>
      </c>
      <c r="C346" s="74">
        <v>80</v>
      </c>
      <c r="G346" s="25"/>
      <c r="H346" s="25"/>
    </row>
    <row r="347" spans="1:8" x14ac:dyDescent="0.35">
      <c r="A347" s="25" t="s">
        <v>1051</v>
      </c>
      <c r="B347" s="74">
        <v>0</v>
      </c>
      <c r="C347" s="74">
        <v>0</v>
      </c>
      <c r="G347" s="25"/>
      <c r="H347" s="25"/>
    </row>
    <row r="348" spans="1:8" x14ac:dyDescent="0.35">
      <c r="A348" s="25" t="s">
        <v>143</v>
      </c>
      <c r="B348" s="74"/>
      <c r="G348" s="25"/>
      <c r="H348" s="25"/>
    </row>
    <row r="349" spans="1:8" x14ac:dyDescent="0.35">
      <c r="A349" s="25" t="s">
        <v>144</v>
      </c>
      <c r="B349" s="74"/>
      <c r="G349" s="25"/>
      <c r="H349" s="25"/>
    </row>
    <row r="350" spans="1:8" x14ac:dyDescent="0.35">
      <c r="A350" s="25" t="s">
        <v>497</v>
      </c>
      <c r="B350" s="74"/>
      <c r="G350" s="25"/>
      <c r="H350" s="25"/>
    </row>
    <row r="351" spans="1:8" x14ac:dyDescent="0.35">
      <c r="A351" s="25" t="s">
        <v>475</v>
      </c>
      <c r="B351" s="74"/>
      <c r="G351" s="25"/>
      <c r="H351" s="25"/>
    </row>
    <row r="352" spans="1:8" x14ac:dyDescent="0.35">
      <c r="A352" s="25" t="s">
        <v>476</v>
      </c>
      <c r="B352" s="74"/>
      <c r="G352" s="25"/>
      <c r="H352" s="25"/>
    </row>
    <row r="353" spans="1:8" x14ac:dyDescent="0.35">
      <c r="A353" s="25" t="s">
        <v>477</v>
      </c>
      <c r="B353" s="74"/>
      <c r="G353" s="25"/>
      <c r="H353" s="25"/>
    </row>
    <row r="354" spans="1:8" x14ac:dyDescent="0.35">
      <c r="A354" s="25" t="s">
        <v>226</v>
      </c>
      <c r="B354" s="74"/>
      <c r="G354" s="25"/>
      <c r="H354" s="25"/>
    </row>
    <row r="355" spans="1:8" x14ac:dyDescent="0.35">
      <c r="A355" s="25" t="s">
        <v>227</v>
      </c>
      <c r="B355" s="74"/>
      <c r="G355" s="25"/>
      <c r="H355" s="25"/>
    </row>
    <row r="356" spans="1:8" x14ac:dyDescent="0.35">
      <c r="A356" s="25" t="s">
        <v>228</v>
      </c>
      <c r="B356" s="74"/>
      <c r="G356" s="25"/>
      <c r="H356" s="25"/>
    </row>
    <row r="357" spans="1:8" x14ac:dyDescent="0.35">
      <c r="A357" s="25" t="s">
        <v>1023</v>
      </c>
      <c r="B357" s="74"/>
      <c r="G357" s="25"/>
      <c r="H357" s="25"/>
    </row>
    <row r="358" spans="1:8" x14ac:dyDescent="0.35">
      <c r="A358" s="25" t="s">
        <v>1024</v>
      </c>
      <c r="B358" s="74"/>
      <c r="G358" s="25"/>
      <c r="H358" s="25"/>
    </row>
    <row r="359" spans="1:8" x14ac:dyDescent="0.35">
      <c r="A359" s="25" t="s">
        <v>1025</v>
      </c>
      <c r="B359" s="74"/>
      <c r="G359" s="25"/>
      <c r="H359" s="25"/>
    </row>
    <row r="360" spans="1:8" x14ac:dyDescent="0.35">
      <c r="A360" s="25" t="s">
        <v>1026</v>
      </c>
      <c r="B360" s="74"/>
      <c r="G360" s="25"/>
      <c r="H360" s="25"/>
    </row>
    <row r="361" spans="1:8" x14ac:dyDescent="0.35">
      <c r="A361" s="25" t="s">
        <v>1027</v>
      </c>
      <c r="B361" s="74"/>
      <c r="G361" s="25"/>
      <c r="H361" s="25"/>
    </row>
    <row r="362" spans="1:8" x14ac:dyDescent="0.35">
      <c r="A362" s="25" t="s">
        <v>776</v>
      </c>
      <c r="B362" s="74"/>
      <c r="G362" s="25"/>
      <c r="H362" s="25"/>
    </row>
    <row r="363" spans="1:8" x14ac:dyDescent="0.35">
      <c r="A363" s="25" t="s">
        <v>777</v>
      </c>
      <c r="B363" s="74"/>
      <c r="G363" s="25"/>
      <c r="H363" s="25"/>
    </row>
    <row r="364" spans="1:8" x14ac:dyDescent="0.35">
      <c r="A364" s="25" t="s">
        <v>778</v>
      </c>
      <c r="B364" s="74"/>
      <c r="G364" s="25"/>
      <c r="H364" s="25"/>
    </row>
    <row r="365" spans="1:8" x14ac:dyDescent="0.35">
      <c r="A365" s="25" t="s">
        <v>779</v>
      </c>
      <c r="B365" s="74"/>
      <c r="G365" s="25"/>
      <c r="H365" s="25"/>
    </row>
    <row r="366" spans="1:8" x14ac:dyDescent="0.35">
      <c r="A366" s="25" t="s">
        <v>917</v>
      </c>
      <c r="B366" s="74"/>
      <c r="G366" s="25"/>
      <c r="H366" s="25"/>
    </row>
    <row r="367" spans="1:8" x14ac:dyDescent="0.35">
      <c r="A367" s="25" t="s">
        <v>918</v>
      </c>
      <c r="B367" s="74"/>
      <c r="G367" s="25"/>
      <c r="H367" s="25"/>
    </row>
    <row r="368" spans="1:8" x14ac:dyDescent="0.35">
      <c r="A368" s="25" t="s">
        <v>478</v>
      </c>
      <c r="B368" s="74"/>
      <c r="G368" s="25"/>
      <c r="H368" s="25"/>
    </row>
    <row r="369" spans="1:8" x14ac:dyDescent="0.35">
      <c r="A369" s="25" t="s">
        <v>479</v>
      </c>
      <c r="B369" s="74"/>
      <c r="G369" s="25"/>
      <c r="H369" s="25"/>
    </row>
    <row r="370" spans="1:8" x14ac:dyDescent="0.35">
      <c r="A370" s="25" t="s">
        <v>480</v>
      </c>
      <c r="B370" s="74"/>
      <c r="G370" s="25"/>
      <c r="H370" s="25"/>
    </row>
    <row r="371" spans="1:8" x14ac:dyDescent="0.35">
      <c r="A371" s="25" t="s">
        <v>481</v>
      </c>
      <c r="B371" s="74"/>
      <c r="G371" s="25"/>
      <c r="H371" s="25"/>
    </row>
    <row r="372" spans="1:8" x14ac:dyDescent="0.35">
      <c r="A372" s="25" t="s">
        <v>482</v>
      </c>
      <c r="B372" s="74"/>
      <c r="G372" s="25"/>
      <c r="H372" s="25"/>
    </row>
    <row r="373" spans="1:8" x14ac:dyDescent="0.35">
      <c r="A373" s="25" t="s">
        <v>483</v>
      </c>
      <c r="B373" s="74"/>
      <c r="G373" s="25"/>
      <c r="H373" s="25"/>
    </row>
    <row r="374" spans="1:8" x14ac:dyDescent="0.35">
      <c r="A374" s="25" t="s">
        <v>1028</v>
      </c>
      <c r="B374" s="74"/>
      <c r="G374" s="25"/>
      <c r="H374" s="25"/>
    </row>
    <row r="375" spans="1:8" x14ac:dyDescent="0.35">
      <c r="A375" s="25" t="s">
        <v>1029</v>
      </c>
      <c r="B375" s="74"/>
      <c r="G375" s="25"/>
      <c r="H375" s="25"/>
    </row>
    <row r="376" spans="1:8" x14ac:dyDescent="0.35">
      <c r="A376" s="25" t="s">
        <v>1030</v>
      </c>
      <c r="B376" s="74"/>
      <c r="G376" s="25"/>
      <c r="H376" s="25"/>
    </row>
    <row r="377" spans="1:8" x14ac:dyDescent="0.35">
      <c r="A377" s="25" t="s">
        <v>1031</v>
      </c>
      <c r="B377" s="74"/>
      <c r="G377" s="25"/>
      <c r="H377" s="25"/>
    </row>
    <row r="378" spans="1:8" x14ac:dyDescent="0.35">
      <c r="A378" s="25" t="s">
        <v>678</v>
      </c>
      <c r="B378" s="74"/>
      <c r="G378" s="25"/>
      <c r="H378" s="25"/>
    </row>
    <row r="379" spans="1:8" x14ac:dyDescent="0.35">
      <c r="A379" s="25" t="s">
        <v>679</v>
      </c>
      <c r="B379" s="74"/>
      <c r="G379" s="25"/>
      <c r="H379" s="25"/>
    </row>
    <row r="380" spans="1:8" x14ac:dyDescent="0.35">
      <c r="A380" s="25" t="s">
        <v>680</v>
      </c>
      <c r="B380" s="74"/>
      <c r="G380" s="25"/>
      <c r="H380" s="25"/>
    </row>
    <row r="381" spans="1:8" x14ac:dyDescent="0.35">
      <c r="A381" s="25" t="s">
        <v>1354</v>
      </c>
      <c r="B381" s="74"/>
      <c r="G381" s="25"/>
      <c r="H381" s="25"/>
    </row>
    <row r="382" spans="1:8" x14ac:dyDescent="0.35">
      <c r="A382" s="25" t="s">
        <v>507</v>
      </c>
      <c r="B382" s="74"/>
      <c r="G382" s="25"/>
      <c r="H382" s="25"/>
    </row>
    <row r="383" spans="1:8" x14ac:dyDescent="0.35">
      <c r="A383" s="25" t="s">
        <v>508</v>
      </c>
      <c r="B383" s="74"/>
      <c r="G383" s="25"/>
      <c r="H383" s="25"/>
    </row>
    <row r="384" spans="1:8" x14ac:dyDescent="0.35">
      <c r="A384" s="25" t="s">
        <v>509</v>
      </c>
      <c r="B384" s="74"/>
      <c r="G384" s="25"/>
      <c r="H384" s="25"/>
    </row>
    <row r="385" spans="1:8" x14ac:dyDescent="0.35">
      <c r="A385" s="25" t="s">
        <v>1205</v>
      </c>
      <c r="B385" s="74"/>
      <c r="G385" s="25"/>
      <c r="H385" s="25"/>
    </row>
    <row r="386" spans="1:8" x14ac:dyDescent="0.35">
      <c r="A386" s="25" t="s">
        <v>1206</v>
      </c>
      <c r="B386" s="74"/>
      <c r="G386" s="25"/>
      <c r="H386" s="25"/>
    </row>
    <row r="387" spans="1:8" x14ac:dyDescent="0.35">
      <c r="A387" s="25" t="s">
        <v>1207</v>
      </c>
      <c r="B387" s="74"/>
      <c r="G387" s="25"/>
      <c r="H387" s="25"/>
    </row>
    <row r="388" spans="1:8" x14ac:dyDescent="0.35">
      <c r="A388" s="25" t="s">
        <v>1208</v>
      </c>
      <c r="B388" s="74">
        <v>1</v>
      </c>
      <c r="C388" s="74">
        <v>1</v>
      </c>
      <c r="G388" s="25"/>
      <c r="H388" s="25"/>
    </row>
    <row r="389" spans="1:8" x14ac:dyDescent="0.35">
      <c r="A389" s="25" t="s">
        <v>1209</v>
      </c>
      <c r="B389" s="74">
        <v>1</v>
      </c>
      <c r="C389" s="74">
        <v>1</v>
      </c>
      <c r="G389" s="25"/>
      <c r="H389" s="25"/>
    </row>
    <row r="390" spans="1:8" x14ac:dyDescent="0.35">
      <c r="A390" s="25" t="s">
        <v>1210</v>
      </c>
      <c r="B390" s="74"/>
      <c r="G390" s="25"/>
      <c r="H390" s="25"/>
    </row>
    <row r="391" spans="1:8" x14ac:dyDescent="0.35">
      <c r="A391" s="25" t="s">
        <v>1211</v>
      </c>
      <c r="B391" s="74"/>
      <c r="G391" s="25"/>
      <c r="H391" s="25"/>
    </row>
    <row r="392" spans="1:8" x14ac:dyDescent="0.35">
      <c r="A392" s="25" t="s">
        <v>1212</v>
      </c>
      <c r="B392" s="74"/>
      <c r="G392" s="25"/>
      <c r="H392" s="25"/>
    </row>
    <row r="393" spans="1:8" x14ac:dyDescent="0.35">
      <c r="A393" s="25" t="s">
        <v>1267</v>
      </c>
      <c r="B393" s="74"/>
      <c r="G393" s="25"/>
      <c r="H393" s="25"/>
    </row>
    <row r="394" spans="1:8" x14ac:dyDescent="0.35">
      <c r="A394" s="25" t="s">
        <v>1268</v>
      </c>
      <c r="B394" s="74"/>
      <c r="G394" s="25"/>
      <c r="H394" s="25"/>
    </row>
    <row r="395" spans="1:8" x14ac:dyDescent="0.35">
      <c r="A395" s="25" t="s">
        <v>1269</v>
      </c>
      <c r="B395" s="74">
        <v>1</v>
      </c>
      <c r="C395" s="74">
        <v>1</v>
      </c>
      <c r="G395" s="25"/>
      <c r="H395" s="25"/>
    </row>
    <row r="396" spans="1:8" x14ac:dyDescent="0.35">
      <c r="A396" s="25" t="s">
        <v>1270</v>
      </c>
      <c r="B396" s="74">
        <v>1</v>
      </c>
      <c r="C396" s="74">
        <v>1</v>
      </c>
      <c r="G396" s="25"/>
      <c r="H396" s="25"/>
    </row>
    <row r="397" spans="1:8" x14ac:dyDescent="0.35">
      <c r="A397" s="25" t="s">
        <v>1271</v>
      </c>
      <c r="B397" s="74">
        <v>1</v>
      </c>
      <c r="C397" s="74">
        <v>1</v>
      </c>
      <c r="G397" s="25"/>
      <c r="H397" s="25"/>
    </row>
    <row r="398" spans="1:8" x14ac:dyDescent="0.35">
      <c r="A398" s="25" t="s">
        <v>1272</v>
      </c>
      <c r="B398" s="74">
        <v>1</v>
      </c>
      <c r="C398" s="74">
        <v>1</v>
      </c>
      <c r="G398" s="25"/>
      <c r="H398" s="25"/>
    </row>
    <row r="399" spans="1:8" x14ac:dyDescent="0.35">
      <c r="A399" s="25" t="s">
        <v>1273</v>
      </c>
      <c r="B399" s="74">
        <v>1</v>
      </c>
      <c r="C399" s="74">
        <v>1</v>
      </c>
      <c r="G399" s="25"/>
      <c r="H399" s="25"/>
    </row>
    <row r="400" spans="1:8" x14ac:dyDescent="0.35">
      <c r="A400" s="25" t="s">
        <v>690</v>
      </c>
      <c r="B400" s="74">
        <v>1</v>
      </c>
      <c r="C400" s="74">
        <v>1</v>
      </c>
      <c r="G400" s="25"/>
      <c r="H400" s="25"/>
    </row>
    <row r="401" spans="1:8" x14ac:dyDescent="0.35">
      <c r="A401" s="25" t="s">
        <v>691</v>
      </c>
      <c r="B401" s="74">
        <v>1</v>
      </c>
      <c r="C401" s="74">
        <v>1</v>
      </c>
      <c r="G401" s="25"/>
      <c r="H401" s="25"/>
    </row>
    <row r="402" spans="1:8" x14ac:dyDescent="0.35">
      <c r="A402" s="25" t="s">
        <v>692</v>
      </c>
      <c r="B402" s="74">
        <v>1</v>
      </c>
      <c r="C402" s="74">
        <v>1</v>
      </c>
      <c r="G402" s="25"/>
      <c r="H402" s="25"/>
    </row>
    <row r="403" spans="1:8" x14ac:dyDescent="0.35">
      <c r="A403" s="25" t="s">
        <v>693</v>
      </c>
      <c r="B403" s="74"/>
      <c r="G403" s="25"/>
      <c r="H403" s="25"/>
    </row>
    <row r="404" spans="1:8" x14ac:dyDescent="0.35">
      <c r="A404" s="25" t="s">
        <v>694</v>
      </c>
      <c r="B404" s="74"/>
      <c r="G404" s="25"/>
      <c r="H404" s="25"/>
    </row>
    <row r="405" spans="1:8" x14ac:dyDescent="0.35">
      <c r="A405" s="25" t="s">
        <v>695</v>
      </c>
      <c r="B405" s="74"/>
      <c r="G405" s="25"/>
      <c r="H405" s="25"/>
    </row>
    <row r="406" spans="1:8" x14ac:dyDescent="0.35">
      <c r="A406" s="25" t="s">
        <v>696</v>
      </c>
      <c r="B406" s="74"/>
      <c r="G406" s="25"/>
      <c r="H406" s="25"/>
    </row>
    <row r="407" spans="1:8" x14ac:dyDescent="0.35">
      <c r="A407" s="25" t="s">
        <v>697</v>
      </c>
      <c r="B407" s="74"/>
      <c r="G407" s="25"/>
      <c r="H407" s="25"/>
    </row>
    <row r="408" spans="1:8" x14ac:dyDescent="0.35">
      <c r="A408" s="25" t="s">
        <v>698</v>
      </c>
      <c r="B408" s="74"/>
      <c r="G408" s="25"/>
      <c r="H408" s="25"/>
    </row>
    <row r="409" spans="1:8" x14ac:dyDescent="0.35">
      <c r="A409" s="25" t="s">
        <v>699</v>
      </c>
      <c r="B409" s="74">
        <v>50</v>
      </c>
      <c r="C409" s="74">
        <v>50</v>
      </c>
      <c r="G409" s="25"/>
      <c r="H409" s="25"/>
    </row>
    <row r="410" spans="1:8" x14ac:dyDescent="0.35">
      <c r="A410" s="25" t="s">
        <v>700</v>
      </c>
      <c r="B410" s="74">
        <v>50</v>
      </c>
      <c r="C410" s="74">
        <v>50</v>
      </c>
      <c r="G410" s="25"/>
      <c r="H410" s="25"/>
    </row>
    <row r="411" spans="1:8" x14ac:dyDescent="0.35">
      <c r="A411" s="25" t="s">
        <v>715</v>
      </c>
      <c r="B411" s="74">
        <v>50</v>
      </c>
      <c r="C411" s="74">
        <v>50</v>
      </c>
      <c r="G411" s="25"/>
      <c r="H411" s="25"/>
    </row>
    <row r="412" spans="1:8" x14ac:dyDescent="0.35">
      <c r="A412" s="25" t="s">
        <v>1345</v>
      </c>
      <c r="B412" s="74">
        <v>50</v>
      </c>
      <c r="C412" s="74">
        <v>50</v>
      </c>
      <c r="G412" s="25"/>
      <c r="H412" s="25"/>
    </row>
    <row r="413" spans="1:8" x14ac:dyDescent="0.35">
      <c r="A413" s="25" t="s">
        <v>1346</v>
      </c>
      <c r="B413" s="74">
        <v>50</v>
      </c>
      <c r="C413" s="74">
        <v>50</v>
      </c>
      <c r="G413" s="25"/>
      <c r="H413" s="25"/>
    </row>
    <row r="414" spans="1:8" x14ac:dyDescent="0.35">
      <c r="A414" t="s">
        <v>215</v>
      </c>
      <c r="B414" s="74">
        <v>50</v>
      </c>
      <c r="C414" s="74">
        <v>50</v>
      </c>
      <c r="G414" s="25"/>
      <c r="H414" s="25"/>
    </row>
    <row r="415" spans="1:8" x14ac:dyDescent="0.35">
      <c r="A415" t="s">
        <v>216</v>
      </c>
      <c r="B415" s="74">
        <v>50</v>
      </c>
      <c r="C415" s="74">
        <v>50</v>
      </c>
      <c r="G415" s="25"/>
      <c r="H415" s="25"/>
    </row>
    <row r="416" spans="1:8" x14ac:dyDescent="0.35">
      <c r="A416" t="s">
        <v>1005</v>
      </c>
      <c r="B416" s="74">
        <v>50</v>
      </c>
      <c r="C416" s="74">
        <v>50</v>
      </c>
      <c r="G416" s="25"/>
      <c r="H416" s="25"/>
    </row>
    <row r="417" spans="1:8" x14ac:dyDescent="0.35">
      <c r="A417" t="s">
        <v>65</v>
      </c>
      <c r="B417" s="74"/>
      <c r="G417" s="25"/>
      <c r="H417" s="25"/>
    </row>
    <row r="418" spans="1:8" x14ac:dyDescent="0.35">
      <c r="A418" t="s">
        <v>66</v>
      </c>
      <c r="B418" s="74">
        <v>50</v>
      </c>
      <c r="C418" s="74">
        <v>50</v>
      </c>
      <c r="G418" s="25"/>
      <c r="H418" s="25"/>
    </row>
    <row r="419" spans="1:8" x14ac:dyDescent="0.35">
      <c r="A419" t="s">
        <v>67</v>
      </c>
      <c r="B419" s="74"/>
      <c r="G419" s="25"/>
      <c r="H419" s="25"/>
    </row>
    <row r="420" spans="1:8" x14ac:dyDescent="0.35">
      <c r="A420" s="25" t="s">
        <v>873</v>
      </c>
      <c r="B420" s="74">
        <v>50</v>
      </c>
      <c r="C420" s="74">
        <v>50</v>
      </c>
      <c r="G420" s="25"/>
      <c r="H420" s="25"/>
    </row>
    <row r="421" spans="1:8" x14ac:dyDescent="0.35">
      <c r="A421" s="25" t="s">
        <v>61</v>
      </c>
      <c r="B421" s="74"/>
      <c r="G421" s="25"/>
      <c r="H421" s="25"/>
    </row>
    <row r="422" spans="1:8" x14ac:dyDescent="0.35">
      <c r="A422" s="25" t="s">
        <v>62</v>
      </c>
      <c r="B422" s="74">
        <v>50</v>
      </c>
      <c r="C422" s="74">
        <v>50</v>
      </c>
      <c r="G422" s="25"/>
      <c r="H422" s="25"/>
    </row>
    <row r="423" spans="1:8" x14ac:dyDescent="0.35">
      <c r="A423" s="25" t="s">
        <v>63</v>
      </c>
      <c r="B423" s="74">
        <v>50</v>
      </c>
      <c r="C423" s="74">
        <v>50</v>
      </c>
      <c r="G423" s="25"/>
      <c r="H423" s="25"/>
    </row>
    <row r="424" spans="1:8" x14ac:dyDescent="0.35">
      <c r="A424" s="25" t="s">
        <v>64</v>
      </c>
      <c r="B424" s="74">
        <v>50</v>
      </c>
      <c r="C424" s="74">
        <v>50</v>
      </c>
      <c r="G424" s="25"/>
      <c r="H424" s="25"/>
    </row>
    <row r="425" spans="1:8" x14ac:dyDescent="0.35">
      <c r="A425" s="25" t="s">
        <v>874</v>
      </c>
      <c r="B425" s="74">
        <v>1</v>
      </c>
      <c r="C425" s="74">
        <v>1</v>
      </c>
      <c r="G425" s="25"/>
      <c r="H425" s="25"/>
    </row>
    <row r="426" spans="1:8" x14ac:dyDescent="0.35">
      <c r="A426" s="25" t="s">
        <v>875</v>
      </c>
      <c r="B426" s="74">
        <v>50</v>
      </c>
      <c r="C426" s="74">
        <v>50</v>
      </c>
      <c r="G426" s="25"/>
      <c r="H426" s="25"/>
    </row>
    <row r="427" spans="1:8" x14ac:dyDescent="0.35">
      <c r="A427" s="25" t="s">
        <v>1338</v>
      </c>
      <c r="B427" s="74">
        <v>50</v>
      </c>
      <c r="C427" s="74">
        <v>50</v>
      </c>
      <c r="G427" s="25"/>
      <c r="H427" s="25"/>
    </row>
    <row r="428" spans="1:8" x14ac:dyDescent="0.35">
      <c r="A428" s="25" t="s">
        <v>758</v>
      </c>
      <c r="B428" s="74">
        <v>50</v>
      </c>
      <c r="C428" s="74">
        <v>50</v>
      </c>
      <c r="G428" s="25"/>
      <c r="H428" s="25"/>
    </row>
    <row r="429" spans="1:8" x14ac:dyDescent="0.35">
      <c r="A429" s="25" t="s">
        <v>759</v>
      </c>
      <c r="B429" s="74">
        <v>50</v>
      </c>
      <c r="C429" s="74">
        <v>50</v>
      </c>
      <c r="G429" s="25"/>
      <c r="H429" s="25"/>
    </row>
    <row r="430" spans="1:8" x14ac:dyDescent="0.35">
      <c r="A430" s="25" t="s">
        <v>760</v>
      </c>
      <c r="B430" s="74">
        <v>50</v>
      </c>
      <c r="C430" s="74">
        <v>50</v>
      </c>
      <c r="G430" s="25"/>
      <c r="H430" s="25"/>
    </row>
    <row r="431" spans="1:8" x14ac:dyDescent="0.35">
      <c r="A431" s="25" t="s">
        <v>1155</v>
      </c>
      <c r="B431" s="74">
        <v>50</v>
      </c>
      <c r="C431" s="74">
        <v>50</v>
      </c>
      <c r="G431" s="25"/>
      <c r="H431" s="25"/>
    </row>
    <row r="432" spans="1:8" x14ac:dyDescent="0.35">
      <c r="A432" s="25" t="s">
        <v>1156</v>
      </c>
      <c r="B432" s="74">
        <v>4</v>
      </c>
      <c r="C432" s="74">
        <v>4</v>
      </c>
      <c r="G432" s="25"/>
      <c r="H432" s="25"/>
    </row>
    <row r="433" spans="1:8" x14ac:dyDescent="0.35">
      <c r="A433" s="25" t="s">
        <v>1157</v>
      </c>
      <c r="B433" s="74">
        <v>4</v>
      </c>
      <c r="C433" s="74">
        <v>4</v>
      </c>
      <c r="G433" s="25"/>
      <c r="H433" s="25"/>
    </row>
    <row r="434" spans="1:8" x14ac:dyDescent="0.35">
      <c r="A434" s="25" t="s">
        <v>1158</v>
      </c>
      <c r="B434" s="74">
        <v>4</v>
      </c>
      <c r="C434" s="74">
        <v>4</v>
      </c>
      <c r="G434" s="25"/>
      <c r="H434" s="25"/>
    </row>
    <row r="435" spans="1:8" x14ac:dyDescent="0.35">
      <c r="A435" s="25" t="s">
        <v>1020</v>
      </c>
      <c r="B435" s="74">
        <v>4</v>
      </c>
      <c r="C435" s="74">
        <v>4</v>
      </c>
      <c r="G435" s="25"/>
      <c r="H435" s="25"/>
    </row>
    <row r="436" spans="1:8" x14ac:dyDescent="0.35">
      <c r="A436" s="25" t="s">
        <v>1114</v>
      </c>
      <c r="B436" s="74">
        <v>4</v>
      </c>
      <c r="C436" s="74">
        <v>4</v>
      </c>
      <c r="G436" s="25"/>
      <c r="H436" s="25"/>
    </row>
    <row r="437" spans="1:8" x14ac:dyDescent="0.35">
      <c r="A437" s="25" t="s">
        <v>1115</v>
      </c>
      <c r="B437" s="74">
        <v>4</v>
      </c>
      <c r="C437" s="74">
        <v>4</v>
      </c>
      <c r="G437" s="25"/>
      <c r="H437" s="25"/>
    </row>
    <row r="438" spans="1:8" x14ac:dyDescent="0.35">
      <c r="A438" s="25" t="s">
        <v>1116</v>
      </c>
      <c r="B438" s="74">
        <v>4</v>
      </c>
      <c r="C438" s="74">
        <v>4</v>
      </c>
      <c r="G438" s="25"/>
      <c r="H438" s="25"/>
    </row>
    <row r="439" spans="1:8" x14ac:dyDescent="0.35">
      <c r="A439" s="25" t="s">
        <v>1117</v>
      </c>
      <c r="B439" s="74">
        <v>4</v>
      </c>
      <c r="C439" s="74">
        <v>4</v>
      </c>
      <c r="G439" s="25"/>
      <c r="H439" s="25"/>
    </row>
    <row r="440" spans="1:8" x14ac:dyDescent="0.35">
      <c r="A440" s="25" t="s">
        <v>1018</v>
      </c>
      <c r="B440" s="74">
        <v>4</v>
      </c>
      <c r="C440" s="74">
        <v>4</v>
      </c>
      <c r="G440" s="25"/>
      <c r="H440" s="25"/>
    </row>
    <row r="441" spans="1:8" x14ac:dyDescent="0.35">
      <c r="A441" s="25" t="s">
        <v>1019</v>
      </c>
      <c r="B441" s="74">
        <v>4</v>
      </c>
      <c r="C441" s="74">
        <v>4</v>
      </c>
      <c r="G441" s="25"/>
      <c r="H441" s="25"/>
    </row>
    <row r="442" spans="1:8" x14ac:dyDescent="0.35">
      <c r="A442" s="25" t="s">
        <v>1014</v>
      </c>
      <c r="B442" s="74">
        <v>4</v>
      </c>
      <c r="C442" s="74">
        <v>4</v>
      </c>
      <c r="G442" s="25"/>
      <c r="H442" s="25"/>
    </row>
    <row r="443" spans="1:8" x14ac:dyDescent="0.35">
      <c r="A443" s="25" t="s">
        <v>1015</v>
      </c>
      <c r="B443" s="74">
        <v>4</v>
      </c>
      <c r="C443" s="74">
        <v>4</v>
      </c>
      <c r="G443" s="25"/>
      <c r="H443" s="25"/>
    </row>
    <row r="444" spans="1:8" x14ac:dyDescent="0.35">
      <c r="A444" s="25" t="s">
        <v>1016</v>
      </c>
      <c r="B444" s="74">
        <v>4</v>
      </c>
      <c r="C444" s="74">
        <v>4</v>
      </c>
      <c r="G444" s="25"/>
      <c r="H444" s="25"/>
    </row>
    <row r="445" spans="1:8" x14ac:dyDescent="0.35">
      <c r="A445" s="25" t="s">
        <v>1000</v>
      </c>
      <c r="B445" s="74">
        <v>4</v>
      </c>
      <c r="C445" s="74">
        <v>4</v>
      </c>
      <c r="G445" s="25"/>
      <c r="H445" s="25"/>
    </row>
    <row r="446" spans="1:8" x14ac:dyDescent="0.35">
      <c r="A446" s="25" t="s">
        <v>1001</v>
      </c>
      <c r="B446" s="74">
        <v>4</v>
      </c>
      <c r="C446" s="74">
        <v>4</v>
      </c>
      <c r="G446" s="25"/>
      <c r="H446" s="25"/>
    </row>
    <row r="447" spans="1:8" x14ac:dyDescent="0.35">
      <c r="A447" s="25" t="s">
        <v>1002</v>
      </c>
      <c r="B447" s="74">
        <v>1</v>
      </c>
      <c r="C447" s="74">
        <v>1</v>
      </c>
      <c r="G447" s="25"/>
      <c r="H447" s="25"/>
    </row>
    <row r="448" spans="1:8" x14ac:dyDescent="0.35">
      <c r="A448" s="25" t="s">
        <v>1003</v>
      </c>
      <c r="B448" s="74"/>
      <c r="G448" s="25"/>
      <c r="H448" s="25"/>
    </row>
    <row r="449" spans="1:8" x14ac:dyDescent="0.35">
      <c r="A449" s="25" t="s">
        <v>1004</v>
      </c>
      <c r="B449" s="74"/>
      <c r="G449" s="25"/>
      <c r="H449" s="25"/>
    </row>
    <row r="450" spans="1:8" x14ac:dyDescent="0.35">
      <c r="A450" s="25" t="s">
        <v>1240</v>
      </c>
      <c r="B450" s="74"/>
      <c r="G450" s="25"/>
      <c r="H450" s="25"/>
    </row>
    <row r="451" spans="1:8" x14ac:dyDescent="0.35">
      <c r="A451" s="25" t="s">
        <v>1241</v>
      </c>
      <c r="B451" s="74"/>
      <c r="G451" s="25"/>
      <c r="H451" s="25"/>
    </row>
    <row r="452" spans="1:8" x14ac:dyDescent="0.35">
      <c r="A452" s="25" t="s">
        <v>1242</v>
      </c>
      <c r="B452" s="74"/>
      <c r="G452" s="25"/>
      <c r="H452" s="25"/>
    </row>
    <row r="453" spans="1:8" x14ac:dyDescent="0.35">
      <c r="A453" s="25" t="s">
        <v>1243</v>
      </c>
      <c r="B453" s="74"/>
      <c r="G453" s="25"/>
      <c r="H453" s="25"/>
    </row>
    <row r="454" spans="1:8" x14ac:dyDescent="0.35">
      <c r="A454" s="25" t="s">
        <v>1244</v>
      </c>
      <c r="B454" s="74"/>
      <c r="G454" s="25"/>
      <c r="H454" s="25"/>
    </row>
    <row r="455" spans="1:8" x14ac:dyDescent="0.35">
      <c r="A455" s="25" t="s">
        <v>1245</v>
      </c>
      <c r="B455" s="74"/>
      <c r="G455" s="25"/>
      <c r="H455" s="25"/>
    </row>
    <row r="456" spans="1:8" x14ac:dyDescent="0.35">
      <c r="A456" s="25" t="s">
        <v>1246</v>
      </c>
      <c r="B456" s="74"/>
      <c r="G456" s="25"/>
      <c r="H456" s="25"/>
    </row>
    <row r="457" spans="1:8" x14ac:dyDescent="0.35">
      <c r="A457" s="25" t="s">
        <v>1247</v>
      </c>
      <c r="B457" s="74"/>
      <c r="G457" s="25"/>
      <c r="H457" s="25"/>
    </row>
    <row r="458" spans="1:8" x14ac:dyDescent="0.35">
      <c r="A458" s="25" t="s">
        <v>1248</v>
      </c>
      <c r="B458" s="74"/>
      <c r="G458" s="25"/>
      <c r="H458" s="25"/>
    </row>
    <row r="459" spans="1:8" x14ac:dyDescent="0.35">
      <c r="A459" s="25" t="s">
        <v>1249</v>
      </c>
      <c r="B459" s="74"/>
      <c r="G459" s="25"/>
      <c r="H459" s="25"/>
    </row>
    <row r="460" spans="1:8" x14ac:dyDescent="0.35">
      <c r="A460" s="25" t="s">
        <v>1250</v>
      </c>
      <c r="B460" s="74"/>
      <c r="G460" s="25"/>
      <c r="H460" s="25"/>
    </row>
    <row r="461" spans="1:8" x14ac:dyDescent="0.35">
      <c r="A461" s="25" t="s">
        <v>1251</v>
      </c>
      <c r="B461" s="74"/>
      <c r="G461" s="25"/>
      <c r="H461" s="25"/>
    </row>
    <row r="462" spans="1:8" x14ac:dyDescent="0.35">
      <c r="A462" s="25" t="s">
        <v>1252</v>
      </c>
      <c r="B462" s="74"/>
      <c r="G462" s="25"/>
      <c r="H462" s="25"/>
    </row>
    <row r="463" spans="1:8" x14ac:dyDescent="0.35">
      <c r="A463" s="25" t="s">
        <v>904</v>
      </c>
      <c r="B463" s="74"/>
      <c r="G463" s="25"/>
      <c r="H463" s="25"/>
    </row>
    <row r="464" spans="1:8" x14ac:dyDescent="0.35">
      <c r="A464" s="25" t="s">
        <v>905</v>
      </c>
      <c r="B464" s="74"/>
      <c r="G464" s="25"/>
      <c r="H464" s="25"/>
    </row>
    <row r="465" spans="1:8" x14ac:dyDescent="0.35">
      <c r="A465" s="25" t="s">
        <v>906</v>
      </c>
      <c r="B465" s="74"/>
      <c r="G465" s="25"/>
      <c r="H465" s="25"/>
    </row>
    <row r="466" spans="1:8" x14ac:dyDescent="0.35">
      <c r="A466" s="25" t="s">
        <v>365</v>
      </c>
      <c r="B466" s="74"/>
      <c r="G466" s="25"/>
      <c r="H466" s="25"/>
    </row>
    <row r="467" spans="1:8" x14ac:dyDescent="0.35">
      <c r="A467" s="25" t="s">
        <v>366</v>
      </c>
      <c r="B467" s="74"/>
      <c r="G467" s="25"/>
      <c r="H467" s="25"/>
    </row>
    <row r="468" spans="1:8" x14ac:dyDescent="0.35">
      <c r="A468" s="25" t="s">
        <v>367</v>
      </c>
      <c r="B468" s="74"/>
      <c r="G468" s="25"/>
      <c r="H468" s="25"/>
    </row>
    <row r="469" spans="1:8" x14ac:dyDescent="0.35">
      <c r="A469" s="25" t="s">
        <v>368</v>
      </c>
      <c r="B469" s="74"/>
      <c r="G469" s="25"/>
      <c r="H469" s="25"/>
    </row>
    <row r="470" spans="1:8" x14ac:dyDescent="0.35">
      <c r="A470" s="25" t="s">
        <v>369</v>
      </c>
      <c r="B470" s="74"/>
      <c r="G470" s="25"/>
      <c r="H470" s="25"/>
    </row>
    <row r="471" spans="1:8" x14ac:dyDescent="0.35">
      <c r="A471" s="25" t="s">
        <v>370</v>
      </c>
      <c r="B471" s="74"/>
      <c r="G471" s="25"/>
      <c r="H471" s="25"/>
    </row>
    <row r="472" spans="1:8" x14ac:dyDescent="0.35">
      <c r="A472" s="25" t="s">
        <v>907</v>
      </c>
      <c r="B472" s="74"/>
      <c r="D472" s="74">
        <v>50</v>
      </c>
      <c r="G472" s="25"/>
      <c r="H472" s="25"/>
    </row>
    <row r="473" spans="1:8" x14ac:dyDescent="0.35">
      <c r="A473" s="25" t="s">
        <v>908</v>
      </c>
      <c r="B473" s="74"/>
      <c r="D473" s="74">
        <v>50</v>
      </c>
      <c r="G473" s="25"/>
      <c r="H473" s="25"/>
    </row>
    <row r="474" spans="1:8" x14ac:dyDescent="0.35">
      <c r="A474" s="25" t="s">
        <v>909</v>
      </c>
      <c r="B474" s="74"/>
      <c r="D474" s="74">
        <v>50</v>
      </c>
      <c r="G474" s="25"/>
      <c r="H474" s="25"/>
    </row>
    <row r="475" spans="1:8" x14ac:dyDescent="0.35">
      <c r="A475" s="25" t="s">
        <v>567</v>
      </c>
      <c r="B475" s="74"/>
      <c r="D475" s="74">
        <v>50</v>
      </c>
      <c r="G475" s="25"/>
      <c r="H475" s="25"/>
    </row>
    <row r="476" spans="1:8" x14ac:dyDescent="0.35">
      <c r="A476" s="25" t="s">
        <v>568</v>
      </c>
      <c r="B476" s="74"/>
      <c r="D476" s="74">
        <v>50</v>
      </c>
      <c r="G476" s="25"/>
      <c r="H476" s="25"/>
    </row>
    <row r="477" spans="1:8" x14ac:dyDescent="0.35">
      <c r="A477" s="25" t="s">
        <v>569</v>
      </c>
      <c r="B477" s="74"/>
      <c r="D477" s="74">
        <v>50</v>
      </c>
      <c r="G477" s="25"/>
      <c r="H477" s="25"/>
    </row>
    <row r="478" spans="1:8" x14ac:dyDescent="0.35">
      <c r="A478" s="25" t="s">
        <v>570</v>
      </c>
      <c r="B478" s="74"/>
      <c r="D478" s="74">
        <v>50</v>
      </c>
      <c r="G478" s="25"/>
      <c r="H478" s="25"/>
    </row>
    <row r="479" spans="1:8" x14ac:dyDescent="0.35">
      <c r="A479" s="25" t="s">
        <v>571</v>
      </c>
      <c r="B479" s="74"/>
      <c r="D479" s="74">
        <v>50</v>
      </c>
      <c r="G479" s="25"/>
      <c r="H479" s="25"/>
    </row>
    <row r="480" spans="1:8" x14ac:dyDescent="0.35">
      <c r="A480" s="25" t="s">
        <v>572</v>
      </c>
      <c r="B480" s="74"/>
      <c r="D480" s="74"/>
      <c r="G480" s="25"/>
      <c r="H480" s="25"/>
    </row>
    <row r="481" spans="1:8" x14ac:dyDescent="0.35">
      <c r="A481" s="25" t="s">
        <v>573</v>
      </c>
      <c r="B481" s="74"/>
      <c r="D481" s="74">
        <v>50</v>
      </c>
      <c r="G481" s="25"/>
      <c r="H481" s="25"/>
    </row>
    <row r="482" spans="1:8" x14ac:dyDescent="0.35">
      <c r="A482" s="25" t="s">
        <v>574</v>
      </c>
      <c r="B482" s="74"/>
      <c r="D482" s="74"/>
      <c r="G482" s="25"/>
      <c r="H482" s="25"/>
    </row>
    <row r="483" spans="1:8" x14ac:dyDescent="0.35">
      <c r="A483" s="25" t="s">
        <v>575</v>
      </c>
      <c r="B483" s="74"/>
      <c r="D483" s="74">
        <v>50</v>
      </c>
      <c r="G483" s="25"/>
      <c r="H483" s="25"/>
    </row>
    <row r="484" spans="1:8" x14ac:dyDescent="0.35">
      <c r="A484" s="25" t="s">
        <v>576</v>
      </c>
      <c r="B484" s="74"/>
      <c r="D484" s="74"/>
      <c r="G484" s="25"/>
      <c r="H484" s="25"/>
    </row>
    <row r="485" spans="1:8" x14ac:dyDescent="0.35">
      <c r="A485" s="25" t="s">
        <v>577</v>
      </c>
      <c r="B485" s="74"/>
      <c r="D485" s="74">
        <v>50</v>
      </c>
      <c r="G485" s="25"/>
      <c r="H485" s="25"/>
    </row>
    <row r="486" spans="1:8" x14ac:dyDescent="0.35">
      <c r="A486" s="25" t="s">
        <v>578</v>
      </c>
      <c r="B486" s="74"/>
      <c r="D486" s="74">
        <v>50</v>
      </c>
      <c r="G486" s="25"/>
      <c r="H486" s="25"/>
    </row>
    <row r="487" spans="1:8" x14ac:dyDescent="0.35">
      <c r="A487" s="25" t="s">
        <v>579</v>
      </c>
      <c r="B487" s="74"/>
      <c r="D487" s="74">
        <v>50</v>
      </c>
      <c r="G487" s="25"/>
      <c r="H487" s="25"/>
    </row>
    <row r="488" spans="1:8" x14ac:dyDescent="0.35">
      <c r="A488" s="25" t="s">
        <v>580</v>
      </c>
      <c r="B488" s="74"/>
      <c r="D488" s="74">
        <v>50</v>
      </c>
      <c r="G488" s="25"/>
      <c r="H488" s="25"/>
    </row>
    <row r="489" spans="1:8" x14ac:dyDescent="0.35">
      <c r="A489" s="25" t="s">
        <v>581</v>
      </c>
      <c r="B489" s="74"/>
      <c r="D489" s="74">
        <v>50</v>
      </c>
      <c r="G489" s="25"/>
      <c r="H489" s="25"/>
    </row>
    <row r="490" spans="1:8" x14ac:dyDescent="0.35">
      <c r="A490" s="25" t="s">
        <v>582</v>
      </c>
      <c r="B490" s="74"/>
      <c r="D490" s="74">
        <v>50</v>
      </c>
      <c r="G490" s="25"/>
      <c r="H490" s="25"/>
    </row>
    <row r="491" spans="1:8" x14ac:dyDescent="0.35">
      <c r="A491" s="25" t="s">
        <v>583</v>
      </c>
      <c r="B491" s="74"/>
      <c r="D491" s="74">
        <v>50</v>
      </c>
      <c r="G491" s="25"/>
      <c r="H491" s="25"/>
    </row>
    <row r="492" spans="1:8" x14ac:dyDescent="0.35">
      <c r="A492" s="25" t="s">
        <v>584</v>
      </c>
      <c r="B492" s="74"/>
      <c r="D492" s="74">
        <v>50</v>
      </c>
      <c r="G492" s="25"/>
      <c r="H492" s="25"/>
    </row>
    <row r="493" spans="1:8" x14ac:dyDescent="0.35">
      <c r="A493" s="25" t="s">
        <v>585</v>
      </c>
      <c r="B493" s="74"/>
      <c r="D493" s="74">
        <v>50</v>
      </c>
      <c r="G493" s="25"/>
      <c r="H493" s="25"/>
    </row>
    <row r="494" spans="1:8" x14ac:dyDescent="0.35">
      <c r="A494" s="25" t="s">
        <v>929</v>
      </c>
      <c r="B494" s="74"/>
      <c r="D494" s="74">
        <v>50</v>
      </c>
      <c r="G494" s="25"/>
      <c r="H494" s="25"/>
    </row>
    <row r="495" spans="1:8" x14ac:dyDescent="0.35">
      <c r="A495" s="25" t="s">
        <v>930</v>
      </c>
      <c r="B495" s="74"/>
      <c r="G495" s="25"/>
      <c r="H495" s="25"/>
    </row>
    <row r="496" spans="1:8" x14ac:dyDescent="0.35">
      <c r="A496" s="25" t="s">
        <v>1217</v>
      </c>
      <c r="B496" s="74"/>
      <c r="G496" s="25"/>
      <c r="H496" s="25"/>
    </row>
    <row r="497" spans="1:8" x14ac:dyDescent="0.35">
      <c r="A497" s="25" t="s">
        <v>742</v>
      </c>
      <c r="B497" s="74"/>
      <c r="G497" s="25"/>
      <c r="H497" s="25"/>
    </row>
    <row r="498" spans="1:8" x14ac:dyDescent="0.35">
      <c r="A498" s="25" t="s">
        <v>743</v>
      </c>
      <c r="B498" s="74"/>
      <c r="G498" s="25"/>
      <c r="H498" s="25"/>
    </row>
    <row r="499" spans="1:8" x14ac:dyDescent="0.35">
      <c r="A499" s="25" t="s">
        <v>523</v>
      </c>
      <c r="B499" s="74"/>
      <c r="G499" s="25"/>
      <c r="H499" s="25"/>
    </row>
    <row r="500" spans="1:8" x14ac:dyDescent="0.35">
      <c r="A500" s="25" t="s">
        <v>524</v>
      </c>
      <c r="B500" s="74"/>
      <c r="G500" s="25"/>
      <c r="H500" s="25"/>
    </row>
    <row r="501" spans="1:8" x14ac:dyDescent="0.35">
      <c r="A501" s="25" t="s">
        <v>525</v>
      </c>
      <c r="B501" s="74"/>
      <c r="G501" s="25"/>
      <c r="H501" s="25"/>
    </row>
    <row r="502" spans="1:8" x14ac:dyDescent="0.35">
      <c r="A502" s="25" t="s">
        <v>526</v>
      </c>
      <c r="B502" s="74"/>
      <c r="G502" s="25"/>
      <c r="H502" s="25"/>
    </row>
    <row r="503" spans="1:8" x14ac:dyDescent="0.35">
      <c r="A503" s="25" t="s">
        <v>527</v>
      </c>
      <c r="B503" s="74"/>
      <c r="G503" s="25"/>
      <c r="H503" s="25"/>
    </row>
    <row r="504" spans="1:8" x14ac:dyDescent="0.35">
      <c r="A504" s="25" t="s">
        <v>371</v>
      </c>
      <c r="B504" s="74"/>
      <c r="G504" s="25"/>
      <c r="H504" s="25"/>
    </row>
    <row r="505" spans="1:8" x14ac:dyDescent="0.35">
      <c r="A505" s="25" t="s">
        <v>1339</v>
      </c>
      <c r="B505" s="74"/>
      <c r="G505" s="25"/>
      <c r="H505" s="25"/>
    </row>
    <row r="506" spans="1:8" x14ac:dyDescent="0.35">
      <c r="A506" s="25" t="s">
        <v>1340</v>
      </c>
      <c r="B506" s="74"/>
      <c r="G506" s="25"/>
      <c r="H506" s="25"/>
    </row>
    <row r="507" spans="1:8" x14ac:dyDescent="0.35">
      <c r="A507" s="25" t="s">
        <v>1341</v>
      </c>
      <c r="B507" s="74"/>
      <c r="G507" s="25"/>
      <c r="H507" s="25"/>
    </row>
    <row r="508" spans="1:8" x14ac:dyDescent="0.35">
      <c r="A508" s="25" t="s">
        <v>1342</v>
      </c>
      <c r="B508" s="74"/>
      <c r="G508" s="25"/>
      <c r="H508" s="25"/>
    </row>
    <row r="509" spans="1:8" x14ac:dyDescent="0.35">
      <c r="A509" s="25" t="s">
        <v>1343</v>
      </c>
      <c r="B509" s="74"/>
      <c r="G509" s="25"/>
      <c r="H509" s="25"/>
    </row>
    <row r="510" spans="1:8" x14ac:dyDescent="0.35">
      <c r="A510" s="25" t="s">
        <v>1344</v>
      </c>
      <c r="B510" s="74"/>
      <c r="G510" s="25"/>
      <c r="H510" s="25"/>
    </row>
    <row r="511" spans="1:8" x14ac:dyDescent="0.35">
      <c r="A511" s="25" t="s">
        <v>137</v>
      </c>
      <c r="B511" s="74"/>
      <c r="G511" s="25"/>
      <c r="H511" s="25"/>
    </row>
    <row r="512" spans="1:8" x14ac:dyDescent="0.35">
      <c r="A512" s="25" t="s">
        <v>138</v>
      </c>
      <c r="B512" s="74"/>
      <c r="G512" s="25"/>
      <c r="H512" s="25"/>
    </row>
    <row r="513" spans="1:8" x14ac:dyDescent="0.35">
      <c r="A513" s="25" t="s">
        <v>139</v>
      </c>
      <c r="B513" s="74"/>
      <c r="G513" s="25"/>
      <c r="H513" s="25"/>
    </row>
    <row r="514" spans="1:8" x14ac:dyDescent="0.35">
      <c r="A514" s="25" t="s">
        <v>140</v>
      </c>
      <c r="B514" s="74"/>
      <c r="G514" s="25"/>
      <c r="H514" s="25"/>
    </row>
    <row r="515" spans="1:8" x14ac:dyDescent="0.35">
      <c r="A515" s="25" t="s">
        <v>141</v>
      </c>
      <c r="B515" s="74"/>
      <c r="G515" s="25"/>
      <c r="H515" s="25"/>
    </row>
    <row r="516" spans="1:8" x14ac:dyDescent="0.35">
      <c r="A516" s="25" t="s">
        <v>142</v>
      </c>
      <c r="B516" s="74"/>
      <c r="G516" s="25"/>
      <c r="H516" s="25"/>
    </row>
    <row r="517" spans="1:8" x14ac:dyDescent="0.35">
      <c r="A517" s="25" t="s">
        <v>427</v>
      </c>
      <c r="B517" s="74"/>
      <c r="G517" s="25"/>
      <c r="H517" s="25"/>
    </row>
    <row r="518" spans="1:8" x14ac:dyDescent="0.35">
      <c r="A518" s="25" t="s">
        <v>236</v>
      </c>
      <c r="B518" s="74"/>
      <c r="G518" s="25"/>
      <c r="H518" s="25"/>
    </row>
    <row r="519" spans="1:8" x14ac:dyDescent="0.35">
      <c r="A519" s="25" t="s">
        <v>237</v>
      </c>
      <c r="B519" s="74"/>
      <c r="G519" s="25"/>
      <c r="H519" s="25"/>
    </row>
    <row r="520" spans="1:8" x14ac:dyDescent="0.35">
      <c r="A520" s="25" t="s">
        <v>110</v>
      </c>
      <c r="B520" s="74"/>
      <c r="G520" s="25"/>
      <c r="H520" s="25"/>
    </row>
    <row r="521" spans="1:8" x14ac:dyDescent="0.35">
      <c r="A521" s="25" t="s">
        <v>111</v>
      </c>
      <c r="B521" s="74"/>
      <c r="G521" s="25"/>
      <c r="H521" s="25"/>
    </row>
    <row r="522" spans="1:8" x14ac:dyDescent="0.35">
      <c r="A522" s="25" t="s">
        <v>987</v>
      </c>
      <c r="B522" s="74"/>
      <c r="G522" s="25"/>
      <c r="H522" s="25"/>
    </row>
    <row r="523" spans="1:8" x14ac:dyDescent="0.35">
      <c r="A523" s="25" t="s">
        <v>988</v>
      </c>
      <c r="B523" s="74"/>
      <c r="G523" s="25"/>
      <c r="H523" s="25"/>
    </row>
    <row r="524" spans="1:8" x14ac:dyDescent="0.35">
      <c r="A524" s="25" t="s">
        <v>989</v>
      </c>
      <c r="B524" s="74"/>
      <c r="G524" s="25"/>
      <c r="H524" s="25"/>
    </row>
    <row r="525" spans="1:8" x14ac:dyDescent="0.35">
      <c r="A525" s="25" t="s">
        <v>922</v>
      </c>
      <c r="B525" s="74"/>
      <c r="G525" s="25"/>
      <c r="H525" s="25"/>
    </row>
    <row r="526" spans="1:8" x14ac:dyDescent="0.35">
      <c r="A526" s="25" t="s">
        <v>968</v>
      </c>
      <c r="B526" s="74"/>
      <c r="G526" s="25"/>
      <c r="H526" s="25"/>
    </row>
    <row r="527" spans="1:8" x14ac:dyDescent="0.35">
      <c r="A527" s="25" t="s">
        <v>969</v>
      </c>
      <c r="B527" s="74">
        <v>1500</v>
      </c>
      <c r="C527" s="74">
        <v>1500</v>
      </c>
      <c r="G527" s="25"/>
      <c r="H527" s="25"/>
    </row>
    <row r="528" spans="1:8" x14ac:dyDescent="0.35">
      <c r="A528" s="25" t="s">
        <v>970</v>
      </c>
      <c r="B528" s="74">
        <v>1500</v>
      </c>
      <c r="C528" s="74">
        <v>1500</v>
      </c>
      <c r="G528" s="25"/>
      <c r="H528" s="25"/>
    </row>
    <row r="529" spans="1:8" x14ac:dyDescent="0.35">
      <c r="A529" s="25" t="s">
        <v>971</v>
      </c>
      <c r="B529" s="74">
        <v>1500</v>
      </c>
      <c r="C529" s="74">
        <v>1500</v>
      </c>
      <c r="G529" s="25"/>
      <c r="H529" s="25"/>
    </row>
    <row r="530" spans="1:8" x14ac:dyDescent="0.35">
      <c r="A530" s="25" t="s">
        <v>131</v>
      </c>
      <c r="B530" s="74">
        <v>1500</v>
      </c>
      <c r="C530" s="74">
        <v>1500</v>
      </c>
      <c r="G530" s="25"/>
      <c r="H530" s="25"/>
    </row>
    <row r="531" spans="1:8" x14ac:dyDescent="0.35">
      <c r="A531" s="25" t="s">
        <v>132</v>
      </c>
      <c r="B531" s="74">
        <v>1500</v>
      </c>
      <c r="C531" s="74">
        <v>1500</v>
      </c>
      <c r="G531" s="25"/>
      <c r="H531" s="25"/>
    </row>
    <row r="532" spans="1:8" x14ac:dyDescent="0.35">
      <c r="A532" s="25" t="s">
        <v>217</v>
      </c>
      <c r="B532" s="74">
        <v>1500</v>
      </c>
      <c r="C532" s="74">
        <v>1500</v>
      </c>
      <c r="G532" s="25"/>
      <c r="H532" s="25"/>
    </row>
    <row r="533" spans="1:8" x14ac:dyDescent="0.35">
      <c r="A533" s="25" t="s">
        <v>218</v>
      </c>
      <c r="B533" s="74">
        <v>1500</v>
      </c>
      <c r="C533" s="74">
        <v>1500</v>
      </c>
      <c r="G533" s="25"/>
      <c r="H533" s="25"/>
    </row>
    <row r="534" spans="1:8" x14ac:dyDescent="0.35">
      <c r="A534" s="25" t="s">
        <v>744</v>
      </c>
      <c r="B534" s="74">
        <v>1500</v>
      </c>
      <c r="C534" s="74">
        <v>1500</v>
      </c>
      <c r="G534" s="25"/>
      <c r="H534" s="25"/>
    </row>
    <row r="535" spans="1:8" x14ac:dyDescent="0.35">
      <c r="A535" s="25" t="s">
        <v>752</v>
      </c>
      <c r="B535" s="74">
        <v>1500</v>
      </c>
      <c r="C535" s="74">
        <v>1500</v>
      </c>
      <c r="G535" s="25"/>
      <c r="H535" s="25"/>
    </row>
    <row r="536" spans="1:8" x14ac:dyDescent="0.35">
      <c r="A536" s="25" t="s">
        <v>753</v>
      </c>
      <c r="B536" s="74">
        <v>1500</v>
      </c>
      <c r="C536" s="74">
        <v>1500</v>
      </c>
      <c r="G536" s="25"/>
      <c r="H536" s="25"/>
    </row>
    <row r="537" spans="1:8" x14ac:dyDescent="0.35">
      <c r="A537" s="25" t="s">
        <v>754</v>
      </c>
      <c r="B537" s="74">
        <v>1500</v>
      </c>
      <c r="C537" s="74">
        <v>1500</v>
      </c>
      <c r="G537" s="25"/>
      <c r="H537" s="25"/>
    </row>
    <row r="538" spans="1:8" x14ac:dyDescent="0.35">
      <c r="A538" s="25" t="s">
        <v>755</v>
      </c>
      <c r="B538" s="74">
        <v>1500</v>
      </c>
      <c r="C538" s="74">
        <v>1500</v>
      </c>
      <c r="G538" s="25"/>
      <c r="H538" s="25"/>
    </row>
    <row r="539" spans="1:8" x14ac:dyDescent="0.35">
      <c r="A539" s="25" t="s">
        <v>756</v>
      </c>
      <c r="B539" s="74">
        <v>1500</v>
      </c>
      <c r="C539" s="74">
        <v>1500</v>
      </c>
      <c r="G539" s="25"/>
      <c r="H539" s="25"/>
    </row>
    <row r="540" spans="1:8" x14ac:dyDescent="0.35">
      <c r="A540" s="25" t="s">
        <v>757</v>
      </c>
      <c r="B540" s="74">
        <v>1500</v>
      </c>
      <c r="C540" s="74">
        <v>1500</v>
      </c>
      <c r="G540" s="25"/>
      <c r="H540" s="25"/>
    </row>
    <row r="541" spans="1:8" x14ac:dyDescent="0.35">
      <c r="A541" s="25" t="s">
        <v>751</v>
      </c>
      <c r="B541" s="74">
        <v>1500</v>
      </c>
      <c r="C541" s="74">
        <v>1500</v>
      </c>
      <c r="G541" s="25"/>
      <c r="H541" s="25"/>
    </row>
    <row r="542" spans="1:8" x14ac:dyDescent="0.35">
      <c r="A542" s="25" t="s">
        <v>107</v>
      </c>
      <c r="B542" s="74">
        <v>1500</v>
      </c>
      <c r="C542" s="74">
        <v>1500</v>
      </c>
      <c r="G542" s="25"/>
      <c r="H542" s="25"/>
    </row>
    <row r="543" spans="1:8" x14ac:dyDescent="0.35">
      <c r="A543" s="25" t="s">
        <v>108</v>
      </c>
      <c r="B543" s="74">
        <v>1500</v>
      </c>
      <c r="C543" s="74">
        <v>1500</v>
      </c>
      <c r="G543" s="25"/>
      <c r="H543" s="25"/>
    </row>
    <row r="544" spans="1:8" x14ac:dyDescent="0.35">
      <c r="A544" s="25" t="s">
        <v>109</v>
      </c>
      <c r="B544" s="74">
        <v>1500</v>
      </c>
      <c r="C544" s="74">
        <v>1500</v>
      </c>
      <c r="G544" s="25"/>
      <c r="H544" s="25"/>
    </row>
    <row r="545" spans="1:8" x14ac:dyDescent="0.35">
      <c r="A545" s="25" t="s">
        <v>539</v>
      </c>
      <c r="B545" s="74">
        <v>1500</v>
      </c>
      <c r="C545" s="74">
        <v>1500</v>
      </c>
      <c r="G545" s="25"/>
      <c r="H545" s="25"/>
    </row>
    <row r="546" spans="1:8" x14ac:dyDescent="0.35">
      <c r="A546" s="25" t="s">
        <v>540</v>
      </c>
      <c r="B546" s="74">
        <v>1500</v>
      </c>
      <c r="C546" s="74">
        <v>1500</v>
      </c>
      <c r="G546" s="25"/>
      <c r="H546" s="25"/>
    </row>
    <row r="547" spans="1:8" x14ac:dyDescent="0.35">
      <c r="A547" s="25" t="s">
        <v>738</v>
      </c>
      <c r="B547" s="74">
        <v>1</v>
      </c>
      <c r="C547" s="74">
        <v>1</v>
      </c>
      <c r="G547" s="25"/>
      <c r="H547" s="25"/>
    </row>
    <row r="548" spans="1:8" x14ac:dyDescent="0.35">
      <c r="A548" s="25" t="s">
        <v>739</v>
      </c>
      <c r="B548" s="74">
        <v>1</v>
      </c>
      <c r="C548" s="74">
        <v>1</v>
      </c>
      <c r="G548" s="25"/>
      <c r="H548" s="25"/>
    </row>
    <row r="549" spans="1:8" x14ac:dyDescent="0.35">
      <c r="A549" s="25" t="s">
        <v>740</v>
      </c>
      <c r="B549" s="74">
        <v>1</v>
      </c>
      <c r="C549" s="74">
        <v>1</v>
      </c>
      <c r="G549" s="25"/>
      <c r="H549" s="25"/>
    </row>
    <row r="550" spans="1:8" x14ac:dyDescent="0.35">
      <c r="A550" s="25" t="s">
        <v>741</v>
      </c>
      <c r="B550" s="74">
        <v>1</v>
      </c>
      <c r="C550" s="74">
        <v>1</v>
      </c>
      <c r="G550" s="25"/>
      <c r="H550" s="25"/>
    </row>
    <row r="551" spans="1:8" x14ac:dyDescent="0.35">
      <c r="A551" s="25" t="s">
        <v>1231</v>
      </c>
      <c r="B551" s="74">
        <v>1</v>
      </c>
      <c r="C551" s="74">
        <v>1</v>
      </c>
      <c r="G551" s="25"/>
      <c r="H551" s="25"/>
    </row>
    <row r="552" spans="1:8" x14ac:dyDescent="0.35">
      <c r="A552" s="25" t="s">
        <v>1232</v>
      </c>
      <c r="B552" s="74">
        <v>1</v>
      </c>
      <c r="C552" s="74">
        <v>1</v>
      </c>
      <c r="G552" s="25"/>
      <c r="H552" s="25"/>
    </row>
    <row r="553" spans="1:8" x14ac:dyDescent="0.35">
      <c r="A553" s="25" t="s">
        <v>1233</v>
      </c>
      <c r="B553" s="74">
        <v>1</v>
      </c>
      <c r="C553" s="74">
        <v>1</v>
      </c>
      <c r="G553" s="25"/>
      <c r="H553" s="25"/>
    </row>
    <row r="554" spans="1:8" x14ac:dyDescent="0.35">
      <c r="A554" s="25" t="s">
        <v>1234</v>
      </c>
      <c r="B554" s="74">
        <v>1</v>
      </c>
      <c r="C554" s="74">
        <v>1</v>
      </c>
      <c r="G554" s="25"/>
      <c r="H554" s="25"/>
    </row>
    <row r="555" spans="1:8" x14ac:dyDescent="0.35">
      <c r="A555" s="25" t="s">
        <v>1235</v>
      </c>
      <c r="B555" s="74">
        <v>1</v>
      </c>
      <c r="C555" s="74">
        <v>1</v>
      </c>
      <c r="G555" s="25"/>
      <c r="H555" s="25"/>
    </row>
    <row r="556" spans="1:8" x14ac:dyDescent="0.35">
      <c r="A556" s="25" t="s">
        <v>1253</v>
      </c>
      <c r="B556" s="74">
        <v>1</v>
      </c>
      <c r="C556" s="74">
        <v>1</v>
      </c>
      <c r="G556" s="25"/>
      <c r="H556" s="25"/>
    </row>
    <row r="557" spans="1:8" x14ac:dyDescent="0.35">
      <c r="A557" s="25" t="s">
        <v>1254</v>
      </c>
      <c r="B557" s="74">
        <v>1</v>
      </c>
      <c r="C557" s="74">
        <v>1</v>
      </c>
      <c r="G557" s="25"/>
      <c r="H557" s="25"/>
    </row>
    <row r="558" spans="1:8" x14ac:dyDescent="0.35">
      <c r="A558" s="25" t="s">
        <v>1255</v>
      </c>
      <c r="B558" s="74">
        <v>1</v>
      </c>
      <c r="C558" s="74">
        <v>1</v>
      </c>
      <c r="G558" s="25"/>
      <c r="H558" s="25"/>
    </row>
    <row r="559" spans="1:8" x14ac:dyDescent="0.35">
      <c r="A559" s="72" t="s">
        <v>1256</v>
      </c>
      <c r="B559" s="74">
        <v>1</v>
      </c>
      <c r="C559" s="74">
        <v>1</v>
      </c>
      <c r="G559" s="25"/>
      <c r="H559" s="25"/>
    </row>
    <row r="560" spans="1:8" x14ac:dyDescent="0.35">
      <c r="A560" s="72" t="s">
        <v>1257</v>
      </c>
      <c r="B560" s="74">
        <v>1</v>
      </c>
      <c r="C560" s="74">
        <v>1</v>
      </c>
      <c r="G560" s="25"/>
      <c r="H560" s="25"/>
    </row>
    <row r="561" spans="1:8" x14ac:dyDescent="0.35">
      <c r="A561" s="72" t="s">
        <v>1258</v>
      </c>
      <c r="B561" s="74">
        <v>1</v>
      </c>
      <c r="C561" s="74">
        <v>1</v>
      </c>
      <c r="G561" s="25"/>
      <c r="H561" s="25"/>
    </row>
    <row r="562" spans="1:8" x14ac:dyDescent="0.35">
      <c r="A562" s="72" t="s">
        <v>1259</v>
      </c>
      <c r="B562" s="74">
        <v>1</v>
      </c>
      <c r="C562" s="74">
        <v>1</v>
      </c>
      <c r="G562" s="25"/>
      <c r="H562" s="25"/>
    </row>
    <row r="563" spans="1:8" x14ac:dyDescent="0.35">
      <c r="A563" s="72" t="s">
        <v>1032</v>
      </c>
      <c r="B563" s="74">
        <v>1</v>
      </c>
      <c r="C563" s="74">
        <v>1</v>
      </c>
      <c r="G563" s="25"/>
      <c r="H563" s="25"/>
    </row>
    <row r="564" spans="1:8" x14ac:dyDescent="0.35">
      <c r="A564" s="72" t="s">
        <v>1137</v>
      </c>
      <c r="B564" s="74">
        <v>1</v>
      </c>
      <c r="C564" s="74">
        <v>1</v>
      </c>
      <c r="G564" s="25"/>
      <c r="H564" s="25"/>
    </row>
    <row r="565" spans="1:8" x14ac:dyDescent="0.35">
      <c r="A565" s="72" t="s">
        <v>1138</v>
      </c>
      <c r="B565" s="74">
        <v>1</v>
      </c>
      <c r="C565" s="74">
        <v>1</v>
      </c>
      <c r="G565" s="25"/>
      <c r="H565" s="25"/>
    </row>
    <row r="566" spans="1:8" x14ac:dyDescent="0.35">
      <c r="A566" s="72" t="s">
        <v>1139</v>
      </c>
      <c r="B566" s="74">
        <v>1</v>
      </c>
      <c r="C566" s="74">
        <v>1</v>
      </c>
      <c r="G566" s="25"/>
      <c r="H566" s="25"/>
    </row>
    <row r="567" spans="1:8" x14ac:dyDescent="0.35">
      <c r="A567" s="25" t="s">
        <v>1140</v>
      </c>
      <c r="B567" s="74"/>
      <c r="G567" s="25"/>
      <c r="H567" s="25"/>
    </row>
    <row r="568" spans="1:8" x14ac:dyDescent="0.35">
      <c r="A568" s="25" t="s">
        <v>1141</v>
      </c>
      <c r="B568" s="74"/>
      <c r="G568" s="25"/>
      <c r="H568" s="25"/>
    </row>
    <row r="569" spans="1:8" x14ac:dyDescent="0.35">
      <c r="A569" s="25" t="s">
        <v>590</v>
      </c>
      <c r="B569" s="74"/>
      <c r="G569" s="25"/>
      <c r="H569" s="25"/>
    </row>
    <row r="570" spans="1:8" x14ac:dyDescent="0.35">
      <c r="A570" s="25" t="s">
        <v>745</v>
      </c>
      <c r="B570" s="74"/>
      <c r="G570" s="25"/>
      <c r="H570" s="25"/>
    </row>
    <row r="571" spans="1:8" x14ac:dyDescent="0.35">
      <c r="A571" s="25" t="s">
        <v>746</v>
      </c>
      <c r="B571" s="74"/>
      <c r="G571" s="25"/>
      <c r="H571" s="25"/>
    </row>
    <row r="572" spans="1:8" x14ac:dyDescent="0.35">
      <c r="A572" s="25" t="s">
        <v>747</v>
      </c>
      <c r="B572" s="74"/>
      <c r="G572" s="25"/>
      <c r="H572" s="25"/>
    </row>
    <row r="573" spans="1:8" x14ac:dyDescent="0.35">
      <c r="A573" s="25" t="s">
        <v>748</v>
      </c>
      <c r="B573" s="74"/>
      <c r="G573" s="25"/>
      <c r="H573" s="25"/>
    </row>
    <row r="574" spans="1:8" x14ac:dyDescent="0.35">
      <c r="A574" s="25" t="s">
        <v>749</v>
      </c>
      <c r="B574" s="74"/>
      <c r="G574" s="25"/>
      <c r="H574" s="25"/>
    </row>
    <row r="575" spans="1:8" x14ac:dyDescent="0.35">
      <c r="A575" s="25" t="s">
        <v>750</v>
      </c>
      <c r="B575" s="74"/>
      <c r="G575" s="25"/>
      <c r="H575" s="25"/>
    </row>
    <row r="576" spans="1:8" x14ac:dyDescent="0.35">
      <c r="A576" s="25" t="s">
        <v>1099</v>
      </c>
      <c r="B576" s="74"/>
      <c r="G576" s="25"/>
      <c r="H576" s="25"/>
    </row>
    <row r="577" spans="1:8" x14ac:dyDescent="0.35">
      <c r="A577" s="25" t="s">
        <v>1064</v>
      </c>
      <c r="B577" s="74"/>
      <c r="G577" s="25"/>
      <c r="H577" s="25"/>
    </row>
    <row r="578" spans="1:8" x14ac:dyDescent="0.35">
      <c r="A578" s="25" t="s">
        <v>1065</v>
      </c>
      <c r="B578" s="74"/>
      <c r="G578" s="25"/>
      <c r="H578" s="25"/>
    </row>
    <row r="579" spans="1:8" x14ac:dyDescent="0.35">
      <c r="A579" s="25" t="s">
        <v>1066</v>
      </c>
      <c r="B579" s="74"/>
      <c r="G579" s="25"/>
      <c r="H579" s="25"/>
    </row>
    <row r="580" spans="1:8" x14ac:dyDescent="0.35">
      <c r="A580" s="25" t="s">
        <v>1067</v>
      </c>
      <c r="B580" s="74"/>
      <c r="G580" s="25"/>
      <c r="H580" s="25"/>
    </row>
    <row r="581" spans="1:8" x14ac:dyDescent="0.35">
      <c r="A581" s="25" t="s">
        <v>1213</v>
      </c>
      <c r="B581" s="74"/>
      <c r="G581" s="25"/>
      <c r="H581" s="25"/>
    </row>
    <row r="582" spans="1:8" x14ac:dyDescent="0.35">
      <c r="A582" s="25" t="s">
        <v>1275</v>
      </c>
      <c r="B582" s="74"/>
      <c r="G582" s="25"/>
      <c r="H582" s="25"/>
    </row>
    <row r="583" spans="1:8" x14ac:dyDescent="0.35">
      <c r="A583" s="25" t="s">
        <v>1276</v>
      </c>
      <c r="B583" s="74"/>
      <c r="G583" s="25"/>
      <c r="H583" s="25"/>
    </row>
    <row r="584" spans="1:8" x14ac:dyDescent="0.35">
      <c r="A584" s="73" t="s">
        <v>1277</v>
      </c>
      <c r="B584" s="74"/>
      <c r="G584" s="25"/>
      <c r="H584" s="25"/>
    </row>
    <row r="585" spans="1:8" x14ac:dyDescent="0.35">
      <c r="A585" s="73" t="s">
        <v>1278</v>
      </c>
      <c r="B585" s="74"/>
      <c r="G585" s="25"/>
      <c r="H585" s="25"/>
    </row>
    <row r="586" spans="1:8" x14ac:dyDescent="0.35">
      <c r="A586" s="73" t="s">
        <v>363</v>
      </c>
      <c r="B586" s="74"/>
      <c r="G586" s="25"/>
      <c r="H586" s="25"/>
    </row>
    <row r="587" spans="1:8" x14ac:dyDescent="0.35">
      <c r="A587" s="73" t="s">
        <v>512</v>
      </c>
      <c r="B587" s="74" t="b">
        <v>0</v>
      </c>
      <c r="C587" s="74" t="b">
        <v>0</v>
      </c>
      <c r="G587" s="25"/>
      <c r="H587" s="25"/>
    </row>
    <row r="588" spans="1:8" x14ac:dyDescent="0.35">
      <c r="A588" s="73" t="s">
        <v>513</v>
      </c>
      <c r="B588" s="74"/>
      <c r="G588" s="25"/>
      <c r="H588" s="25"/>
    </row>
    <row r="589" spans="1:8" x14ac:dyDescent="0.35">
      <c r="A589" s="73" t="s">
        <v>868</v>
      </c>
      <c r="B589" s="74">
        <v>6</v>
      </c>
      <c r="C589" s="74">
        <v>6</v>
      </c>
      <c r="G589" s="25"/>
      <c r="H589" s="25"/>
    </row>
    <row r="590" spans="1:8" x14ac:dyDescent="0.35">
      <c r="A590" s="73" t="s">
        <v>514</v>
      </c>
      <c r="B590" s="74" t="b">
        <v>0</v>
      </c>
      <c r="C590" s="74" t="b">
        <v>0</v>
      </c>
      <c r="G590" s="25"/>
      <c r="H590" s="25"/>
    </row>
    <row r="591" spans="1:8" x14ac:dyDescent="0.35">
      <c r="A591" s="73" t="s">
        <v>103</v>
      </c>
      <c r="B591" s="74"/>
      <c r="G591" s="25"/>
      <c r="H591" s="25"/>
    </row>
    <row r="592" spans="1:8" x14ac:dyDescent="0.35">
      <c r="A592" s="25" t="s">
        <v>1222</v>
      </c>
      <c r="B592" s="74"/>
      <c r="G592" s="25"/>
      <c r="H592" s="25"/>
    </row>
    <row r="593" spans="1:8" x14ac:dyDescent="0.35">
      <c r="A593" s="25" t="s">
        <v>104</v>
      </c>
      <c r="B593" s="74"/>
      <c r="G593" s="25"/>
      <c r="H593" s="25"/>
    </row>
    <row r="594" spans="1:8" x14ac:dyDescent="0.35">
      <c r="A594" s="25" t="s">
        <v>1361</v>
      </c>
      <c r="B594" s="74"/>
      <c r="G594" s="25"/>
      <c r="H594" s="25"/>
    </row>
    <row r="595" spans="1:8" x14ac:dyDescent="0.35">
      <c r="A595" s="73" t="s">
        <v>374</v>
      </c>
      <c r="B595" s="74"/>
      <c r="G595" s="25"/>
      <c r="H595" s="25"/>
    </row>
    <row r="596" spans="1:8" x14ac:dyDescent="0.35">
      <c r="A596" s="73" t="s">
        <v>375</v>
      </c>
      <c r="B596" s="74"/>
      <c r="G596" s="25"/>
      <c r="H596" s="25"/>
    </row>
    <row r="597" spans="1:8" x14ac:dyDescent="0.35">
      <c r="A597" s="73" t="s">
        <v>932</v>
      </c>
      <c r="B597" s="74"/>
      <c r="G597" s="25"/>
      <c r="H597" s="25"/>
    </row>
    <row r="598" spans="1:8" x14ac:dyDescent="0.35">
      <c r="A598" s="73" t="s">
        <v>933</v>
      </c>
      <c r="B598" s="74"/>
      <c r="G598" s="25"/>
      <c r="H598" s="25"/>
    </row>
    <row r="599" spans="1:8" x14ac:dyDescent="0.35">
      <c r="A599" s="73" t="s">
        <v>934</v>
      </c>
      <c r="B599" s="74"/>
      <c r="G599" s="25"/>
      <c r="H599" s="25"/>
    </row>
    <row r="600" spans="1:8" x14ac:dyDescent="0.35">
      <c r="A600" s="73" t="s">
        <v>485</v>
      </c>
      <c r="B600" s="74"/>
      <c r="G600" s="25"/>
      <c r="H600" s="25"/>
    </row>
    <row r="601" spans="1:8" x14ac:dyDescent="0.35">
      <c r="A601" s="73" t="s">
        <v>486</v>
      </c>
      <c r="B601" s="74"/>
      <c r="G601" s="25"/>
      <c r="H601" s="25"/>
    </row>
    <row r="602" spans="1:8" x14ac:dyDescent="0.35">
      <c r="A602" s="73" t="s">
        <v>487</v>
      </c>
      <c r="B602" s="74"/>
      <c r="G602" s="25"/>
      <c r="H602" s="25"/>
    </row>
    <row r="603" spans="1:8" x14ac:dyDescent="0.35">
      <c r="A603" s="73" t="s">
        <v>488</v>
      </c>
      <c r="B603" s="74"/>
      <c r="G603" s="25"/>
      <c r="H603" s="25"/>
    </row>
    <row r="604" spans="1:8" x14ac:dyDescent="0.35">
      <c r="A604" s="73" t="s">
        <v>489</v>
      </c>
      <c r="B604" s="74"/>
      <c r="G604" s="25"/>
      <c r="H604" s="25"/>
    </row>
    <row r="605" spans="1:8" x14ac:dyDescent="0.35">
      <c r="A605" s="73" t="s">
        <v>638</v>
      </c>
      <c r="B605" s="74"/>
      <c r="G605" s="25"/>
      <c r="H605" s="25"/>
    </row>
    <row r="606" spans="1:8" x14ac:dyDescent="0.35">
      <c r="A606" s="73" t="s">
        <v>515</v>
      </c>
      <c r="B606" s="74"/>
      <c r="G606" s="25"/>
      <c r="H606" s="25"/>
    </row>
    <row r="607" spans="1:8" x14ac:dyDescent="0.35">
      <c r="A607" s="73" t="s">
        <v>516</v>
      </c>
      <c r="B607" s="74"/>
      <c r="G607" s="25"/>
      <c r="H607" s="25"/>
    </row>
    <row r="608" spans="1:8" x14ac:dyDescent="0.35">
      <c r="A608" s="73" t="s">
        <v>517</v>
      </c>
      <c r="B608" s="74"/>
      <c r="G608" s="25"/>
      <c r="H608" s="25"/>
    </row>
    <row r="609" spans="1:8" x14ac:dyDescent="0.35">
      <c r="A609" s="73" t="s">
        <v>493</v>
      </c>
      <c r="B609" s="74"/>
      <c r="G609" s="25"/>
      <c r="H609" s="25"/>
    </row>
    <row r="610" spans="1:8" x14ac:dyDescent="0.35">
      <c r="A610" s="73" t="s">
        <v>494</v>
      </c>
      <c r="B610" s="74"/>
      <c r="G610" s="25"/>
      <c r="H610" s="25"/>
    </row>
    <row r="611" spans="1:8" x14ac:dyDescent="0.35">
      <c r="A611" s="73" t="s">
        <v>1021</v>
      </c>
      <c r="B611" s="74"/>
      <c r="G611" s="25"/>
      <c r="H611" s="25"/>
    </row>
    <row r="612" spans="1:8" x14ac:dyDescent="0.35">
      <c r="A612" s="73" t="s">
        <v>1022</v>
      </c>
      <c r="B612" s="74"/>
      <c r="G612" s="25"/>
      <c r="H612" s="25"/>
    </row>
    <row r="613" spans="1:8" x14ac:dyDescent="0.35">
      <c r="A613" s="73" t="s">
        <v>926</v>
      </c>
      <c r="B613" s="74"/>
      <c r="G613" s="25"/>
      <c r="H613" s="25"/>
    </row>
    <row r="614" spans="1:8" x14ac:dyDescent="0.35">
      <c r="A614" s="73" t="s">
        <v>927</v>
      </c>
      <c r="B614" s="74"/>
      <c r="G614" s="25"/>
      <c r="H614" s="25"/>
    </row>
    <row r="615" spans="1:8" x14ac:dyDescent="0.35">
      <c r="A615" s="73" t="s">
        <v>928</v>
      </c>
      <c r="B615" s="74"/>
      <c r="G615" s="25"/>
      <c r="H615" s="25"/>
    </row>
    <row r="616" spans="1:8" x14ac:dyDescent="0.35">
      <c r="A616" s="73" t="s">
        <v>399</v>
      </c>
      <c r="B616" s="74"/>
      <c r="G616" s="25"/>
      <c r="H616" s="25"/>
    </row>
    <row r="617" spans="1:8" x14ac:dyDescent="0.35">
      <c r="A617" s="73" t="s">
        <v>400</v>
      </c>
      <c r="B617" s="74"/>
      <c r="G617" s="25"/>
      <c r="H617" s="25"/>
    </row>
    <row r="618" spans="1:8" x14ac:dyDescent="0.35">
      <c r="A618" s="73" t="s">
        <v>401</v>
      </c>
      <c r="B618" s="74"/>
      <c r="G618" s="25"/>
      <c r="H618" s="25"/>
    </row>
    <row r="619" spans="1:8" x14ac:dyDescent="0.35">
      <c r="A619" s="73" t="s">
        <v>402</v>
      </c>
      <c r="B619" s="74"/>
      <c r="G619" s="25"/>
      <c r="H619" s="25"/>
    </row>
    <row r="620" spans="1:8" x14ac:dyDescent="0.35">
      <c r="A620" s="73" t="s">
        <v>403</v>
      </c>
      <c r="B620" s="74"/>
      <c r="G620" s="25"/>
      <c r="H620" s="25"/>
    </row>
    <row r="621" spans="1:8" x14ac:dyDescent="0.35">
      <c r="A621" s="73" t="s">
        <v>537</v>
      </c>
      <c r="B621" s="74"/>
      <c r="G621" s="25"/>
      <c r="H621" s="25"/>
    </row>
    <row r="622" spans="1:8" x14ac:dyDescent="0.35">
      <c r="A622" s="73" t="s">
        <v>532</v>
      </c>
      <c r="B622" s="74"/>
      <c r="G622" s="25"/>
      <c r="H622" s="25"/>
    </row>
    <row r="623" spans="1:8" x14ac:dyDescent="0.35">
      <c r="A623" s="73" t="s">
        <v>533</v>
      </c>
      <c r="B623" s="74"/>
      <c r="G623" s="25"/>
      <c r="H623" s="25"/>
    </row>
    <row r="624" spans="1:8" x14ac:dyDescent="0.35">
      <c r="A624" s="73" t="s">
        <v>534</v>
      </c>
      <c r="B624" s="74"/>
      <c r="G624" s="25"/>
      <c r="H624" s="25"/>
    </row>
    <row r="625" spans="1:8" x14ac:dyDescent="0.35">
      <c r="A625" s="73" t="s">
        <v>535</v>
      </c>
      <c r="B625" s="74"/>
      <c r="G625" s="25"/>
      <c r="H625" s="25"/>
    </row>
    <row r="626" spans="1:8" x14ac:dyDescent="0.35">
      <c r="A626" s="73" t="s">
        <v>536</v>
      </c>
      <c r="B626" s="74"/>
      <c r="G626" s="25"/>
      <c r="H626" s="25"/>
    </row>
    <row r="627" spans="1:8" x14ac:dyDescent="0.35">
      <c r="A627" s="73" t="s">
        <v>947</v>
      </c>
      <c r="B627" s="74"/>
      <c r="G627" s="25"/>
      <c r="H627" s="25"/>
    </row>
    <row r="628" spans="1:8" x14ac:dyDescent="0.35">
      <c r="A628" s="73" t="s">
        <v>1097</v>
      </c>
      <c r="B628" s="74"/>
      <c r="G628" s="25"/>
      <c r="H628" s="25"/>
    </row>
    <row r="629" spans="1:8" x14ac:dyDescent="0.35">
      <c r="A629" s="25" t="s">
        <v>630</v>
      </c>
      <c r="B629" s="74">
        <v>41363</v>
      </c>
      <c r="C629" s="74">
        <v>41363</v>
      </c>
      <c r="G629" s="25"/>
      <c r="H629" s="25"/>
    </row>
    <row r="630" spans="1:8" x14ac:dyDescent="0.35">
      <c r="A630" s="102" t="s">
        <v>311</v>
      </c>
      <c r="B630" s="74">
        <v>1</v>
      </c>
      <c r="C630" s="74">
        <v>1</v>
      </c>
      <c r="G630" s="25"/>
      <c r="H630" s="25"/>
    </row>
    <row r="631" spans="1:8" x14ac:dyDescent="0.35">
      <c r="A631" s="102" t="s">
        <v>1052</v>
      </c>
      <c r="B631" s="74">
        <v>1</v>
      </c>
      <c r="C631" s="74">
        <v>1</v>
      </c>
      <c r="G631" s="25"/>
      <c r="H631" s="25"/>
    </row>
    <row r="632" spans="1:8" x14ac:dyDescent="0.35">
      <c r="A632" s="102" t="s">
        <v>1053</v>
      </c>
      <c r="B632" s="74">
        <v>1</v>
      </c>
      <c r="C632" s="74">
        <v>1</v>
      </c>
      <c r="G632" s="25"/>
      <c r="H632" s="25"/>
    </row>
    <row r="633" spans="1:8" x14ac:dyDescent="0.35">
      <c r="A633" s="102" t="s">
        <v>1054</v>
      </c>
      <c r="B633" s="74">
        <v>1</v>
      </c>
      <c r="C633" s="74">
        <v>1</v>
      </c>
      <c r="G633" s="25"/>
      <c r="H633" s="25"/>
    </row>
    <row r="634" spans="1:8" x14ac:dyDescent="0.35">
      <c r="A634" s="102" t="s">
        <v>1055</v>
      </c>
      <c r="B634" s="74">
        <v>1</v>
      </c>
      <c r="C634" s="74">
        <v>1</v>
      </c>
      <c r="G634" s="25"/>
      <c r="H634" s="25"/>
    </row>
    <row r="635" spans="1:8" x14ac:dyDescent="0.35">
      <c r="A635" s="102" t="s">
        <v>1056</v>
      </c>
      <c r="B635" s="74">
        <v>1</v>
      </c>
      <c r="C635" s="74">
        <v>1</v>
      </c>
      <c r="G635" s="25"/>
      <c r="H635" s="25"/>
    </row>
    <row r="636" spans="1:8" x14ac:dyDescent="0.35">
      <c r="A636" s="25" t="s">
        <v>1180</v>
      </c>
      <c r="B636" s="74"/>
      <c r="G636" s="25"/>
      <c r="H636" s="25"/>
    </row>
    <row r="637" spans="1:8" x14ac:dyDescent="0.35">
      <c r="A637" t="s">
        <v>958</v>
      </c>
      <c r="B637" s="74"/>
      <c r="G637" s="25"/>
      <c r="H637" s="25"/>
    </row>
    <row r="638" spans="1:8" x14ac:dyDescent="0.35">
      <c r="A638" s="25" t="s">
        <v>705</v>
      </c>
      <c r="B638" s="74">
        <v>5</v>
      </c>
      <c r="C638" s="74">
        <v>5</v>
      </c>
      <c r="G638" s="25"/>
      <c r="H638" s="25"/>
    </row>
    <row r="639" spans="1:8" x14ac:dyDescent="0.35">
      <c r="A639" t="s">
        <v>774</v>
      </c>
      <c r="B639" s="74"/>
      <c r="G639" s="25"/>
      <c r="H639" s="25"/>
    </row>
    <row r="640" spans="1:8" x14ac:dyDescent="0.35">
      <c r="A640" t="s">
        <v>210</v>
      </c>
      <c r="B640" s="74"/>
      <c r="G640" s="25"/>
      <c r="H640" s="25"/>
    </row>
    <row r="641" spans="1:8" x14ac:dyDescent="0.35">
      <c r="A641" t="s">
        <v>213</v>
      </c>
      <c r="B641" s="74"/>
      <c r="G641" s="25"/>
      <c r="H641" s="25"/>
    </row>
    <row r="642" spans="1:8" x14ac:dyDescent="0.35">
      <c r="A642" t="s">
        <v>212</v>
      </c>
      <c r="B642" s="74"/>
      <c r="G642" s="25"/>
      <c r="H642" s="25"/>
    </row>
    <row r="643" spans="1:8" x14ac:dyDescent="0.35">
      <c r="A643" t="s">
        <v>209</v>
      </c>
      <c r="B643" s="74"/>
      <c r="G643" s="25"/>
      <c r="H643" s="25"/>
    </row>
    <row r="644" spans="1:8" x14ac:dyDescent="0.35">
      <c r="A644" t="s">
        <v>208</v>
      </c>
      <c r="B644" s="74"/>
      <c r="G644" s="25"/>
      <c r="H644" s="25"/>
    </row>
    <row r="645" spans="1:8" x14ac:dyDescent="0.35">
      <c r="A645" t="s">
        <v>211</v>
      </c>
      <c r="B645" s="74"/>
      <c r="G645" s="25"/>
      <c r="H645" s="25"/>
    </row>
    <row r="646" spans="1:8" x14ac:dyDescent="0.35">
      <c r="A646" t="s">
        <v>214</v>
      </c>
      <c r="B646" s="74"/>
      <c r="G646" s="25"/>
      <c r="H646" s="25"/>
    </row>
    <row r="647" spans="1:8" x14ac:dyDescent="0.35">
      <c r="A647" s="25" t="s">
        <v>950</v>
      </c>
      <c r="B647" s="74"/>
      <c r="G647" s="25"/>
      <c r="H647" s="25"/>
    </row>
    <row r="648" spans="1:8" x14ac:dyDescent="0.35">
      <c r="A648" s="25" t="s">
        <v>1136</v>
      </c>
      <c r="B648" s="74"/>
      <c r="G648" s="25"/>
      <c r="H648" s="25"/>
    </row>
    <row r="649" spans="1:8" x14ac:dyDescent="0.35">
      <c r="A649" t="s">
        <v>780</v>
      </c>
      <c r="B649" s="74"/>
      <c r="G649" s="25"/>
      <c r="H649" s="25"/>
    </row>
    <row r="650" spans="1:8" x14ac:dyDescent="0.35">
      <c r="A650" t="s">
        <v>781</v>
      </c>
      <c r="B650" s="74"/>
      <c r="G650" s="25"/>
      <c r="H650" s="25"/>
    </row>
    <row r="651" spans="1:8" x14ac:dyDescent="0.35">
      <c r="A651" t="s">
        <v>782</v>
      </c>
      <c r="B651" s="74"/>
      <c r="G651" s="25"/>
      <c r="H651" s="25"/>
    </row>
    <row r="652" spans="1:8" x14ac:dyDescent="0.35">
      <c r="A652" t="s">
        <v>783</v>
      </c>
      <c r="B652" s="74"/>
      <c r="G652" s="25"/>
      <c r="H652" s="25"/>
    </row>
    <row r="653" spans="1:8" x14ac:dyDescent="0.35">
      <c r="A653" t="s">
        <v>1317</v>
      </c>
      <c r="B653" s="74"/>
      <c r="G653" s="25"/>
      <c r="H653" s="25"/>
    </row>
    <row r="654" spans="1:8" x14ac:dyDescent="0.35">
      <c r="A654" t="s">
        <v>1318</v>
      </c>
      <c r="C654"/>
      <c r="G654" s="25"/>
      <c r="H654" s="25"/>
    </row>
    <row r="655" spans="1:8" x14ac:dyDescent="0.35">
      <c r="A655" t="s">
        <v>1319</v>
      </c>
      <c r="B655" s="74"/>
      <c r="G655" s="25"/>
      <c r="H655" s="25"/>
    </row>
    <row r="656" spans="1:8" x14ac:dyDescent="0.35">
      <c r="A656" t="s">
        <v>1320</v>
      </c>
      <c r="C656"/>
      <c r="G656" s="25"/>
      <c r="H656" s="25"/>
    </row>
    <row r="657" spans="1:8" x14ac:dyDescent="0.35">
      <c r="A657" t="s">
        <v>714</v>
      </c>
      <c r="B657" s="74"/>
      <c r="G657" s="25"/>
      <c r="H657" s="25"/>
    </row>
    <row r="658" spans="1:8" x14ac:dyDescent="0.35">
      <c r="A658" t="s">
        <v>1214</v>
      </c>
      <c r="B658" s="74"/>
      <c r="G658" s="25"/>
      <c r="H658" s="25"/>
    </row>
    <row r="659" spans="1:8" x14ac:dyDescent="0.35">
      <c r="A659" t="s">
        <v>1215</v>
      </c>
      <c r="B659" s="74"/>
      <c r="G659" s="25"/>
      <c r="H659" s="25"/>
    </row>
    <row r="660" spans="1:8" x14ac:dyDescent="0.35">
      <c r="A660" t="s">
        <v>1216</v>
      </c>
      <c r="B660" s="74"/>
      <c r="G660" s="25"/>
      <c r="H660" s="25"/>
    </row>
    <row r="661" spans="1:8" x14ac:dyDescent="0.35">
      <c r="A661" t="s">
        <v>681</v>
      </c>
      <c r="B661" s="74"/>
      <c r="G661" s="25"/>
      <c r="H661" s="25"/>
    </row>
    <row r="662" spans="1:8" x14ac:dyDescent="0.35">
      <c r="A662" t="s">
        <v>682</v>
      </c>
      <c r="B662" s="74"/>
      <c r="G662" s="25"/>
      <c r="H662" s="25"/>
    </row>
    <row r="663" spans="1:8" x14ac:dyDescent="0.35">
      <c r="A663" t="s">
        <v>683</v>
      </c>
      <c r="B663" s="74"/>
      <c r="G663" s="25"/>
      <c r="H663" s="25"/>
    </row>
    <row r="664" spans="1:8" x14ac:dyDescent="0.35">
      <c r="A664" t="s">
        <v>684</v>
      </c>
      <c r="B664" s="74"/>
      <c r="G664" s="25"/>
      <c r="H664" s="25"/>
    </row>
    <row r="665" spans="1:8" x14ac:dyDescent="0.35">
      <c r="A665" t="s">
        <v>685</v>
      </c>
      <c r="B665" s="74"/>
      <c r="G665" s="25"/>
      <c r="H665" s="25"/>
    </row>
    <row r="666" spans="1:8" x14ac:dyDescent="0.35">
      <c r="A666" t="s">
        <v>686</v>
      </c>
      <c r="B666" s="74"/>
      <c r="G666" s="25"/>
      <c r="H666" s="25"/>
    </row>
    <row r="667" spans="1:8" x14ac:dyDescent="0.35">
      <c r="A667" t="s">
        <v>687</v>
      </c>
      <c r="B667" s="74"/>
      <c r="G667" s="25"/>
      <c r="H667" s="25"/>
    </row>
    <row r="668" spans="1:8" x14ac:dyDescent="0.35">
      <c r="A668" t="s">
        <v>688</v>
      </c>
      <c r="B668" s="74"/>
      <c r="G668" s="25"/>
      <c r="H668" s="25"/>
    </row>
    <row r="669" spans="1:8" x14ac:dyDescent="0.35">
      <c r="A669" s="25" t="s">
        <v>707</v>
      </c>
      <c r="B669" s="74">
        <v>5</v>
      </c>
      <c r="C669" s="74">
        <v>5</v>
      </c>
      <c r="G669" s="25"/>
      <c r="H669" s="25"/>
    </row>
    <row r="670" spans="1:8" x14ac:dyDescent="0.35">
      <c r="A670" s="25" t="s">
        <v>614</v>
      </c>
      <c r="B670" s="74" t="b">
        <v>0</v>
      </c>
      <c r="C670" s="74" t="b">
        <v>0</v>
      </c>
      <c r="G670" s="25"/>
      <c r="H670" s="25"/>
    </row>
    <row r="671" spans="1:8" x14ac:dyDescent="0.35">
      <c r="A671" s="25" t="s">
        <v>1223</v>
      </c>
      <c r="B671" s="74">
        <v>1</v>
      </c>
      <c r="C671" s="74">
        <v>1</v>
      </c>
      <c r="G671" s="25"/>
      <c r="H671" s="25"/>
    </row>
    <row r="672" spans="1:8" x14ac:dyDescent="0.35">
      <c r="A672" s="25" t="s">
        <v>627</v>
      </c>
      <c r="B672" s="74">
        <v>1</v>
      </c>
      <c r="C672" s="74">
        <v>1</v>
      </c>
      <c r="G672" s="25"/>
      <c r="H672" s="25"/>
    </row>
    <row r="673" spans="1:8" x14ac:dyDescent="0.35">
      <c r="A673" s="25" t="s">
        <v>961</v>
      </c>
      <c r="B673" s="74"/>
      <c r="G673" s="25"/>
      <c r="H673" s="25"/>
    </row>
    <row r="674" spans="1:8" x14ac:dyDescent="0.35">
      <c r="A674" s="25" t="s">
        <v>962</v>
      </c>
      <c r="B674" s="74"/>
      <c r="G674" s="25"/>
      <c r="H674" s="25"/>
    </row>
    <row r="675" spans="1:8" x14ac:dyDescent="0.35">
      <c r="A675" s="25" t="s">
        <v>963</v>
      </c>
      <c r="B675" s="74"/>
      <c r="G675" s="25"/>
      <c r="H675" s="25"/>
    </row>
    <row r="676" spans="1:8" x14ac:dyDescent="0.35">
      <c r="A676" s="25" t="s">
        <v>964</v>
      </c>
      <c r="B676" s="74"/>
      <c r="G676" s="25"/>
      <c r="H676" s="25"/>
    </row>
    <row r="677" spans="1:8" x14ac:dyDescent="0.35">
      <c r="A677" s="25" t="s">
        <v>965</v>
      </c>
      <c r="B677" s="74"/>
      <c r="G677" s="25"/>
      <c r="H677" s="25"/>
    </row>
    <row r="678" spans="1:8" x14ac:dyDescent="0.35">
      <c r="A678" s="25" t="s">
        <v>966</v>
      </c>
      <c r="B678" s="74"/>
      <c r="G678" s="25"/>
      <c r="H678" s="25"/>
    </row>
    <row r="679" spans="1:8" x14ac:dyDescent="0.35">
      <c r="A679" s="25" t="s">
        <v>586</v>
      </c>
      <c r="B679" s="74"/>
      <c r="G679" s="25"/>
      <c r="H679" s="25"/>
    </row>
    <row r="680" spans="1:8" x14ac:dyDescent="0.35">
      <c r="A680" s="25" t="s">
        <v>1238</v>
      </c>
      <c r="B680" s="74"/>
      <c r="G680" s="25"/>
      <c r="H680" s="25"/>
    </row>
    <row r="681" spans="1:8" x14ac:dyDescent="0.35">
      <c r="A681" s="25" t="s">
        <v>1239</v>
      </c>
      <c r="B681" s="74"/>
      <c r="G681" s="25"/>
      <c r="H681" s="25"/>
    </row>
    <row r="682" spans="1:8" x14ac:dyDescent="0.35">
      <c r="A682" t="s">
        <v>956</v>
      </c>
      <c r="B682" s="74">
        <v>0</v>
      </c>
      <c r="C682" s="74">
        <v>0</v>
      </c>
      <c r="G682" s="25"/>
      <c r="H682" s="25"/>
    </row>
    <row r="683" spans="1:8" x14ac:dyDescent="0.35">
      <c r="A683" s="25" t="s">
        <v>916</v>
      </c>
      <c r="B683" s="74">
        <v>1</v>
      </c>
      <c r="C683" s="74">
        <v>1</v>
      </c>
      <c r="G683" s="25"/>
      <c r="H683" s="25"/>
    </row>
    <row r="684" spans="1:8" x14ac:dyDescent="0.35">
      <c r="A684" s="25" t="s">
        <v>1316</v>
      </c>
      <c r="B684" s="74">
        <v>1</v>
      </c>
      <c r="C684" s="74">
        <v>1</v>
      </c>
      <c r="G684" s="25"/>
      <c r="H684" s="25"/>
    </row>
    <row r="685" spans="1:8" x14ac:dyDescent="0.35">
      <c r="A685" s="25" t="s">
        <v>1224</v>
      </c>
      <c r="B685" s="74"/>
      <c r="G685" s="25"/>
      <c r="H685" s="25"/>
    </row>
    <row r="686" spans="1:8" x14ac:dyDescent="0.35">
      <c r="A686" s="25" t="s">
        <v>498</v>
      </c>
      <c r="B686" s="74"/>
      <c r="G686" s="25"/>
      <c r="H686" s="25"/>
    </row>
    <row r="687" spans="1:8" x14ac:dyDescent="0.35">
      <c r="A687" s="25" t="s">
        <v>499</v>
      </c>
      <c r="B687" s="74"/>
      <c r="G687" s="25"/>
      <c r="H687" s="25"/>
    </row>
    <row r="688" spans="1:8" x14ac:dyDescent="0.35">
      <c r="A688" s="25" t="s">
        <v>500</v>
      </c>
      <c r="B688" s="74"/>
      <c r="G688" s="25"/>
      <c r="H688" s="25"/>
    </row>
    <row r="689" spans="1:8" x14ac:dyDescent="0.35">
      <c r="A689" s="25" t="s">
        <v>501</v>
      </c>
      <c r="B689" s="74"/>
      <c r="G689" s="25"/>
      <c r="H689" s="25"/>
    </row>
    <row r="690" spans="1:8" x14ac:dyDescent="0.35">
      <c r="A690" s="25" t="s">
        <v>502</v>
      </c>
      <c r="B690" s="74"/>
      <c r="G690" s="25"/>
      <c r="H690" s="25"/>
    </row>
    <row r="691" spans="1:8" x14ac:dyDescent="0.35">
      <c r="A691" s="25" t="s">
        <v>503</v>
      </c>
      <c r="B691" s="74"/>
      <c r="G691" s="25"/>
      <c r="H691" s="25"/>
    </row>
    <row r="692" spans="1:8" x14ac:dyDescent="0.35">
      <c r="A692" s="25" t="s">
        <v>504</v>
      </c>
      <c r="B692" s="75"/>
      <c r="C692" s="75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4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4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1362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1363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1364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1365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4">
        <v>1500</v>
      </c>
      <c r="C710" s="74">
        <v>1500</v>
      </c>
      <c r="G710" s="25"/>
      <c r="H710" s="25"/>
    </row>
    <row r="711" spans="1:8" x14ac:dyDescent="0.35">
      <c r="A711" s="25" t="s">
        <v>35</v>
      </c>
      <c r="B711" s="74">
        <v>1500</v>
      </c>
      <c r="C711" s="74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855</v>
      </c>
      <c r="B722">
        <v>1500</v>
      </c>
      <c r="C722">
        <v>1500</v>
      </c>
      <c r="G722" s="25"/>
      <c r="H722" s="25"/>
    </row>
    <row r="723" spans="1:8" x14ac:dyDescent="0.35">
      <c r="A723" s="25" t="s">
        <v>856</v>
      </c>
      <c r="B723">
        <v>1500</v>
      </c>
      <c r="C723">
        <v>1500</v>
      </c>
      <c r="G723" s="25"/>
      <c r="H723" s="25"/>
    </row>
    <row r="724" spans="1:8" x14ac:dyDescent="0.35">
      <c r="A724" s="25" t="s">
        <v>857</v>
      </c>
      <c r="B724">
        <v>1500</v>
      </c>
      <c r="C724">
        <v>1500</v>
      </c>
      <c r="G724" s="25"/>
      <c r="H724" s="25"/>
    </row>
    <row r="725" spans="1:8" x14ac:dyDescent="0.35">
      <c r="A725" s="25" t="s">
        <v>858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1130</v>
      </c>
      <c r="C726"/>
      <c r="G726" s="25"/>
      <c r="H726" s="25"/>
    </row>
    <row r="727" spans="1:8" x14ac:dyDescent="0.35">
      <c r="A727" s="25" t="s">
        <v>1135</v>
      </c>
      <c r="B727">
        <v>40</v>
      </c>
      <c r="C727">
        <v>40</v>
      </c>
      <c r="G727" s="25"/>
      <c r="H727" s="25"/>
    </row>
    <row r="728" spans="1:8" x14ac:dyDescent="0.35">
      <c r="A728" s="25" t="s">
        <v>1134</v>
      </c>
      <c r="B728">
        <v>80</v>
      </c>
      <c r="C728">
        <v>80</v>
      </c>
      <c r="G728" s="25"/>
      <c r="H728" s="25"/>
    </row>
    <row r="729" spans="1:8" x14ac:dyDescent="0.35">
      <c r="A729" s="25" t="s">
        <v>1124</v>
      </c>
      <c r="C729"/>
      <c r="G729" s="25"/>
      <c r="H729" s="25"/>
    </row>
    <row r="730" spans="1:8" x14ac:dyDescent="0.35">
      <c r="A730" s="25" t="s">
        <v>1122</v>
      </c>
      <c r="C730"/>
      <c r="G730" s="25"/>
      <c r="H730" s="25"/>
    </row>
    <row r="731" spans="1:8" x14ac:dyDescent="0.35">
      <c r="A731" s="25" t="s">
        <v>1129</v>
      </c>
      <c r="C731"/>
      <c r="G731" s="25"/>
      <c r="H731" s="25"/>
    </row>
    <row r="732" spans="1:8" x14ac:dyDescent="0.35">
      <c r="A732" s="25" t="s">
        <v>1112</v>
      </c>
      <c r="B732" s="74">
        <v>1</v>
      </c>
      <c r="C732" s="74">
        <v>1</v>
      </c>
      <c r="G732" s="25"/>
      <c r="H732" s="25"/>
    </row>
    <row r="733" spans="1:8" x14ac:dyDescent="0.35">
      <c r="A733" s="25" t="s">
        <v>706</v>
      </c>
      <c r="B733" s="74">
        <v>0</v>
      </c>
      <c r="C733" s="74">
        <v>0</v>
      </c>
      <c r="G733" s="25"/>
      <c r="H733" s="25"/>
    </row>
    <row r="734" spans="1:8" x14ac:dyDescent="0.35">
      <c r="A734" s="25" t="s">
        <v>671</v>
      </c>
      <c r="B734" s="74">
        <v>1</v>
      </c>
      <c r="C734" s="74">
        <v>1</v>
      </c>
      <c r="G734" s="25"/>
      <c r="H734" s="25"/>
    </row>
    <row r="735" spans="1:8" x14ac:dyDescent="0.35">
      <c r="A735" s="25" t="s">
        <v>1225</v>
      </c>
      <c r="B735" s="74"/>
      <c r="G735" s="25"/>
      <c r="H735" s="25"/>
    </row>
    <row r="736" spans="1:8" x14ac:dyDescent="0.35">
      <c r="A736" s="25" t="s">
        <v>708</v>
      </c>
      <c r="B736" s="74">
        <v>17</v>
      </c>
      <c r="C736" s="74">
        <v>17</v>
      </c>
      <c r="G736" s="25"/>
      <c r="H736" s="25"/>
    </row>
    <row r="737" spans="1:8" x14ac:dyDescent="0.35">
      <c r="A737" s="25" t="s">
        <v>1131</v>
      </c>
      <c r="B737" s="74">
        <v>18</v>
      </c>
      <c r="C737" s="74">
        <v>18</v>
      </c>
      <c r="G737" s="25"/>
      <c r="H737" s="25"/>
    </row>
    <row r="738" spans="1:8" x14ac:dyDescent="0.35">
      <c r="A738" s="25" t="s">
        <v>634</v>
      </c>
      <c r="B738" s="74">
        <v>60</v>
      </c>
      <c r="C738" s="74">
        <v>60</v>
      </c>
      <c r="G738" s="25"/>
      <c r="H738" s="25"/>
    </row>
    <row r="739" spans="1:8" x14ac:dyDescent="0.35">
      <c r="A739" s="25" t="s">
        <v>1226</v>
      </c>
      <c r="B739" s="74" t="b">
        <v>0</v>
      </c>
      <c r="C739" s="74" t="b">
        <v>0</v>
      </c>
      <c r="G739" s="25"/>
      <c r="H739" s="25"/>
    </row>
    <row r="740" spans="1:8" x14ac:dyDescent="0.35">
      <c r="A740" s="25" t="s">
        <v>1227</v>
      </c>
      <c r="B740" s="74">
        <v>1</v>
      </c>
      <c r="C740" s="74">
        <v>1</v>
      </c>
      <c r="G740" s="25"/>
      <c r="H740" s="25"/>
    </row>
    <row r="741" spans="1:8" x14ac:dyDescent="0.35">
      <c r="A741" s="25" t="s">
        <v>474</v>
      </c>
      <c r="B741" s="74">
        <v>0</v>
      </c>
      <c r="C741" s="74">
        <v>0</v>
      </c>
      <c r="G741" s="25"/>
      <c r="H741" s="25"/>
    </row>
    <row r="742" spans="1:8" x14ac:dyDescent="0.35">
      <c r="A742" s="25" t="s">
        <v>1057</v>
      </c>
      <c r="B742" s="74"/>
      <c r="G742" s="25"/>
      <c r="H742" s="25"/>
    </row>
    <row r="743" spans="1:8" x14ac:dyDescent="0.35">
      <c r="A743" s="25" t="s">
        <v>1058</v>
      </c>
      <c r="B743" s="74"/>
      <c r="G743" s="25"/>
      <c r="H743" s="25"/>
    </row>
    <row r="744" spans="1:8" x14ac:dyDescent="0.35">
      <c r="A744" s="25" t="s">
        <v>640</v>
      </c>
      <c r="B744" s="74"/>
      <c r="G744" s="25"/>
      <c r="H744" s="25"/>
    </row>
    <row r="745" spans="1:8" x14ac:dyDescent="0.35">
      <c r="A745" s="25" t="s">
        <v>632</v>
      </c>
      <c r="B745" t="s">
        <v>860</v>
      </c>
      <c r="C745" t="s">
        <v>860</v>
      </c>
      <c r="G745" s="25"/>
      <c r="H745" s="25"/>
    </row>
    <row r="746" spans="1:8" x14ac:dyDescent="0.35">
      <c r="A746" s="25" t="s">
        <v>931</v>
      </c>
      <c r="B746" s="74" t="b">
        <v>0</v>
      </c>
      <c r="C746" s="74" t="b">
        <v>0</v>
      </c>
      <c r="G746" s="25"/>
      <c r="H746" s="25"/>
    </row>
    <row r="747" spans="1:8" x14ac:dyDescent="0.35">
      <c r="A747" s="25" t="s">
        <v>1360</v>
      </c>
      <c r="B747">
        <v>1</v>
      </c>
      <c r="C747">
        <v>1</v>
      </c>
      <c r="G747" s="25"/>
      <c r="H747" s="25"/>
    </row>
    <row r="748" spans="1:8" x14ac:dyDescent="0.35">
      <c r="A748" t="s">
        <v>1395</v>
      </c>
      <c r="B748" s="74" t="b">
        <v>0</v>
      </c>
      <c r="C748" s="74" t="b">
        <v>0</v>
      </c>
      <c r="G748" s="25"/>
      <c r="H748" s="25"/>
    </row>
    <row r="749" spans="1:8" x14ac:dyDescent="0.35">
      <c r="A749" t="s">
        <v>1396</v>
      </c>
      <c r="B749" s="74">
        <v>30</v>
      </c>
      <c r="C749" s="74">
        <v>30</v>
      </c>
      <c r="G749" s="25"/>
      <c r="H749" s="25"/>
    </row>
    <row r="750" spans="1:8" x14ac:dyDescent="0.35">
      <c r="A750" t="s">
        <v>1367</v>
      </c>
      <c r="B750" s="74">
        <v>3</v>
      </c>
      <c r="C750" s="74">
        <v>3</v>
      </c>
      <c r="G750" s="25"/>
      <c r="H750" s="25"/>
    </row>
    <row r="751" spans="1:8" x14ac:dyDescent="0.35">
      <c r="A751" s="25"/>
      <c r="B751" s="74"/>
      <c r="G751" s="25"/>
      <c r="H751" s="25"/>
    </row>
    <row r="752" spans="1:8" x14ac:dyDescent="0.35">
      <c r="A752" s="25"/>
      <c r="B752" s="74"/>
      <c r="G752" s="25"/>
      <c r="H752" s="25"/>
    </row>
    <row r="753" spans="1:8" x14ac:dyDescent="0.35">
      <c r="A753" s="25"/>
      <c r="B753" s="74"/>
      <c r="G753" s="25"/>
      <c r="H753" s="25"/>
    </row>
    <row r="754" spans="1:8" x14ac:dyDescent="0.35">
      <c r="A754" s="25"/>
      <c r="B754" s="74"/>
      <c r="G754" s="25"/>
      <c r="H754" s="25"/>
    </row>
    <row r="755" spans="1:8" x14ac:dyDescent="0.35">
      <c r="A755" s="25"/>
      <c r="B755" s="74"/>
      <c r="G755" s="25"/>
      <c r="H755" s="25"/>
    </row>
    <row r="756" spans="1:8" x14ac:dyDescent="0.35">
      <c r="A756" s="25"/>
      <c r="B756" s="74"/>
      <c r="G756" s="25"/>
      <c r="H756" s="25"/>
    </row>
    <row r="757" spans="1:8" x14ac:dyDescent="0.35">
      <c r="A757" s="25"/>
      <c r="B757" s="74"/>
      <c r="G757" s="25"/>
      <c r="H757" s="25"/>
    </row>
    <row r="758" spans="1:8" x14ac:dyDescent="0.35">
      <c r="A758" s="25"/>
      <c r="B758" s="74"/>
      <c r="G758" s="25"/>
      <c r="H758" s="25"/>
    </row>
    <row r="759" spans="1:8" x14ac:dyDescent="0.35">
      <c r="A759" s="25"/>
      <c r="B759" s="74"/>
      <c r="G759" s="25"/>
      <c r="H759" s="25"/>
    </row>
    <row r="760" spans="1:8" x14ac:dyDescent="0.35">
      <c r="A760" s="25"/>
      <c r="B760" s="74"/>
      <c r="G760" s="25"/>
      <c r="H760" s="25"/>
    </row>
    <row r="761" spans="1:8" x14ac:dyDescent="0.35">
      <c r="A761" s="25"/>
      <c r="B761" s="74"/>
      <c r="G761" s="25"/>
      <c r="H761" s="25"/>
    </row>
    <row r="762" spans="1:8" x14ac:dyDescent="0.35">
      <c r="A762" s="25"/>
      <c r="B762" s="74"/>
      <c r="G762" s="25"/>
      <c r="H762" s="25"/>
    </row>
    <row r="763" spans="1:8" x14ac:dyDescent="0.35">
      <c r="A763" s="25"/>
      <c r="B763" s="74"/>
      <c r="G763" s="25"/>
      <c r="H763" s="25"/>
    </row>
    <row r="764" spans="1:8" x14ac:dyDescent="0.35">
      <c r="A764" s="25"/>
      <c r="B764" s="74"/>
      <c r="G764" s="25"/>
      <c r="H764" s="25"/>
    </row>
    <row r="765" spans="1:8" x14ac:dyDescent="0.35">
      <c r="A765" s="25"/>
      <c r="B765" s="74"/>
      <c r="G765" s="25"/>
      <c r="H765" s="25"/>
    </row>
    <row r="766" spans="1:8" x14ac:dyDescent="0.35">
      <c r="A766" s="25"/>
      <c r="B766" s="74"/>
      <c r="G766" s="25"/>
      <c r="H766" s="25"/>
    </row>
    <row r="767" spans="1:8" x14ac:dyDescent="0.35">
      <c r="A767" s="25"/>
      <c r="B767" s="74"/>
      <c r="G767" s="25"/>
      <c r="H767" s="25"/>
    </row>
    <row r="768" spans="1:8" x14ac:dyDescent="0.35">
      <c r="A768" s="25"/>
      <c r="B768" s="74"/>
      <c r="G768" s="25"/>
      <c r="H768" s="25"/>
    </row>
    <row r="769" spans="1:8" x14ac:dyDescent="0.35">
      <c r="A769" s="25"/>
      <c r="B769" s="74"/>
      <c r="G769" s="25"/>
      <c r="H769" s="25"/>
    </row>
    <row r="770" spans="1:8" x14ac:dyDescent="0.35">
      <c r="A770" s="25"/>
      <c r="B770" s="74"/>
      <c r="G770" s="25"/>
      <c r="H770" s="25"/>
    </row>
    <row r="771" spans="1:8" x14ac:dyDescent="0.35">
      <c r="A771" s="25"/>
      <c r="B771" s="74"/>
      <c r="G771" s="25"/>
      <c r="H771" s="25"/>
    </row>
    <row r="772" spans="1:8" x14ac:dyDescent="0.35">
      <c r="A772" s="25"/>
      <c r="B772" s="74"/>
      <c r="G772" s="25"/>
      <c r="H772" s="25"/>
    </row>
    <row r="773" spans="1:8" x14ac:dyDescent="0.35">
      <c r="A773" s="25"/>
      <c r="B773" s="74"/>
      <c r="G773" s="25"/>
      <c r="H773" s="25"/>
    </row>
    <row r="774" spans="1:8" x14ac:dyDescent="0.35">
      <c r="A774" s="25"/>
      <c r="B774" s="74"/>
      <c r="G774" s="25"/>
      <c r="H774" s="25"/>
    </row>
    <row r="775" spans="1:8" x14ac:dyDescent="0.35">
      <c r="A775" s="25"/>
      <c r="B775" s="74"/>
      <c r="G775" s="25"/>
      <c r="H775" s="25"/>
    </row>
    <row r="776" spans="1:8" x14ac:dyDescent="0.35">
      <c r="A776" s="25"/>
      <c r="B776" s="74"/>
      <c r="G776" s="25"/>
      <c r="H776" s="25"/>
    </row>
    <row r="777" spans="1:8" x14ac:dyDescent="0.35">
      <c r="A777" s="25"/>
      <c r="B777" s="74"/>
      <c r="G777" s="25"/>
      <c r="H777" s="25"/>
    </row>
    <row r="778" spans="1:8" x14ac:dyDescent="0.35">
      <c r="A778" s="25"/>
      <c r="B778" s="74"/>
      <c r="G778" s="25"/>
      <c r="H778" s="25"/>
    </row>
    <row r="779" spans="1:8" x14ac:dyDescent="0.35">
      <c r="A779" s="25"/>
      <c r="B779" s="74"/>
      <c r="G779" s="25"/>
      <c r="H779" s="25"/>
    </row>
    <row r="780" spans="1:8" x14ac:dyDescent="0.35">
      <c r="A780" s="25"/>
      <c r="B780" s="74"/>
      <c r="G780" s="25"/>
      <c r="H780" s="25"/>
    </row>
    <row r="781" spans="1:8" x14ac:dyDescent="0.35">
      <c r="A781" s="25"/>
      <c r="B781" s="74"/>
      <c r="G781" s="25"/>
      <c r="H781" s="25"/>
    </row>
    <row r="782" spans="1:8" x14ac:dyDescent="0.35">
      <c r="A782" s="25"/>
      <c r="B782" s="74"/>
      <c r="G782" s="25"/>
      <c r="H782" s="25"/>
    </row>
    <row r="783" spans="1:8" x14ac:dyDescent="0.35">
      <c r="A783" s="25"/>
      <c r="B783" s="74"/>
      <c r="G783" s="25"/>
      <c r="H783" s="25"/>
    </row>
    <row r="784" spans="1:8" x14ac:dyDescent="0.35">
      <c r="A784" s="25"/>
      <c r="B784" s="74"/>
      <c r="G784" s="25"/>
      <c r="H784" s="25"/>
    </row>
    <row r="785" spans="1:8" x14ac:dyDescent="0.35">
      <c r="A785" s="25"/>
      <c r="B785" s="74"/>
      <c r="G785" s="25"/>
      <c r="H785" s="25"/>
    </row>
    <row r="786" spans="1:8" x14ac:dyDescent="0.35">
      <c r="A786" s="25"/>
      <c r="B786" s="74"/>
      <c r="G786" s="25"/>
      <c r="H786" s="25"/>
    </row>
    <row r="787" spans="1:8" x14ac:dyDescent="0.35">
      <c r="A787" s="25"/>
      <c r="B787" s="74"/>
      <c r="G787" s="25"/>
      <c r="H787" s="25"/>
    </row>
    <row r="788" spans="1:8" x14ac:dyDescent="0.35">
      <c r="A788" s="25"/>
      <c r="B788" s="74"/>
      <c r="G788" s="25"/>
      <c r="H788" s="25"/>
    </row>
    <row r="789" spans="1:8" x14ac:dyDescent="0.35">
      <c r="A789" s="25"/>
      <c r="B789" s="74"/>
      <c r="G789" s="25"/>
      <c r="H789" s="25"/>
    </row>
    <row r="790" spans="1:8" x14ac:dyDescent="0.35">
      <c r="A790" s="25"/>
      <c r="B790" s="74"/>
      <c r="G790" s="25"/>
      <c r="H790" s="25"/>
    </row>
    <row r="791" spans="1:8" x14ac:dyDescent="0.35">
      <c r="A791" s="25"/>
      <c r="B791" s="74"/>
      <c r="G791" s="25"/>
      <c r="H791" s="25"/>
    </row>
    <row r="792" spans="1:8" x14ac:dyDescent="0.35">
      <c r="A792" s="25"/>
      <c r="B792" s="74"/>
      <c r="G792" s="25"/>
      <c r="H792" s="25"/>
    </row>
    <row r="793" spans="1:8" x14ac:dyDescent="0.35">
      <c r="A793" s="25"/>
      <c r="B793" s="74"/>
      <c r="G793" s="25"/>
      <c r="H793" s="25"/>
    </row>
    <row r="794" spans="1:8" x14ac:dyDescent="0.35">
      <c r="A794" s="25"/>
      <c r="B794" s="74"/>
      <c r="G794" s="25"/>
      <c r="H794" s="25"/>
    </row>
    <row r="795" spans="1:8" x14ac:dyDescent="0.35">
      <c r="A795" s="25"/>
      <c r="B795" s="74"/>
      <c r="G795" s="25"/>
      <c r="H795" s="25"/>
    </row>
    <row r="796" spans="1:8" x14ac:dyDescent="0.35">
      <c r="A796" s="25"/>
      <c r="B796" s="74"/>
      <c r="G796" s="25"/>
      <c r="H796" s="25"/>
    </row>
    <row r="797" spans="1:8" x14ac:dyDescent="0.35">
      <c r="A797" s="25"/>
      <c r="B797" s="74"/>
      <c r="G797" s="25"/>
      <c r="H797" s="25"/>
    </row>
    <row r="798" spans="1:8" x14ac:dyDescent="0.35">
      <c r="A798" s="25"/>
      <c r="B798" s="74"/>
      <c r="G798" s="25"/>
      <c r="H798" s="25"/>
    </row>
    <row r="799" spans="1:8" x14ac:dyDescent="0.35">
      <c r="A799" s="25"/>
      <c r="B799" s="74"/>
      <c r="G799" s="25"/>
      <c r="H799" s="25"/>
    </row>
    <row r="800" spans="1:8" x14ac:dyDescent="0.35">
      <c r="A800" s="25"/>
      <c r="B800" s="74"/>
      <c r="G800" s="25"/>
      <c r="H800" s="25"/>
    </row>
    <row r="801" spans="1:8" x14ac:dyDescent="0.35">
      <c r="A801" s="25"/>
      <c r="B801" s="74"/>
      <c r="G801" s="25"/>
      <c r="H801" s="25"/>
    </row>
    <row r="802" spans="1:8" x14ac:dyDescent="0.35">
      <c r="A802" s="25"/>
      <c r="B802" s="74"/>
      <c r="G802" s="25"/>
      <c r="H802" s="25"/>
    </row>
    <row r="803" spans="1:8" x14ac:dyDescent="0.35">
      <c r="A803" s="25"/>
      <c r="B803" s="74"/>
      <c r="G803" s="25"/>
      <c r="H803" s="25"/>
    </row>
    <row r="804" spans="1:8" x14ac:dyDescent="0.35">
      <c r="A804" s="25"/>
      <c r="B804" s="74"/>
      <c r="G804" s="25"/>
      <c r="H804" s="25"/>
    </row>
    <row r="805" spans="1:8" x14ac:dyDescent="0.35">
      <c r="A805" s="25"/>
      <c r="B805" s="74"/>
      <c r="G805" s="25"/>
      <c r="H805" s="25"/>
    </row>
    <row r="806" spans="1:8" x14ac:dyDescent="0.35">
      <c r="A806" s="25"/>
      <c r="B806" s="74"/>
      <c r="G806" s="25"/>
      <c r="H806" s="25"/>
    </row>
    <row r="807" spans="1:8" x14ac:dyDescent="0.35">
      <c r="A807" s="25"/>
      <c r="B807" s="74"/>
      <c r="G807" s="25"/>
      <c r="H807" s="25"/>
    </row>
    <row r="808" spans="1:8" x14ac:dyDescent="0.35">
      <c r="A808" s="25"/>
      <c r="B808" s="74"/>
      <c r="G808" s="25"/>
      <c r="H808" s="25"/>
    </row>
    <row r="809" spans="1:8" x14ac:dyDescent="0.35">
      <c r="A809" s="25"/>
      <c r="B809" s="74"/>
      <c r="G809" s="25"/>
      <c r="H809" s="25"/>
    </row>
    <row r="810" spans="1:8" x14ac:dyDescent="0.35">
      <c r="A810" s="25"/>
      <c r="B810" s="74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925</v>
      </c>
      <c r="B1" s="337" t="s">
        <v>1383</v>
      </c>
      <c r="C1" s="336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925</v>
      </c>
      <c r="B2" s="338" t="s">
        <v>1384</v>
      </c>
      <c r="C2" s="336" t="str">
        <f>AchterNaam</f>
        <v>Achternaam</v>
      </c>
      <c r="FIO2">
        <v>30</v>
      </c>
    </row>
    <row r="3" spans="1:3 4305:4305" x14ac:dyDescent="0.35">
      <c r="A3" t="s">
        <v>925</v>
      </c>
      <c r="B3" s="338" t="s">
        <v>1385</v>
      </c>
      <c r="C3" s="336" t="str">
        <f>VoorNaam</f>
        <v>Voornaam</v>
      </c>
    </row>
    <row r="4" spans="1:3 4305:4305" x14ac:dyDescent="0.35">
      <c r="A4" t="s">
        <v>925</v>
      </c>
      <c r="B4" s="338" t="s">
        <v>1386</v>
      </c>
      <c r="C4" s="336" t="str">
        <f>TEXT(AfsprakenCMV!F3,"dd-mmm-jj")</f>
        <v>01-jan-12</v>
      </c>
    </row>
    <row r="5" spans="1:3 4305:4305" x14ac:dyDescent="0.35">
      <c r="A5" t="s">
        <v>925</v>
      </c>
      <c r="B5" s="338" t="s">
        <v>1387</v>
      </c>
      <c r="C5" s="25">
        <f>PatNummer</f>
        <v>0</v>
      </c>
    </row>
    <row r="6" spans="1:3 4305:4305" x14ac:dyDescent="0.35">
      <c r="A6" t="s">
        <v>1423</v>
      </c>
      <c r="B6" s="338" t="s">
        <v>1383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1423</v>
      </c>
      <c r="B7" s="338" t="s">
        <v>1384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1423</v>
      </c>
      <c r="B8" s="338" t="s">
        <v>1385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1423</v>
      </c>
      <c r="B9" s="337" t="s">
        <v>1386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1423</v>
      </c>
      <c r="B10" s="337" t="s">
        <v>1387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1423</v>
      </c>
      <c r="B11" s="337" t="s">
        <v>1388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1423</v>
      </c>
      <c r="B12" s="337" t="s">
        <v>1389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1423</v>
      </c>
      <c r="B13" s="337" t="s">
        <v>1390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1423</v>
      </c>
      <c r="B14" s="337" t="s">
        <v>1391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1423</v>
      </c>
      <c r="B15" s="337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1423</v>
      </c>
      <c r="B16" s="337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1423</v>
      </c>
      <c r="B17" s="337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1423</v>
      </c>
      <c r="B18" s="337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1423</v>
      </c>
      <c r="B19" s="337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1423</v>
      </c>
      <c r="B20" s="337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1423</v>
      </c>
      <c r="B21" s="337">
        <v>16</v>
      </c>
      <c r="C21" t="str">
        <f>IF(ber_Opm!C4&lt;&gt;0,AfsprakenCMV!C74&amp;" "&amp;ber_Opm!C4,"")</f>
        <v/>
      </c>
    </row>
    <row r="22" spans="1:3" x14ac:dyDescent="0.35">
      <c r="A22" t="s">
        <v>1424</v>
      </c>
      <c r="B22" s="337" t="s">
        <v>1383</v>
      </c>
      <c r="C22" t="str">
        <f>ber_Med_disc!AC2</f>
        <v/>
      </c>
    </row>
    <row r="23" spans="1:3" x14ac:dyDescent="0.35">
      <c r="A23" t="s">
        <v>1424</v>
      </c>
      <c r="B23" s="337" t="s">
        <v>1384</v>
      </c>
      <c r="C23" t="str">
        <f>ber_Med_disc!AC3</f>
        <v/>
      </c>
    </row>
    <row r="24" spans="1:3" x14ac:dyDescent="0.35">
      <c r="A24" t="s">
        <v>1424</v>
      </c>
      <c r="B24" s="337" t="s">
        <v>1385</v>
      </c>
      <c r="C24" t="str">
        <f>ber_Med_disc!AC4</f>
        <v/>
      </c>
    </row>
    <row r="25" spans="1:3" x14ac:dyDescent="0.35">
      <c r="A25" t="s">
        <v>1424</v>
      </c>
      <c r="B25" s="337" t="s">
        <v>1386</v>
      </c>
      <c r="C25" t="str">
        <f>ber_Med_disc!AC5</f>
        <v/>
      </c>
    </row>
    <row r="26" spans="1:3" x14ac:dyDescent="0.35">
      <c r="A26" t="s">
        <v>1424</v>
      </c>
      <c r="B26" s="337" t="s">
        <v>1387</v>
      </c>
      <c r="C26" t="str">
        <f>ber_Med_disc!AC6</f>
        <v/>
      </c>
    </row>
    <row r="27" spans="1:3" x14ac:dyDescent="0.35">
      <c r="A27" t="s">
        <v>1424</v>
      </c>
      <c r="B27" s="337" t="s">
        <v>1388</v>
      </c>
      <c r="C27" t="str">
        <f>ber_Med_disc!AC7</f>
        <v/>
      </c>
    </row>
    <row r="28" spans="1:3" x14ac:dyDescent="0.35">
      <c r="A28" t="s">
        <v>1424</v>
      </c>
      <c r="B28" s="337" t="s">
        <v>1389</v>
      </c>
      <c r="C28" t="str">
        <f>ber_Med_disc!AC8</f>
        <v/>
      </c>
    </row>
    <row r="29" spans="1:3" x14ac:dyDescent="0.35">
      <c r="A29" t="s">
        <v>1424</v>
      </c>
      <c r="B29" s="337" t="s">
        <v>1390</v>
      </c>
      <c r="C29" t="str">
        <f>ber_Med_disc!AC9</f>
        <v/>
      </c>
    </row>
    <row r="30" spans="1:3" x14ac:dyDescent="0.35">
      <c r="A30" t="s">
        <v>1424</v>
      </c>
      <c r="B30" s="337" t="s">
        <v>1391</v>
      </c>
      <c r="C30" t="str">
        <f>ber_Med_disc!AC10</f>
        <v/>
      </c>
    </row>
    <row r="31" spans="1:3" x14ac:dyDescent="0.35">
      <c r="A31" t="s">
        <v>1424</v>
      </c>
      <c r="B31" s="337">
        <v>10</v>
      </c>
      <c r="C31" t="str">
        <f>ber_Med_disc!AC11</f>
        <v/>
      </c>
    </row>
    <row r="32" spans="1:3" x14ac:dyDescent="0.35">
      <c r="A32" t="s">
        <v>1424</v>
      </c>
      <c r="B32" s="337">
        <v>11</v>
      </c>
      <c r="C32" t="str">
        <f>ber_Med_disc!AC12</f>
        <v/>
      </c>
    </row>
    <row r="33" spans="1:3" x14ac:dyDescent="0.35">
      <c r="A33" t="s">
        <v>1424</v>
      </c>
      <c r="B33" s="337">
        <v>12</v>
      </c>
      <c r="C33" t="str">
        <f>ber_Med_disc!AC13</f>
        <v/>
      </c>
    </row>
    <row r="34" spans="1:3" x14ac:dyDescent="0.35">
      <c r="A34" t="s">
        <v>1424</v>
      </c>
      <c r="B34" s="337">
        <v>13</v>
      </c>
      <c r="C34" t="str">
        <f>ber_Med_disc!AC14</f>
        <v/>
      </c>
    </row>
    <row r="35" spans="1:3" x14ac:dyDescent="0.35">
      <c r="A35" t="s">
        <v>1424</v>
      </c>
      <c r="B35" s="337">
        <v>14</v>
      </c>
      <c r="C35" t="str">
        <f>ber_Med_disc!AC15</f>
        <v/>
      </c>
    </row>
    <row r="36" spans="1:3" x14ac:dyDescent="0.35">
      <c r="A36" t="s">
        <v>1424</v>
      </c>
      <c r="B36" s="337">
        <v>15</v>
      </c>
      <c r="C36" t="str">
        <f>ber_Med_disc!AC16</f>
        <v/>
      </c>
    </row>
    <row r="37" spans="1:3" x14ac:dyDescent="0.35">
      <c r="A37" t="s">
        <v>1424</v>
      </c>
      <c r="B37" s="337">
        <v>16</v>
      </c>
      <c r="C37" t="str">
        <f>ber_Med_disc!AC17</f>
        <v/>
      </c>
    </row>
    <row r="38" spans="1:3" x14ac:dyDescent="0.35">
      <c r="A38" t="s">
        <v>1424</v>
      </c>
      <c r="B38" s="337">
        <v>17</v>
      </c>
      <c r="C38" t="str">
        <f>ber_Med_disc!AC18</f>
        <v/>
      </c>
    </row>
    <row r="39" spans="1:3" x14ac:dyDescent="0.35">
      <c r="A39" t="s">
        <v>1424</v>
      </c>
      <c r="B39" s="337">
        <v>18</v>
      </c>
      <c r="C39" t="str">
        <f>ber_Med_disc!AC19</f>
        <v/>
      </c>
    </row>
    <row r="40" spans="1:3" x14ac:dyDescent="0.35">
      <c r="A40" t="s">
        <v>1424</v>
      </c>
      <c r="B40" s="337">
        <v>19</v>
      </c>
      <c r="C40" t="str">
        <f>ber_Med_disc!AC20</f>
        <v/>
      </c>
    </row>
    <row r="41" spans="1:3" x14ac:dyDescent="0.35">
      <c r="A41" t="s">
        <v>1424</v>
      </c>
      <c r="B41" s="337">
        <v>20</v>
      </c>
      <c r="C41" t="str">
        <f>ber_Med_disc!AC21</f>
        <v/>
      </c>
    </row>
    <row r="42" spans="1:3" x14ac:dyDescent="0.35">
      <c r="A42" t="s">
        <v>1425</v>
      </c>
      <c r="B42" s="337" t="s">
        <v>1383</v>
      </c>
      <c r="C42" t="str">
        <f>IF(AfsprakenCMV!C23&lt;&gt;0,AfsprakenCMV!C23,"")</f>
        <v/>
      </c>
    </row>
    <row r="43" spans="1:3" x14ac:dyDescent="0.35">
      <c r="A43" t="s">
        <v>1425</v>
      </c>
      <c r="B43" s="337" t="s">
        <v>1384</v>
      </c>
      <c r="C43" t="str">
        <f>IF(AfsprakenCMV!C24&lt;&gt;0,AfsprakenCMV!C24,"")</f>
        <v/>
      </c>
    </row>
    <row r="44" spans="1:3" x14ac:dyDescent="0.35">
      <c r="A44" t="s">
        <v>1425</v>
      </c>
      <c r="B44" s="337" t="s">
        <v>1385</v>
      </c>
      <c r="C44" t="str">
        <f>IF(AfsprakenCMV!C25&lt;&gt;0,AfsprakenCMV!C25,"")</f>
        <v/>
      </c>
    </row>
    <row r="45" spans="1:3" x14ac:dyDescent="0.35">
      <c r="A45" t="s">
        <v>1425</v>
      </c>
      <c r="B45" s="337" t="s">
        <v>1386</v>
      </c>
      <c r="C45" t="str">
        <f>IF(AfsprakenCMV!C26&lt;&gt;0,AfsprakenCMV!C26,"")</f>
        <v/>
      </c>
    </row>
    <row r="46" spans="1:3" x14ac:dyDescent="0.35">
      <c r="A46" t="s">
        <v>1425</v>
      </c>
      <c r="B46" s="337" t="s">
        <v>1387</v>
      </c>
      <c r="C46" t="str">
        <f>IF(AfsprakenCMV!C27&lt;&gt;0,AfsprakenCMV!C27,"")</f>
        <v/>
      </c>
    </row>
    <row r="47" spans="1:3" x14ac:dyDescent="0.35">
      <c r="A47" t="s">
        <v>1425</v>
      </c>
      <c r="B47" s="337" t="s">
        <v>1388</v>
      </c>
      <c r="C47" t="str">
        <f>IF(AfsprakenCMV!C28&lt;&gt;0,AfsprakenCMV!C28,"")</f>
        <v/>
      </c>
    </row>
    <row r="48" spans="1:3" x14ac:dyDescent="0.35">
      <c r="A48" t="s">
        <v>1425</v>
      </c>
      <c r="B48" s="337" t="s">
        <v>1389</v>
      </c>
      <c r="C48" t="str">
        <f>IF(AfsprakenCMV!C30&lt;&gt;0,"Opmerkingen: "&amp;AfsprakenCMV!C30,"")</f>
        <v/>
      </c>
    </row>
    <row r="49" spans="1:3" x14ac:dyDescent="0.35">
      <c r="A49" t="s">
        <v>1426</v>
      </c>
      <c r="B49" s="337" t="s">
        <v>1383</v>
      </c>
      <c r="C49" t="str">
        <f>IF(AfsprakenCMV!C46&lt;&gt;0,AfsprakenCMV!C46,"")</f>
        <v/>
      </c>
    </row>
    <row r="50" spans="1:3" x14ac:dyDescent="0.35">
      <c r="A50" t="s">
        <v>1426</v>
      </c>
      <c r="B50" s="337" t="s">
        <v>1384</v>
      </c>
      <c r="C50" t="str">
        <f>IF(AfsprakenCMV!C47&lt;&gt;0,AfsprakenCMV!C47,"")</f>
        <v/>
      </c>
    </row>
    <row r="51" spans="1:3" x14ac:dyDescent="0.35">
      <c r="A51" t="s">
        <v>1426</v>
      </c>
      <c r="B51" s="337" t="s">
        <v>1385</v>
      </c>
      <c r="C51" t="str">
        <f>IF(AfsprakenCMV!C48&lt;&gt;0,AfsprakenCMV!C48,"")</f>
        <v/>
      </c>
    </row>
    <row r="52" spans="1:3" x14ac:dyDescent="0.35">
      <c r="A52" t="s">
        <v>1426</v>
      </c>
      <c r="B52" s="337" t="s">
        <v>1386</v>
      </c>
      <c r="C52" t="str">
        <f>IF(AfsprakenCMV!C49&lt;&gt;0,AfsprakenCMV!C49,"")</f>
        <v/>
      </c>
    </row>
    <row r="53" spans="1:3" x14ac:dyDescent="0.35">
      <c r="A53" t="s">
        <v>1426</v>
      </c>
      <c r="B53" s="337" t="s">
        <v>1387</v>
      </c>
      <c r="C53" t="str">
        <f>IF(AfsprakenCMV!C50&lt;&gt;0,AfsprakenCMV!C50,"")</f>
        <v/>
      </c>
    </row>
    <row r="54" spans="1:3" x14ac:dyDescent="0.35">
      <c r="A54" t="s">
        <v>1426</v>
      </c>
      <c r="B54" s="337" t="s">
        <v>1388</v>
      </c>
      <c r="C54" t="str">
        <f>IF(AfsprakenCMV!C51&lt;&gt;0,AfsprakenCMV!C51,"")</f>
        <v/>
      </c>
    </row>
    <row r="55" spans="1:3" x14ac:dyDescent="0.35">
      <c r="A55" t="s">
        <v>1426</v>
      </c>
      <c r="B55" s="337" t="s">
        <v>1389</v>
      </c>
      <c r="C55" t="str">
        <f>IF(AfsprakenCMV!D74&lt;&gt;0,"Opmerkingen: "&amp;AfsprakenCMV!D74,"")</f>
        <v/>
      </c>
    </row>
    <row r="56" spans="1:3" x14ac:dyDescent="0.35">
      <c r="A56" t="s">
        <v>1427</v>
      </c>
      <c r="B56" s="337" t="s">
        <v>1383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1427</v>
      </c>
      <c r="B57" s="337" t="s">
        <v>1384</v>
      </c>
      <c r="C57" t="str">
        <f>IF(AfsprakenCMV!D11&lt;&gt;0,"Opmerkingen: "&amp;AfsprakenCMV!D11,"")</f>
        <v/>
      </c>
    </row>
    <row r="58" spans="1:3" x14ac:dyDescent="0.35">
      <c r="A58" t="s">
        <v>1427</v>
      </c>
      <c r="B58" s="337" t="s">
        <v>1385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1427</v>
      </c>
      <c r="B59" s="337" t="s">
        <v>1386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1427</v>
      </c>
      <c r="B60" s="337" t="s">
        <v>1387</v>
      </c>
      <c r="C60" t="str">
        <f>IF(AfsprakenCMV!E92&lt;&gt;" ",AfsprakenCMV!D92&amp;": "&amp;AfsprakenCMV!E92,"")</f>
        <v/>
      </c>
    </row>
    <row r="61" spans="1:3" x14ac:dyDescent="0.35">
      <c r="A61" t="s">
        <v>1427</v>
      </c>
      <c r="B61" s="337" t="s">
        <v>1388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1427</v>
      </c>
      <c r="B62" s="337" t="s">
        <v>1389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1427</v>
      </c>
      <c r="B63" s="338" t="s">
        <v>1390</v>
      </c>
      <c r="C63" t="str">
        <f>IF(Intake!D29&lt;&gt;0,"Opmerkingen: "&amp;Intake!D29,"")</f>
        <v/>
      </c>
    </row>
    <row r="64" spans="1:3" x14ac:dyDescent="0.35">
      <c r="A64" t="s">
        <v>447</v>
      </c>
      <c r="B64" s="337" t="s">
        <v>1383</v>
      </c>
      <c r="C64" t="str">
        <f>IF(AfsprakenCMV!D14&lt;&gt;"",AfsprakenCMV!C14&amp;": "&amp;AfsprakenCMV!D14,"")</f>
        <v/>
      </c>
    </row>
    <row r="65" spans="1:3" x14ac:dyDescent="0.35">
      <c r="A65" t="s">
        <v>447</v>
      </c>
      <c r="B65" s="337" t="s">
        <v>1384</v>
      </c>
      <c r="C65" t="str">
        <f>IF(AfsprakenCMV!D15&lt;&gt;"",AfsprakenCMV!C15&amp;": "&amp;AfsprakenCMV!D15,"")</f>
        <v/>
      </c>
    </row>
    <row r="66" spans="1:3" x14ac:dyDescent="0.35">
      <c r="A66" t="s">
        <v>447</v>
      </c>
      <c r="B66" s="337" t="s">
        <v>1385</v>
      </c>
      <c r="C66" t="str">
        <f>IF(AfsprakenCMV!D16&lt;&gt;"",AfsprakenCMV!C16&amp;": "&amp;AfsprakenCMV!D16,"")</f>
        <v/>
      </c>
    </row>
    <row r="67" spans="1:3" x14ac:dyDescent="0.35">
      <c r="A67" t="s">
        <v>447</v>
      </c>
      <c r="B67" s="337" t="s">
        <v>1386</v>
      </c>
      <c r="C67" t="str">
        <f>IF(AfsprakenCMV!D17&lt;&gt;"",AfsprakenCMV!C17&amp;": "&amp;AfsprakenCMV!D17,"")</f>
        <v/>
      </c>
    </row>
    <row r="68" spans="1:3" x14ac:dyDescent="0.35">
      <c r="A68" t="s">
        <v>447</v>
      </c>
      <c r="B68" s="337" t="s">
        <v>1387</v>
      </c>
      <c r="C68" t="str">
        <f>IF(AfsprakenCMV!D18&lt;&gt;"",AfsprakenCMV!C18&amp;": "&amp;AfsprakenCMV!D18,"")</f>
        <v/>
      </c>
    </row>
    <row r="69" spans="1:3" x14ac:dyDescent="0.35">
      <c r="A69" t="s">
        <v>447</v>
      </c>
      <c r="B69" s="337" t="s">
        <v>1388</v>
      </c>
      <c r="C69" t="str">
        <f>IF(AfsprakenCMV!D19&lt;&gt;0,AfsprakenCMV!C19&amp;": "&amp;AfsprakenCMV!D19,"")</f>
        <v/>
      </c>
    </row>
    <row r="70" spans="1:3" x14ac:dyDescent="0.35">
      <c r="A70" t="s">
        <v>1096</v>
      </c>
      <c r="B70" s="337" t="s">
        <v>1383</v>
      </c>
      <c r="C70" t="str">
        <f>AfsprakenCMV!C103&amp;": "&amp;AfsprakenCMV!D103</f>
        <v>Vocht: 0 ml/kg</v>
      </c>
    </row>
    <row r="71" spans="1:3" x14ac:dyDescent="0.35">
      <c r="A71" t="s">
        <v>1096</v>
      </c>
      <c r="B71" s="337" t="s">
        <v>1384</v>
      </c>
      <c r="C71" t="str">
        <f>AfsprakenCMV!C104&amp;": "&amp;AfsprakenCMV!D104</f>
        <v>Eiwit: 0  gram/kg</v>
      </c>
    </row>
    <row r="72" spans="1:3" x14ac:dyDescent="0.35">
      <c r="A72" t="s">
        <v>1096</v>
      </c>
      <c r="B72" s="337" t="s">
        <v>1385</v>
      </c>
      <c r="C72" t="str">
        <f>AfsprakenCMV!C105&amp;": "&amp;AfsprakenCMV!D105</f>
        <v>Glucose/KH: 0 g/kg</v>
      </c>
    </row>
    <row r="73" spans="1:3" x14ac:dyDescent="0.35">
      <c r="A73" t="s">
        <v>1096</v>
      </c>
      <c r="B73" s="337" t="s">
        <v>1386</v>
      </c>
      <c r="C73" t="str">
        <f>AfsprakenCMV!E103&amp;": "&amp;AfsprakenCMV!F103</f>
        <v>Calorieen: 0 kCal/kg</v>
      </c>
    </row>
    <row r="74" spans="1:3" x14ac:dyDescent="0.35">
      <c r="A74" t="s">
        <v>1096</v>
      </c>
      <c r="B74" s="337" t="s">
        <v>1387</v>
      </c>
      <c r="C74" t="str">
        <f>AfsprakenCMV!E104&amp;": "&amp;AfsprakenCMV!F104</f>
        <v>Vet: 0 gram/kg</v>
      </c>
    </row>
    <row r="75" spans="1:3" x14ac:dyDescent="0.35">
      <c r="A75" t="s">
        <v>1096</v>
      </c>
      <c r="B75" s="337" t="s">
        <v>1388</v>
      </c>
      <c r="C75" t="str">
        <f>AfsprakenCMV!G103&amp;": "&amp;AfsprakenCMV!H103</f>
        <v>Kalium: 0 mmol/kg</v>
      </c>
    </row>
    <row r="76" spans="1:3" x14ac:dyDescent="0.35">
      <c r="A76" t="s">
        <v>1096</v>
      </c>
      <c r="B76" s="337" t="s">
        <v>1389</v>
      </c>
      <c r="C76" t="str">
        <f>AfsprakenCMV!G104&amp;": "&amp;AfsprakenCMV!H104</f>
        <v>Calcium: 0 mmol/kg</v>
      </c>
    </row>
    <row r="77" spans="1:3" x14ac:dyDescent="0.35">
      <c r="A77" t="s">
        <v>1096</v>
      </c>
      <c r="B77" s="337" t="s">
        <v>1390</v>
      </c>
      <c r="C77" t="str">
        <f>AfsprakenCMV!G105&amp;": "&amp;AfsprakenCMV!H105</f>
        <v>Magnesium: 0 mmol/kg</v>
      </c>
    </row>
    <row r="78" spans="1:3" x14ac:dyDescent="0.35">
      <c r="A78" t="s">
        <v>1096</v>
      </c>
      <c r="B78" s="337" t="s">
        <v>1391</v>
      </c>
      <c r="C78" t="str">
        <f>AfsprakenCMV!I103&amp;": "&amp;AfsprakenCMV!J103</f>
        <v>Natrium : 0 mmol/kg</v>
      </c>
    </row>
    <row r="79" spans="1:3" x14ac:dyDescent="0.35">
      <c r="A79" t="s">
        <v>1096</v>
      </c>
      <c r="B79" s="337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H3" sqref="H3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</row>
    <row r="2" spans="1:81" ht="17.25" customHeight="1" x14ac:dyDescent="0.4">
      <c r="A2" s="191"/>
      <c r="B2" s="191"/>
      <c r="C2" s="207" t="s">
        <v>948</v>
      </c>
      <c r="D2" s="208">
        <f ca="1">AfspraakDatum</f>
        <v>42192</v>
      </c>
      <c r="E2" s="209"/>
      <c r="F2" s="207" t="s">
        <v>949</v>
      </c>
      <c r="G2" s="191"/>
      <c r="H2" s="210">
        <f>OpnDatum</f>
        <v>41363</v>
      </c>
      <c r="I2" s="207" t="str">
        <f ca="1">"ICU-dag: "&amp;AfspraakDatum-OpnDatum+1</f>
        <v>ICU-dag: 830</v>
      </c>
      <c r="J2" s="207"/>
      <c r="K2" s="207"/>
      <c r="L2" s="207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</row>
    <row r="3" spans="1:81" ht="17.25" customHeight="1" x14ac:dyDescent="0.4">
      <c r="A3" s="191"/>
      <c r="B3" s="206"/>
      <c r="C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191"/>
      <c r="H3" s="210">
        <f>GebDatum</f>
        <v>40909</v>
      </c>
      <c r="I3" s="212" t="str">
        <f>"Gewicht: "&amp;Gewicht/10&amp;" kg"</f>
        <v>Gewicht: 10 kg</v>
      </c>
      <c r="J3" s="207"/>
      <c r="K3" s="212" t="str">
        <f>"Lengte: "&amp;Lengte&amp;" cm"</f>
        <v>Lengte: 80 cm</v>
      </c>
      <c r="L3" s="207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</row>
    <row r="4" spans="1:81" ht="17.25" customHeight="1" x14ac:dyDescent="0.4">
      <c r="A4" s="213"/>
      <c r="B4" s="213"/>
      <c r="C4" s="207" t="s">
        <v>1063</v>
      </c>
      <c r="D4" s="212">
        <f>PatNummer</f>
        <v>0</v>
      </c>
      <c r="E4" s="209"/>
      <c r="F4" s="207" t="s">
        <v>880</v>
      </c>
      <c r="G4" s="213"/>
      <c r="H4" s="214" t="str">
        <f ca="1">TRUNC((AfspraakDatum-GebDatum)/365,0)&amp;" jaar en "&amp;TRUNC(((AfspraakDatum-GebDatum)-365*TRUNC((AfspraakDatum-GebDatum)/365,0))/30,0)&amp;" maand(-en)"</f>
        <v>3 jaar en 6 maand(-en)</v>
      </c>
      <c r="I4" s="207"/>
      <c r="J4" s="207" t="str">
        <f>"Lichamelijk oppervlak: "&amp;ROUND(POWER(Gewicht/10,0.425)*POWER(((Lengte/100)*100),0.725)*0.007184,2)&amp;" m2"</f>
        <v>Lichamelijk oppervlak: 0,46 m2</v>
      </c>
      <c r="K4" s="207"/>
      <c r="L4" s="207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3"/>
      <c r="B5" s="213"/>
      <c r="C5" s="118"/>
      <c r="D5" s="218"/>
      <c r="E5" s="105"/>
      <c r="F5" s="118"/>
      <c r="G5" s="219"/>
      <c r="H5" s="118"/>
      <c r="I5" s="118"/>
      <c r="J5" s="118"/>
      <c r="K5" s="118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1"/>
      <c r="B6" s="213"/>
      <c r="C6" s="216" t="s">
        <v>1035</v>
      </c>
      <c r="D6" s="231" t="s">
        <v>619</v>
      </c>
      <c r="E6" s="216" t="s">
        <v>495</v>
      </c>
      <c r="F6" s="232"/>
      <c r="G6" s="216" t="s">
        <v>190</v>
      </c>
      <c r="H6" s="216" t="s">
        <v>1036</v>
      </c>
      <c r="I6" s="216" t="s">
        <v>960</v>
      </c>
      <c r="J6" s="216" t="s">
        <v>1012</v>
      </c>
      <c r="K6" s="233"/>
      <c r="L6" s="216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1"/>
      <c r="B7" s="213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1"/>
      <c r="B8" s="213">
        <v>1</v>
      </c>
      <c r="C8" s="220">
        <f>INDEX(tblDoseringen,ber_IVmed!$B31,1)</f>
        <v>0</v>
      </c>
      <c r="D8" s="234" t="str">
        <f>INDEX(tblDoseringen,ber_IVmed!$B31,2)&amp;" "&amp;INDEX(tblDoseringen,ber_IVmed!$B31,9)</f>
        <v xml:space="preserve"> </v>
      </c>
      <c r="E8" s="222" t="str">
        <f>IF(AND(C8&lt;&gt;0,INDEX(tblDoseringen,ber_IVmed!$B31,3)&lt;&gt;""),INDEX(tblDoseringen,ber_IVmed!$B31,3)&amp;" ml","")</f>
        <v/>
      </c>
      <c r="F8" s="215">
        <f>INDEX(tblOplossing,ber_IVmed!D31,1)</f>
        <v>0</v>
      </c>
      <c r="G8" s="222" t="str">
        <f>IF(C8&lt;&gt;0,ber_IVmed!E31/10&amp;" ml/uur","")</f>
        <v/>
      </c>
      <c r="H8" s="222" t="str">
        <f>IF(C8&lt;&gt;0,AC8&amp;" "&amp;INDEX(tblDoseringen,ber_IVmed!$B31,7),"")</f>
        <v/>
      </c>
      <c r="I8" s="223" t="str">
        <f>IF(C8&lt;&gt;0,24*ber_IVmed!E31/10&amp;" ml","")</f>
        <v/>
      </c>
      <c r="J8" s="246">
        <f>INDEX(tblDoseringen,ber_IVmed!$B31,8)</f>
        <v>0</v>
      </c>
      <c r="K8" s="223"/>
      <c r="L8" s="223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1"/>
      <c r="B9" s="213">
        <v>2</v>
      </c>
      <c r="C9" s="220">
        <f>INDEX(tblDoseringen,ber_IVmed!$B32,1)</f>
        <v>0</v>
      </c>
      <c r="D9" s="234" t="str">
        <f>INDEX(tblDoseringen,ber_IVmed!$B32,2)&amp;" "&amp;INDEX(tblDoseringen,ber_IVmed!$B32,9)</f>
        <v xml:space="preserve"> </v>
      </c>
      <c r="E9" s="224" t="str">
        <f>IF(AND(C9&lt;&gt;0,INDEX(tblDoseringen,ber_IVmed!$B32,3)&lt;&gt;""),INDEX(tblDoseringen,ber_IVmed!$B32,3)&amp;" ml","")</f>
        <v/>
      </c>
      <c r="F9" s="215">
        <f>INDEX(tblOplossing,ber_IVmed!D32,1)</f>
        <v>0</v>
      </c>
      <c r="G9" s="224" t="str">
        <f>IF(C9&lt;&gt;0,ber_IVmed!E32/10&amp;" ml/uur","")</f>
        <v/>
      </c>
      <c r="H9" s="222" t="str">
        <f>IF(C9&lt;&gt;0,AC9&amp;" "&amp;INDEX(tblDoseringen,ber_IVmed!$B32,7),"")</f>
        <v/>
      </c>
      <c r="I9" s="225" t="str">
        <f>IF(C9&lt;&gt;0,24*ber_IVmed!E32/10&amp;" ml","")</f>
        <v/>
      </c>
      <c r="J9" s="247">
        <f>INDEX(tblDoseringen,ber_IVmed!$B32,8)</f>
        <v>0</v>
      </c>
      <c r="K9" s="225"/>
      <c r="L9" s="225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1"/>
      <c r="B10" s="213">
        <v>3</v>
      </c>
      <c r="C10" s="220">
        <f>INDEX(tblDoseringen,ber_IVmed!$B33,1)</f>
        <v>0</v>
      </c>
      <c r="D10" s="234" t="str">
        <f>INDEX(tblDoseringen,ber_IVmed!$B33,2)&amp;" "&amp;INDEX(tblDoseringen,ber_IVmed!$B33,9)</f>
        <v xml:space="preserve"> </v>
      </c>
      <c r="E10" s="224" t="str">
        <f>IF(AND(C10&lt;&gt;0,INDEX(tblDoseringen,ber_IVmed!$B33,3)&lt;&gt;""),INDEX(tblDoseringen,ber_IVmed!$B33,3)&amp;" ml","")</f>
        <v/>
      </c>
      <c r="F10" s="215">
        <f>INDEX(tblOplossing,ber_IVmed!D33,1)</f>
        <v>0</v>
      </c>
      <c r="G10" s="224" t="str">
        <f>IF(C10&lt;&gt;0,ber_IVmed!E33/10&amp;" ml/uur","")</f>
        <v/>
      </c>
      <c r="H10" s="222" t="str">
        <f>IF(C10&lt;&gt;0,AC10&amp;" "&amp;INDEX(tblDoseringen,ber_IVmed!$B33,7),"")</f>
        <v/>
      </c>
      <c r="I10" s="225" t="str">
        <f>IF(C10&lt;&gt;0,24*ber_IVmed!E33/10&amp;" ml","")</f>
        <v/>
      </c>
      <c r="J10" s="247">
        <f>INDEX(tblDoseringen,ber_IVmed!$B33,8)</f>
        <v>0</v>
      </c>
      <c r="K10" s="225"/>
      <c r="L10" s="225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1"/>
      <c r="B11" s="213">
        <v>4</v>
      </c>
      <c r="C11" s="220">
        <f>INDEX(tblDoseringen,ber_IVmed!$B34,1)</f>
        <v>0</v>
      </c>
      <c r="D11" s="234" t="str">
        <f>INDEX(tblDoseringen,ber_IVmed!$B34,2)&amp;" "&amp;INDEX(tblDoseringen,ber_IVmed!$B34,9)</f>
        <v xml:space="preserve"> </v>
      </c>
      <c r="E11" s="224" t="str">
        <f>IF(AND(C11&lt;&gt;0,INDEX(tblDoseringen,ber_IVmed!$B34,3)&lt;&gt;""),INDEX(tblDoseringen,ber_IVmed!$B34,3)&amp;" ml","")</f>
        <v/>
      </c>
      <c r="F11" s="215">
        <f>INDEX(tblOplossing,ber_IVmed!D34,1)</f>
        <v>0</v>
      </c>
      <c r="G11" s="224" t="str">
        <f>IF(C11&lt;&gt;0,ber_IVmed!E34/10&amp;" ml/uur","")</f>
        <v/>
      </c>
      <c r="H11" s="222" t="str">
        <f>IF(C11&lt;&gt;0,AC11&amp;" "&amp;INDEX(tblDoseringen,ber_IVmed!$B34,7),"")</f>
        <v/>
      </c>
      <c r="I11" s="225" t="str">
        <f>IF(C11&lt;&gt;0,24*ber_IVmed!E34/10&amp;" ml","")</f>
        <v/>
      </c>
      <c r="J11" s="247">
        <f>INDEX(tblDoseringen,ber_IVmed!$B34,8)</f>
        <v>0</v>
      </c>
      <c r="K11" s="225"/>
      <c r="L11" s="225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1"/>
      <c r="B12" s="213">
        <v>5</v>
      </c>
      <c r="C12" s="220">
        <f>INDEX(tblDoseringen,ber_IVmed!$B35,1)</f>
        <v>0</v>
      </c>
      <c r="D12" s="234" t="str">
        <f>INDEX(tblDoseringen,ber_IVmed!$B35,2)&amp;" "&amp;INDEX(tblDoseringen,ber_IVmed!$B35,9)</f>
        <v xml:space="preserve"> </v>
      </c>
      <c r="E12" s="224" t="str">
        <f>IF(AND(C12&lt;&gt;0,INDEX(tblDoseringen,ber_IVmed!$B35,3)&lt;&gt;""),INDEX(tblDoseringen,ber_IVmed!$B35,3)&amp;" ml","")</f>
        <v/>
      </c>
      <c r="F12" s="215">
        <f>INDEX(tblOplossing,ber_IVmed!D35,1)</f>
        <v>0</v>
      </c>
      <c r="G12" s="224" t="str">
        <f>IF(C12&lt;&gt;0,ber_IVmed!E35/10&amp;" ml/uur","")</f>
        <v/>
      </c>
      <c r="H12" s="222" t="str">
        <f>IF(C12&lt;&gt;0,AC12&amp;" "&amp;INDEX(tblDoseringen,ber_IVmed!$B35,7),"")</f>
        <v/>
      </c>
      <c r="I12" s="225" t="str">
        <f>IF(C12&lt;&gt;0,24*ber_IVmed!E35/10&amp;" ml","")</f>
        <v/>
      </c>
      <c r="J12" s="247">
        <f>INDEX(tblDoseringen,ber_IVmed!$B35,8)</f>
        <v>0</v>
      </c>
      <c r="K12" s="225"/>
      <c r="L12" s="225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1"/>
      <c r="B13" s="213">
        <v>6</v>
      </c>
      <c r="C13" s="220">
        <f>INDEX(tblDoseringen,ber_IVmed!$B36,1)</f>
        <v>0</v>
      </c>
      <c r="D13" s="234" t="str">
        <f>INDEX(tblDoseringen,ber_IVmed!$B36,2)&amp;" "&amp;INDEX(tblDoseringen,ber_IVmed!$B36,9)</f>
        <v xml:space="preserve"> </v>
      </c>
      <c r="E13" s="224" t="str">
        <f>IF(AND(C13&lt;&gt;0,INDEX(tblDoseringen,ber_IVmed!$B36,3)&lt;&gt;""),INDEX(tblDoseringen,ber_IVmed!$B36,3)&amp;" ml","")</f>
        <v/>
      </c>
      <c r="F13" s="215">
        <f>INDEX(tblOplossing,ber_IVmed!D36,1)</f>
        <v>0</v>
      </c>
      <c r="G13" s="224" t="str">
        <f>IF(C13&lt;&gt;0,ber_IVmed!E36/10&amp;" ml/uur","")</f>
        <v/>
      </c>
      <c r="H13" s="222" t="str">
        <f>IF(C13&lt;&gt;0,AC13&amp;" "&amp;INDEX(tblDoseringen,ber_IVmed!$B36,7),"")</f>
        <v/>
      </c>
      <c r="I13" s="225" t="str">
        <f>IF(C13&lt;&gt;0,24*ber_IVmed!E36/10&amp;" ml","")</f>
        <v/>
      </c>
      <c r="J13" s="247">
        <f>INDEX(tblDoseringen,ber_IVmed!$B36,8)</f>
        <v>0</v>
      </c>
      <c r="K13" s="225"/>
      <c r="L13" s="225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1"/>
      <c r="B14" s="213">
        <v>7</v>
      </c>
      <c r="C14" s="220">
        <f>INDEX(tblDoseringen,ber_IVmed!$B37,1)</f>
        <v>0</v>
      </c>
      <c r="D14" s="234" t="str">
        <f>INDEX(tblDoseringen,ber_IVmed!$B37,2)&amp;" "&amp;INDEX(tblDoseringen,ber_IVmed!$B37,9)</f>
        <v xml:space="preserve"> </v>
      </c>
      <c r="E14" s="224" t="str">
        <f>IF(AND(C14&lt;&gt;0,INDEX(tblDoseringen,ber_IVmed!$B37,3)&lt;&gt;""),INDEX(tblDoseringen,ber_IVmed!$B37,3)&amp;" ml","")</f>
        <v/>
      </c>
      <c r="F14" s="215">
        <f>INDEX(tblOplossing,ber_IVmed!D37,1)</f>
        <v>0</v>
      </c>
      <c r="G14" s="224" t="str">
        <f>IF(C14&lt;&gt;0,ber_IVmed!E37/10&amp;" ml/uur","")</f>
        <v/>
      </c>
      <c r="H14" s="222" t="str">
        <f>IF(C14&lt;&gt;0,AC14&amp;" "&amp;INDEX(tblDoseringen,ber_IVmed!$B37,7),"")</f>
        <v/>
      </c>
      <c r="I14" s="225" t="str">
        <f>IF(C14&lt;&gt;0,24*ber_IVmed!E37/10&amp;" ml","")</f>
        <v/>
      </c>
      <c r="J14" s="247">
        <f>INDEX(tblDoseringen,ber_IVmed!$B37,8)</f>
        <v>0</v>
      </c>
      <c r="K14" s="225"/>
      <c r="L14" s="225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1"/>
      <c r="B15" s="213">
        <v>8</v>
      </c>
      <c r="C15" s="220">
        <f>INDEX(tblDoseringen,ber_IVmed!$B38,1)</f>
        <v>0</v>
      </c>
      <c r="D15" s="234" t="str">
        <f>INDEX(tblDoseringen,ber_IVmed!$B38,2)&amp;" "&amp;INDEX(tblDoseringen,ber_IVmed!$B38,9)</f>
        <v xml:space="preserve"> </v>
      </c>
      <c r="E15" s="224" t="str">
        <f>IF(AND(C15&lt;&gt;0,INDEX(tblDoseringen,ber_IVmed!$B38,3)&lt;&gt;""),INDEX(tblDoseringen,ber_IVmed!$B38,3)&amp;" ml","")</f>
        <v/>
      </c>
      <c r="F15" s="215">
        <f>INDEX(tblOplossing,ber_IVmed!D38,1)</f>
        <v>0</v>
      </c>
      <c r="G15" s="224" t="str">
        <f>IF(C15&lt;&gt;0,ber_IVmed!E38/10&amp;" ml/uur","")</f>
        <v/>
      </c>
      <c r="H15" s="222" t="str">
        <f>IF(C15&lt;&gt;0,AC15&amp;" "&amp;INDEX(tblDoseringen,ber_IVmed!$B38,7),"")</f>
        <v/>
      </c>
      <c r="I15" s="225" t="str">
        <f>IF(C15&lt;&gt;0,24*ber_IVmed!E38/10&amp;" ml","")</f>
        <v/>
      </c>
      <c r="J15" s="247">
        <f>INDEX(tblDoseringen,ber_IVmed!$B38,8)</f>
        <v>0</v>
      </c>
      <c r="K15" s="225"/>
      <c r="L15" s="225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1"/>
      <c r="B16" s="213">
        <v>9</v>
      </c>
      <c r="C16" s="220">
        <f>INDEX(tblDoseringen,ber_IVmed!$B39,1)</f>
        <v>0</v>
      </c>
      <c r="D16" s="234" t="str">
        <f>INDEX(tblDoseringen,ber_IVmed!$B39,2)&amp;" "&amp;INDEX(tblDoseringen,ber_IVmed!$B39,9)</f>
        <v xml:space="preserve"> </v>
      </c>
      <c r="E16" s="224" t="str">
        <f>IF(AND(C16&lt;&gt;0,INDEX(tblDoseringen,ber_IVmed!$B39,3)&lt;&gt;""),INDEX(tblDoseringen,ber_IVmed!$B39,3)&amp;" ml","")</f>
        <v/>
      </c>
      <c r="F16" s="215">
        <f>INDEX(tblOplossing,ber_IVmed!D39,1)</f>
        <v>0</v>
      </c>
      <c r="G16" s="224" t="str">
        <f>IF(C16&lt;&gt;0,ber_IVmed!E39/10&amp;" ml/uur","")</f>
        <v/>
      </c>
      <c r="H16" s="222" t="str">
        <f>IF(C16&lt;&gt;0,AC16&amp;" "&amp;INDEX(tblDoseringen,ber_IVmed!$B39,7),"")</f>
        <v/>
      </c>
      <c r="I16" s="225" t="str">
        <f>IF(C16&lt;&gt;0,24*ber_IVmed!E39/10&amp;" ml","")</f>
        <v/>
      </c>
      <c r="J16" s="247">
        <f>INDEX(tblDoseringen,ber_IVmed!$B39,8)</f>
        <v>0</v>
      </c>
      <c r="K16" s="225"/>
      <c r="L16" s="225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1"/>
      <c r="B17" s="213">
        <v>10</v>
      </c>
      <c r="C17" s="220">
        <f>INDEX(tblDoseringen,ber_IVmed!$B40,1)</f>
        <v>0</v>
      </c>
      <c r="D17" s="234" t="str">
        <f>INDEX(tblDoseringen,ber_IVmed!$B40,2)&amp;" "&amp;INDEX(tblDoseringen,ber_IVmed!$B40,9)</f>
        <v xml:space="preserve"> </v>
      </c>
      <c r="E17" s="224" t="str">
        <f>IF(AND(C17&lt;&gt;0,INDEX(tblDoseringen,ber_IVmed!$B40,3)&lt;&gt;""),INDEX(tblDoseringen,ber_IVmed!$B40,3)&amp;" ml","")</f>
        <v/>
      </c>
      <c r="F17" s="215">
        <f>INDEX(tblOplossing,ber_IVmed!D40,1)</f>
        <v>0</v>
      </c>
      <c r="G17" s="224" t="str">
        <f>IF(C17&lt;&gt;0,ber_IVmed!E40/10&amp;" ml/uur","")</f>
        <v/>
      </c>
      <c r="H17" s="222" t="str">
        <f>IF(C17&lt;&gt;0,AC17&amp;" "&amp;INDEX(tblDoseringen,ber_IVmed!$B40,7),"")</f>
        <v/>
      </c>
      <c r="I17" s="225" t="str">
        <f>IF(C17&lt;&gt;0,24*ber_IVmed!E40/10&amp;" ml","")</f>
        <v/>
      </c>
      <c r="J17" s="247">
        <f>INDEX(tblDoseringen,ber_IVmed!$B40,8)</f>
        <v>0</v>
      </c>
      <c r="K17" s="225"/>
      <c r="L17" s="225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1"/>
      <c r="B18" s="213"/>
      <c r="C18" s="220"/>
      <c r="D18" s="220"/>
      <c r="E18" s="78"/>
      <c r="F18" s="78"/>
      <c r="G18" s="78"/>
      <c r="H18" s="78"/>
      <c r="I18" s="77"/>
      <c r="J18" s="248" t="str">
        <f>IF(C18&lt;&gt;0,HLOOKUP(C18,Instellen!B15:G28,6),"")</f>
        <v/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1"/>
      <c r="B19" s="213">
        <v>11</v>
      </c>
      <c r="C19" s="226">
        <f>ber_IVmed!B41</f>
        <v>0</v>
      </c>
      <c r="D19" s="227">
        <f>MedIVSterkte_11</f>
        <v>0</v>
      </c>
      <c r="E19" s="228" t="str">
        <f>IF(C19&lt;&gt;0,ber_IVmed!C41&amp;" ml","")</f>
        <v/>
      </c>
      <c r="F19" s="324">
        <f>INDEX(tblOplossing,ber_IVmed!D41,1)</f>
        <v>0</v>
      </c>
      <c r="G19" s="228">
        <f>IF(C19&lt;&gt;"",IF(ber_IVmed!E41&lt;&gt;0,ber_IVmed!E41/10&amp;" ml/uur",0),"")</f>
        <v>0</v>
      </c>
      <c r="H19" s="228"/>
      <c r="I19" s="229" t="str">
        <f>IF(ber_IVmed!F41&lt;&gt;0,ber_IVmed!F41&amp;" ml","")</f>
        <v/>
      </c>
      <c r="J19" s="246"/>
      <c r="K19" s="223"/>
      <c r="L19" s="223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1"/>
      <c r="B20" s="213">
        <v>12</v>
      </c>
      <c r="C20" s="230">
        <f>ber_IVmed!B42</f>
        <v>0</v>
      </c>
      <c r="D20" s="230">
        <f>MedIVSterkte_12</f>
        <v>0</v>
      </c>
      <c r="E20" s="224" t="str">
        <f>IF(C20&lt;&gt;0,ber_IVmed!C42&amp;" ml","")</f>
        <v/>
      </c>
      <c r="F20" s="325">
        <f>INDEX(tblOplossing,ber_IVmed!D42,1)</f>
        <v>0</v>
      </c>
      <c r="G20" s="224">
        <f>IF(C20&lt;&gt;"",IF(ber_IVmed!E42&lt;&gt;0,ber_IVmed!E42/10&amp;" ml/uur",0),"")</f>
        <v>0</v>
      </c>
      <c r="H20" s="224"/>
      <c r="I20" s="225" t="str">
        <f>IF(ber_IVmed!F42&lt;&gt;0,ber_IVmed!F42&amp;" ml","")</f>
        <v/>
      </c>
      <c r="J20" s="247"/>
      <c r="K20" s="225"/>
      <c r="L20" s="225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1"/>
      <c r="B21" s="213">
        <v>13</v>
      </c>
      <c r="C21" s="230">
        <f>ber_IVmed!B43</f>
        <v>0</v>
      </c>
      <c r="D21" s="230">
        <f>MedIVSterkte_13</f>
        <v>0</v>
      </c>
      <c r="E21" s="224" t="str">
        <f>IF(C21&lt;&gt;0,ber_IVmed!C43&amp;" ml","")</f>
        <v/>
      </c>
      <c r="F21" s="325">
        <f>INDEX(tblOplossing,ber_IVmed!D43,1)</f>
        <v>0</v>
      </c>
      <c r="G21" s="224">
        <f>IF(C21&lt;&gt;"",IF(ber_IVmed!E43&lt;&gt;0,ber_IVmed!E43/10&amp;" ml/uur",0),"")</f>
        <v>0</v>
      </c>
      <c r="H21" s="224"/>
      <c r="I21" s="225" t="str">
        <f>IF(ber_IVmed!F43&lt;&gt;0,ber_IVmed!F43&amp;" ml","")</f>
        <v/>
      </c>
      <c r="J21" s="247"/>
      <c r="K21" s="225"/>
      <c r="L21" s="225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1"/>
      <c r="B22" s="213">
        <v>14</v>
      </c>
      <c r="C22" s="230">
        <f>ber_IVmed!B44</f>
        <v>0</v>
      </c>
      <c r="D22" s="230">
        <f>MedIVSterkte_14</f>
        <v>0</v>
      </c>
      <c r="E22" s="224" t="str">
        <f>IF(C22&lt;&gt;0,ber_IVmed!C44&amp;" ml","")</f>
        <v/>
      </c>
      <c r="F22" s="325">
        <f>INDEX(tblOplossing,ber_IVmed!D44,1)</f>
        <v>0</v>
      </c>
      <c r="G22" s="224">
        <f>IF(C22&lt;&gt;"",IF(ber_IVmed!E44&lt;&gt;0,ber_IVmed!E44/10&amp;" ml/uur",0),"")</f>
        <v>0</v>
      </c>
      <c r="H22" s="224"/>
      <c r="I22" s="225" t="str">
        <f>IF(ber_IVmed!F44&lt;&gt;0,ber_IVmed!F44&amp;" ml","")</f>
        <v/>
      </c>
      <c r="J22" s="247"/>
      <c r="K22" s="225"/>
      <c r="L22" s="225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1"/>
      <c r="B23" s="213">
        <v>15</v>
      </c>
      <c r="C23" s="230">
        <f>ber_IVmed!B45</f>
        <v>0</v>
      </c>
      <c r="D23" s="230">
        <f>MedIVSterkte_15</f>
        <v>0</v>
      </c>
      <c r="E23" s="224" t="str">
        <f>IF(C23&lt;&gt;0,ber_IVmed!C45&amp;" ml","")</f>
        <v/>
      </c>
      <c r="F23" s="325">
        <f>INDEX(tblOplossing,ber_IVmed!D45,1)</f>
        <v>0</v>
      </c>
      <c r="G23" s="224">
        <f>IF(C23&lt;&gt;"",IF(ber_IVmed!E45&lt;&gt;0,ber_IVmed!E45/10&amp;" ml/uur",0),"")</f>
        <v>0</v>
      </c>
      <c r="H23" s="224"/>
      <c r="I23" s="225" t="str">
        <f>IF(ber_IVmed!F45&lt;&gt;0,ber_IVmed!F45&amp;" ml","")</f>
        <v/>
      </c>
      <c r="J23" s="247"/>
      <c r="K23" s="225"/>
      <c r="L23" s="225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1"/>
      <c r="B24" s="191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1"/>
      <c r="B25" s="191"/>
      <c r="C25" s="243" t="str">
        <f>Intake!B31</f>
        <v>Vocht</v>
      </c>
      <c r="D25" s="244" t="str">
        <f>Intake!D31</f>
        <v>0 ml/kg</v>
      </c>
      <c r="E25" s="243" t="str">
        <f ca="1">Intake!E31</f>
        <v>100 ml/kg</v>
      </c>
      <c r="F25" s="243"/>
      <c r="G25" s="243" t="str">
        <f>Intake!H31</f>
        <v>Eiwit</v>
      </c>
      <c r="H25" s="244" t="str">
        <f>Intake!I31</f>
        <v>0  gram/kg</v>
      </c>
      <c r="I25" s="243" t="str">
        <f>Intake!J31</f>
        <v>2-2,5 g/kg</v>
      </c>
      <c r="J25" s="243"/>
      <c r="K25" s="245"/>
      <c r="L25" s="245"/>
      <c r="M25" s="245"/>
      <c r="N25" s="245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1"/>
      <c r="B26" s="191"/>
      <c r="C26" s="243" t="str">
        <f>Intake!B32</f>
        <v>Calorieen</v>
      </c>
      <c r="D26" s="244" t="str">
        <f>Intake!D32</f>
        <v>0 kCal/kg</v>
      </c>
      <c r="E26" s="243" t="str">
        <f ca="1">Intake!E32</f>
        <v>90 kCal/kg</v>
      </c>
      <c r="F26" s="243"/>
      <c r="G26" s="243" t="str">
        <f>Intake!H32</f>
        <v>Vet</v>
      </c>
      <c r="H26" s="244" t="str">
        <f>Intake!I32</f>
        <v>0 gram/kg</v>
      </c>
      <c r="I26" s="243" t="str">
        <f>Intake!J32</f>
        <v>4 g/kg</v>
      </c>
      <c r="J26" s="243"/>
      <c r="K26" s="243"/>
      <c r="L26" s="243"/>
      <c r="M26" s="243"/>
      <c r="N26" s="243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1"/>
      <c r="B27" s="191"/>
      <c r="C27" s="243" t="str">
        <f>Intake!B33</f>
        <v>Glucose/KH</v>
      </c>
      <c r="D27" s="244" t="str">
        <f>Intake!D33</f>
        <v>0 g/kg</v>
      </c>
      <c r="E27" s="243" t="str">
        <f>Intake!E33</f>
        <v>3,6 g/kg</v>
      </c>
      <c r="F27" s="243"/>
      <c r="G27" s="243" t="str">
        <f>Intake!H33</f>
        <v>Calcium</v>
      </c>
      <c r="H27" s="244" t="str">
        <f>Intake!I33</f>
        <v>0 mmol/kg</v>
      </c>
      <c r="I27" s="243" t="str">
        <f>Intake!J33</f>
        <v>0,2-0,8 mmol/kg (3-10 kg:0,8; 10-20 kg:0,5; &gt; 20 kg:0,2 mmol/kg)</v>
      </c>
      <c r="J27" s="243"/>
      <c r="K27" s="243"/>
      <c r="L27" s="243"/>
      <c r="M27" s="243"/>
      <c r="N27" s="243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1"/>
      <c r="B28" s="191"/>
      <c r="C28" s="243" t="str">
        <f>Intake!B34</f>
        <v xml:space="preserve">Natrium </v>
      </c>
      <c r="D28" s="244" t="str">
        <f>Intake!D34</f>
        <v>0 mmol/kg</v>
      </c>
      <c r="E28" s="243" t="str">
        <f>Intake!E34</f>
        <v>2-4 mmol/kg</v>
      </c>
      <c r="F28" s="243"/>
      <c r="G28" s="243" t="str">
        <f>Intake!H34</f>
        <v>Magnesium</v>
      </c>
      <c r="H28" s="244" t="str">
        <f>Intake!I34</f>
        <v>0 mmol/kg</v>
      </c>
      <c r="I28" s="243" t="str">
        <f>Intake!J34</f>
        <v>0,1-0,3 mmol/kg</v>
      </c>
      <c r="J28" s="243"/>
      <c r="K28" s="243"/>
      <c r="L28" s="243"/>
      <c r="M28" s="243"/>
      <c r="N28" s="243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1"/>
      <c r="B29" s="191"/>
      <c r="C29" s="243" t="str">
        <f>Intake!B35</f>
        <v>Kalium</v>
      </c>
      <c r="D29" s="244" t="str">
        <f>Intake!D35</f>
        <v>0 mmol/kg</v>
      </c>
      <c r="E29" s="243" t="str">
        <f>Intake!E35</f>
        <v>1-2 mmol/kg</v>
      </c>
      <c r="F29" s="243"/>
      <c r="G29" s="243" t="str">
        <f>Intake!H35</f>
        <v>Fosfaat</v>
      </c>
      <c r="H29" s="244" t="str">
        <f>Intake!I35</f>
        <v>0 mmol/kg</v>
      </c>
      <c r="I29" s="243" t="str">
        <f>Intake!J35</f>
        <v>0,75 mmol/kg</v>
      </c>
      <c r="J29" s="243"/>
      <c r="K29" s="243"/>
      <c r="L29" s="243"/>
      <c r="M29" s="243"/>
      <c r="N29" s="243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1"/>
      <c r="B30" s="191"/>
      <c r="C30" s="76"/>
      <c r="D30" s="76"/>
      <c r="E30" s="76"/>
      <c r="F30" s="76"/>
      <c r="G30" s="76"/>
      <c r="H30" s="76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1"/>
      <c r="B31" s="191"/>
      <c r="C31" s="242" t="s">
        <v>912</v>
      </c>
      <c r="D31" s="375">
        <f>ber_Opm!C4</f>
        <v>0</v>
      </c>
      <c r="E31" s="376"/>
      <c r="F31" s="376"/>
      <c r="G31" s="376"/>
      <c r="H31" s="376"/>
      <c r="I31" s="376"/>
      <c r="J31" s="376"/>
      <c r="K31" s="221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1"/>
      <c r="B32" s="191"/>
      <c r="C32" s="217"/>
      <c r="D32" s="376"/>
      <c r="E32" s="376"/>
      <c r="F32" s="376"/>
      <c r="G32" s="376"/>
      <c r="H32" s="376"/>
      <c r="I32" s="376"/>
      <c r="J32" s="376"/>
      <c r="K32" s="221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1"/>
      <c r="B33" s="191"/>
      <c r="C33" s="217"/>
      <c r="D33" s="376"/>
      <c r="E33" s="376"/>
      <c r="F33" s="376"/>
      <c r="G33" s="376"/>
      <c r="H33" s="376"/>
      <c r="I33" s="376"/>
      <c r="J33" s="376"/>
      <c r="K33" s="221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1"/>
      <c r="B34" s="191"/>
      <c r="C34" s="217"/>
      <c r="D34" s="376"/>
      <c r="E34" s="376"/>
      <c r="F34" s="376"/>
      <c r="G34" s="376"/>
      <c r="H34" s="376"/>
      <c r="I34" s="376"/>
      <c r="J34" s="376"/>
      <c r="K34" s="221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3"/>
      <c r="B35" s="213"/>
      <c r="C35" s="217"/>
      <c r="D35" s="376"/>
      <c r="E35" s="376"/>
      <c r="F35" s="376"/>
      <c r="G35" s="376"/>
      <c r="H35" s="376"/>
      <c r="I35" s="376"/>
      <c r="J35" s="376"/>
      <c r="K35" s="105"/>
      <c r="L35" s="77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1"/>
      <c r="B36" s="191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1"/>
      <c r="B37" s="191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1"/>
      <c r="B38" s="191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1"/>
      <c r="B39" s="191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</row>
    <row r="40" spans="1:81" x14ac:dyDescent="0.35">
      <c r="A40" s="191"/>
      <c r="B40" s="191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81" x14ac:dyDescent="0.35">
      <c r="A41" s="191"/>
      <c r="B41" s="19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</row>
    <row r="42" spans="1:81" x14ac:dyDescent="0.35">
      <c r="A42" s="191"/>
      <c r="B42" s="19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</row>
    <row r="43" spans="1:81" x14ac:dyDescent="0.3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</row>
    <row r="44" spans="1:81" x14ac:dyDescent="0.3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</row>
    <row r="45" spans="1:81" x14ac:dyDescent="0.35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</row>
    <row r="46" spans="1:81" x14ac:dyDescent="0.35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81" x14ac:dyDescent="0.35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</row>
    <row r="48" spans="1:81" x14ac:dyDescent="0.35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</row>
    <row r="49" spans="1:24" x14ac:dyDescent="0.35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</row>
    <row r="50" spans="1:24" x14ac:dyDescent="0.35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</row>
    <row r="51" spans="1:24" x14ac:dyDescent="0.35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</row>
    <row r="52" spans="1:24" x14ac:dyDescent="0.35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</row>
    <row r="53" spans="1:24" x14ac:dyDescent="0.35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</row>
    <row r="54" spans="1:24" x14ac:dyDescent="0.35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</row>
    <row r="55" spans="1:24" x14ac:dyDescent="0.35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</row>
    <row r="56" spans="1:24" x14ac:dyDescent="0.35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</row>
    <row r="57" spans="1:24" x14ac:dyDescent="0.35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  <row r="58" spans="1:24" x14ac:dyDescent="0.35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</row>
    <row r="59" spans="1:24" x14ac:dyDescent="0.35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</row>
    <row r="60" spans="1:24" x14ac:dyDescent="0.35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</row>
    <row r="61" spans="1:24" x14ac:dyDescent="0.35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</row>
    <row r="62" spans="1:24" x14ac:dyDescent="0.35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</row>
    <row r="63" spans="1:24" x14ac:dyDescent="0.35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</row>
    <row r="64" spans="1:24" x14ac:dyDescent="0.35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</row>
    <row r="65" spans="1:18" x14ac:dyDescent="0.35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</row>
    <row r="66" spans="1:18" x14ac:dyDescent="0.35">
      <c r="A66" s="190"/>
      <c r="B66" s="190"/>
      <c r="C66" s="190"/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</row>
    <row r="67" spans="1:18" x14ac:dyDescent="0.35">
      <c r="A67" s="190"/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</row>
    <row r="68" spans="1:18" x14ac:dyDescent="0.35">
      <c r="A68" s="190"/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</row>
    <row r="69" spans="1:18" x14ac:dyDescent="0.35">
      <c r="A69" s="190"/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</row>
    <row r="70" spans="1:18" x14ac:dyDescent="0.35">
      <c r="A70" s="190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</row>
    <row r="71" spans="1:18" x14ac:dyDescent="0.35">
      <c r="A71" s="190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</row>
    <row r="72" spans="1:18" x14ac:dyDescent="0.35">
      <c r="A72" s="190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</row>
    <row r="73" spans="1:18" x14ac:dyDescent="0.35">
      <c r="A73" s="190"/>
      <c r="B73" s="190"/>
      <c r="C73" s="190"/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</row>
    <row r="74" spans="1:18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</row>
    <row r="75" spans="1:18" x14ac:dyDescent="0.35">
      <c r="A75" s="190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</row>
    <row r="76" spans="1:18" x14ac:dyDescent="0.35">
      <c r="A76" s="190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</row>
    <row r="77" spans="1:18" x14ac:dyDescent="0.35">
      <c r="A77" s="190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</row>
    <row r="78" spans="1:18" x14ac:dyDescent="0.35">
      <c r="A78" s="190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</row>
    <row r="79" spans="1:18" x14ac:dyDescent="0.35">
      <c r="A79" s="190"/>
      <c r="B79" s="190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</row>
    <row r="80" spans="1:18" x14ac:dyDescent="0.35">
      <c r="A80" s="190"/>
      <c r="B80" s="190"/>
      <c r="C80" s="190"/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</row>
    <row r="81" spans="1:18" x14ac:dyDescent="0.35">
      <c r="A81" s="190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</row>
    <row r="82" spans="1:18" x14ac:dyDescent="0.35">
      <c r="A82" s="190"/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</row>
    <row r="83" spans="1:18" x14ac:dyDescent="0.35">
      <c r="A83" s="190"/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</row>
    <row r="84" spans="1:18" x14ac:dyDescent="0.35">
      <c r="A84" s="190"/>
      <c r="B84" s="190"/>
      <c r="C84" s="190"/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</row>
    <row r="85" spans="1:18" x14ac:dyDescent="0.35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</row>
    <row r="86" spans="1:18" x14ac:dyDescent="0.35">
      <c r="A86" s="190"/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</row>
    <row r="87" spans="1:18" x14ac:dyDescent="0.35">
      <c r="A87" s="190"/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</row>
    <row r="88" spans="1:18" x14ac:dyDescent="0.35">
      <c r="A88" s="190"/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</row>
    <row r="89" spans="1:18" x14ac:dyDescent="0.35">
      <c r="A89" s="190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</row>
    <row r="90" spans="1:18" x14ac:dyDescent="0.35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</row>
    <row r="91" spans="1:18" x14ac:dyDescent="0.35">
      <c r="A91" s="190"/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</row>
  </sheetData>
  <sheetProtection algorithmName="SHA-512" hashValue="pxgCCl/08hjgdBZIpSiGppH0AUGDH2s8biFl7Zy6xvJNgEIauadOZ6+Pt1leHgLoNb3sK2Smh0UPtBIzgsIWNQ==" saltValue="gXzgbX3EqcNe65NokDSp6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940</v>
      </c>
      <c r="C1" s="28"/>
      <c r="D1" s="27" t="s">
        <v>941</v>
      </c>
      <c r="E1" s="27" t="s">
        <v>942</v>
      </c>
      <c r="F1" s="27" t="s">
        <v>943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1349</v>
      </c>
      <c r="I4" s="26" t="s">
        <v>1261</v>
      </c>
      <c r="J4" s="26" t="s">
        <v>530</v>
      </c>
      <c r="K4" s="26">
        <v>1</v>
      </c>
      <c r="L4" s="26">
        <v>1</v>
      </c>
      <c r="P4" s="26" t="s">
        <v>885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1108</v>
      </c>
      <c r="I5" s="26" t="s">
        <v>644</v>
      </c>
      <c r="J5" s="26" t="s">
        <v>232</v>
      </c>
      <c r="K5" s="26">
        <v>10</v>
      </c>
      <c r="P5" s="26" t="s">
        <v>886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1350</v>
      </c>
      <c r="I6" s="26" t="s">
        <v>878</v>
      </c>
      <c r="J6" s="26" t="s">
        <v>530</v>
      </c>
      <c r="K6" s="26">
        <v>50</v>
      </c>
      <c r="L6" s="26">
        <v>0.02</v>
      </c>
      <c r="P6" s="26" t="s">
        <v>887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1034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1349</v>
      </c>
      <c r="I8" s="26" t="s">
        <v>1260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944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1349</v>
      </c>
      <c r="I9" s="26" t="s">
        <v>1033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1350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1106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1107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1274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1349</v>
      </c>
      <c r="I14" s="26" t="s">
        <v>877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1349</v>
      </c>
      <c r="I15" s="26" t="s">
        <v>974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1098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1106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1349</v>
      </c>
      <c r="I17" s="26" t="s">
        <v>1262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1107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1039</v>
      </c>
      <c r="C19" s="26">
        <v>0.5</v>
      </c>
      <c r="G19" s="26">
        <f>ROUND(24*C19/(Gewicht/10),2)</f>
        <v>1.2</v>
      </c>
      <c r="H19" s="26" t="s">
        <v>1265</v>
      </c>
      <c r="I19" s="26" t="s">
        <v>645</v>
      </c>
      <c r="J19" s="26" t="s">
        <v>1204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1349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1263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1349</v>
      </c>
      <c r="I21" s="26" t="s">
        <v>1264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998</v>
      </c>
      <c r="C22" s="26">
        <v>10</v>
      </c>
      <c r="G22" s="26">
        <f>ROUND(C22/(Gewicht/10),3)</f>
        <v>1</v>
      </c>
      <c r="H22" s="26" t="s">
        <v>1106</v>
      </c>
      <c r="I22" s="26" t="s">
        <v>1400</v>
      </c>
      <c r="J22" s="26" t="s">
        <v>1111</v>
      </c>
    </row>
    <row r="23" spans="1:14" x14ac:dyDescent="0.35">
      <c r="A23" s="26">
        <v>21</v>
      </c>
      <c r="B23" s="26" t="s">
        <v>999</v>
      </c>
      <c r="C23" s="26">
        <v>20</v>
      </c>
      <c r="G23" s="26">
        <f>ROUND(C23/(Gewicht/10),3)</f>
        <v>2</v>
      </c>
      <c r="H23" s="26" t="s">
        <v>1106</v>
      </c>
      <c r="I23" s="26" t="s">
        <v>1400</v>
      </c>
      <c r="J23" s="26" t="s">
        <v>1111</v>
      </c>
    </row>
    <row r="24" spans="1:14" x14ac:dyDescent="0.35">
      <c r="A24" s="26">
        <v>22</v>
      </c>
      <c r="B24" s="26" t="s">
        <v>876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1106</v>
      </c>
      <c r="I24" s="26" t="s">
        <v>1010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1349</v>
      </c>
      <c r="I25" s="26" t="s">
        <v>975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1088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1106</v>
      </c>
      <c r="I26" s="26" t="s">
        <v>1397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1401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1402</v>
      </c>
      <c r="I27" s="26" t="s">
        <v>1428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1011</v>
      </c>
      <c r="D30" s="34" t="s">
        <v>712</v>
      </c>
      <c r="E30" s="35" t="s">
        <v>593</v>
      </c>
      <c r="F30" s="36" t="s">
        <v>594</v>
      </c>
      <c r="G30" s="36" t="s">
        <v>886</v>
      </c>
      <c r="H30" s="35" t="s">
        <v>889</v>
      </c>
      <c r="I30" s="35" t="s">
        <v>885</v>
      </c>
      <c r="J30" s="35" t="s">
        <v>665</v>
      </c>
      <c r="K30" s="35" t="s">
        <v>666</v>
      </c>
      <c r="L30" s="35" t="s">
        <v>1266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3" customWidth="1"/>
    <col min="2" max="2" width="13.3984375" style="193" customWidth="1"/>
    <col min="3" max="3" width="11.3984375" style="193" customWidth="1"/>
    <col min="4" max="4" width="11.73046875" style="193" customWidth="1"/>
    <col min="5" max="5" width="14.86328125" style="193" customWidth="1"/>
    <col min="6" max="6" width="18.265625" style="193" customWidth="1"/>
    <col min="7" max="7" width="25.59765625" style="193" customWidth="1"/>
    <col min="8" max="8" width="9.1328125" style="193"/>
    <col min="9" max="9" width="9.73046875" style="193" customWidth="1"/>
    <col min="10" max="16384" width="9.1328125" style="193"/>
  </cols>
  <sheetData>
    <row r="1" spans="1:9" ht="10" customHeight="1" x14ac:dyDescent="0.4">
      <c r="A1" s="192"/>
      <c r="B1" s="192"/>
      <c r="C1" s="192"/>
      <c r="D1" s="192"/>
      <c r="E1" s="192"/>
      <c r="F1" s="192"/>
      <c r="G1" s="192"/>
      <c r="H1" s="192"/>
    </row>
    <row r="2" spans="1:9" ht="17.25" customHeight="1" x14ac:dyDescent="0.4">
      <c r="A2" s="192"/>
      <c r="B2" s="235" t="s">
        <v>940</v>
      </c>
      <c r="C2" s="236"/>
      <c r="D2" s="235" t="s">
        <v>941</v>
      </c>
      <c r="E2" s="235" t="s">
        <v>942</v>
      </c>
      <c r="F2" s="235" t="s">
        <v>943</v>
      </c>
      <c r="G2" s="237" t="s">
        <v>1013</v>
      </c>
      <c r="H2" s="238" t="s">
        <v>600</v>
      </c>
      <c r="I2" s="323"/>
    </row>
    <row r="3" spans="1:9" ht="14.25" customHeight="1" x14ac:dyDescent="0.4">
      <c r="A3" s="192"/>
      <c r="C3" s="205"/>
      <c r="D3" s="205"/>
      <c r="E3" s="205"/>
      <c r="F3" s="205"/>
      <c r="G3" s="205"/>
      <c r="H3" s="205"/>
    </row>
    <row r="4" spans="1:9" ht="17.25" customHeight="1" x14ac:dyDescent="0.4">
      <c r="A4" s="192"/>
      <c r="B4" s="194" t="str">
        <f>ber_IVmed!B3</f>
        <v>insuline aspart</v>
      </c>
      <c r="C4" s="239" t="str">
        <f>ber_IVmed!C3&amp;" "&amp;ber_IVmed!J3</f>
        <v>30 E</v>
      </c>
      <c r="D4" s="200" t="str">
        <f>ber_IVmed!D3&amp;" ml"</f>
        <v>50 ml</v>
      </c>
      <c r="E4" s="201" t="str">
        <f>ber_IVmed!E3/10&amp;" ml/uur"</f>
        <v>1 ml/uur</v>
      </c>
      <c r="F4" s="202" t="str">
        <f>ber_IVmed!F3/100&amp;" "&amp;ber_IVmed!H3</f>
        <v>0,05 E/kg/uur</v>
      </c>
      <c r="G4" s="203" t="str">
        <f>ber_IVmed!I3</f>
        <v>0,05-0,1 E/kg/uur</v>
      </c>
      <c r="H4" s="204">
        <f>ber_IVmed!K3</f>
        <v>10</v>
      </c>
    </row>
    <row r="5" spans="1:9" ht="17.25" customHeight="1" x14ac:dyDescent="0.4">
      <c r="A5" s="192"/>
      <c r="B5" s="194" t="str">
        <f>ber_IVmed!B4</f>
        <v>adrenaline</v>
      </c>
      <c r="C5" s="239" t="str">
        <f>ber_IVmed!C4&amp;" "&amp;ber_IVmed!J4</f>
        <v>3 mg</v>
      </c>
      <c r="D5" s="200" t="str">
        <f>ber_IVmed!D4&amp;" ml"</f>
        <v>50 ml</v>
      </c>
      <c r="E5" s="201" t="str">
        <f>ber_IVmed!E4/10&amp;" ml/uur"</f>
        <v>1 ml/uur</v>
      </c>
      <c r="F5" s="202" t="str">
        <f>ber_IVmed!F4/100&amp;" "&amp;ber_IVmed!H4</f>
        <v>0,1 mcg/kg/min</v>
      </c>
      <c r="G5" s="203" t="str">
        <f>ber_IVmed!I4</f>
        <v>0,05-0,1 mcg/kg/min</v>
      </c>
      <c r="H5" s="204">
        <f>ber_IVmed!K4/10</f>
        <v>0.1</v>
      </c>
    </row>
    <row r="6" spans="1:9" ht="17.25" customHeight="1" x14ac:dyDescent="0.4">
      <c r="A6" s="192"/>
      <c r="B6" s="194" t="str">
        <f>ber_IVmed!B6</f>
        <v>alprostadil</v>
      </c>
      <c r="C6" s="240" t="str">
        <f>ber_IVmed!C6&amp;" "&amp;ber_IVmed!J6</f>
        <v>1 mg</v>
      </c>
      <c r="D6" s="195" t="str">
        <f>ber_IVmed!D6&amp;" ml"</f>
        <v>50 ml</v>
      </c>
      <c r="E6" s="196" t="str">
        <f>ber_IVmed!E6/10&amp;" ml/uur"</f>
        <v>1 ml/uur</v>
      </c>
      <c r="F6" s="197" t="str">
        <f>ber_IVmed!F6&amp;" "&amp;ber_IVmed!H6</f>
        <v>25 nanog/kg/min</v>
      </c>
      <c r="G6" s="198" t="str">
        <f>ber_IVmed!I6</f>
        <v>25-100 nanogram/kg/min</v>
      </c>
      <c r="H6" s="199">
        <f>ber_IVmed!K6/100</f>
        <v>0.5</v>
      </c>
    </row>
    <row r="7" spans="1:9" ht="17.25" customHeight="1" x14ac:dyDescent="0.4">
      <c r="A7" s="192"/>
      <c r="B7" s="194" t="str">
        <f>ber_IVmed!B7</f>
        <v>clonidine</v>
      </c>
      <c r="C7" s="240" t="str">
        <f>ber_IVmed!C7&amp;" "&amp;ber_IVmed!J7</f>
        <v>0,45 mg</v>
      </c>
      <c r="D7" s="195" t="str">
        <f>ber_IVmed!D7&amp;" ml"</f>
        <v>50 ml</v>
      </c>
      <c r="E7" s="196" t="str">
        <f>ber_IVmed!E7/10&amp;" ml/uur"</f>
        <v>1 ml/uur</v>
      </c>
      <c r="F7" s="197" t="str">
        <f>ber_IVmed!F7/100&amp;" "&amp;ber_IVmed!H7</f>
        <v>1 mcg/kg/uur</v>
      </c>
      <c r="G7" s="198" t="str">
        <f>ber_IVmed!I7</f>
        <v>0,25-2 mcg/kg/uur</v>
      </c>
      <c r="H7" s="199">
        <f>ber_IVmed!K7/1000</f>
        <v>0.15</v>
      </c>
    </row>
    <row r="8" spans="1:9" ht="17.25" customHeight="1" x14ac:dyDescent="0.4">
      <c r="A8" s="192"/>
      <c r="B8" s="194" t="str">
        <f>ber_IVmed!B8</f>
        <v>dobutamine</v>
      </c>
      <c r="C8" s="240" t="str">
        <f>ber_IVmed!C8&amp;" "&amp;ber_IVmed!J8</f>
        <v>250 mg</v>
      </c>
      <c r="D8" s="195" t="str">
        <f>ber_IVmed!D8&amp;" ml"</f>
        <v>50 ml</v>
      </c>
      <c r="E8" s="196" t="str">
        <f>ber_IVmed!E8/10&amp;" ml/uur"</f>
        <v>1 ml/uur</v>
      </c>
      <c r="F8" s="197" t="str">
        <f>ber_IVmed!F8/1&amp;" "&amp;ber_IVmed!H8</f>
        <v>10 mcg/kg/min</v>
      </c>
      <c r="G8" s="198" t="str">
        <f>ber_IVmed!I8</f>
        <v>2,5-20 mcg/kg/min</v>
      </c>
      <c r="H8" s="199">
        <f>ber_IVmed!K8/10</f>
        <v>250</v>
      </c>
    </row>
    <row r="9" spans="1:9" ht="17.25" customHeight="1" x14ac:dyDescent="0.4">
      <c r="A9" s="192"/>
      <c r="B9" s="194" t="str">
        <f>ber_IVmed!B9</f>
        <v>dopamine</v>
      </c>
      <c r="C9" s="240" t="str">
        <f>ber_IVmed!C9&amp;" "&amp;ber_IVmed!J9</f>
        <v>200 mg</v>
      </c>
      <c r="D9" s="195" t="str">
        <f>ber_IVmed!D9&amp;" ml"</f>
        <v>50 ml</v>
      </c>
      <c r="E9" s="196" t="str">
        <f>ber_IVmed!E9/10&amp;" ml/uur"</f>
        <v>1 ml/uur</v>
      </c>
      <c r="F9" s="197" t="str">
        <f>ber_IVmed!F9/1&amp;" "&amp;ber_IVmed!H9</f>
        <v>5 mcg/kg/min</v>
      </c>
      <c r="G9" s="198" t="str">
        <f>ber_IVmed!I9</f>
        <v>1-20 mcg/kg/min</v>
      </c>
      <c r="H9" s="199">
        <f>ber_IVmed!K9/1</f>
        <v>200</v>
      </c>
    </row>
    <row r="10" spans="1:9" ht="17.25" customHeight="1" x14ac:dyDescent="0.4">
      <c r="A10" s="192"/>
      <c r="B10" s="194" t="str">
        <f>ber_IVmed!B10</f>
        <v>epoprostenol</v>
      </c>
      <c r="C10" s="240" t="str">
        <f>ber_IVmed!C10&amp;" "&amp;ber_IVmed!J10</f>
        <v>0,5 mg</v>
      </c>
      <c r="D10" s="195" t="str">
        <f>ber_IVmed!D10&amp;" ml"</f>
        <v>50 ml</v>
      </c>
      <c r="E10" s="196" t="str">
        <f>ber_IVmed!E10/10&amp;" ml/uur"</f>
        <v>1 ml/uur</v>
      </c>
      <c r="F10" s="197" t="str">
        <f>ber_IVmed!F10/1&amp;" "&amp;ber_IVmed!H10</f>
        <v>10 nanog/kg/min</v>
      </c>
      <c r="G10" s="198" t="str">
        <f>ber_IVmed!I10</f>
        <v>5-30 nanogram/kg/min (moet in zout!)</v>
      </c>
      <c r="H10" s="199">
        <f>ber_IVmed!K10/100</f>
        <v>0.5</v>
      </c>
    </row>
    <row r="11" spans="1:9" ht="17.25" customHeight="1" x14ac:dyDescent="0.4">
      <c r="A11" s="192"/>
      <c r="B11" s="194" t="str">
        <f>ber_IVmed!B11</f>
        <v>esketamine</v>
      </c>
      <c r="C11" s="240" t="str">
        <f>ber_IVmed!C11&amp;" "&amp;ber_IVmed!J11</f>
        <v>300 mg</v>
      </c>
      <c r="D11" s="195" t="str">
        <f>ber_IVmed!D11&amp;" ml"</f>
        <v>50 ml</v>
      </c>
      <c r="E11" s="196" t="str">
        <f>ber_IVmed!E11/10&amp;" ml/uur"</f>
        <v>1 ml/uur</v>
      </c>
      <c r="F11" s="197" t="str">
        <f>ber_IVmed!F11/10&amp;" "&amp;ber_IVmed!H11</f>
        <v>0,5 mg/kg/uur</v>
      </c>
      <c r="G11" s="198" t="str">
        <f>ber_IVmed!I11</f>
        <v>0,5-1 mg/kg/uur</v>
      </c>
      <c r="H11" s="199">
        <f>ber_IVmed!K11</f>
        <v>100</v>
      </c>
    </row>
    <row r="12" spans="1:9" ht="17.25" customHeight="1" x14ac:dyDescent="0.4">
      <c r="A12" s="192"/>
      <c r="B12" s="194" t="str">
        <f>ber_IVmed!B12</f>
        <v>furosemide</v>
      </c>
      <c r="C12" s="240" t="str">
        <f>ber_IVmed!C12&amp;" "&amp;ber_IVmed!J12</f>
        <v>40 mg</v>
      </c>
      <c r="D12" s="195" t="str">
        <f>ber_IVmed!D12&amp;" ml"</f>
        <v>50 ml</v>
      </c>
      <c r="E12" s="196" t="str">
        <f>ber_IVmed!E12/10&amp;" ml/uur"</f>
        <v>1 ml/uur</v>
      </c>
      <c r="F12" s="197" t="str">
        <f>ber_IVmed!F12/10&amp;" "&amp;ber_IVmed!H12</f>
        <v>2 mg/kg/dag</v>
      </c>
      <c r="G12" s="198" t="str">
        <f>ber_IVmed!I12</f>
        <v>1-4 mg/kg/dag</v>
      </c>
      <c r="H12" s="199">
        <f>ber_IVmed!K12/1</f>
        <v>20</v>
      </c>
    </row>
    <row r="13" spans="1:9" ht="17.25" customHeight="1" x14ac:dyDescent="0.35">
      <c r="B13" s="194" t="str">
        <f>ber_IVmed!B13</f>
        <v>heparine</v>
      </c>
      <c r="C13" s="240" t="str">
        <f>ber_IVmed!C13&amp;" "&amp;ber_IVmed!J13</f>
        <v>10000 IE</v>
      </c>
      <c r="D13" s="195" t="str">
        <f>ber_IVmed!D13&amp;" ml"</f>
        <v>50 ml</v>
      </c>
      <c r="E13" s="196" t="str">
        <f>ber_IVmed!E13/10&amp;" ml/uur"</f>
        <v>1 ml/uur</v>
      </c>
      <c r="F13" s="197" t="str">
        <f>ber_IVmed!F13/1&amp;" "&amp;ber_IVmed!H13</f>
        <v>15 IE/kg/uur</v>
      </c>
      <c r="G13" s="198" t="str">
        <f>ber_IVmed!I13</f>
        <v>15-20 IE/kg/uur</v>
      </c>
      <c r="H13" s="199">
        <f>ber_IVmed!K13</f>
        <v>5000</v>
      </c>
    </row>
    <row r="14" spans="1:9" ht="17.25" customHeight="1" x14ac:dyDescent="0.35">
      <c r="B14" s="194" t="str">
        <f>ber_IVmed!B14</f>
        <v>isoprenaline</v>
      </c>
      <c r="C14" s="240" t="str">
        <f>ber_IVmed!C14&amp;" "&amp;ber_IVmed!J14</f>
        <v>3 mg</v>
      </c>
      <c r="D14" s="195" t="str">
        <f>ber_IVmed!D14&amp;" ml"</f>
        <v>50 ml</v>
      </c>
      <c r="E14" s="196" t="str">
        <f>ber_IVmed!E14/10&amp;" ml/uur"</f>
        <v>1 ml/uur</v>
      </c>
      <c r="F14" s="197" t="str">
        <f>ber_IVmed!F14/100&amp;" "&amp;ber_IVmed!H14</f>
        <v>0,1 mcg/kg/min</v>
      </c>
      <c r="G14" s="198" t="str">
        <f>ber_IVmed!I14</f>
        <v>0,01-1,5 mcg/kg/min</v>
      </c>
      <c r="H14" s="199">
        <f>ber_IVmed!K14/10</f>
        <v>0.2</v>
      </c>
    </row>
    <row r="15" spans="1:9" ht="17.25" customHeight="1" x14ac:dyDescent="0.35">
      <c r="B15" s="194" t="str">
        <f>ber_IVmed!B15</f>
        <v>ketanserine</v>
      </c>
      <c r="C15" s="240" t="str">
        <f>ber_IVmed!C15&amp;" "&amp;ber_IVmed!J15</f>
        <v>30 mg</v>
      </c>
      <c r="D15" s="195" t="str">
        <f>ber_IVmed!D15&amp;" ml"</f>
        <v>50 ml</v>
      </c>
      <c r="E15" s="196" t="str">
        <f>ber_IVmed!E15/10&amp;" ml/uur"</f>
        <v>1 ml/uur</v>
      </c>
      <c r="F15" s="197" t="str">
        <f>ber_IVmed!F15/10&amp;" "&amp;ber_IVmed!H15</f>
        <v>1 mcg/kg/min</v>
      </c>
      <c r="G15" s="198" t="str">
        <f>ber_IVmed!I15</f>
        <v>0,5-5 mcg/kg/min</v>
      </c>
      <c r="H15" s="199">
        <f>ber_IVmed!K15</f>
        <v>10</v>
      </c>
    </row>
    <row r="16" spans="1:9" ht="17.25" customHeight="1" x14ac:dyDescent="0.35">
      <c r="B16" s="194" t="str">
        <f>ber_IVmed!B16</f>
        <v>midazolam</v>
      </c>
      <c r="C16" s="240" t="str">
        <f>ber_IVmed!C16&amp;" "&amp;ber_IVmed!J16</f>
        <v>50 mg</v>
      </c>
      <c r="D16" s="195" t="str">
        <f>ber_IVmed!D16&amp;" ml"</f>
        <v>50 ml</v>
      </c>
      <c r="E16" s="196" t="str">
        <f>ber_IVmed!E16/10&amp;" ml/uur"</f>
        <v>1 ml/uur</v>
      </c>
      <c r="F16" s="197" t="str">
        <f>ber_IVmed!F16/100&amp;" "&amp;ber_IVmed!H16</f>
        <v>0,1 mg/kg/uur</v>
      </c>
      <c r="G16" s="198" t="str">
        <f>ber_IVmed!I16</f>
        <v>0,05-0,5 mg/kg/uur</v>
      </c>
      <c r="H16" s="199">
        <f>ber_IVmed!K16</f>
        <v>5</v>
      </c>
    </row>
    <row r="17" spans="2:8" ht="17.25" customHeight="1" x14ac:dyDescent="0.35">
      <c r="B17" s="194" t="str">
        <f>ber_IVmed!B17</f>
        <v>milrinon</v>
      </c>
      <c r="C17" s="240" t="str">
        <f>ber_IVmed!C17&amp;" "&amp;ber_IVmed!J17</f>
        <v>10 mg</v>
      </c>
      <c r="D17" s="195" t="str">
        <f>ber_IVmed!D17&amp;" ml"</f>
        <v>50 ml</v>
      </c>
      <c r="E17" s="196" t="str">
        <f>ber_IVmed!E17/10&amp;" ml/uur"</f>
        <v>1 ml/uur</v>
      </c>
      <c r="F17" s="197" t="str">
        <f>ber_IVmed!F17/100&amp;" "&amp;ber_IVmed!H17</f>
        <v>0,3 mcg/kg/min</v>
      </c>
      <c r="G17" s="198" t="str">
        <f>ber_IVmed!I17</f>
        <v>0,15-0,7 mcg/kg/min</v>
      </c>
      <c r="H17" s="199">
        <f>ber_IVmed!K17</f>
        <v>10</v>
      </c>
    </row>
    <row r="18" spans="2:8" ht="17.25" customHeight="1" x14ac:dyDescent="0.35">
      <c r="B18" s="194" t="str">
        <f>ber_IVmed!B18</f>
        <v>morfine</v>
      </c>
      <c r="C18" s="240" t="str">
        <f>ber_IVmed!C18&amp;" "&amp;ber_IVmed!J18</f>
        <v>10 mg</v>
      </c>
      <c r="D18" s="195" t="str">
        <f>ber_IVmed!D18&amp;" ml"</f>
        <v>50 ml</v>
      </c>
      <c r="E18" s="196" t="str">
        <f>ber_IVmed!E18/10&amp;" ml/uur"</f>
        <v>1 ml/uur</v>
      </c>
      <c r="F18" s="197" t="str">
        <f>ber_IVmed!F18/1000&amp;" "&amp;ber_IVmed!H18</f>
        <v>0,25 mg/kg/dag</v>
      </c>
      <c r="G18" s="198" t="str">
        <f>ber_IVmed!I18</f>
        <v>0,125-0,25 mg/kg/dag</v>
      </c>
      <c r="H18" s="199">
        <f>ber_IVmed!K18</f>
        <v>10</v>
      </c>
    </row>
    <row r="19" spans="2:8" ht="17.25" customHeight="1" x14ac:dyDescent="0.35">
      <c r="B19" s="194" t="str">
        <f>ber_IVmed!B21</f>
        <v>noradrenaline</v>
      </c>
      <c r="C19" s="240" t="str">
        <f>ber_IVmed!C21&amp;" "&amp;ber_IVmed!J21</f>
        <v>5 mg</v>
      </c>
      <c r="D19" s="195" t="str">
        <f>ber_IVmed!D21&amp;" ml"</f>
        <v>50 ml</v>
      </c>
      <c r="E19" s="196" t="str">
        <f>ber_IVmed!E21/10&amp;" ml/uur"</f>
        <v>1 ml/uur</v>
      </c>
      <c r="F19" s="197" t="str">
        <f>ber_IVmed!F21/100&amp;" "&amp;ber_IVmed!H21</f>
        <v>0,1 mcg/kg/min</v>
      </c>
      <c r="G19" s="198" t="str">
        <f>ber_IVmed!I21</f>
        <v>0,05-2 mcg/kg/min</v>
      </c>
      <c r="H19" s="199">
        <f>ber_IVmed!K21</f>
        <v>5</v>
      </c>
    </row>
    <row r="20" spans="2:8" ht="17.25" customHeight="1" x14ac:dyDescent="0.35">
      <c r="B20" s="194" t="str">
        <f>ber_IVmed!B24</f>
        <v>rocuronium</v>
      </c>
      <c r="C20" s="240" t="str">
        <f>ber_IVmed!C24&amp;" "&amp;ber_IVmed!J24</f>
        <v>300 mg</v>
      </c>
      <c r="D20" s="195" t="str">
        <f>ber_IVmed!D24&amp;" ml"</f>
        <v>50 ml</v>
      </c>
      <c r="E20" s="196" t="str">
        <f>ber_IVmed!E24/10&amp;" ml/uur"</f>
        <v>1 ml/uur</v>
      </c>
      <c r="F20" s="197" t="str">
        <f>ber_IVmed!F24/10&amp;" "&amp;ber_IVmed!H24</f>
        <v>0,6 mg/kg/uur</v>
      </c>
      <c r="G20" s="198" t="str">
        <f>ber_IVmed!I24</f>
        <v>0,6-1,2 mg/kg/uur</v>
      </c>
      <c r="H20" s="199">
        <f>ber_IVmed!K24</f>
        <v>50</v>
      </c>
    </row>
    <row r="21" spans="2:8" ht="17.25" customHeight="1" x14ac:dyDescent="0.35">
      <c r="B21" s="194" t="str">
        <f>ber_IVmed!B25</f>
        <v>salbutamol</v>
      </c>
      <c r="C21" s="240" t="str">
        <f>ber_IVmed!C25&amp;" "&amp;ber_IVmed!J25</f>
        <v>5 mg</v>
      </c>
      <c r="D21" s="195" t="str">
        <f>ber_IVmed!D25&amp;" ml"</f>
        <v>50 ml</v>
      </c>
      <c r="E21" s="196" t="str">
        <f>ber_IVmed!E25/10&amp;" ml/uur"</f>
        <v>1 ml/uur</v>
      </c>
      <c r="F21" s="197" t="str">
        <f>ber_IVmed!F25/10&amp;" "&amp;ber_IVmed!H25</f>
        <v>0,2 mcg/kg/min</v>
      </c>
      <c r="G21" s="198" t="str">
        <f>ber_IVmed!I25</f>
        <v>0,2-2 mcg/kg/min</v>
      </c>
      <c r="H21" s="199">
        <f>ber_IVmed!K25/1</f>
        <v>5</v>
      </c>
    </row>
    <row r="22" spans="2:8" ht="17.25" customHeight="1" x14ac:dyDescent="0.35">
      <c r="B22" s="194" t="str">
        <f>ber_IVmed!B26</f>
        <v>thiopental</v>
      </c>
      <c r="C22" s="240" t="str">
        <f>ber_IVmed!C26&amp;" "&amp;ber_IVmed!J26</f>
        <v>48 mg</v>
      </c>
      <c r="D22" s="195" t="str">
        <f>ber_IVmed!D26&amp;" ml"</f>
        <v>50 ml</v>
      </c>
      <c r="E22" s="196" t="str">
        <f>ber_IVmed!E26/10&amp;" ml/uur"</f>
        <v>1 ml/uur</v>
      </c>
      <c r="F22" s="197" t="str">
        <f>ber_IVmed!F26/10&amp;" "&amp;ber_IVmed!H26</f>
        <v>7 mg/kg/uur</v>
      </c>
      <c r="G22" s="198" t="str">
        <f>ber_IVmed!I26</f>
        <v>Op geleide van spiegels</v>
      </c>
      <c r="H22" s="199">
        <f>ber_IVmed!K26/1</f>
        <v>500</v>
      </c>
    </row>
    <row r="23" spans="2:8" ht="17.25" customHeight="1" x14ac:dyDescent="0.35">
      <c r="B23" s="194" t="str">
        <f>ber_IVmed!B27</f>
        <v>Epiduraal WKZ</v>
      </c>
      <c r="C23" s="240" t="str">
        <f>ber_IVmed!C27&amp;" "&amp;ber_IVmed!J27</f>
        <v>0 ml</v>
      </c>
      <c r="D23" s="195" t="str">
        <f>ber_IVmed!D27&amp;" ml"</f>
        <v>100 ml</v>
      </c>
      <c r="E23" s="196"/>
      <c r="F23" s="197"/>
      <c r="G23" s="198"/>
      <c r="H23" s="199"/>
    </row>
  </sheetData>
  <sheetProtection algorithmName="SHA-512" hashValue="qB4GG9+pqI2LT4ITq2ZQpv7skYV2XKCdEPTAztMAlexAi/FTULO/MjHgy0AZAoM8dlMZjNYeuRHhPAopsU104A==" saltValue="Zdqd8qorbwXzPOmwS2ni4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</row>
    <row r="2" spans="1:64" s="43" customFormat="1" ht="17.25" customHeight="1" x14ac:dyDescent="0.4">
      <c r="A2" s="167"/>
      <c r="B2" s="167"/>
      <c r="C2" s="168" t="s">
        <v>948</v>
      </c>
      <c r="D2" s="167"/>
      <c r="E2" s="169">
        <f ca="1">AfspraakDatum</f>
        <v>42192</v>
      </c>
      <c r="F2" s="170"/>
      <c r="G2" s="167"/>
      <c r="H2" s="168" t="s">
        <v>949</v>
      </c>
      <c r="I2" s="167"/>
      <c r="J2" s="171">
        <f>OpnDatum</f>
        <v>41363</v>
      </c>
      <c r="K2" s="168" t="str">
        <f ca="1">"ICU-dag: "&amp;AfspraakDatum-OpnDatum+1</f>
        <v>ICU-dag: 830</v>
      </c>
      <c r="L2" s="167"/>
      <c r="M2" s="168"/>
      <c r="N2" s="168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</row>
    <row r="3" spans="1:64" s="43" customFormat="1" ht="17.25" customHeight="1" x14ac:dyDescent="0.4">
      <c r="A3" s="167"/>
      <c r="B3" s="167"/>
      <c r="C3" s="168" t="s">
        <v>112</v>
      </c>
      <c r="D3" s="167"/>
      <c r="E3" s="172" t="str">
        <f>AchterNaam&amp;", "&amp;VoorNaam</f>
        <v>Achternaam, Voornaam</v>
      </c>
      <c r="F3" s="172"/>
      <c r="G3" s="167"/>
      <c r="H3" s="168" t="s">
        <v>967</v>
      </c>
      <c r="I3" s="167"/>
      <c r="J3" s="171">
        <f>GebDatum</f>
        <v>40909</v>
      </c>
      <c r="K3" s="173" t="str">
        <f>"Gewicht: "&amp;Gewicht/10&amp;" kg"</f>
        <v>Gewicht: 10 kg</v>
      </c>
      <c r="L3" s="168"/>
      <c r="M3" s="167"/>
      <c r="N3" s="173" t="str">
        <f>"Lengte: "&amp;Lengte&amp;" cm"</f>
        <v>Lengte: 80 cm</v>
      </c>
      <c r="O3" s="168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</row>
    <row r="4" spans="1:64" s="43" customFormat="1" ht="17.25" customHeight="1" x14ac:dyDescent="0.4">
      <c r="A4" s="167"/>
      <c r="B4" s="167"/>
      <c r="C4" s="168" t="s">
        <v>1063</v>
      </c>
      <c r="D4" s="174"/>
      <c r="E4" s="173">
        <f>PatNummer</f>
        <v>0</v>
      </c>
      <c r="F4" s="170"/>
      <c r="G4" s="174"/>
      <c r="H4" s="168" t="s">
        <v>880</v>
      </c>
      <c r="I4" s="174"/>
      <c r="J4" s="175" t="str">
        <f ca="1">TRUNC((AfspraakDatum-GebDatum)/365,0)&amp;" jaar en "&amp;TRUNC(((AfspraakDatum-GebDatum)-365*TRUNC((AfspraakDatum-GebDatum)/365,0))/30,0)&amp;" maand(-en)"</f>
        <v>3 jaar en 6 maand(-en)</v>
      </c>
      <c r="K4" s="168"/>
      <c r="L4" s="174"/>
      <c r="M4" s="168" t="str">
        <f>"Lichamelijk oppervlak: "&amp;ROUND(POWER(Gewicht/10,0.425)*POWER(((Lengte/100)*100),0.725)*0.007184,2)&amp;" m2"</f>
        <v>Lichamelijk oppervlak: 0,46 m2</v>
      </c>
      <c r="N4" s="168"/>
      <c r="O4" s="174"/>
      <c r="P4" s="174"/>
      <c r="Q4" s="174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</row>
    <row r="5" spans="1:64" s="348" customFormat="1" x14ac:dyDescent="0.35">
      <c r="A5" s="176"/>
      <c r="B5" s="176"/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6"/>
      <c r="P5" s="176"/>
      <c r="Q5" s="176"/>
      <c r="R5" s="176"/>
      <c r="S5" s="176"/>
      <c r="T5" s="176"/>
      <c r="U5" s="176"/>
      <c r="V5" s="176"/>
    </row>
    <row r="6" spans="1:64" s="348" customFormat="1" ht="19.55" customHeight="1" x14ac:dyDescent="0.4">
      <c r="A6" s="176"/>
      <c r="B6" s="178">
        <v>1</v>
      </c>
      <c r="C6" s="179"/>
      <c r="D6" s="351">
        <f>ber_Med_disc!C2</f>
        <v>0</v>
      </c>
      <c r="E6" s="351"/>
      <c r="F6" s="351"/>
      <c r="G6" s="351"/>
      <c r="H6" s="180" t="str">
        <f>IF(INDEX(ber_Med_disc!$D$27:$D$38,ber_Med_disc!I2,1)=0,"",INDEX(ber_Med_disc!$D$27:$D$38,ber_Med_disc!I2,1))</f>
        <v/>
      </c>
      <c r="I6" s="181" t="str">
        <f>IF(ber_Med_disc!C2&gt;1,ber_Med_disc!H2,"")</f>
        <v/>
      </c>
      <c r="J6" s="182" t="str">
        <f>IF(ber_Med_disc!C2&gt;1,ber_Med_disc!F2,"")</f>
        <v/>
      </c>
      <c r="K6" s="183">
        <f>ber_Med_disc!L2</f>
        <v>0</v>
      </c>
      <c r="L6" s="176" t="str">
        <f>IF(AND(ber_Med_disc!C2&gt;1,ber_Med_disc!O2&gt;1),ber_Med_disc!N2,"")</f>
        <v/>
      </c>
      <c r="M6" s="176" t="str">
        <f>IF(AND(ber_Med_disc!C2&gt;1,L6&lt;&gt;0,ber_Med_disc!O2&gt;1),"ml","")</f>
        <v/>
      </c>
      <c r="N6" s="176"/>
      <c r="O6" s="176" t="str">
        <f>IF(AND(L6&lt;&gt;"",ber_Med_disc!Q2&gt;0),ber_Med_disc!Q2&amp;" min","")</f>
        <v/>
      </c>
      <c r="P6" s="176"/>
      <c r="Q6" s="176"/>
      <c r="R6" s="176"/>
      <c r="S6" s="176"/>
      <c r="T6" s="176"/>
      <c r="U6" s="176"/>
      <c r="V6" s="176"/>
    </row>
    <row r="7" spans="1:64" s="348" customFormat="1" ht="19.55" customHeight="1" x14ac:dyDescent="0.35">
      <c r="A7" s="177"/>
      <c r="B7" s="184" t="s">
        <v>912</v>
      </c>
      <c r="C7" s="185"/>
      <c r="D7" s="187">
        <f>ber_Opm!C16</f>
        <v>0</v>
      </c>
      <c r="E7" s="187"/>
      <c r="F7" s="187"/>
      <c r="G7" s="187"/>
      <c r="H7" s="186" t="str">
        <f>IF(ber_Med_disc!C2&gt;1,"Dosering/kg/dag: ","")</f>
        <v/>
      </c>
      <c r="I7" s="185"/>
      <c r="J7" s="187" t="str">
        <f>IF(ber_Med_disc!C2&gt;1,ber_Med_disc!M2,"")</f>
        <v/>
      </c>
      <c r="K7" s="185" t="str">
        <f>IF(AND(ber_Med_disc!C2&gt;1),J6&amp;"/kg/dag ","")</f>
        <v/>
      </c>
      <c r="L7" s="185"/>
      <c r="M7" s="185" t="str">
        <f>IF(AND(ber_Med_disc!C2&gt;1,ber_Med_disc!O2&gt;1,ber_Med_disc!N2&gt;0),"Oplossing:","")</f>
        <v/>
      </c>
      <c r="N7" s="185" t="str">
        <f>IF(AND(ber_Med_disc!C2&gt;1,ber_Med_disc!O2&gt;1,ber_Med_disc!N2&gt;0),ROUND(ber_Med_disc!H2/ber_Med_disc!N2,2)&amp;" "&amp;ber_Med_disc!F2&amp;"/ml","")</f>
        <v/>
      </c>
      <c r="O7" s="185"/>
      <c r="P7" s="185"/>
      <c r="Q7" s="176"/>
      <c r="R7" s="176"/>
      <c r="S7" s="176"/>
      <c r="T7" s="176"/>
      <c r="U7" s="176"/>
      <c r="V7" s="176"/>
    </row>
    <row r="8" spans="1:64" s="348" customFormat="1" ht="19.55" customHeight="1" x14ac:dyDescent="0.4">
      <c r="A8" s="176"/>
      <c r="B8" s="178">
        <v>2</v>
      </c>
      <c r="C8" s="179"/>
      <c r="D8" s="377">
        <f>ber_Med_disc!C3</f>
        <v>0</v>
      </c>
      <c r="E8" s="377"/>
      <c r="F8" s="377"/>
      <c r="G8" s="377"/>
      <c r="H8" s="180" t="str">
        <f>IF(INDEX(ber_Med_disc!$D$27:$D$38,ber_Med_disc!I3,1)=0,"",INDEX(ber_Med_disc!$D$27:$D$38,ber_Med_disc!I3,1))</f>
        <v/>
      </c>
      <c r="I8" s="181" t="str">
        <f>IF(ber_Med_disc!C3&gt;1,ber_Med_disc!H3,"")</f>
        <v/>
      </c>
      <c r="J8" s="182" t="str">
        <f>IF(ber_Med_disc!C3&gt;1,ber_Med_disc!F3,"")</f>
        <v/>
      </c>
      <c r="K8" s="183">
        <f>ber_Med_disc!L3</f>
        <v>0</v>
      </c>
      <c r="L8" s="176" t="str">
        <f>IF(AND(ber_Med_disc!C3&gt;1,ber_Med_disc!O3&gt;1,H8&lt;&gt;"STOP"),ber_Med_disc!N3,"")</f>
        <v/>
      </c>
      <c r="M8" s="176" t="str">
        <f>IF(AND(ber_Med_disc!C3&gt;1,L8&lt;&gt;0,ber_Med_disc!O3&gt;1,H8&lt;&gt;"STOP"),"ml","")</f>
        <v/>
      </c>
      <c r="N8" s="176"/>
      <c r="O8" s="176" t="str">
        <f>IF(AND(L8&lt;&gt;"",ber_Med_disc!Q3&gt;0,H8&lt;&gt;"STOP"),ber_Med_disc!Q3&amp;" min","")</f>
        <v/>
      </c>
      <c r="P8" s="176"/>
      <c r="Q8" s="176"/>
      <c r="R8" s="176"/>
      <c r="S8" s="176"/>
      <c r="T8" s="176"/>
      <c r="U8" s="176"/>
      <c r="V8" s="176"/>
    </row>
    <row r="9" spans="1:64" s="348" customFormat="1" ht="19.55" customHeight="1" x14ac:dyDescent="0.35">
      <c r="A9" s="176"/>
      <c r="B9" s="184" t="s">
        <v>912</v>
      </c>
      <c r="C9" s="185"/>
      <c r="D9" s="187">
        <f>ber_Opm!C17</f>
        <v>0</v>
      </c>
      <c r="E9" s="187"/>
      <c r="F9" s="187"/>
      <c r="G9" s="187"/>
      <c r="H9" s="186" t="str">
        <f>IF(AND(ber_Med_disc!C3&gt;1,H8&lt;&gt;"STOP"),"Dosering/kg/dag: ","")</f>
        <v/>
      </c>
      <c r="I9" s="185"/>
      <c r="J9" s="187" t="str">
        <f>IF(ber_Med_disc!C3&gt;1,ber_Med_disc!M3,"")</f>
        <v/>
      </c>
      <c r="K9" s="185" t="str">
        <f>IF(AND(ber_Med_disc!C3&gt;1,H8&lt;&gt;"STOP"),J8&amp;"/kg/dag ","")</f>
        <v/>
      </c>
      <c r="L9" s="185"/>
      <c r="M9" s="185" t="str">
        <f>IF(AND(ber_Med_disc!C3&gt;1,ber_Med_disc!O3&gt;1,ber_Med_disc!N3&gt;0,H8&lt;&gt;"STOP"),"Oplossing:","")</f>
        <v/>
      </c>
      <c r="N9" s="185" t="str">
        <f>IF(AND(ber_Med_disc!C3&gt;1,ber_Med_disc!O3&gt;1,ber_Med_disc!N3&gt;0,H8&lt;&gt;"STOP"),ROUND(ber_Med_disc!H3/ber_Med_disc!N3,2)&amp;" "&amp;ber_Med_disc!F3&amp;"/ml","")</f>
        <v/>
      </c>
      <c r="O9" s="185"/>
      <c r="P9" s="185"/>
      <c r="Q9" s="176"/>
      <c r="R9" s="176"/>
      <c r="S9" s="176"/>
      <c r="T9" s="176"/>
      <c r="U9" s="176"/>
      <c r="V9" s="176"/>
    </row>
    <row r="10" spans="1:64" s="348" customFormat="1" ht="19.55" customHeight="1" x14ac:dyDescent="0.4">
      <c r="A10" s="176"/>
      <c r="B10" s="178">
        <v>3</v>
      </c>
      <c r="C10" s="179"/>
      <c r="D10" s="377">
        <f>ber_Med_disc!C4</f>
        <v>0</v>
      </c>
      <c r="E10" s="377"/>
      <c r="F10" s="377"/>
      <c r="G10" s="377"/>
      <c r="H10" s="180" t="str">
        <f>IF(INDEX(ber_Med_disc!$D$27:$D$38,ber_Med_disc!I4,1)=0,"",INDEX(ber_Med_disc!$D$27:$D$38,ber_Med_disc!I4,1))</f>
        <v/>
      </c>
      <c r="I10" s="181" t="str">
        <f>IF(ber_Med_disc!C4&gt;1,ber_Med_disc!H4,"")</f>
        <v/>
      </c>
      <c r="J10" s="182" t="str">
        <f>IF(ber_Med_disc!C4&gt;1,ber_Med_disc!F4,"")</f>
        <v/>
      </c>
      <c r="K10" s="183">
        <f>ber_Med_disc!L4</f>
        <v>0</v>
      </c>
      <c r="L10" s="176" t="str">
        <f>IF(AND(ber_Med_disc!C4&gt;1,ber_Med_disc!O4&gt;1,H10&lt;&gt;"STOP"),ber_Med_disc!N4,"")</f>
        <v/>
      </c>
      <c r="M10" s="176" t="str">
        <f>IF(AND(ber_Med_disc!C4&gt;1,L10&lt;&gt;0,ber_Med_disc!O4&gt;1,H10&lt;&gt;"STOP"),"ml","")</f>
        <v/>
      </c>
      <c r="N10" s="176"/>
      <c r="O10" s="176" t="str">
        <f>IF(AND(L10&lt;&gt;"",ber_Med_disc!Q4&gt;0,H10&lt;&gt;"STOP"),ber_Med_disc!Q4&amp;" min","")</f>
        <v/>
      </c>
      <c r="P10" s="176"/>
      <c r="Q10" s="176"/>
      <c r="R10" s="176"/>
      <c r="S10" s="176"/>
      <c r="T10" s="176"/>
      <c r="U10" s="176"/>
      <c r="V10" s="176"/>
    </row>
    <row r="11" spans="1:64" s="348" customFormat="1" ht="19.55" customHeight="1" x14ac:dyDescent="0.35">
      <c r="A11" s="176"/>
      <c r="B11" s="184" t="s">
        <v>912</v>
      </c>
      <c r="C11" s="185"/>
      <c r="D11" s="187">
        <f>ber_Opm!C18</f>
        <v>0</v>
      </c>
      <c r="E11" s="187"/>
      <c r="F11" s="187"/>
      <c r="G11" s="187"/>
      <c r="H11" s="186" t="str">
        <f>IF(AND(ber_Med_disc!C4&gt;1,H10&lt;&gt;"STOP"),"Dosering/kg/dag: ","")</f>
        <v/>
      </c>
      <c r="I11" s="185"/>
      <c r="J11" s="187" t="str">
        <f>IF(ber_Med_disc!C4&gt;1,ber_Med_disc!M4,"")</f>
        <v/>
      </c>
      <c r="K11" s="185" t="str">
        <f>IF(AND(ber_Med_disc!C4&gt;1,H10&lt;&gt;"STOP"),J10&amp;"/kg/dag ","")</f>
        <v/>
      </c>
      <c r="L11" s="185"/>
      <c r="M11" s="185" t="str">
        <f>IF(AND(ber_Med_disc!C4&gt;1,ber_Med_disc!O4&gt;1,ber_Med_disc!N4&gt;0,H10&lt;&gt;"STOP"),"Oplossing:","")</f>
        <v/>
      </c>
      <c r="N11" s="185" t="str">
        <f>IF(AND(ber_Med_disc!C4&gt;1,ber_Med_disc!O4&gt;1,ber_Med_disc!N4&gt;0,H10&lt;&gt;"STOP"),ROUND(ber_Med_disc!H4/ber_Med_disc!N4,2)&amp;" "&amp;ber_Med_disc!F4&amp;"/ml","")</f>
        <v/>
      </c>
      <c r="O11" s="185"/>
      <c r="P11" s="185"/>
      <c r="Q11" s="176"/>
      <c r="R11" s="176"/>
      <c r="S11" s="176"/>
      <c r="T11" s="176"/>
      <c r="U11" s="176"/>
      <c r="V11" s="176"/>
    </row>
    <row r="12" spans="1:64" s="348" customFormat="1" ht="19.55" customHeight="1" x14ac:dyDescent="0.4">
      <c r="A12" s="176"/>
      <c r="B12" s="178">
        <v>4</v>
      </c>
      <c r="C12" s="179"/>
      <c r="D12" s="377">
        <f>ber_Med_disc!C5</f>
        <v>0</v>
      </c>
      <c r="E12" s="377"/>
      <c r="F12" s="377"/>
      <c r="G12" s="377"/>
      <c r="H12" s="180" t="str">
        <f>IF(INDEX(ber_Med_disc!$D$27:$D$38,ber_Med_disc!I5,1)=0,"",INDEX(ber_Med_disc!$D$27:$D$38,ber_Med_disc!I5,1))</f>
        <v/>
      </c>
      <c r="I12" s="181" t="str">
        <f>IF(ber_Med_disc!C5&gt;1,ber_Med_disc!H5,"")</f>
        <v/>
      </c>
      <c r="J12" s="182" t="str">
        <f>IF(ber_Med_disc!C5&gt;1,ber_Med_disc!F5,"")</f>
        <v/>
      </c>
      <c r="K12" s="183">
        <f>ber_Med_disc!L5</f>
        <v>0</v>
      </c>
      <c r="L12" s="176" t="str">
        <f>IF(AND(ber_Med_disc!C5&gt;1,ber_Med_disc!O5&gt;1,H12&lt;&gt;"STOP"),ber_Med_disc!N5,"")</f>
        <v/>
      </c>
      <c r="M12" s="176" t="str">
        <f>IF(AND(ber_Med_disc!C5&gt;1,L12&lt;&gt;0,ber_Med_disc!O5&gt;1,H12&lt;&gt;"STOP"),"ml","")</f>
        <v/>
      </c>
      <c r="N12" s="176"/>
      <c r="O12" s="176" t="str">
        <f>IF(AND(L12&lt;&gt;"",ber_Med_disc!Q5&gt;0,H12&lt;&gt;"STOP"),ber_Med_disc!Q5&amp;" min","")</f>
        <v/>
      </c>
      <c r="P12" s="176"/>
      <c r="Q12" s="176"/>
      <c r="R12" s="176"/>
      <c r="S12" s="176"/>
      <c r="T12" s="176"/>
      <c r="U12" s="176"/>
      <c r="V12" s="176"/>
    </row>
    <row r="13" spans="1:64" s="348" customFormat="1" ht="19.55" customHeight="1" x14ac:dyDescent="0.35">
      <c r="A13" s="176"/>
      <c r="B13" s="184" t="s">
        <v>912</v>
      </c>
      <c r="C13" s="185"/>
      <c r="D13" s="187">
        <f>ber_Opm!C19</f>
        <v>0</v>
      </c>
      <c r="E13" s="187"/>
      <c r="F13" s="187"/>
      <c r="G13" s="187"/>
      <c r="H13" s="186" t="str">
        <f>IF(AND(ber_Med_disc!C5&gt;1,H12&lt;&gt;"STOP"),"Dosering/kg/dag: ","")</f>
        <v/>
      </c>
      <c r="I13" s="185"/>
      <c r="J13" s="187" t="str">
        <f>IF(ber_Med_disc!C5&gt;1,ber_Med_disc!M5,"")</f>
        <v/>
      </c>
      <c r="K13" s="185" t="str">
        <f>IF(AND(ber_Med_disc!C5&gt;1,H12&lt;&gt;"STOP"),J12&amp;"/kg/dag ","")</f>
        <v/>
      </c>
      <c r="L13" s="185"/>
      <c r="M13" s="185" t="str">
        <f>IF(AND(ber_Med_disc!C5&gt;1,ber_Med_disc!O5&gt;1,ber_Med_disc!N5&gt;0,H12&lt;&gt;"STOP"),"Oplossing:","")</f>
        <v/>
      </c>
      <c r="N13" s="185" t="str">
        <f>IF(AND(ber_Med_disc!C5&gt;1,ber_Med_disc!O5&gt;1,ber_Med_disc!N5&gt;0,H12&lt;&gt;"STOP"),ROUND(ber_Med_disc!H5/ber_Med_disc!N5,2)&amp;" "&amp;ber_Med_disc!F5&amp;"/ml","")</f>
        <v/>
      </c>
      <c r="O13" s="185"/>
      <c r="P13" s="185"/>
      <c r="Q13" s="176"/>
      <c r="R13" s="188"/>
      <c r="S13" s="188"/>
      <c r="T13" s="188"/>
      <c r="U13" s="188"/>
      <c r="V13" s="188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</row>
    <row r="14" spans="1:64" s="349" customFormat="1" ht="19.55" customHeight="1" x14ac:dyDescent="0.4">
      <c r="A14" s="176"/>
      <c r="B14" s="178">
        <v>5</v>
      </c>
      <c r="C14" s="179"/>
      <c r="D14" s="377">
        <f>ber_Med_disc!C6</f>
        <v>0</v>
      </c>
      <c r="E14" s="377"/>
      <c r="F14" s="377"/>
      <c r="G14" s="377"/>
      <c r="H14" s="180" t="str">
        <f>IF(INDEX(ber_Med_disc!$D$27:$D$38,ber_Med_disc!I6,1)=0,"",INDEX(ber_Med_disc!$D$27:$D$38,ber_Med_disc!I6,1))</f>
        <v/>
      </c>
      <c r="I14" s="181" t="str">
        <f>IF(ber_Med_disc!C6&gt;1,ber_Med_disc!H6,"")</f>
        <v/>
      </c>
      <c r="J14" s="182" t="str">
        <f>IF(ber_Med_disc!C6&gt;1,ber_Med_disc!F6,"")</f>
        <v/>
      </c>
      <c r="K14" s="183">
        <f>ber_Med_disc!L6</f>
        <v>0</v>
      </c>
      <c r="L14" s="176" t="str">
        <f>IF(AND(ber_Med_disc!C6&gt;1,ber_Med_disc!O6&gt;1,H14&lt;&gt;"STOP"),ber_Med_disc!N6,"")</f>
        <v/>
      </c>
      <c r="M14" s="176" t="str">
        <f>IF(AND(ber_Med_disc!C6&gt;1,L14&lt;&gt;0,ber_Med_disc!O6&gt;1,H14&lt;&gt;"STOP"),"ml","")</f>
        <v/>
      </c>
      <c r="N14" s="176"/>
      <c r="O14" s="176" t="str">
        <f>IF(AND(L14&lt;&gt;"",ber_Med_disc!Q6&gt;0,H14&lt;&gt;"STOP"),ber_Med_disc!Q6&amp;" min","")</f>
        <v/>
      </c>
      <c r="P14" s="176"/>
      <c r="Q14" s="176"/>
      <c r="R14" s="176"/>
      <c r="S14" s="176"/>
      <c r="T14" s="176"/>
      <c r="U14" s="176"/>
      <c r="V14" s="176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8"/>
      <c r="BG14" s="348"/>
      <c r="BH14" s="348"/>
      <c r="BI14" s="348"/>
      <c r="BJ14" s="348"/>
      <c r="BK14" s="348"/>
      <c r="BL14" s="348"/>
    </row>
    <row r="15" spans="1:64" s="348" customFormat="1" ht="19.55" customHeight="1" x14ac:dyDescent="0.35">
      <c r="A15" s="176"/>
      <c r="B15" s="184" t="s">
        <v>912</v>
      </c>
      <c r="C15" s="185"/>
      <c r="D15" s="187">
        <f>ber_Opm!C20</f>
        <v>0</v>
      </c>
      <c r="E15" s="187"/>
      <c r="F15" s="187"/>
      <c r="G15" s="187"/>
      <c r="H15" s="186" t="str">
        <f>IF(AND(ber_Med_disc!C6&gt;1,H14&lt;&gt;"STOP"),"Dosering/kg/dag: ","")</f>
        <v/>
      </c>
      <c r="I15" s="185"/>
      <c r="J15" s="187" t="str">
        <f>IF(ber_Med_disc!C6&gt;1,ber_Med_disc!M6,"")</f>
        <v/>
      </c>
      <c r="K15" s="185" t="str">
        <f>IF(AND(ber_Med_disc!C6&gt;1,H14&lt;&gt;"STOP"),J14&amp;"/kg/dag ","")</f>
        <v/>
      </c>
      <c r="L15" s="185"/>
      <c r="M15" s="185" t="str">
        <f>IF(AND(ber_Med_disc!C6&gt;1,ber_Med_disc!O6&gt;1,ber_Med_disc!N6&gt;0,H14&lt;&gt;"STOP"),"Oplossing:","")</f>
        <v/>
      </c>
      <c r="N15" s="185" t="str">
        <f>IF(AND(ber_Med_disc!C6&gt;1,ber_Med_disc!O6&gt;1,ber_Med_disc!N6&gt;0,H14&lt;&gt;"STOP"),ROUND(ber_Med_disc!H6/ber_Med_disc!N6,2)&amp;" "&amp;ber_Med_disc!F6&amp;"/ml","")</f>
        <v/>
      </c>
      <c r="O15" s="185"/>
      <c r="P15" s="185"/>
      <c r="Q15" s="176"/>
      <c r="R15" s="176"/>
      <c r="S15" s="176"/>
      <c r="T15" s="176"/>
      <c r="U15" s="176"/>
      <c r="V15" s="176"/>
    </row>
    <row r="16" spans="1:64" s="348" customFormat="1" ht="19.55" customHeight="1" x14ac:dyDescent="0.4">
      <c r="A16" s="176"/>
      <c r="B16" s="178">
        <v>6</v>
      </c>
      <c r="C16" s="179"/>
      <c r="D16" s="377">
        <f>ber_Med_disc!C7</f>
        <v>0</v>
      </c>
      <c r="E16" s="377"/>
      <c r="F16" s="377"/>
      <c r="G16" s="377"/>
      <c r="H16" s="180" t="str">
        <f>IF(INDEX(ber_Med_disc!$D$27:$D$38,ber_Med_disc!I7,1)=0,"",INDEX(ber_Med_disc!$D$27:$D$38,ber_Med_disc!I7,1))</f>
        <v/>
      </c>
      <c r="I16" s="181" t="str">
        <f>IF(ber_Med_disc!C7&gt;1,ber_Med_disc!H7,"")</f>
        <v/>
      </c>
      <c r="J16" s="182" t="str">
        <f>IF(ber_Med_disc!C7&gt;1,ber_Med_disc!F7,"")</f>
        <v/>
      </c>
      <c r="K16" s="183">
        <f>ber_Med_disc!L7</f>
        <v>0</v>
      </c>
      <c r="L16" s="176" t="str">
        <f>IF(AND(ber_Med_disc!C7&gt;1,ber_Med_disc!O7&gt;1,H16&lt;&gt;"STOP"),ber_Med_disc!N7,"")</f>
        <v/>
      </c>
      <c r="M16" s="176" t="str">
        <f>IF(AND(ber_Med_disc!C7&gt;1,L16&lt;&gt;0,ber_Med_disc!O7&gt;1,H16&lt;&gt;"STOP"),"ml","")</f>
        <v/>
      </c>
      <c r="N16" s="176"/>
      <c r="O16" s="176" t="str">
        <f>IF(AND(L16&lt;&gt;"",ber_Med_disc!Q7&gt;0,H16&lt;&gt;"STOP"),ber_Med_disc!Q7&amp;" min","")</f>
        <v/>
      </c>
      <c r="P16" s="176"/>
      <c r="Q16" s="176"/>
      <c r="R16" s="176"/>
      <c r="S16" s="176"/>
      <c r="T16" s="176"/>
      <c r="U16" s="176"/>
      <c r="V16" s="176"/>
    </row>
    <row r="17" spans="1:22" s="348" customFormat="1" ht="19.55" customHeight="1" x14ac:dyDescent="0.35">
      <c r="A17" s="176"/>
      <c r="B17" s="184" t="s">
        <v>912</v>
      </c>
      <c r="C17" s="185"/>
      <c r="D17" s="187">
        <f>ber_Opm!C21</f>
        <v>0</v>
      </c>
      <c r="E17" s="187"/>
      <c r="F17" s="187"/>
      <c r="G17" s="187"/>
      <c r="H17" s="186" t="str">
        <f>IF(AND(ber_Med_disc!C7&gt;1,H16&lt;&gt;"STOP"),"Dosering/kg/dag: ","")</f>
        <v/>
      </c>
      <c r="I17" s="185"/>
      <c r="J17" s="187" t="str">
        <f>IF(ber_Med_disc!C7&gt;1,ber_Med_disc!M7,"")</f>
        <v/>
      </c>
      <c r="K17" s="185" t="str">
        <f>IF(AND(ber_Med_disc!C7&gt;1,H16&lt;&gt;"STOP"),J16&amp;"/kg/dag ","")</f>
        <v/>
      </c>
      <c r="L17" s="185"/>
      <c r="M17" s="185" t="str">
        <f>IF(AND(ber_Med_disc!C7&gt;1,ber_Med_disc!O7&gt;1,ber_Med_disc!N7&gt;0,H16&lt;&gt;"STOP"),"Oplossing:","")</f>
        <v/>
      </c>
      <c r="N17" s="185" t="str">
        <f>IF(AND(ber_Med_disc!C7&gt;1,ber_Med_disc!O7&gt;1,ber_Med_disc!N7&gt;0,H16&lt;&gt;"STOP"),ROUND(ber_Med_disc!H7/ber_Med_disc!N7,2)&amp;" "&amp;ber_Med_disc!F7&amp;"/ml","")</f>
        <v/>
      </c>
      <c r="O17" s="185"/>
      <c r="P17" s="185"/>
      <c r="Q17" s="176"/>
      <c r="R17" s="176"/>
      <c r="S17" s="176"/>
      <c r="T17" s="176"/>
      <c r="U17" s="176"/>
      <c r="V17" s="176"/>
    </row>
    <row r="18" spans="1:22" s="348" customFormat="1" ht="19.55" customHeight="1" x14ac:dyDescent="0.4">
      <c r="A18" s="176"/>
      <c r="B18" s="178">
        <v>7</v>
      </c>
      <c r="C18" s="179"/>
      <c r="D18" s="377">
        <f>ber_Med_disc!C8</f>
        <v>0</v>
      </c>
      <c r="E18" s="377"/>
      <c r="F18" s="377"/>
      <c r="G18" s="377"/>
      <c r="H18" s="180" t="str">
        <f>IF(INDEX(ber_Med_disc!$D$27:$D$38,ber_Med_disc!I8,1)=0,"",INDEX(ber_Med_disc!$D$27:$D$38,ber_Med_disc!I8,1))</f>
        <v/>
      </c>
      <c r="I18" s="181" t="str">
        <f>IF(ber_Med_disc!C8&gt;1,ber_Med_disc!H8,"")</f>
        <v/>
      </c>
      <c r="J18" s="182" t="str">
        <f>IF(ber_Med_disc!C8&gt;1,ber_Med_disc!F8,"")</f>
        <v/>
      </c>
      <c r="K18" s="183">
        <f>ber_Med_disc!L8</f>
        <v>0</v>
      </c>
      <c r="L18" s="176" t="str">
        <f>IF(AND(ber_Med_disc!C8&gt;1,ber_Med_disc!O8&gt;1,H18&lt;&gt;"STOP"),ber_Med_disc!N8,"")</f>
        <v/>
      </c>
      <c r="M18" s="176" t="str">
        <f>IF(AND(ber_Med_disc!C8&gt;1,L18&lt;&gt;0,ber_Med_disc!O8&gt;1,H18&lt;&gt;"STOP"),"ml","")</f>
        <v/>
      </c>
      <c r="N18" s="176"/>
      <c r="O18" s="176" t="str">
        <f>IF(AND(L18&lt;&gt;"",ber_Med_disc!Q8&gt;0,H18&lt;&gt;"STOP"),ber_Med_disc!Q8&amp;" min","")</f>
        <v/>
      </c>
      <c r="P18" s="176"/>
      <c r="Q18" s="176"/>
      <c r="R18" s="176"/>
      <c r="S18" s="176"/>
      <c r="T18" s="176"/>
      <c r="U18" s="176"/>
      <c r="V18" s="176"/>
    </row>
    <row r="19" spans="1:22" s="348" customFormat="1" ht="19.55" customHeight="1" x14ac:dyDescent="0.35">
      <c r="A19" s="176"/>
      <c r="B19" s="184" t="s">
        <v>912</v>
      </c>
      <c r="C19" s="185"/>
      <c r="D19" s="187">
        <f>ber_Opm!C22</f>
        <v>0</v>
      </c>
      <c r="E19" s="187"/>
      <c r="F19" s="187"/>
      <c r="G19" s="187"/>
      <c r="H19" s="186" t="str">
        <f>IF(AND(ber_Med_disc!C8&gt;1,H18&lt;&gt;"STOP"),"Dosering/kg/dag: ","")</f>
        <v/>
      </c>
      <c r="I19" s="185"/>
      <c r="J19" s="187" t="str">
        <f>IF(ber_Med_disc!C8&gt;1,ber_Med_disc!M8,"")</f>
        <v/>
      </c>
      <c r="K19" s="185" t="str">
        <f>IF(AND(ber_Med_disc!C8&gt;1,H18&lt;&gt;"STOP"),J18&amp;"/kg/dag ","")</f>
        <v/>
      </c>
      <c r="L19" s="185"/>
      <c r="M19" s="185" t="str">
        <f>IF(AND(ber_Med_disc!C8&gt;1,ber_Med_disc!O8&gt;1,ber_Med_disc!N8&gt;0,H18&lt;&gt;"STOP"),"Oplossing:","")</f>
        <v/>
      </c>
      <c r="N19" s="185" t="str">
        <f>IF(AND(ber_Med_disc!C8&gt;1,ber_Med_disc!O8&gt;1,ber_Med_disc!N8&gt;0,H18&lt;&gt;"STOP"),ROUND(ber_Med_disc!H8/ber_Med_disc!N8,2)&amp;" "&amp;ber_Med_disc!F8&amp;"/ml","")</f>
        <v/>
      </c>
      <c r="O19" s="185"/>
      <c r="P19" s="185"/>
      <c r="Q19" s="176"/>
      <c r="R19" s="176"/>
      <c r="S19" s="176"/>
      <c r="T19" s="176"/>
      <c r="U19" s="176"/>
      <c r="V19" s="176"/>
    </row>
    <row r="20" spans="1:22" s="348" customFormat="1" ht="19.55" customHeight="1" x14ac:dyDescent="0.4">
      <c r="A20" s="176"/>
      <c r="B20" s="178">
        <v>8</v>
      </c>
      <c r="C20" s="179"/>
      <c r="D20" s="377">
        <f>ber_Med_disc!C9</f>
        <v>0</v>
      </c>
      <c r="E20" s="377"/>
      <c r="F20" s="377"/>
      <c r="G20" s="377"/>
      <c r="H20" s="180" t="str">
        <f>IF(INDEX(ber_Med_disc!$D$27:$D$38,ber_Med_disc!I9,1)=0,"",INDEX(ber_Med_disc!$D$27:$D$38,ber_Med_disc!I9,1))</f>
        <v/>
      </c>
      <c r="I20" s="181" t="str">
        <f>IF(ber_Med_disc!C9&gt;1,ber_Med_disc!H9,"")</f>
        <v/>
      </c>
      <c r="J20" s="182" t="str">
        <f>IF(ber_Med_disc!C9&gt;1,ber_Med_disc!F9,"")</f>
        <v/>
      </c>
      <c r="K20" s="183">
        <f>ber_Med_disc!L9</f>
        <v>0</v>
      </c>
      <c r="L20" s="176" t="str">
        <f>IF(AND(ber_Med_disc!C9&gt;1,ber_Med_disc!O9&gt;1,H20&lt;&gt;"STOP"),ber_Med_disc!N9,"")</f>
        <v/>
      </c>
      <c r="M20" s="176" t="str">
        <f>IF(AND(ber_Med_disc!C9&gt;1,L20&lt;&gt;0,ber_Med_disc!O9&gt;1,H20&lt;&gt;"STOP"),"ml","")</f>
        <v/>
      </c>
      <c r="N20" s="176"/>
      <c r="O20" s="176" t="str">
        <f>IF(AND(L20&lt;&gt;"",ber_Med_disc!Q9&gt;0,H20&lt;&gt;"STOP"),ber_Med_disc!Q9&amp;" min","")</f>
        <v/>
      </c>
      <c r="P20" s="176"/>
      <c r="Q20" s="176"/>
      <c r="R20" s="176"/>
      <c r="S20" s="176"/>
      <c r="T20" s="176"/>
      <c r="U20" s="176"/>
      <c r="V20" s="176"/>
    </row>
    <row r="21" spans="1:22" s="348" customFormat="1" ht="19.55" customHeight="1" x14ac:dyDescent="0.35">
      <c r="A21" s="176"/>
      <c r="B21" s="184" t="s">
        <v>912</v>
      </c>
      <c r="C21" s="185"/>
      <c r="D21" s="187">
        <f>ber_Opm!C23</f>
        <v>0</v>
      </c>
      <c r="E21" s="187"/>
      <c r="F21" s="187"/>
      <c r="G21" s="187"/>
      <c r="H21" s="186" t="str">
        <f>IF(AND(ber_Med_disc!C9&gt;1,H20&lt;&gt;"STOP"),"Dosering/kg/dag: ","")</f>
        <v/>
      </c>
      <c r="I21" s="185"/>
      <c r="J21" s="187" t="str">
        <f>IF(ber_Med_disc!C9&gt;1,ber_Med_disc!M9,"")</f>
        <v/>
      </c>
      <c r="K21" s="185" t="str">
        <f>IF(AND(ber_Med_disc!C9&gt;1,H20&lt;&gt;"STOP"),J20&amp;"/kg/dag ","")</f>
        <v/>
      </c>
      <c r="L21" s="185"/>
      <c r="M21" s="185" t="str">
        <f>IF(AND(ber_Med_disc!C9&gt;1,ber_Med_disc!O9&gt;1,ber_Med_disc!N9&gt;0,H20&lt;&gt;"STOP"),"Oplossing:","")</f>
        <v/>
      </c>
      <c r="N21" s="185" t="str">
        <f>IF(AND(ber_Med_disc!C9&gt;1,ber_Med_disc!O9&gt;1,ber_Med_disc!N9&gt;0,H20&lt;&gt;"STOP"),ROUND(ber_Med_disc!H9/ber_Med_disc!N9,2)&amp;" "&amp;ber_Med_disc!F9&amp;"/ml","")</f>
        <v/>
      </c>
      <c r="O21" s="185"/>
      <c r="P21" s="185"/>
      <c r="Q21" s="176"/>
      <c r="R21" s="176"/>
      <c r="S21" s="176"/>
      <c r="T21" s="176"/>
      <c r="U21" s="176"/>
      <c r="V21" s="176"/>
    </row>
    <row r="22" spans="1:22" s="348" customFormat="1" ht="19.55" customHeight="1" x14ac:dyDescent="0.4">
      <c r="A22" s="176"/>
      <c r="B22" s="178">
        <v>9</v>
      </c>
      <c r="C22" s="179"/>
      <c r="D22" s="377">
        <f>ber_Med_disc!C10</f>
        <v>0</v>
      </c>
      <c r="E22" s="377"/>
      <c r="F22" s="377"/>
      <c r="G22" s="377"/>
      <c r="H22" s="180" t="str">
        <f>IF(INDEX(ber_Med_disc!$D$27:$D$38,ber_Med_disc!I10,1)=0,"",INDEX(ber_Med_disc!$D$27:$D$38,ber_Med_disc!I10,1))</f>
        <v/>
      </c>
      <c r="I22" s="181" t="str">
        <f>IF(ber_Med_disc!C10&gt;1,ber_Med_disc!H10,"")</f>
        <v/>
      </c>
      <c r="J22" s="182" t="str">
        <f>IF(ber_Med_disc!C10&gt;1,ber_Med_disc!F10,"")</f>
        <v/>
      </c>
      <c r="K22" s="183">
        <f>ber_Med_disc!L10</f>
        <v>0</v>
      </c>
      <c r="L22" s="176" t="str">
        <f>IF(AND(ber_Med_disc!C10&gt;1,ber_Med_disc!O10&gt;1,H22&lt;&gt;"STOP"),ber_Med_disc!N10,"")</f>
        <v/>
      </c>
      <c r="M22" s="176" t="str">
        <f>IF(AND(ber_Med_disc!C10&gt;1,L22&lt;&gt;0,ber_Med_disc!O10&gt;1,H22&lt;&gt;"STOP"),"ml","")</f>
        <v/>
      </c>
      <c r="N22" s="176"/>
      <c r="O22" s="176" t="str">
        <f>IF(AND(L22&lt;&gt;"",ber_Med_disc!Q10&gt;0,H22&lt;&gt;"STOP"),ber_Med_disc!Q10&amp;" min","")</f>
        <v/>
      </c>
      <c r="P22" s="176"/>
      <c r="Q22" s="176"/>
      <c r="R22" s="176"/>
      <c r="S22" s="176"/>
      <c r="T22" s="176"/>
      <c r="U22" s="176"/>
      <c r="V22" s="176"/>
    </row>
    <row r="23" spans="1:22" s="348" customFormat="1" ht="19.55" customHeight="1" x14ac:dyDescent="0.35">
      <c r="A23" s="176"/>
      <c r="B23" s="184" t="s">
        <v>912</v>
      </c>
      <c r="C23" s="185"/>
      <c r="D23" s="187">
        <f>ber_Opm!C24</f>
        <v>0</v>
      </c>
      <c r="E23" s="187"/>
      <c r="F23" s="187"/>
      <c r="G23" s="187"/>
      <c r="H23" s="186" t="str">
        <f>IF(AND(ber_Med_disc!C10&gt;1,H22&lt;&gt;"STOP"),"Dosering/kg/dag: ","")</f>
        <v/>
      </c>
      <c r="I23" s="185"/>
      <c r="J23" s="187" t="str">
        <f>IF(ber_Med_disc!C10&gt;1,ber_Med_disc!M10,"")</f>
        <v/>
      </c>
      <c r="K23" s="185" t="str">
        <f>IF(AND(ber_Med_disc!C10&gt;1,H22&lt;&gt;"STOP"),J22&amp;"/kg/dag ","")</f>
        <v/>
      </c>
      <c r="L23" s="185"/>
      <c r="M23" s="185" t="str">
        <f>IF(AND(ber_Med_disc!C10&gt;1,ber_Med_disc!O10&gt;1,ber_Med_disc!N10&gt;0,H22&lt;&gt;"STOP"),"Oplossing:","")</f>
        <v/>
      </c>
      <c r="N23" s="185" t="str">
        <f>IF(AND(ber_Med_disc!C10&gt;1,ber_Med_disc!O10&gt;1,ber_Med_disc!N10&gt;0,H22&lt;&gt;"STOP"),ROUND(ber_Med_disc!H10/ber_Med_disc!N10,2)&amp;" "&amp;ber_Med_disc!F10&amp;"/ml","")</f>
        <v/>
      </c>
      <c r="O23" s="185"/>
      <c r="P23" s="185"/>
      <c r="Q23" s="176"/>
      <c r="R23" s="176"/>
      <c r="S23" s="176"/>
      <c r="T23" s="176"/>
      <c r="U23" s="176"/>
      <c r="V23" s="176"/>
    </row>
    <row r="24" spans="1:22" s="348" customFormat="1" ht="19.55" customHeight="1" x14ac:dyDescent="0.4">
      <c r="A24" s="176"/>
      <c r="B24" s="178">
        <v>10</v>
      </c>
      <c r="C24" s="179"/>
      <c r="D24" s="377">
        <f>ber_Med_disc!C11</f>
        <v>0</v>
      </c>
      <c r="E24" s="377"/>
      <c r="F24" s="377"/>
      <c r="G24" s="377"/>
      <c r="H24" s="180" t="str">
        <f>IF(INDEX(ber_Med_disc!$D$27:$D$38,ber_Med_disc!I11,1)=0,"",INDEX(ber_Med_disc!$D$27:$D$38,ber_Med_disc!I11,1))</f>
        <v/>
      </c>
      <c r="I24" s="181" t="str">
        <f>IF(ber_Med_disc!C11&gt;1,ber_Med_disc!H11,"")</f>
        <v/>
      </c>
      <c r="J24" s="182" t="str">
        <f>IF(ber_Med_disc!C11&gt;1,ber_Med_disc!F11,"")</f>
        <v/>
      </c>
      <c r="K24" s="183">
        <f>ber_Med_disc!L11</f>
        <v>0</v>
      </c>
      <c r="L24" s="176" t="str">
        <f>IF(AND(ber_Med_disc!C11&gt;1,ber_Med_disc!O11&gt;1,H24&lt;&gt;"STOP"),ber_Med_disc!N11,"")</f>
        <v/>
      </c>
      <c r="M24" s="176" t="str">
        <f>IF(AND(ber_Med_disc!C11&gt;1,L24&lt;&gt;0,ber_Med_disc!O11&gt;1,H24&lt;&gt;"STOP"),"ml","")</f>
        <v/>
      </c>
      <c r="N24" s="176"/>
      <c r="O24" s="176" t="str">
        <f>IF(AND(L24&lt;&gt;"",ber_Med_disc!Q11&gt;0,H24&lt;&gt;"STOP"),ber_Med_disc!Q11&amp;" min","")</f>
        <v/>
      </c>
      <c r="P24" s="176"/>
      <c r="Q24" s="176"/>
      <c r="R24" s="176"/>
      <c r="S24" s="176"/>
      <c r="T24" s="176"/>
      <c r="U24" s="176"/>
      <c r="V24" s="176"/>
    </row>
    <row r="25" spans="1:22" s="348" customFormat="1" ht="19.55" customHeight="1" x14ac:dyDescent="0.35">
      <c r="A25" s="176"/>
      <c r="B25" s="184" t="s">
        <v>912</v>
      </c>
      <c r="C25" s="185"/>
      <c r="D25" s="187">
        <f>ber_Opm!C25</f>
        <v>0</v>
      </c>
      <c r="E25" s="187"/>
      <c r="F25" s="187"/>
      <c r="G25" s="187"/>
      <c r="H25" s="186" t="str">
        <f>IF(AND(ber_Med_disc!C11&gt;1,H24&lt;&gt;"STOP"),"Dosering/kg/dag: ","")</f>
        <v/>
      </c>
      <c r="I25" s="185"/>
      <c r="J25" s="187" t="str">
        <f>IF(ber_Med_disc!C11&gt;1,ber_Med_disc!M11,"")</f>
        <v/>
      </c>
      <c r="K25" s="185" t="str">
        <f>IF(AND(ber_Med_disc!C11&gt;1,H24&lt;&gt;"STOP"),J24&amp;"/kg/dag ","")</f>
        <v/>
      </c>
      <c r="L25" s="185"/>
      <c r="M25" s="185" t="str">
        <f>IF(AND(ber_Med_disc!C11&gt;1,ber_Med_disc!O11&gt;1,ber_Med_disc!N11&gt;0,H24&lt;&gt;"STOP"),"Oplossing:","")</f>
        <v/>
      </c>
      <c r="N25" s="185" t="str">
        <f>IF(AND(ber_Med_disc!C11&gt;1,ber_Med_disc!O11&gt;1,ber_Med_disc!N11&gt;0,H24&lt;&gt;"STOP"),ROUND(ber_Med_disc!H11/ber_Med_disc!N11,2)&amp;" "&amp;ber_Med_disc!F11&amp;"/ml","")</f>
        <v/>
      </c>
      <c r="O25" s="185"/>
      <c r="P25" s="185"/>
      <c r="Q25" s="176"/>
      <c r="R25" s="176"/>
      <c r="S25" s="176"/>
      <c r="T25" s="176"/>
      <c r="U25" s="176"/>
      <c r="V25" s="176"/>
    </row>
    <row r="26" spans="1:22" s="348" customFormat="1" ht="19.55" customHeight="1" x14ac:dyDescent="0.4">
      <c r="A26" s="176"/>
      <c r="B26" s="178">
        <v>11</v>
      </c>
      <c r="C26" s="179"/>
      <c r="D26" s="377">
        <f>ber_Med_disc!C12</f>
        <v>0</v>
      </c>
      <c r="E26" s="377"/>
      <c r="F26" s="377"/>
      <c r="G26" s="377"/>
      <c r="H26" s="180" t="str">
        <f>IF(INDEX(ber_Med_disc!$D$27:$D$38,ber_Med_disc!I12,1)=0,"",INDEX(ber_Med_disc!$D$27:$D$38,ber_Med_disc!I12,1))</f>
        <v/>
      </c>
      <c r="I26" s="181" t="str">
        <f>IF(ber_Med_disc!C12&gt;1,ber_Med_disc!H12,"")</f>
        <v/>
      </c>
      <c r="J26" s="182" t="str">
        <f>IF(ber_Med_disc!C12&gt;1,ber_Med_disc!F12,"")</f>
        <v/>
      </c>
      <c r="K26" s="183">
        <f>ber_Med_disc!L12</f>
        <v>0</v>
      </c>
      <c r="L26" s="176" t="str">
        <f>IF(AND(ber_Med_disc!C12&gt;1,ber_Med_disc!O12&gt;1,H26&lt;&gt;"STOP"),ber_Med_disc!N12,"")</f>
        <v/>
      </c>
      <c r="M26" s="176" t="str">
        <f>IF(AND(ber_Med_disc!C12&gt;1,L26&lt;&gt;0,ber_Med_disc!O12&gt;1,H26&lt;&gt;"STOP"),"ml","")</f>
        <v/>
      </c>
      <c r="N26" s="176"/>
      <c r="O26" s="176" t="str">
        <f>IF(AND(L26&lt;&gt;"",ber_Med_disc!Q12&gt;0,H26&lt;&gt;"STOP"),ber_Med_disc!Q12&amp;" min","")</f>
        <v/>
      </c>
      <c r="P26" s="176"/>
      <c r="Q26" s="176"/>
      <c r="R26" s="176"/>
      <c r="S26" s="176"/>
      <c r="T26" s="176"/>
      <c r="U26" s="176"/>
      <c r="V26" s="176"/>
    </row>
    <row r="27" spans="1:22" s="348" customFormat="1" ht="19.55" customHeight="1" x14ac:dyDescent="0.35">
      <c r="A27" s="176"/>
      <c r="B27" s="184" t="s">
        <v>912</v>
      </c>
      <c r="C27" s="185"/>
      <c r="D27" s="187">
        <f>ber_Opm!C26</f>
        <v>0</v>
      </c>
      <c r="E27" s="187"/>
      <c r="F27" s="187"/>
      <c r="G27" s="187"/>
      <c r="H27" s="186" t="str">
        <f>IF(AND(ber_Med_disc!C12&gt;1,H26&lt;&gt;"STOP"),"Dosering/kg/dag: ","")</f>
        <v/>
      </c>
      <c r="I27" s="185"/>
      <c r="J27" s="187" t="str">
        <f>IF(ber_Med_disc!C12&gt;1,ber_Med_disc!M12,"")</f>
        <v/>
      </c>
      <c r="K27" s="185" t="str">
        <f>IF(AND(ber_Med_disc!C12&gt;1,H26&lt;&gt;"STOP"),J26&amp;"/kg/dag ","")</f>
        <v/>
      </c>
      <c r="L27" s="185"/>
      <c r="M27" s="185" t="str">
        <f>IF(AND(ber_Med_disc!C12&gt;1,ber_Med_disc!O12&gt;1,ber_Med_disc!N12&gt;0,H26&lt;&gt;"STOP"),"Oplossing:","")</f>
        <v/>
      </c>
      <c r="N27" s="185" t="str">
        <f>IF(AND(ber_Med_disc!C12&gt;1,ber_Med_disc!O12&gt;1,ber_Med_disc!N12&gt;0,H26&lt;&gt;"STOP"),ROUND(ber_Med_disc!H12/ber_Med_disc!N12,2)&amp;" "&amp;ber_Med_disc!F12&amp;"/ml","")</f>
        <v/>
      </c>
      <c r="O27" s="185"/>
      <c r="P27" s="185"/>
      <c r="Q27" s="176"/>
      <c r="R27" s="176"/>
      <c r="S27" s="176"/>
      <c r="T27" s="176"/>
      <c r="U27" s="176"/>
      <c r="V27" s="176"/>
    </row>
    <row r="28" spans="1:22" s="348" customFormat="1" ht="19.55" customHeight="1" x14ac:dyDescent="0.4">
      <c r="A28" s="176"/>
      <c r="B28" s="178">
        <v>12</v>
      </c>
      <c r="C28" s="179"/>
      <c r="D28" s="377">
        <f>ber_Med_disc!C13</f>
        <v>0</v>
      </c>
      <c r="E28" s="377"/>
      <c r="F28" s="377"/>
      <c r="G28" s="377"/>
      <c r="H28" s="180" t="str">
        <f>IF(INDEX(ber_Med_disc!$D$27:$D$38,ber_Med_disc!I13,1)=0,"",INDEX(ber_Med_disc!$D$27:$D$38,ber_Med_disc!I13,1))</f>
        <v/>
      </c>
      <c r="I28" s="181" t="str">
        <f>IF(ber_Med_disc!C13&gt;1,ber_Med_disc!H13,"")</f>
        <v/>
      </c>
      <c r="J28" s="182" t="str">
        <f>IF(ber_Med_disc!C13&gt;1,ber_Med_disc!F13,"")</f>
        <v/>
      </c>
      <c r="K28" s="183">
        <f>ber_Med_disc!L13</f>
        <v>0</v>
      </c>
      <c r="L28" s="176" t="str">
        <f>IF(AND(ber_Med_disc!C13&gt;1,ber_Med_disc!O13&gt;1,H28&lt;&gt;"STOP"),ber_Med_disc!N13,"")</f>
        <v/>
      </c>
      <c r="M28" s="176" t="str">
        <f>IF(AND(ber_Med_disc!C13&gt;1,L28&lt;&gt;0,ber_Med_disc!O13&gt;1,H28&lt;&gt;"STOP"),"ml","")</f>
        <v/>
      </c>
      <c r="N28" s="176"/>
      <c r="O28" s="176" t="str">
        <f>IF(AND(L28&lt;&gt;"",ber_Med_disc!Q13&gt;0,H28&lt;&gt;"STOP"),ber_Med_disc!Q13&amp;" min","")</f>
        <v/>
      </c>
      <c r="P28" s="176"/>
      <c r="Q28" s="176"/>
      <c r="R28" s="176"/>
      <c r="S28" s="176"/>
      <c r="T28" s="176"/>
      <c r="U28" s="176"/>
      <c r="V28" s="176"/>
    </row>
    <row r="29" spans="1:22" s="348" customFormat="1" ht="19.55" customHeight="1" x14ac:dyDescent="0.35">
      <c r="A29" s="176"/>
      <c r="B29" s="184" t="s">
        <v>912</v>
      </c>
      <c r="C29" s="185"/>
      <c r="D29" s="187">
        <f>ber_Opm!C27</f>
        <v>0</v>
      </c>
      <c r="E29" s="187"/>
      <c r="F29" s="187"/>
      <c r="G29" s="187"/>
      <c r="H29" s="186" t="str">
        <f>IF(AND(ber_Med_disc!C13&gt;1,H28&lt;&gt;"STOP"),"Dosering/kg/dag: ","")</f>
        <v/>
      </c>
      <c r="I29" s="185"/>
      <c r="J29" s="187" t="str">
        <f>IF(ber_Med_disc!C13&gt;1,ber_Med_disc!M13,"")</f>
        <v/>
      </c>
      <c r="K29" s="185" t="str">
        <f>IF(AND(ber_Med_disc!C13&gt;1,H28&lt;&gt;"STOP"),J28&amp;"/kg/dag ","")</f>
        <v/>
      </c>
      <c r="L29" s="185"/>
      <c r="M29" s="185" t="str">
        <f>IF(AND(ber_Med_disc!C13&gt;1,ber_Med_disc!O13&gt;1,ber_Med_disc!N13&gt;0,H28&lt;&gt;"STOP"),"Oplossing:","")</f>
        <v/>
      </c>
      <c r="N29" s="185" t="str">
        <f>IF(AND(ber_Med_disc!C13&gt;1,ber_Med_disc!O13&gt;1,ber_Med_disc!N13&gt;0,H28&lt;&gt;"STOP"),ROUND(ber_Med_disc!H13/ber_Med_disc!N13,2)&amp;" "&amp;ber_Med_disc!F13&amp;"/ml","")</f>
        <v/>
      </c>
      <c r="O29" s="185"/>
      <c r="P29" s="185"/>
      <c r="Q29" s="176"/>
      <c r="R29" s="176"/>
      <c r="S29" s="176"/>
      <c r="T29" s="176"/>
      <c r="U29" s="176"/>
      <c r="V29" s="176"/>
    </row>
    <row r="30" spans="1:22" s="348" customFormat="1" ht="19.55" customHeight="1" x14ac:dyDescent="0.4">
      <c r="A30" s="176"/>
      <c r="B30" s="178">
        <v>13</v>
      </c>
      <c r="C30" s="179"/>
      <c r="D30" s="377">
        <f>ber_Med_disc!C14</f>
        <v>0</v>
      </c>
      <c r="E30" s="377"/>
      <c r="F30" s="377"/>
      <c r="G30" s="377"/>
      <c r="H30" s="180" t="str">
        <f>IF(INDEX(ber_Med_disc!$D$27:$D$38,ber_Med_disc!I14,1)=0,"",INDEX(ber_Med_disc!$D$27:$D$38,ber_Med_disc!I14,1))</f>
        <v/>
      </c>
      <c r="I30" s="181" t="str">
        <f>IF(ber_Med_disc!C14&gt;1,ber_Med_disc!H14,"")</f>
        <v/>
      </c>
      <c r="J30" s="182" t="str">
        <f>IF(ber_Med_disc!C14&gt;1,ber_Med_disc!F14,"")</f>
        <v/>
      </c>
      <c r="K30" s="183">
        <f>ber_Med_disc!L14</f>
        <v>0</v>
      </c>
      <c r="L30" s="176" t="str">
        <f>IF(AND(ber_Med_disc!C14&gt;1,ber_Med_disc!O14&gt;1,H30&lt;&gt;"STOP"),ber_Med_disc!N14,"")</f>
        <v/>
      </c>
      <c r="M30" s="176" t="str">
        <f>IF(AND(ber_Med_disc!C14&gt;1,L30&lt;&gt;0,ber_Med_disc!O14&gt;1,H30&lt;&gt;"STOP"),"ml","")</f>
        <v/>
      </c>
      <c r="N30" s="176"/>
      <c r="O30" s="176" t="str">
        <f>IF(AND(L30&lt;&gt;"",ber_Med_disc!Q14&gt;0,H30&lt;&gt;"STOP"),ber_Med_disc!Q14&amp;" min","")</f>
        <v/>
      </c>
      <c r="P30" s="176"/>
      <c r="Q30" s="176"/>
      <c r="R30" s="176"/>
      <c r="S30" s="176"/>
      <c r="T30" s="176"/>
      <c r="U30" s="176"/>
      <c r="V30" s="176"/>
    </row>
    <row r="31" spans="1:22" s="348" customFormat="1" ht="19.55" customHeight="1" x14ac:dyDescent="0.35">
      <c r="A31" s="176"/>
      <c r="B31" s="184" t="s">
        <v>912</v>
      </c>
      <c r="C31" s="185"/>
      <c r="D31" s="187">
        <f>ber_Opm!C28</f>
        <v>0</v>
      </c>
      <c r="E31" s="187"/>
      <c r="F31" s="187"/>
      <c r="G31" s="187"/>
      <c r="H31" s="186" t="str">
        <f>IF(AND(ber_Med_disc!C14&gt;1,H30&lt;&gt;"STOP"),"Dosering/kg/dag: ","")</f>
        <v/>
      </c>
      <c r="I31" s="185"/>
      <c r="J31" s="187" t="str">
        <f>IF(ber_Med_disc!C14&gt;1,ber_Med_disc!M14,"")</f>
        <v/>
      </c>
      <c r="K31" s="185" t="str">
        <f>IF(AND(ber_Med_disc!C14&gt;1,H30&lt;&gt;"STOP"),J30&amp;"/kg/dag ","")</f>
        <v/>
      </c>
      <c r="L31" s="185"/>
      <c r="M31" s="185" t="str">
        <f>IF(AND(ber_Med_disc!C14&gt;1,ber_Med_disc!O14&gt;1,ber_Med_disc!N14&gt;0,H30&lt;&gt;"STOP"),"Oplossing:","")</f>
        <v/>
      </c>
      <c r="N31" s="185" t="str">
        <f>IF(AND(ber_Med_disc!C14&gt;1,ber_Med_disc!O14&gt;1,ber_Med_disc!N14&gt;0,H30&lt;&gt;"STOP"),ROUND(ber_Med_disc!H14/ber_Med_disc!N14,2)&amp;" "&amp;ber_Med_disc!F14&amp;"/ml","")</f>
        <v/>
      </c>
      <c r="O31" s="185"/>
      <c r="P31" s="185"/>
      <c r="Q31" s="176"/>
      <c r="R31" s="176"/>
      <c r="S31" s="176"/>
      <c r="T31" s="176"/>
      <c r="U31" s="176"/>
      <c r="V31" s="176"/>
    </row>
    <row r="32" spans="1:22" s="348" customFormat="1" ht="19.55" customHeight="1" x14ac:dyDescent="0.4">
      <c r="A32" s="176"/>
      <c r="B32" s="178">
        <v>14</v>
      </c>
      <c r="C32" s="179"/>
      <c r="D32" s="377">
        <f>ber_Med_disc!C15</f>
        <v>0</v>
      </c>
      <c r="E32" s="377"/>
      <c r="F32" s="377"/>
      <c r="G32" s="377"/>
      <c r="H32" s="180" t="str">
        <f>IF(INDEX(ber_Med_disc!$D$27:$D$38,ber_Med_disc!I15,1)=0,"",INDEX(ber_Med_disc!$D$27:$D$38,ber_Med_disc!I15,1))</f>
        <v/>
      </c>
      <c r="I32" s="181" t="str">
        <f>IF(ber_Med_disc!C15&gt;1,ber_Med_disc!H15,"")</f>
        <v/>
      </c>
      <c r="J32" s="182" t="str">
        <f>IF(ber_Med_disc!C15&gt;1,ber_Med_disc!F15,"")</f>
        <v/>
      </c>
      <c r="K32" s="183">
        <f>ber_Med_disc!L15</f>
        <v>0</v>
      </c>
      <c r="L32" s="176" t="str">
        <f>IF(AND(ber_Med_disc!C15&gt;1,ber_Med_disc!O15&gt;1,H32&lt;&gt;"STOP"),ber_Med_disc!N15,"")</f>
        <v/>
      </c>
      <c r="M32" s="176" t="str">
        <f>IF(AND(ber_Med_disc!C15&gt;1,L32&lt;&gt;0,ber_Med_disc!O15&gt;1,H32&lt;&gt;"STOP"),"ml","")</f>
        <v/>
      </c>
      <c r="N32" s="176"/>
      <c r="O32" s="176" t="str">
        <f>IF(AND(L32&lt;&gt;"",ber_Med_disc!Q15&gt;0,H32&lt;&gt;"STOP"),ber_Med_disc!Q15&amp;" min","")</f>
        <v/>
      </c>
      <c r="P32" s="176"/>
      <c r="Q32" s="176"/>
      <c r="R32" s="176"/>
      <c r="S32" s="176"/>
      <c r="T32" s="176"/>
      <c r="U32" s="176"/>
      <c r="V32" s="176"/>
    </row>
    <row r="33" spans="1:22" s="348" customFormat="1" ht="19.55" customHeight="1" x14ac:dyDescent="0.35">
      <c r="A33" s="176"/>
      <c r="B33" s="184" t="s">
        <v>912</v>
      </c>
      <c r="C33" s="185"/>
      <c r="D33" s="187">
        <f>ber_Opm!C29</f>
        <v>0</v>
      </c>
      <c r="E33" s="187"/>
      <c r="F33" s="187"/>
      <c r="G33" s="187"/>
      <c r="H33" s="186" t="str">
        <f>IF(AND(ber_Med_disc!C15&gt;1,H32&lt;&gt;"STOP"),"Dosering/kg/dag: ","")</f>
        <v/>
      </c>
      <c r="I33" s="185"/>
      <c r="J33" s="187" t="str">
        <f>IF(ber_Med_disc!C15&gt;1,ber_Med_disc!M15,"")</f>
        <v/>
      </c>
      <c r="K33" s="185" t="str">
        <f>IF(AND(ber_Med_disc!C15&gt;1,H32&lt;&gt;"STOP"),J32&amp;"/kg/dag ","")</f>
        <v/>
      </c>
      <c r="L33" s="185"/>
      <c r="M33" s="185" t="str">
        <f>IF(AND(ber_Med_disc!C15&gt;1,ber_Med_disc!O15&gt;1,ber_Med_disc!N15&gt;0,H32&lt;&gt;"STOP"),"Oplossing:","")</f>
        <v/>
      </c>
      <c r="N33" s="185" t="str">
        <f>IF(AND(ber_Med_disc!C15&gt;1,ber_Med_disc!O15&gt;1,ber_Med_disc!N15&gt;0,H32&lt;&gt;"STOP"),ROUND(ber_Med_disc!H15/ber_Med_disc!N15,2)&amp;" "&amp;ber_Med_disc!F15&amp;"/ml","")</f>
        <v/>
      </c>
      <c r="O33" s="185"/>
      <c r="P33" s="185"/>
      <c r="Q33" s="176"/>
      <c r="R33" s="176"/>
      <c r="S33" s="176"/>
      <c r="T33" s="176"/>
      <c r="U33" s="176"/>
      <c r="V33" s="176"/>
    </row>
    <row r="34" spans="1:22" s="348" customFormat="1" ht="19.55" customHeight="1" x14ac:dyDescent="0.4">
      <c r="A34" s="176"/>
      <c r="B34" s="178">
        <v>15</v>
      </c>
      <c r="C34" s="179"/>
      <c r="D34" s="377">
        <f>ber_Med_disc!C16</f>
        <v>0</v>
      </c>
      <c r="E34" s="377"/>
      <c r="F34" s="377"/>
      <c r="G34" s="377"/>
      <c r="H34" s="180" t="str">
        <f>IF(INDEX(ber_Med_disc!$D$27:$D$38,ber_Med_disc!I16,1)=0,"",INDEX(ber_Med_disc!$D$27:$D$38,ber_Med_disc!I16,1))</f>
        <v/>
      </c>
      <c r="I34" s="181" t="str">
        <f>IF(ber_Med_disc!C16&gt;1,ber_Med_disc!H16,"")</f>
        <v/>
      </c>
      <c r="J34" s="182" t="str">
        <f>IF(ber_Med_disc!C16&gt;1,ber_Med_disc!F16,"")</f>
        <v/>
      </c>
      <c r="K34" s="183">
        <f>ber_Med_disc!L16</f>
        <v>0</v>
      </c>
      <c r="L34" s="176" t="str">
        <f>IF(AND(ber_Med_disc!C16&gt;1,ber_Med_disc!O16&gt;1,H34&lt;&gt;"STOP"),ber_Med_disc!N16,"")</f>
        <v/>
      </c>
      <c r="M34" s="176" t="str">
        <f>IF(AND(ber_Med_disc!C16&gt;1,L34&lt;&gt;0,ber_Med_disc!O16&gt;1,H34&lt;&gt;"STOP"),"ml","")</f>
        <v/>
      </c>
      <c r="N34" s="176"/>
      <c r="O34" s="176" t="str">
        <f>IF(AND(L34&lt;&gt;"",ber_Med_disc!Q16&gt;0,H34&lt;&gt;"STOP"),ber_Med_disc!Q16&amp;" min","")</f>
        <v/>
      </c>
      <c r="P34" s="176"/>
      <c r="Q34" s="176"/>
      <c r="R34" s="176"/>
      <c r="S34" s="176"/>
      <c r="T34" s="176"/>
      <c r="U34" s="176"/>
      <c r="V34" s="176"/>
    </row>
    <row r="35" spans="1:22" s="348" customFormat="1" ht="19.55" customHeight="1" x14ac:dyDescent="0.35">
      <c r="A35" s="176"/>
      <c r="B35" s="184" t="s">
        <v>912</v>
      </c>
      <c r="C35" s="185"/>
      <c r="D35" s="187">
        <f>ber_Opm!C30</f>
        <v>0</v>
      </c>
      <c r="E35" s="187"/>
      <c r="F35" s="187"/>
      <c r="G35" s="187"/>
      <c r="H35" s="186" t="str">
        <f>IF(AND(ber_Med_disc!C16&gt;1,H34&lt;&gt;"STOP"),"Dosering/kg/dag: ","")</f>
        <v/>
      </c>
      <c r="I35" s="185"/>
      <c r="J35" s="187" t="str">
        <f>IF(ber_Med_disc!C16&gt;1,ber_Med_disc!M16,"")</f>
        <v/>
      </c>
      <c r="K35" s="185" t="str">
        <f>IF(AND(ber_Med_disc!C16&gt;1,H34&lt;&gt;"STOP"),J34&amp;"/kg/dag ","")</f>
        <v/>
      </c>
      <c r="L35" s="185"/>
      <c r="M35" s="185" t="str">
        <f>IF(AND(ber_Med_disc!C16&gt;1,ber_Med_disc!O16&gt;1,ber_Med_disc!N16&gt;0,H34&lt;&gt;"STOP"),"Oplossing:","")</f>
        <v/>
      </c>
      <c r="N35" s="185" t="str">
        <f>IF(AND(ber_Med_disc!C16&gt;1,ber_Med_disc!O16&gt;1,ber_Med_disc!N16&gt;0,H34&lt;&gt;"STOP"),ROUND(ber_Med_disc!H16/ber_Med_disc!N16,2)&amp;" "&amp;ber_Med_disc!F16&amp;"/ml","")</f>
        <v/>
      </c>
      <c r="O35" s="185"/>
      <c r="P35" s="185"/>
      <c r="Q35" s="176"/>
      <c r="R35" s="176"/>
      <c r="S35" s="176"/>
      <c r="T35" s="176"/>
      <c r="U35" s="176"/>
      <c r="V35" s="176"/>
    </row>
    <row r="36" spans="1:22" s="348" customFormat="1" ht="19.55" customHeight="1" x14ac:dyDescent="0.4">
      <c r="A36" s="176"/>
      <c r="B36" s="178">
        <v>16</v>
      </c>
      <c r="C36" s="179"/>
      <c r="D36" s="377">
        <f>ber_Med_disc!C17</f>
        <v>0</v>
      </c>
      <c r="E36" s="377"/>
      <c r="F36" s="377"/>
      <c r="G36" s="377"/>
      <c r="H36" s="180" t="str">
        <f>IF(INDEX(ber_Med_disc!$D$27:$D$38,ber_Med_disc!I17,1)=0,"",INDEX(ber_Med_disc!$D$27:$D$38,ber_Med_disc!I17,1))</f>
        <v/>
      </c>
      <c r="I36" s="181" t="str">
        <f>IF(ber_Med_disc!C17&gt;1,ber_Med_disc!H17,"")</f>
        <v/>
      </c>
      <c r="J36" s="182" t="str">
        <f>IF(ber_Med_disc!C17&gt;1,ber_Med_disc!F17,"")</f>
        <v/>
      </c>
      <c r="K36" s="183">
        <f>ber_Med_disc!L17</f>
        <v>0</v>
      </c>
      <c r="L36" s="176" t="str">
        <f>IF(AND(ber_Med_disc!C17&gt;1,ber_Med_disc!O17&gt;1),ber_Med_disc!N17,"")</f>
        <v/>
      </c>
      <c r="M36" s="176" t="str">
        <f>IF(AND(ber_Med_disc!C17&gt;1,L36&lt;&gt;0,ber_Med_disc!O17&gt;1),"ml","")</f>
        <v/>
      </c>
      <c r="N36" s="176"/>
      <c r="O36" s="176" t="str">
        <f>IF(AND(L36&lt;&gt;"",ber_Med_disc!Q17&gt;0),ber_Med_disc!Q17&amp;" min","")</f>
        <v/>
      </c>
      <c r="P36" s="176"/>
      <c r="Q36" s="176"/>
      <c r="R36" s="176"/>
      <c r="S36" s="176"/>
      <c r="T36" s="176"/>
      <c r="U36" s="176"/>
      <c r="V36" s="176"/>
    </row>
    <row r="37" spans="1:22" s="348" customFormat="1" ht="19.55" customHeight="1" x14ac:dyDescent="0.35">
      <c r="A37" s="176"/>
      <c r="B37" s="184" t="s">
        <v>912</v>
      </c>
      <c r="C37" s="185"/>
      <c r="D37" s="187">
        <f>ber_Opm!C31</f>
        <v>0</v>
      </c>
      <c r="E37" s="187"/>
      <c r="F37" s="187"/>
      <c r="G37" s="187"/>
      <c r="H37" s="186" t="str">
        <f>IF(ber_Med_disc!C17&gt;1,"Dosering/kg/dag: ","")</f>
        <v/>
      </c>
      <c r="I37" s="185"/>
      <c r="J37" s="187" t="str">
        <f>IF(ber_Med_disc!C17&gt;1,ber_Med_disc!M17,"")</f>
        <v/>
      </c>
      <c r="K37" s="185" t="str">
        <f>IF(AND(ber_Med_disc!C17&gt;1),INDEX(ber_Med_disc!E27:E32,J36,1)&amp;"/kg/dag ","")</f>
        <v/>
      </c>
      <c r="L37" s="185"/>
      <c r="M37" s="185" t="str">
        <f>IF(AND(ber_Med_disc!C17&gt;1,ber_Med_disc!O17&gt;1,ber_Med_disc!N17&gt;0),"Oplossing:","")</f>
        <v/>
      </c>
      <c r="N37" s="185" t="str">
        <f>IF(AND(ber_Med_disc!C17&gt;1,ber_Med_disc!O17&gt;1,ber_Med_disc!N17&gt;0),ROUND(ber_Med_disc!H17/ber_Med_disc!N17,2)&amp;" "&amp;ber_Med_disc!F17&amp;"/ml","")</f>
        <v/>
      </c>
      <c r="O37" s="185"/>
      <c r="P37" s="185"/>
      <c r="Q37" s="176"/>
      <c r="R37" s="176"/>
      <c r="S37" s="176"/>
      <c r="T37" s="176"/>
      <c r="U37" s="176"/>
      <c r="V37" s="176"/>
    </row>
    <row r="38" spans="1:22" s="348" customFormat="1" ht="19.55" customHeight="1" x14ac:dyDescent="0.4">
      <c r="A38" s="176"/>
      <c r="B38" s="178">
        <v>17</v>
      </c>
      <c r="C38" s="179"/>
      <c r="D38" s="377">
        <f>ber_Med_disc!C18</f>
        <v>0</v>
      </c>
      <c r="E38" s="377"/>
      <c r="F38" s="377"/>
      <c r="G38" s="377"/>
      <c r="H38" s="180" t="str">
        <f>IF(INDEX(ber_Med_disc!$D$27:$D$38,ber_Med_disc!I18,1)=0,"",INDEX(ber_Med_disc!$D$27:$D$38,ber_Med_disc!I18,1))</f>
        <v/>
      </c>
      <c r="I38" s="181" t="str">
        <f>IF(ber_Med_disc!C18&gt;1,ber_Med_disc!H18,"")</f>
        <v/>
      </c>
      <c r="J38" s="182" t="str">
        <f>IF(ber_Med_disc!C18&gt;1,ber_Med_disc!F18,"")</f>
        <v/>
      </c>
      <c r="K38" s="183">
        <f>ber_Med_disc!L18</f>
        <v>0</v>
      </c>
      <c r="L38" s="176" t="str">
        <f>IF(AND(ber_Med_disc!C18&gt;1,ber_Med_disc!O18&gt;1),ber_Med_disc!N18,"")</f>
        <v/>
      </c>
      <c r="M38" s="176" t="str">
        <f>IF(AND(ber_Med_disc!C18&gt;1,L38&lt;&gt;0,ber_Med_disc!O18&gt;1),"ml","")</f>
        <v/>
      </c>
      <c r="N38" s="176"/>
      <c r="O38" s="176" t="str">
        <f>IF(AND(L38&lt;&gt;"",ber_Med_disc!Q18&gt;0),ber_Med_disc!Q18&amp;" min","")</f>
        <v/>
      </c>
      <c r="P38" s="176"/>
      <c r="Q38" s="176"/>
      <c r="R38" s="176"/>
      <c r="S38" s="176"/>
      <c r="T38" s="176"/>
      <c r="U38" s="176"/>
      <c r="V38" s="176"/>
    </row>
    <row r="39" spans="1:22" s="348" customFormat="1" ht="19.55" customHeight="1" x14ac:dyDescent="0.35">
      <c r="A39" s="176"/>
      <c r="B39" s="184" t="s">
        <v>912</v>
      </c>
      <c r="C39" s="185"/>
      <c r="D39" s="187">
        <f>ber_Opm!C32</f>
        <v>0</v>
      </c>
      <c r="E39" s="187"/>
      <c r="F39" s="187"/>
      <c r="G39" s="187"/>
      <c r="H39" s="186" t="str">
        <f>IF(ber_Med_disc!C18&gt;1,"Dosering/kg/dag: ","")</f>
        <v/>
      </c>
      <c r="I39" s="185"/>
      <c r="J39" s="187" t="str">
        <f>IF(ber_Med_disc!C18&gt;1,ber_Med_disc!M18,"")</f>
        <v/>
      </c>
      <c r="K39" s="185" t="str">
        <f>IF(AND(ber_Med_disc!C18&gt;1),J38&amp;"/kg/dag ","")</f>
        <v/>
      </c>
      <c r="L39" s="185"/>
      <c r="M39" s="185" t="str">
        <f>IF(AND(ber_Med_disc!C18&gt;1,ber_Med_disc!O18&gt;1,ber_Med_disc!N18&gt;0),"Oplossing:","")</f>
        <v/>
      </c>
      <c r="N39" s="185" t="str">
        <f>IF(AND(ber_Med_disc!C18&gt;1,ber_Med_disc!O18&gt;1,ber_Med_disc!N18&gt;0),ROUND(ber_Med_disc!H18/ber_Med_disc!N18,2)&amp;" "&amp;ber_Med_disc!F18&amp;"/ml","")</f>
        <v/>
      </c>
      <c r="O39" s="185"/>
      <c r="P39" s="185"/>
      <c r="Q39" s="176"/>
      <c r="R39" s="176"/>
      <c r="S39" s="176"/>
      <c r="T39" s="176"/>
      <c r="U39" s="176"/>
      <c r="V39" s="176"/>
    </row>
    <row r="40" spans="1:22" s="348" customFormat="1" ht="19.55" customHeight="1" x14ac:dyDescent="0.4">
      <c r="A40" s="176"/>
      <c r="B40" s="178">
        <v>18</v>
      </c>
      <c r="C40" s="179"/>
      <c r="D40" s="377">
        <f>ber_Med_disc!C19</f>
        <v>0</v>
      </c>
      <c r="E40" s="377"/>
      <c r="F40" s="377"/>
      <c r="G40" s="377"/>
      <c r="H40" s="180" t="str">
        <f>IF(INDEX(ber_Med_disc!$D$27:$D$38,ber_Med_disc!I19,1)=0,"",INDEX(ber_Med_disc!$D$27:$D$38,ber_Med_disc!I19,1))</f>
        <v/>
      </c>
      <c r="I40" s="181" t="str">
        <f>IF(ber_Med_disc!C19&gt;1,ber_Med_disc!H19,"")</f>
        <v/>
      </c>
      <c r="J40" s="182" t="str">
        <f>IF(ber_Med_disc!C19&gt;1,ber_Med_disc!F19,"")</f>
        <v/>
      </c>
      <c r="K40" s="183">
        <f>ber_Med_disc!L19</f>
        <v>0</v>
      </c>
      <c r="L40" s="176" t="str">
        <f>IF(AND(ber_Med_disc!C19&gt;1,ber_Med_disc!O19&gt;1),ber_Med_disc!N19,"")</f>
        <v/>
      </c>
      <c r="M40" s="176" t="str">
        <f>IF(AND(ber_Med_disc!C19&gt;1,L40&lt;&gt;0,ber_Med_disc!O19&gt;1),"ml","")</f>
        <v/>
      </c>
      <c r="N40" s="176"/>
      <c r="O40" s="176" t="str">
        <f>IF(AND(L40&lt;&gt;"",ber_Med_disc!Q19&gt;0),ber_Med_disc!Q19&amp;" min","")</f>
        <v/>
      </c>
      <c r="P40" s="176"/>
      <c r="Q40" s="176"/>
      <c r="R40" s="176"/>
      <c r="S40" s="176"/>
      <c r="T40" s="176"/>
      <c r="U40" s="176"/>
      <c r="V40" s="176"/>
    </row>
    <row r="41" spans="1:22" s="348" customFormat="1" ht="19.55" customHeight="1" x14ac:dyDescent="0.35">
      <c r="A41" s="176"/>
      <c r="B41" s="184" t="s">
        <v>912</v>
      </c>
      <c r="C41" s="185"/>
      <c r="D41" s="187">
        <f>ber_Opm!C33</f>
        <v>0</v>
      </c>
      <c r="E41" s="187"/>
      <c r="F41" s="187"/>
      <c r="G41" s="187"/>
      <c r="H41" s="186" t="str">
        <f>IF(ber_Med_disc!C19&gt;1,"Dosering/kg/dag: ","")</f>
        <v/>
      </c>
      <c r="I41" s="185"/>
      <c r="J41" s="187" t="str">
        <f>IF(ber_Med_disc!C19&gt;1,ber_Med_disc!M19,"")</f>
        <v/>
      </c>
      <c r="K41" s="185" t="str">
        <f>IF(AND(ber_Med_disc!C19&gt;1),J40&amp;"/kg/dag ","")</f>
        <v/>
      </c>
      <c r="L41" s="185"/>
      <c r="M41" s="185" t="str">
        <f>IF(AND(ber_Med_disc!C19&gt;1,ber_Med_disc!O19&gt;1,ber_Med_disc!N19&gt;0),"Oplossing:","")</f>
        <v/>
      </c>
      <c r="N41" s="185" t="str">
        <f>IF(AND(ber_Med_disc!C19&gt;1,ber_Med_disc!O19&gt;1,ber_Med_disc!N19&gt;0),ROUND(ber_Med_disc!H19/ber_Med_disc!N19,2)&amp;" "&amp;ber_Med_disc!F19&amp;"/ml","")</f>
        <v/>
      </c>
      <c r="O41" s="185"/>
      <c r="P41" s="185"/>
      <c r="Q41" s="176"/>
      <c r="R41" s="176"/>
      <c r="S41" s="176"/>
      <c r="T41" s="176"/>
      <c r="U41" s="176"/>
      <c r="V41" s="176"/>
    </row>
    <row r="42" spans="1:22" s="348" customFormat="1" ht="19.55" customHeight="1" x14ac:dyDescent="0.4">
      <c r="A42" s="176"/>
      <c r="B42" s="178">
        <v>19</v>
      </c>
      <c r="C42" s="179"/>
      <c r="D42" s="377">
        <f>ber_Med_disc!C20</f>
        <v>0</v>
      </c>
      <c r="E42" s="377"/>
      <c r="F42" s="377"/>
      <c r="G42" s="377"/>
      <c r="H42" s="180" t="str">
        <f>IF(INDEX(ber_Med_disc!$D$27:$D$38,ber_Med_disc!I20,1)=0,"",INDEX(ber_Med_disc!$D$27:$D$38,ber_Med_disc!I20,1))</f>
        <v/>
      </c>
      <c r="I42" s="181" t="str">
        <f>IF(ber_Med_disc!C20&gt;1,ber_Med_disc!H20,"")</f>
        <v/>
      </c>
      <c r="J42" s="182" t="str">
        <f>IF(ber_Med_disc!C20&gt;1,ber_Med_disc!F20,"")</f>
        <v/>
      </c>
      <c r="K42" s="183">
        <f>ber_Med_disc!L20</f>
        <v>0</v>
      </c>
      <c r="L42" s="176" t="str">
        <f>IF(AND(ber_Med_disc!C20&gt;1,ber_Med_disc!O20&gt;1),ber_Med_disc!N20,"")</f>
        <v/>
      </c>
      <c r="M42" s="176" t="str">
        <f>IF(AND(ber_Med_disc!C20&gt;1,L42&lt;&gt;0,ber_Med_disc!O20&gt;1),"ml","")</f>
        <v/>
      </c>
      <c r="N42" s="176"/>
      <c r="O42" s="176" t="str">
        <f>IF(AND(L42&lt;&gt;"",ber_Med_disc!Q20&gt;0),ber_Med_disc!Q20&amp;" min","")</f>
        <v/>
      </c>
      <c r="P42" s="176"/>
      <c r="Q42" s="176"/>
      <c r="R42" s="176"/>
      <c r="S42" s="176"/>
      <c r="T42" s="176"/>
      <c r="U42" s="176"/>
      <c r="V42" s="176"/>
    </row>
    <row r="43" spans="1:22" s="348" customFormat="1" ht="19.55" customHeight="1" x14ac:dyDescent="0.35">
      <c r="A43" s="176"/>
      <c r="B43" s="184" t="s">
        <v>912</v>
      </c>
      <c r="C43" s="185"/>
      <c r="D43" s="187">
        <f>ber_Opm!C34</f>
        <v>0</v>
      </c>
      <c r="E43" s="187"/>
      <c r="F43" s="187"/>
      <c r="G43" s="187"/>
      <c r="H43" s="186" t="str">
        <f>IF(ber_Med_disc!C20&gt;1,"Dosering/kg/dag: ","")</f>
        <v/>
      </c>
      <c r="I43" s="185"/>
      <c r="J43" s="187" t="str">
        <f>IF(ber_Med_disc!C20&gt;1,ber_Med_disc!M20,"")</f>
        <v/>
      </c>
      <c r="K43" s="185" t="str">
        <f>IF(AND(ber_Med_disc!C20&gt;1),J42&amp;"/kg/dag ","")</f>
        <v/>
      </c>
      <c r="L43" s="185"/>
      <c r="M43" s="185" t="str">
        <f>IF(AND(ber_Med_disc!C20&gt;1,ber_Med_disc!O20&gt;1,ber_Med_disc!N20&gt;0),"Oplossing:","")</f>
        <v/>
      </c>
      <c r="N43" s="185" t="str">
        <f>IF(AND(ber_Med_disc!C20&gt;1,ber_Med_disc!O20&gt;1,ber_Med_disc!N20&gt;0),ROUND(ber_Med_disc!H20/ber_Med_disc!N20,2)&amp;" "&amp;ber_Med_disc!F20&amp;"/ml","")</f>
        <v/>
      </c>
      <c r="O43" s="185"/>
      <c r="P43" s="185"/>
      <c r="Q43" s="176"/>
      <c r="R43" s="176"/>
      <c r="S43" s="176"/>
      <c r="T43" s="176"/>
      <c r="U43" s="176"/>
      <c r="V43" s="176"/>
    </row>
    <row r="44" spans="1:22" s="348" customFormat="1" ht="19.55" customHeight="1" x14ac:dyDescent="0.4">
      <c r="A44" s="176"/>
      <c r="B44" s="178">
        <v>20</v>
      </c>
      <c r="C44" s="189"/>
      <c r="D44" s="377">
        <f>ber_Med_disc!C21</f>
        <v>0</v>
      </c>
      <c r="E44" s="377"/>
      <c r="F44" s="377"/>
      <c r="G44" s="377"/>
      <c r="H44" s="180" t="str">
        <f>IF(INDEX(ber_Med_disc!$D$27:$D$38,ber_Med_disc!I21,1)=0,"",INDEX(ber_Med_disc!$D$27:$D$38,ber_Med_disc!I21,1))</f>
        <v/>
      </c>
      <c r="I44" s="181" t="str">
        <f>IF(ber_Med_disc!C21&gt;1,ber_Med_disc!H21,"")</f>
        <v/>
      </c>
      <c r="J44" s="182" t="str">
        <f>IF(ber_Med_disc!C21&gt;1,ber_Med_disc!F21,"")</f>
        <v/>
      </c>
      <c r="K44" s="183">
        <f>ber_Med_disc!L21</f>
        <v>0</v>
      </c>
      <c r="L44" s="176" t="str">
        <f>IF(AND(ber_Med_disc!C21&gt;1,ber_Med_disc!O21&gt;1),ber_Med_disc!N21,"")</f>
        <v/>
      </c>
      <c r="M44" s="176" t="str">
        <f>IF(AND(ber_Med_disc!C21&gt;1,L44&lt;&gt;0,ber_Med_disc!O21&gt;1),"ml","")</f>
        <v/>
      </c>
      <c r="N44" s="176"/>
      <c r="O44" s="176" t="str">
        <f>IF(AND(L44&lt;&gt;"",ber_Med_disc!Q21&gt;0),ber_Med_disc!Q21&amp;" min","")</f>
        <v/>
      </c>
      <c r="P44" s="176"/>
      <c r="Q44" s="176"/>
      <c r="R44" s="176"/>
      <c r="S44" s="176"/>
      <c r="T44" s="176"/>
      <c r="U44" s="176"/>
      <c r="V44" s="176"/>
    </row>
    <row r="45" spans="1:22" s="348" customFormat="1" ht="19.55" customHeight="1" x14ac:dyDescent="0.35">
      <c r="A45" s="176"/>
      <c r="B45" s="184" t="s">
        <v>912</v>
      </c>
      <c r="C45" s="185"/>
      <c r="D45" s="187">
        <f>ber_Opm!C35</f>
        <v>0</v>
      </c>
      <c r="E45" s="187"/>
      <c r="F45" s="187"/>
      <c r="G45" s="187"/>
      <c r="H45" s="186" t="str">
        <f>IF(ber_Med_disc!C21&gt;1,"Dosering/kg/dag: ","")</f>
        <v/>
      </c>
      <c r="I45" s="185"/>
      <c r="J45" s="187" t="str">
        <f>IF(ber_Med_disc!C21&gt;1,ber_Med_disc!M21,"")</f>
        <v/>
      </c>
      <c r="K45" s="185" t="str">
        <f>IF(AND(ber_Med_disc!C21&gt;1),J44&amp;"/kg/dag ","")</f>
        <v/>
      </c>
      <c r="L45" s="185"/>
      <c r="M45" s="185" t="str">
        <f>IF(AND(ber_Med_disc!C21&gt;1,ber_Med_disc!O21&gt;1,ber_Med_disc!N21&gt;0),"Oplossing:","")</f>
        <v/>
      </c>
      <c r="N45" s="185" t="str">
        <f>IF(AND(ber_Med_disc!C21&gt;1,ber_Med_disc!O21&gt;1,ber_Med_disc!N21&gt;0),ROUND(ber_Med_disc!H21/ber_Med_disc!N21,2)&amp;" "&amp;ber_Med_disc!F21&amp;"/ml","")</f>
        <v/>
      </c>
      <c r="O45" s="185"/>
      <c r="P45" s="185"/>
      <c r="Q45" s="176"/>
      <c r="R45" s="176"/>
      <c r="S45" s="176"/>
      <c r="T45" s="176"/>
      <c r="U45" s="176"/>
      <c r="V45" s="176"/>
    </row>
    <row r="46" spans="1:22" s="348" customFormat="1" ht="19.55" customHeight="1" x14ac:dyDescent="0.35">
      <c r="A46" s="176"/>
      <c r="B46" s="176"/>
      <c r="C46" s="176"/>
      <c r="D46" s="176"/>
      <c r="E46" s="176"/>
      <c r="F46" s="176"/>
      <c r="G46" s="177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</row>
    <row r="47" spans="1:22" s="348" customFormat="1" ht="19.55" customHeight="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</row>
    <row r="48" spans="1:22" s="348" customFormat="1" ht="19.55" customHeight="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</row>
    <row r="49" spans="1:22" s="348" customFormat="1" ht="19.55" customHeight="1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</row>
    <row r="50" spans="1:22" s="348" customFormat="1" ht="19.55" customHeight="1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</row>
    <row r="51" spans="1:22" s="348" customFormat="1" ht="19.55" customHeight="1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</row>
    <row r="52" spans="1:22" s="348" customFormat="1" ht="19.55" customHeight="1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</row>
    <row r="53" spans="1:22" s="348" customFormat="1" ht="19.55" customHeight="1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</row>
    <row r="54" spans="1:22" s="348" customFormat="1" ht="19.55" customHeight="1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</row>
    <row r="55" spans="1:22" s="348" customFormat="1" ht="19.55" customHeight="1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</row>
    <row r="56" spans="1:22" s="348" customFormat="1" ht="19.55" customHeight="1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</row>
    <row r="57" spans="1:22" s="348" customFormat="1" ht="19.55" customHeight="1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</row>
    <row r="58" spans="1:22" s="348" customFormat="1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</row>
    <row r="59" spans="1:22" s="348" customFormat="1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</row>
    <row r="60" spans="1:22" s="348" customFormat="1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</row>
    <row r="61" spans="1:22" s="348" customFormat="1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</row>
    <row r="62" spans="1:22" s="348" customFormat="1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</row>
    <row r="63" spans="1:22" s="348" customFormat="1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</row>
    <row r="64" spans="1:22" s="348" customFormat="1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</row>
    <row r="65" spans="1:22" s="348" customFormat="1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</row>
    <row r="66" spans="1:22" s="348" customFormat="1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</row>
    <row r="67" spans="1:22" s="348" customFormat="1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</row>
    <row r="68" spans="1:22" s="348" customFormat="1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</row>
    <row r="69" spans="1:22" s="348" customFormat="1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</row>
    <row r="70" spans="1:22" s="348" customFormat="1" x14ac:dyDescent="0.35"/>
    <row r="71" spans="1:22" s="348" customFormat="1" x14ac:dyDescent="0.35"/>
    <row r="72" spans="1:22" s="348" customFormat="1" x14ac:dyDescent="0.35"/>
    <row r="73" spans="1:22" s="348" customFormat="1" x14ac:dyDescent="0.35"/>
    <row r="74" spans="1:22" s="348" customFormat="1" x14ac:dyDescent="0.35"/>
    <row r="75" spans="1:22" s="348" customFormat="1" x14ac:dyDescent="0.35"/>
    <row r="76" spans="1:22" s="348" customFormat="1" x14ac:dyDescent="0.35"/>
    <row r="77" spans="1:22" s="348" customFormat="1" x14ac:dyDescent="0.35"/>
    <row r="78" spans="1:22" s="348" customFormat="1" x14ac:dyDescent="0.35"/>
    <row r="79" spans="1:22" s="348" customFormat="1" x14ac:dyDescent="0.35"/>
    <row r="80" spans="1:22" s="348" customFormat="1" x14ac:dyDescent="0.35"/>
    <row r="81" s="348" customFormat="1" x14ac:dyDescent="0.35"/>
    <row r="82" s="348" customFormat="1" x14ac:dyDescent="0.35"/>
    <row r="83" s="348" customFormat="1" x14ac:dyDescent="0.35"/>
    <row r="84" s="348" customFormat="1" x14ac:dyDescent="0.35"/>
    <row r="85" s="348" customFormat="1" x14ac:dyDescent="0.35"/>
    <row r="86" s="348" customFormat="1" x14ac:dyDescent="0.35"/>
    <row r="87" s="348" customFormat="1" x14ac:dyDescent="0.35"/>
    <row r="88" s="348" customFormat="1" x14ac:dyDescent="0.35"/>
    <row r="89" s="348" customFormat="1" x14ac:dyDescent="0.35"/>
    <row r="90" s="348" customFormat="1" x14ac:dyDescent="0.35"/>
    <row r="91" s="348" customFormat="1" x14ac:dyDescent="0.35"/>
    <row r="92" s="348" customFormat="1" x14ac:dyDescent="0.35"/>
    <row r="93" s="348" customFormat="1" x14ac:dyDescent="0.35"/>
    <row r="94" s="348" customFormat="1" x14ac:dyDescent="0.35"/>
    <row r="95" s="348" customFormat="1" x14ac:dyDescent="0.35"/>
    <row r="96" s="348" customFormat="1" x14ac:dyDescent="0.35"/>
    <row r="97" s="348" customFormat="1" x14ac:dyDescent="0.35"/>
    <row r="98" s="348" customFormat="1" x14ac:dyDescent="0.35"/>
    <row r="99" s="348" customFormat="1" x14ac:dyDescent="0.35"/>
    <row r="100" s="348" customFormat="1" x14ac:dyDescent="0.35"/>
    <row r="101" s="348" customFormat="1" x14ac:dyDescent="0.35"/>
    <row r="102" s="348" customFormat="1" x14ac:dyDescent="0.35"/>
    <row r="103" s="348" customFormat="1" x14ac:dyDescent="0.35"/>
    <row r="104" s="348" customFormat="1" x14ac:dyDescent="0.35"/>
    <row r="105" s="348" customFormat="1" x14ac:dyDescent="0.35"/>
    <row r="106" s="348" customFormat="1" x14ac:dyDescent="0.35"/>
    <row r="107" s="348" customFormat="1" x14ac:dyDescent="0.35"/>
    <row r="108" s="348" customFormat="1" x14ac:dyDescent="0.35"/>
    <row r="109" s="348" customFormat="1" x14ac:dyDescent="0.35"/>
    <row r="110" s="348" customFormat="1" x14ac:dyDescent="0.35"/>
    <row r="111" s="348" customFormat="1" x14ac:dyDescent="0.35"/>
    <row r="112" s="348" customFormat="1" x14ac:dyDescent="0.35"/>
    <row r="113" s="348" customFormat="1" x14ac:dyDescent="0.35"/>
    <row r="114" s="348" customFormat="1" x14ac:dyDescent="0.35"/>
    <row r="115" s="348" customFormat="1" x14ac:dyDescent="0.35"/>
    <row r="116" s="348" customFormat="1" x14ac:dyDescent="0.35"/>
    <row r="117" s="348" customFormat="1" x14ac:dyDescent="0.35"/>
    <row r="118" s="348" customFormat="1" x14ac:dyDescent="0.35"/>
    <row r="119" s="348" customFormat="1" x14ac:dyDescent="0.35"/>
    <row r="120" s="348" customFormat="1" x14ac:dyDescent="0.35"/>
    <row r="121" s="348" customFormat="1" x14ac:dyDescent="0.35"/>
    <row r="122" s="348" customFormat="1" x14ac:dyDescent="0.35"/>
    <row r="123" s="348" customFormat="1" x14ac:dyDescent="0.35"/>
    <row r="124" s="348" customFormat="1" x14ac:dyDescent="0.35"/>
    <row r="125" s="348" customFormat="1" x14ac:dyDescent="0.35"/>
    <row r="126" s="348" customFormat="1" x14ac:dyDescent="0.35"/>
    <row r="127" s="348" customFormat="1" x14ac:dyDescent="0.35"/>
    <row r="128" s="348" customFormat="1" x14ac:dyDescent="0.35"/>
  </sheetData>
  <sheetProtection algorithmName="SHA-512" hashValue="DW9ymRNJOVkvVkqRS/6IIdhiy4hMAZTuw8lkIy082OfZ0mlMsuoKIx8g7C4aSIYcJYpJWg28GRovFF4ntdiwBQ==" saltValue="FHB4ygEMO8AKabHBXmdlxg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1351</v>
      </c>
      <c r="C1" t="s">
        <v>1035</v>
      </c>
      <c r="D1" s="420" t="s">
        <v>1435</v>
      </c>
      <c r="E1" t="s">
        <v>528</v>
      </c>
      <c r="F1" t="s">
        <v>529</v>
      </c>
      <c r="G1" t="s">
        <v>441</v>
      </c>
      <c r="H1" t="s">
        <v>1036</v>
      </c>
      <c r="I1" t="s">
        <v>1178</v>
      </c>
      <c r="J1" t="s">
        <v>626</v>
      </c>
      <c r="K1" t="s">
        <v>442</v>
      </c>
      <c r="L1" t="s">
        <v>443</v>
      </c>
      <c r="M1" t="s">
        <v>349</v>
      </c>
      <c r="N1" t="s">
        <v>1146</v>
      </c>
      <c r="O1" t="s">
        <v>1147</v>
      </c>
      <c r="P1" t="s">
        <v>1149</v>
      </c>
      <c r="Q1" t="s">
        <v>1179</v>
      </c>
      <c r="R1" t="s">
        <v>665</v>
      </c>
      <c r="S1" t="s">
        <v>1173</v>
      </c>
      <c r="T1" t="s">
        <v>1174</v>
      </c>
      <c r="U1" t="s">
        <v>196</v>
      </c>
      <c r="V1" t="s">
        <v>1100</v>
      </c>
      <c r="W1" t="s">
        <v>1404</v>
      </c>
      <c r="X1" t="s">
        <v>1036</v>
      </c>
      <c r="Y1" t="s">
        <v>1405</v>
      </c>
      <c r="Z1" t="s">
        <v>495</v>
      </c>
      <c r="AA1" t="s">
        <v>1179</v>
      </c>
      <c r="AB1" t="s">
        <v>1406</v>
      </c>
      <c r="AC1" t="s">
        <v>1380</v>
      </c>
    </row>
    <row r="2" spans="1:31" x14ac:dyDescent="0.35">
      <c r="A2">
        <v>1</v>
      </c>
      <c r="B2">
        <v>1500</v>
      </c>
      <c r="D2" t="s">
        <v>1436</v>
      </c>
      <c r="E2" s="23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3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3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3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3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3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3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3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3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3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3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3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3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3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3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3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3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3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3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3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1142</v>
      </c>
      <c r="B26" t="s">
        <v>1148</v>
      </c>
      <c r="D26" t="s">
        <v>1177</v>
      </c>
      <c r="E26" t="s">
        <v>1017</v>
      </c>
    </row>
    <row r="28" spans="1:31" x14ac:dyDescent="0.35">
      <c r="A28" t="s">
        <v>308</v>
      </c>
      <c r="B28" t="s">
        <v>885</v>
      </c>
      <c r="C28">
        <v>0</v>
      </c>
      <c r="D28" t="s">
        <v>1399</v>
      </c>
      <c r="E28" t="s">
        <v>538</v>
      </c>
    </row>
    <row r="29" spans="1:31" x14ac:dyDescent="0.35">
      <c r="A29" t="s">
        <v>307</v>
      </c>
      <c r="B29" t="s">
        <v>886</v>
      </c>
      <c r="C29">
        <v>1</v>
      </c>
      <c r="D29" t="s">
        <v>1176</v>
      </c>
      <c r="E29" t="s">
        <v>530</v>
      </c>
    </row>
    <row r="30" spans="1:31" x14ac:dyDescent="0.35">
      <c r="A30" t="s">
        <v>177</v>
      </c>
      <c r="B30" t="s">
        <v>887</v>
      </c>
      <c r="C30">
        <v>1</v>
      </c>
      <c r="D30" t="s">
        <v>1287</v>
      </c>
      <c r="E30" t="s">
        <v>123</v>
      </c>
    </row>
    <row r="31" spans="1:31" x14ac:dyDescent="0.35">
      <c r="A31" t="s">
        <v>954</v>
      </c>
      <c r="C31">
        <v>2</v>
      </c>
      <c r="D31" t="s">
        <v>1288</v>
      </c>
      <c r="E31" t="s">
        <v>231</v>
      </c>
    </row>
    <row r="32" spans="1:31" x14ac:dyDescent="0.35">
      <c r="A32" t="s">
        <v>178</v>
      </c>
      <c r="C32">
        <v>3</v>
      </c>
      <c r="D32" t="s">
        <v>1289</v>
      </c>
      <c r="E32" t="s">
        <v>531</v>
      </c>
    </row>
    <row r="33" spans="1:4" x14ac:dyDescent="0.35">
      <c r="A33" t="s">
        <v>620</v>
      </c>
      <c r="C33">
        <v>4</v>
      </c>
      <c r="D33" t="s">
        <v>1290</v>
      </c>
    </row>
    <row r="34" spans="1:4" x14ac:dyDescent="0.35">
      <c r="A34" t="s">
        <v>1143</v>
      </c>
      <c r="C34">
        <v>5</v>
      </c>
      <c r="D34" t="s">
        <v>1398</v>
      </c>
    </row>
    <row r="35" spans="1:4" x14ac:dyDescent="0.35">
      <c r="A35" t="s">
        <v>1144</v>
      </c>
      <c r="C35">
        <v>6</v>
      </c>
      <c r="D35" t="s">
        <v>562</v>
      </c>
    </row>
    <row r="36" spans="1:4" x14ac:dyDescent="0.35">
      <c r="A36" t="s">
        <v>1145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1286</v>
      </c>
    </row>
    <row r="2" spans="1:24" x14ac:dyDescent="0.35">
      <c r="A2" t="s">
        <v>1228</v>
      </c>
      <c r="B2">
        <v>20</v>
      </c>
    </row>
    <row r="3" spans="1:24" x14ac:dyDescent="0.35">
      <c r="A3" t="s">
        <v>1287</v>
      </c>
      <c r="B3">
        <v>10</v>
      </c>
    </row>
    <row r="4" spans="1:24" x14ac:dyDescent="0.35">
      <c r="A4" t="s">
        <v>1288</v>
      </c>
      <c r="B4">
        <v>10</v>
      </c>
      <c r="C4">
        <v>22</v>
      </c>
    </row>
    <row r="5" spans="1:24" x14ac:dyDescent="0.35">
      <c r="A5" t="s">
        <v>1289</v>
      </c>
      <c r="B5">
        <v>10</v>
      </c>
      <c r="C5">
        <v>18</v>
      </c>
      <c r="D5">
        <v>2</v>
      </c>
    </row>
    <row r="6" spans="1:24" x14ac:dyDescent="0.35">
      <c r="A6" t="s">
        <v>1290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1287</v>
      </c>
      <c r="C12" t="s">
        <v>1288</v>
      </c>
      <c r="D12" t="s">
        <v>1289</v>
      </c>
      <c r="E12" t="s">
        <v>1290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1175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1287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1288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1289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1290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0">
        <f>GebDatum</f>
        <v>40909</v>
      </c>
      <c r="G1" s="380"/>
      <c r="I1" s="11" t="str">
        <f>"Gewicht: "&amp;ROUND(Gewicht/10,1)&amp;"kg"</f>
        <v>Gewicht: 10kg</v>
      </c>
      <c r="P1" s="11" t="s">
        <v>566</v>
      </c>
      <c r="R1" s="378"/>
      <c r="S1" s="378"/>
      <c r="T1" s="378"/>
      <c r="U1" s="378"/>
      <c r="V1" s="378"/>
      <c r="W1" s="378"/>
      <c r="Y1" t="s">
        <v>948</v>
      </c>
      <c r="AB1" s="379">
        <f ca="1">TODAY()</f>
        <v>42192</v>
      </c>
      <c r="AC1" s="379"/>
      <c r="AD1" s="379"/>
      <c r="AE1" s="379"/>
      <c r="AF1" s="379"/>
    </row>
    <row r="2" spans="2:33" ht="26.1" customHeight="1" x14ac:dyDescent="0.35">
      <c r="B2" s="158" t="s">
        <v>1351</v>
      </c>
      <c r="C2" s="159" t="s">
        <v>1035</v>
      </c>
      <c r="D2" s="160" t="s">
        <v>1036</v>
      </c>
      <c r="E2" s="160"/>
      <c r="F2" s="160"/>
      <c r="G2" s="161" t="s">
        <v>960</v>
      </c>
      <c r="H2" s="162">
        <v>10</v>
      </c>
      <c r="I2" s="162">
        <v>11</v>
      </c>
      <c r="J2" s="162">
        <v>12</v>
      </c>
      <c r="K2" s="162">
        <v>13</v>
      </c>
      <c r="L2" s="162">
        <v>14</v>
      </c>
      <c r="M2" s="162">
        <v>15</v>
      </c>
      <c r="N2" s="162">
        <v>16</v>
      </c>
      <c r="O2" s="162">
        <v>17</v>
      </c>
      <c r="P2" s="162">
        <v>18</v>
      </c>
      <c r="Q2" s="162">
        <v>19</v>
      </c>
      <c r="R2" s="163">
        <v>20</v>
      </c>
      <c r="S2" s="163">
        <v>21</v>
      </c>
      <c r="T2" s="163">
        <v>22</v>
      </c>
      <c r="U2" s="163">
        <v>23</v>
      </c>
      <c r="V2" s="163">
        <v>24</v>
      </c>
      <c r="W2" s="163">
        <v>1</v>
      </c>
      <c r="X2" s="162">
        <v>2</v>
      </c>
      <c r="Y2" s="162">
        <v>3</v>
      </c>
      <c r="Z2" s="162">
        <v>4</v>
      </c>
      <c r="AA2" s="162">
        <v>5</v>
      </c>
      <c r="AB2" s="162">
        <v>6</v>
      </c>
      <c r="AC2" s="162">
        <v>7</v>
      </c>
      <c r="AD2" s="162">
        <v>8</v>
      </c>
      <c r="AE2" s="164"/>
      <c r="AF2" s="164"/>
      <c r="AG2" s="164"/>
    </row>
    <row r="3" spans="2:33" ht="26.1" customHeight="1" x14ac:dyDescent="0.35">
      <c r="B3" s="166">
        <f>IF(C3&lt;&gt;" ",Med_disc!C6,"")</f>
        <v>0</v>
      </c>
      <c r="C3" s="333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4" t="str">
        <f>IF(Med_disc!H6&lt;&gt;"",Med_disc!H6,"")</f>
        <v/>
      </c>
      <c r="E3" s="335" t="str">
        <f>IF(AND(D3&lt;&gt;"",D3&lt;&gt;"STOP"),ber_Med_disc!H2&amp;" "&amp;ber_Med_disc!F2,"")</f>
        <v/>
      </c>
      <c r="F3" s="335" t="str">
        <f>IF(AND(D3&lt;&gt;"",D3&lt;&gt;"STOP"),ber_Med_disc!L2," ")</f>
        <v xml:space="preserve"> </v>
      </c>
      <c r="G3" s="335" t="str">
        <f>IF(Med_disc!L6&lt;&gt;"",Med_disc!L6&amp;" "&amp;Med_disc!M6&amp;" "&amp;INDEX(ber_Med_disc!$B$27:$B$30,ber_Med_disc!O2,1)&amp;" in "&amp;Med_disc!$O$6,"")</f>
        <v/>
      </c>
      <c r="H3" s="165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5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5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5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5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5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5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5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5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5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5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5" t="str">
        <f>IF(OR($D3="1 dd",$D3="2 dd",$D3="3 dd",$D3="4 dd",$D3="6 dd",$D3="8 dd",$D3="12 dd",$D3="an",$D3="1 X"),VLOOKUP($D3,ber_tijden!$A$16:$X$25,ber_tijden!X$14,FALSE),"")</f>
        <v/>
      </c>
      <c r="AE3" s="19"/>
      <c r="AF3" s="164"/>
      <c r="AG3" s="19"/>
    </row>
    <row r="4" spans="2:33" ht="26.1" customHeight="1" x14ac:dyDescent="0.35">
      <c r="B4" s="166">
        <f>IF(C4&lt;&gt;" ",Med_disc!C8,"")</f>
        <v>0</v>
      </c>
      <c r="C4" s="333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4" t="str">
        <f>IF(Med_disc!H8&lt;&gt;"",Med_disc!H8,"")</f>
        <v/>
      </c>
      <c r="E4" s="335" t="str">
        <f>IF(AND(D4&lt;&gt;"",D4&lt;&gt;"STOP"),ber_Med_disc!H3&amp;" "&amp;ber_Med_disc!F3,"")</f>
        <v/>
      </c>
      <c r="F4" s="335" t="str">
        <f>IF(AND(D4&lt;&gt;"",D4&lt;&gt;"STOP"),ber_Med_disc!L3," ")</f>
        <v xml:space="preserve"> </v>
      </c>
      <c r="G4" s="335" t="str">
        <f>IF(Med_disc!L8&lt;&gt;"",Med_disc!L8&amp;" "&amp;Med_disc!M8&amp;" "&amp;INDEX(ber_Med_disc!$B$27:$B$30,ber_Med_disc!O3,1)&amp;" in "&amp;Med_disc!$O$8,"")</f>
        <v/>
      </c>
      <c r="H4" s="165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5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5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5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5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5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5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5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5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5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5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5" t="str">
        <f>IF(OR($D4="1 dd",$D4="2 dd",$D4="3 dd",$D4="4 dd",$D4="6 dd",$D4="8 dd",$D4="12 dd",$D4="an",$D4="1 X"),VLOOKUP($D4,ber_tijden!$A$16:$X$25,ber_tijden!X$14,FALSE),"")</f>
        <v/>
      </c>
      <c r="AE4" s="19"/>
      <c r="AF4" s="164"/>
      <c r="AG4" s="19"/>
    </row>
    <row r="5" spans="2:33" ht="26.1" customHeight="1" x14ac:dyDescent="0.35">
      <c r="B5" s="166">
        <f>IF(C5&lt;&gt;" ",Med_disc!C10,"")</f>
        <v>0</v>
      </c>
      <c r="C5" s="333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4" t="str">
        <f>IF(Med_disc!H10&lt;&gt;"",Med_disc!H10,"")</f>
        <v/>
      </c>
      <c r="E5" s="335" t="str">
        <f>IF(AND(D5&lt;&gt;"",D5&lt;&gt;"STOP"),ber_Med_disc!H4&amp;" "&amp;ber_Med_disc!F4,"")</f>
        <v/>
      </c>
      <c r="F5" s="335" t="str">
        <f>IF(AND(D5&lt;&gt;"",D5&lt;&gt;"STOP"),ber_Med_disc!L4," ")</f>
        <v xml:space="preserve"> </v>
      </c>
      <c r="G5" s="335" t="str">
        <f>IF(Med_disc!L10&lt;&gt;"",Med_disc!L10&amp;" "&amp;Med_disc!M10&amp;" "&amp;INDEX(ber_Med_disc!$B$27:$B$30,ber_Med_disc!O4,1)&amp;" in "&amp;Med_disc!$O$10,"")</f>
        <v/>
      </c>
      <c r="H5" s="165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5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5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5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5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5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5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5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5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5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5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5" t="str">
        <f>IF(OR($D5="1 dd",$D5="2 dd",$D5="3 dd",$D5="4 dd",$D5="6 dd",$D5="8 dd",$D5="12 dd",$D5="an",$D5="1 X"),VLOOKUP($D5,ber_tijden!$A$16:$X$25,ber_tijden!X$14,FALSE),"")</f>
        <v/>
      </c>
      <c r="AE5" s="19"/>
      <c r="AF5" s="164"/>
      <c r="AG5" s="19"/>
    </row>
    <row r="6" spans="2:33" ht="26.1" customHeight="1" x14ac:dyDescent="0.35">
      <c r="B6" s="166">
        <f>IF(C6&lt;&gt;" ",Med_disc!C12,"")</f>
        <v>0</v>
      </c>
      <c r="C6" s="333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4" t="str">
        <f>IF(Med_disc!H12&lt;&gt;"",Med_disc!H12,"")</f>
        <v/>
      </c>
      <c r="E6" s="335" t="str">
        <f>IF(AND(D6&lt;&gt;"",D6&lt;&gt;"STOP"),ber_Med_disc!H5&amp;" "&amp;ber_Med_disc!F5,"")</f>
        <v/>
      </c>
      <c r="F6" s="335" t="str">
        <f>IF(AND(D6&lt;&gt;"",D6&lt;&gt;"STOP"),ber_Med_disc!L5," ")</f>
        <v xml:space="preserve"> </v>
      </c>
      <c r="G6" s="335" t="str">
        <f>IF(Med_disc!L12&lt;&gt;"",Med_disc!L12&amp;" "&amp;Med_disc!M12&amp;" "&amp;INDEX(ber_Med_disc!$B$27:$B$30,ber_Med_disc!O5,1)&amp;" in "&amp;Med_disc!$O$12,"")</f>
        <v/>
      </c>
      <c r="H6" s="165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5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5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5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5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5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5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5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5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5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5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5" t="str">
        <f>IF(OR($D6="1 dd",$D6="2 dd",$D6="3 dd",$D6="4 dd",$D6="6 dd",$D6="8 dd",$D6="12 dd",$D6="an",$D6="1 X"),VLOOKUP($D6,ber_tijden!$A$16:$X$25,ber_tijden!X$14,FALSE),"")</f>
        <v/>
      </c>
      <c r="AE6" s="19"/>
      <c r="AF6" s="164"/>
      <c r="AG6" s="19"/>
    </row>
    <row r="7" spans="2:33" ht="26.1" customHeight="1" x14ac:dyDescent="0.35">
      <c r="B7" s="166">
        <f>IF(C7&lt;&gt;" ",Med_disc!C14,"")</f>
        <v>0</v>
      </c>
      <c r="C7" s="333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4" t="str">
        <f>IF(Med_disc!H14&lt;&gt;"",Med_disc!H14,"")</f>
        <v/>
      </c>
      <c r="E7" s="335" t="str">
        <f>IF(AND(D7&lt;&gt;"",D7&lt;&gt;"STOP"),ber_Med_disc!H6&amp;" "&amp;ber_Med_disc!F6,"")</f>
        <v/>
      </c>
      <c r="F7" s="335" t="str">
        <f>IF(AND(D7&lt;&gt;"",D7&lt;&gt;"STOP"),ber_Med_disc!L6," ")</f>
        <v xml:space="preserve"> </v>
      </c>
      <c r="G7" s="335" t="str">
        <f>IF(Med_disc!L14&lt;&gt;"",Med_disc!L14&amp;" "&amp;Med_disc!M14&amp;" "&amp;INDEX(ber_Med_disc!$B$27:$B$30,ber_Med_disc!O6,1)&amp;" in "&amp;Med_disc!$O$14,"")</f>
        <v/>
      </c>
      <c r="H7" s="165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5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5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5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5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5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5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5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5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5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5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5" t="str">
        <f>IF(OR($D7="1 dd",$D7="2 dd",$D7="3 dd",$D7="4 dd",$D7="6 dd",$D7="8 dd",$D7="12 dd",$D7="an",$D7="1 X"),VLOOKUP($D7,ber_tijden!$A$16:$X$25,ber_tijden!X$14,FALSE),"")</f>
        <v/>
      </c>
      <c r="AE7" s="19"/>
      <c r="AF7" s="164"/>
      <c r="AG7" s="19"/>
    </row>
    <row r="8" spans="2:33" ht="26.1" customHeight="1" x14ac:dyDescent="0.35">
      <c r="B8" s="166">
        <f>IF(C8&lt;&gt;" ",Med_disc!C16,"")</f>
        <v>0</v>
      </c>
      <c r="C8" s="333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4" t="str">
        <f>IF(Med_disc!H16&lt;&gt;"",Med_disc!H16,"")</f>
        <v/>
      </c>
      <c r="E8" s="335" t="str">
        <f>IF(AND(D8&lt;&gt;"",D8&lt;&gt;"STOP"),ber_Med_disc!H7&amp;" "&amp;ber_Med_disc!F7,"")</f>
        <v/>
      </c>
      <c r="F8" s="335" t="str">
        <f>IF(AND(D8&lt;&gt;"",D8&lt;&gt;"STOP"),ber_Med_disc!L7," ")</f>
        <v xml:space="preserve"> </v>
      </c>
      <c r="G8" s="335" t="str">
        <f>IF(Med_disc!L16&lt;&gt;"",Med_disc!L16&amp;" "&amp;Med_disc!M16&amp;" "&amp;INDEX(ber_Med_disc!$B$27:$B$30,ber_Med_disc!O7,1)&amp;" in "&amp;Med_disc!$O$16,"")</f>
        <v/>
      </c>
      <c r="H8" s="165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5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5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5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5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5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5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5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5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5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5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5" t="str">
        <f>IF(OR($D8="1 dd",$D8="2 dd",$D8="3 dd",$D8="4 dd",$D8="6 dd",$D8="8 dd",$D8="12 dd",$D8="an",$D8="1 X"),VLOOKUP($D8,ber_tijden!$A$16:$X$25,ber_tijden!X$14,FALSE),"")</f>
        <v/>
      </c>
      <c r="AE8" s="19"/>
      <c r="AF8" s="164"/>
      <c r="AG8" s="19"/>
    </row>
    <row r="9" spans="2:33" ht="26.1" customHeight="1" x14ac:dyDescent="0.35">
      <c r="B9" s="166">
        <f>IF(C9&lt;&gt;" ",Med_disc!C18,"")</f>
        <v>0</v>
      </c>
      <c r="C9" s="333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4" t="str">
        <f>IF(Med_disc!H18&lt;&gt;"",Med_disc!H18,"")</f>
        <v/>
      </c>
      <c r="E9" s="335" t="str">
        <f>IF(AND(D9&lt;&gt;"",D9&lt;&gt;"STOP"),ber_Med_disc!H8&amp;" "&amp;ber_Med_disc!F8,"")</f>
        <v/>
      </c>
      <c r="F9" s="335" t="str">
        <f>IF(AND(D9&lt;&gt;"",D9&lt;&gt;"STOP"),ber_Med_disc!L8," ")</f>
        <v xml:space="preserve"> </v>
      </c>
      <c r="G9" s="335" t="str">
        <f>IF(Med_disc!L18&lt;&gt;"",Med_disc!L18&amp;" "&amp;Med_disc!M18&amp;" "&amp;INDEX(ber_Med_disc!$B$27:$B$30,ber_Med_disc!O8,1)&amp;" in "&amp;Med_disc!$O$18,"")</f>
        <v/>
      </c>
      <c r="H9" s="165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5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5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5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5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5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5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5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5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5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5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5" t="str">
        <f>IF(OR($D9="1 dd",$D9="2 dd",$D9="3 dd",$D9="4 dd",$D9="6 dd",$D9="8 dd",$D9="12 dd",$D9="an",$D9="1 X"),VLOOKUP($D9,ber_tijden!$A$16:$X$25,ber_tijden!X$14,FALSE),"")</f>
        <v/>
      </c>
      <c r="AE9" s="19"/>
      <c r="AF9" s="164"/>
      <c r="AG9" s="19"/>
    </row>
    <row r="10" spans="2:33" ht="26.1" customHeight="1" x14ac:dyDescent="0.35">
      <c r="B10" s="166">
        <f>IF(C10&lt;&gt;" ",Med_disc!C20,"")</f>
        <v>0</v>
      </c>
      <c r="C10" s="333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4" t="str">
        <f>IF(Med_disc!H20&lt;&gt;"",Med_disc!H20,"")</f>
        <v/>
      </c>
      <c r="E10" s="335" t="str">
        <f>IF(AND(D10&lt;&gt;"",D10&lt;&gt;"STOP"),ber_Med_disc!H9&amp;" "&amp;ber_Med_disc!F9,"")</f>
        <v/>
      </c>
      <c r="F10" s="335" t="str">
        <f>IF(AND(D10&lt;&gt;"",D10&lt;&gt;"STOP"),ber_Med_disc!L9," ")</f>
        <v xml:space="preserve"> </v>
      </c>
      <c r="G10" s="335" t="str">
        <f>IF(Med_disc!L20&lt;&gt;"",Med_disc!L20&amp;" "&amp;Med_disc!M20&amp;" "&amp;INDEX(ber_Med_disc!$B$27:$B$30,ber_Med_disc!O9,1)&amp;" in "&amp;Med_disc!$O$20,"")</f>
        <v/>
      </c>
      <c r="H10" s="165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5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5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5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5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5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5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5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5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5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5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5" t="str">
        <f>IF(OR($D10="1 dd",$D10="2 dd",$D10="3 dd",$D10="4 dd",$D10="6 dd",$D10="8 dd",$D10="12 dd",$D10="an",$D10="1 X"),VLOOKUP($D10,ber_tijden!$A$16:$X$25,ber_tijden!X$14,FALSE),"")</f>
        <v/>
      </c>
      <c r="AE10" s="19"/>
      <c r="AF10" s="164"/>
      <c r="AG10" s="19"/>
    </row>
    <row r="11" spans="2:33" ht="26.1" customHeight="1" x14ac:dyDescent="0.35">
      <c r="B11" s="166">
        <f>IF(C11&lt;&gt;" ",Med_disc!C22,"")</f>
        <v>0</v>
      </c>
      <c r="C11" s="333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4" t="str">
        <f>IF(Med_disc!H22&lt;&gt;"",Med_disc!H22,"")</f>
        <v/>
      </c>
      <c r="E11" s="335" t="str">
        <f>IF(AND(D11&lt;&gt;"",D11&lt;&gt;"STOP"),ber_Med_disc!H10&amp;" "&amp;ber_Med_disc!F10,"")</f>
        <v/>
      </c>
      <c r="F11" s="335" t="str">
        <f>IF(AND(D11&lt;&gt;"",D11&lt;&gt;"STOP"),ber_Med_disc!L10," ")</f>
        <v xml:space="preserve"> </v>
      </c>
      <c r="G11" s="335" t="str">
        <f>IF(Med_disc!L22&lt;&gt;"",Med_disc!L22&amp;" "&amp;Med_disc!M22&amp;" "&amp;INDEX(ber_Med_disc!$B$27:$B$30,ber_Med_disc!O10,1)&amp;" in "&amp;Med_disc!$O$22,"")</f>
        <v/>
      </c>
      <c r="H11" s="165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5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5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5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5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5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5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5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5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5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5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5" t="str">
        <f>IF(OR($D11="1 dd",$D11="2 dd",$D11="3 dd",$D11="4 dd",$D11="6 dd",$D11="8 dd",$D11="12 dd",$D11="an",$D11="1 X"),VLOOKUP($D11,ber_tijden!$A$16:$X$25,ber_tijden!X$14,FALSE),"")</f>
        <v/>
      </c>
      <c r="AE11" s="19"/>
      <c r="AF11" s="164"/>
      <c r="AG11" s="19"/>
    </row>
    <row r="12" spans="2:33" ht="26.1" customHeight="1" x14ac:dyDescent="0.35">
      <c r="B12" s="166">
        <f>IF(C12&lt;&gt;" ",Med_disc!C24,"")</f>
        <v>0</v>
      </c>
      <c r="C12" s="333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4" t="str">
        <f>IF(Med_disc!H24&lt;&gt;"",Med_disc!H24,"")</f>
        <v/>
      </c>
      <c r="E12" s="335" t="str">
        <f>IF(AND(D12&lt;&gt;"",D12&lt;&gt;"STOP"),ber_Med_disc!H11&amp;" "&amp;ber_Med_disc!F11,"")</f>
        <v/>
      </c>
      <c r="F12" s="335" t="str">
        <f>IF(AND(D12&lt;&gt;"",D12&lt;&gt;"STOP"),ber_Med_disc!L11," ")</f>
        <v xml:space="preserve"> </v>
      </c>
      <c r="G12" s="335" t="str">
        <f>IF(Med_disc!L24&lt;&gt;"",Med_disc!L24&amp;" "&amp;Med_disc!M24&amp;" "&amp;INDEX(ber_Med_disc!$B$27:$B$30,ber_Med_disc!O11,1)&amp;" in "&amp;Med_disc!$O$1424,"")</f>
        <v/>
      </c>
      <c r="H12" s="165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5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5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5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5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5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5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5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5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5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5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5" t="str">
        <f>IF(OR($D12="1 dd",$D12="2 dd",$D12="3 dd",$D12="4 dd",$D12="6 dd",$D12="8 dd",$D12="12 dd",$D12="an",$D12="1 X"),VLOOKUP($D12,ber_tijden!$A$16:$X$25,ber_tijden!X$14,FALSE),"")</f>
        <v/>
      </c>
      <c r="AE12" s="19"/>
      <c r="AF12" s="164"/>
      <c r="AG12" s="19"/>
    </row>
    <row r="13" spans="2:33" ht="26.1" customHeight="1" x14ac:dyDescent="0.35">
      <c r="B13" s="166">
        <f>IF(C13&lt;&gt;" ",Med_disc!C26,"")</f>
        <v>0</v>
      </c>
      <c r="C13" s="333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4" t="str">
        <f>IF(Med_disc!H26&lt;&gt;"",Med_disc!H26,"")</f>
        <v/>
      </c>
      <c r="E13" s="335" t="str">
        <f>IF(AND(D13&lt;&gt;"",D13&lt;&gt;"STOP"),ber_Med_disc!H12&amp;" "&amp;ber_Med_disc!F12,"")</f>
        <v/>
      </c>
      <c r="F13" s="335" t="str">
        <f>IF(AND(D13&lt;&gt;"",D13&lt;&gt;"STOP"),ber_Med_disc!L12," ")</f>
        <v xml:space="preserve"> </v>
      </c>
      <c r="G13" s="335" t="str">
        <f>IF(Med_disc!L26&lt;&gt;"",Med_disc!L26&amp;" "&amp;Med_disc!M26&amp;" "&amp;INDEX(ber_Med_disc!$B$27:$B$30,ber_Med_disc!O12,1)&amp;" in "&amp;Med_disc!$O$26,"")</f>
        <v/>
      </c>
      <c r="H13" s="165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5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5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5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5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5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5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5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5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5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5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5" t="str">
        <f>IF(OR($D13="1 dd",$D13="2 dd",$D13="3 dd",$D13="4 dd",$D13="6 dd",$D13="8 dd",$D13="12 dd",$D13="an",$D13="1 X"),VLOOKUP($D13,ber_tijden!$A$16:$X$25,ber_tijden!X$14,FALSE),"")</f>
        <v/>
      </c>
      <c r="AE13" s="19"/>
      <c r="AF13" s="164"/>
      <c r="AG13" s="19"/>
    </row>
    <row r="14" spans="2:33" ht="26.1" customHeight="1" x14ac:dyDescent="0.35">
      <c r="B14" s="166">
        <f>IF(C14&lt;&gt;" ",Med_disc!C28,"")</f>
        <v>0</v>
      </c>
      <c r="C14" s="333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4" t="str">
        <f>IF(Med_disc!H28&lt;&gt;"",Med_disc!H28,"")</f>
        <v/>
      </c>
      <c r="E14" s="335" t="str">
        <f>IF(AND(D14&lt;&gt;"",D14&lt;&gt;"STOP"),ber_Med_disc!H13&amp;" "&amp;ber_Med_disc!F13,"")</f>
        <v/>
      </c>
      <c r="F14" s="335" t="str">
        <f>IF(AND(D14&lt;&gt;"",D14&lt;&gt;"STOP"),ber_Med_disc!L13," ")</f>
        <v xml:space="preserve"> </v>
      </c>
      <c r="G14" s="335" t="str">
        <f>IF(Med_disc!L28&lt;&gt;"",Med_disc!L28&amp;" "&amp;Med_disc!M28&amp;" "&amp;INDEX(ber_Med_disc!$B$27:$B$30,ber_Med_disc!O13,1)&amp;" in "&amp;Med_disc!$O$28,"")</f>
        <v/>
      </c>
      <c r="H14" s="165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5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5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5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5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5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5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5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5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5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5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5" t="str">
        <f>IF(OR($D14="1 dd",$D14="2 dd",$D14="3 dd",$D14="4 dd",$D14="6 dd",$D14="8 dd",$D14="12 dd",$D14="an",$D14="1 X"),VLOOKUP($D14,ber_tijden!$A$16:$X$25,ber_tijden!X$14,FALSE),"")</f>
        <v/>
      </c>
      <c r="AE14" s="19"/>
      <c r="AF14" s="164"/>
      <c r="AG14" s="19"/>
    </row>
    <row r="15" spans="2:33" ht="26.1" customHeight="1" x14ac:dyDescent="0.35">
      <c r="B15" s="166">
        <f>IF(C15&lt;&gt;" ",Med_disc!C30,"")</f>
        <v>0</v>
      </c>
      <c r="C15" s="333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4" t="str">
        <f>IF(Med_disc!H30&lt;&gt;"",Med_disc!H30,"")</f>
        <v/>
      </c>
      <c r="E15" s="335" t="str">
        <f>IF(AND(D15&lt;&gt;"",D15&lt;&gt;"STOP"),ber_Med_disc!H14&amp;" "&amp;ber_Med_disc!F14,"")</f>
        <v/>
      </c>
      <c r="F15" s="335" t="str">
        <f>IF(AND(D15&lt;&gt;"",D15&lt;&gt;"STOP"),ber_Med_disc!L14," ")</f>
        <v xml:space="preserve"> </v>
      </c>
      <c r="G15" s="335" t="str">
        <f>IF(Med_disc!L30&lt;&gt;"",Med_disc!L30&amp;" "&amp;Med_disc!M30&amp;" "&amp;INDEX(ber_Med_disc!$B$27:$B$30,ber_Med_disc!O14,1)&amp;" in "&amp;Med_disc!$O$30,"")</f>
        <v/>
      </c>
      <c r="H15" s="165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5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5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5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5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5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5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5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5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5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5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5" t="str">
        <f>IF(OR($D15="1 dd",$D15="2 dd",$D15="3 dd",$D15="4 dd",$D15="6 dd",$D15="8 dd",$D15="12 dd",$D15="an",$D15="1 X"),VLOOKUP($D15,ber_tijden!$A$16:$X$25,ber_tijden!X$14,FALSE),"")</f>
        <v/>
      </c>
      <c r="AE15" s="19"/>
      <c r="AF15" s="164"/>
      <c r="AG15" s="19"/>
    </row>
    <row r="16" spans="2:33" ht="26.1" customHeight="1" x14ac:dyDescent="0.35">
      <c r="B16" s="166">
        <f>IF(C16&lt;&gt;" ",Med_disc!C32,"")</f>
        <v>0</v>
      </c>
      <c r="C16" s="333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4" t="str">
        <f>IF(Med_disc!H32&lt;&gt;"",Med_disc!H32,"")</f>
        <v/>
      </c>
      <c r="E16" s="335" t="str">
        <f>IF(AND(D16&lt;&gt;"",D16&lt;&gt;"STOP"),ber_Med_disc!H15&amp;" "&amp;ber_Med_disc!F15,"")</f>
        <v/>
      </c>
      <c r="F16" s="335" t="str">
        <f>IF(AND(D16&lt;&gt;"",D16&lt;&gt;"STOP"),ber_Med_disc!L15," ")</f>
        <v xml:space="preserve"> </v>
      </c>
      <c r="G16" s="335" t="str">
        <f>IF(Med_disc!L32&lt;&gt;"",Med_disc!L32&amp;" "&amp;Med_disc!M32&amp;" "&amp;INDEX(ber_Med_disc!$B$27:$B$30,ber_Med_disc!O15,1)&amp;" in "&amp;Med_disc!$O$32,"")</f>
        <v/>
      </c>
      <c r="H16" s="165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5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5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5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5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5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5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5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5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5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5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5" t="str">
        <f>IF(OR($D16="1 dd",$D16="2 dd",$D16="3 dd",$D16="4 dd",$D16="6 dd",$D16="8 dd",$D16="12 dd",$D16="an",$D16="1 X"),VLOOKUP($D16,ber_tijden!$A$16:$X$25,ber_tijden!X$14,FALSE),"")</f>
        <v/>
      </c>
      <c r="AE16" s="19"/>
      <c r="AF16" s="164"/>
      <c r="AG16" s="19"/>
    </row>
    <row r="17" spans="2:33" ht="26.1" customHeight="1" x14ac:dyDescent="0.35">
      <c r="B17" s="166">
        <f>IF(C17&lt;&gt;" ",Med_disc!C34,"")</f>
        <v>0</v>
      </c>
      <c r="C17" s="333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4" t="str">
        <f>IF(Med_disc!H34&lt;&gt;"",Med_disc!H34,"")</f>
        <v/>
      </c>
      <c r="E17" s="335" t="str">
        <f>IF(AND(D17&lt;&gt;"",D17&lt;&gt;"STOP"),ber_Med_disc!H16&amp;" "&amp;ber_Med_disc!F16,"")</f>
        <v/>
      </c>
      <c r="F17" s="335" t="str">
        <f>IF(AND(D17&lt;&gt;"",D17&lt;&gt;"STOP"),ber_Med_disc!L16," ")</f>
        <v xml:space="preserve"> </v>
      </c>
      <c r="G17" s="335" t="str">
        <f>IF(Med_disc!L34&lt;&gt;"",Med_disc!L34&amp;" "&amp;Med_disc!M34&amp;" "&amp;INDEX(ber_Med_disc!$B$27:$B$30,ber_Med_disc!O16,1)&amp;" in "&amp;Med_disc!$O$34,"")</f>
        <v/>
      </c>
      <c r="H17" s="165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5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5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5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5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5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5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5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5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5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5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5" t="str">
        <f>IF(OR($D17="1 dd",$D17="2 dd",$D17="3 dd",$D17="4 dd",$D17="6 dd",$D17="8 dd",$D17="12 dd",$D17="an",$D17="1 X"),VLOOKUP($D17,ber_tijden!$A$16:$X$25,ber_tijden!X$14,FALSE),"")</f>
        <v/>
      </c>
      <c r="AE17" s="19"/>
      <c r="AF17" s="164"/>
      <c r="AG17" s="19"/>
    </row>
    <row r="18" spans="2:33" ht="26.1" customHeight="1" x14ac:dyDescent="0.35">
      <c r="B18" s="166">
        <f>IF(C18&lt;&gt;" ",Med_disc!C36,"")</f>
        <v>0</v>
      </c>
      <c r="C18" s="333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4" t="str">
        <f>IF(Med_disc!H36&lt;&gt;"",Med_disc!H36,"")</f>
        <v/>
      </c>
      <c r="E18" s="335" t="str">
        <f>IF(AND(D18&lt;&gt;"",D18&lt;&gt;"STOP"),ber_Med_disc!H17&amp;" "&amp;ber_Med_disc!F17,"")</f>
        <v/>
      </c>
      <c r="F18" s="335" t="str">
        <f>IF(AND(D18&lt;&gt;"",D18&lt;&gt;"STOP"),ber_Med_disc!L17," ")</f>
        <v xml:space="preserve"> </v>
      </c>
      <c r="G18" s="335" t="str">
        <f>IF(Med_disc!L36&lt;&gt;"",Med_disc!L36&amp;" "&amp;Med_disc!M36&amp;" "&amp;INDEX(ber_Med_disc!$B$27:$B$30,ber_Med_disc!O17,1)&amp;" in "&amp;Med_disc!$O$36,"")</f>
        <v/>
      </c>
      <c r="H18" s="165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5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5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5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5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5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5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5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5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5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5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5" t="str">
        <f>IF(OR($D18="1 dd",$D18="2 dd",$D18="3 dd",$D18="4 dd",$D18="6 dd",$D18="8 dd",$D18="12 dd",$D18="an",$D18="1 X"),VLOOKUP($D18,ber_tijden!$A$16:$X$25,ber_tijden!X$14,FALSE),"")</f>
        <v/>
      </c>
      <c r="AE18" s="19"/>
      <c r="AF18" s="164"/>
      <c r="AG18" s="19"/>
    </row>
    <row r="19" spans="2:33" ht="26.1" customHeight="1" x14ac:dyDescent="0.35">
      <c r="B19" s="166">
        <f>IF(C19&lt;&gt;" ",Med_disc!C38,"")</f>
        <v>0</v>
      </c>
      <c r="C19" s="333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4" t="str">
        <f>IF(Med_disc!H38&lt;&gt;"",Med_disc!H38,"")</f>
        <v/>
      </c>
      <c r="E19" s="335" t="str">
        <f>IF(AND(D19&lt;&gt;"",D19&lt;&gt;"STOP"),ber_Med_disc!H18&amp;" "&amp;ber_Med_disc!F18,"")</f>
        <v/>
      </c>
      <c r="F19" s="335" t="str">
        <f>IF(AND(D19&lt;&gt;"",D19&lt;&gt;"STOP"),ber_Med_disc!L18," ")</f>
        <v xml:space="preserve"> </v>
      </c>
      <c r="G19" s="335" t="str">
        <f>IF(Med_disc!L38&lt;&gt;"",Med_disc!L38&amp;" "&amp;Med_disc!M38&amp;" "&amp;INDEX(ber_Med_disc!$B$27:$B$30,ber_Med_disc!O18,1)&amp;" in "&amp;Med_disc!$O$38,"")</f>
        <v/>
      </c>
      <c r="H19" s="165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5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5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5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5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5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5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5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5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5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5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5" t="str">
        <f>IF(OR($D19="1 dd",$D19="2 dd",$D19="3 dd",$D19="4 dd",$D19="6 dd",$D19="8 dd",$D19="12 dd",$D19="an",$D19="1 X"),VLOOKUP($D19,ber_tijden!$A$16:$X$25,ber_tijden!X$14,FALSE),"")</f>
        <v/>
      </c>
      <c r="AE19" s="19"/>
      <c r="AF19" s="164"/>
      <c r="AG19" s="19"/>
    </row>
    <row r="20" spans="2:33" ht="26.1" customHeight="1" x14ac:dyDescent="0.35">
      <c r="B20" s="166">
        <f>IF(C20&lt;&gt;" ",Med_disc!C40,"")</f>
        <v>0</v>
      </c>
      <c r="C20" s="333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4" t="str">
        <f>IF(Med_disc!H40&lt;&gt;"",Med_disc!H40,"")</f>
        <v/>
      </c>
      <c r="E20" s="335" t="str">
        <f>IF(AND(D20&lt;&gt;"",D20&lt;&gt;"STOP"),ber_Med_disc!H19&amp;" "&amp;ber_Med_disc!F19,"")</f>
        <v/>
      </c>
      <c r="F20" s="335" t="str">
        <f>IF(AND(D20&lt;&gt;"",D20&lt;&gt;"STOP"),ber_Med_disc!L19," ")</f>
        <v xml:space="preserve"> </v>
      </c>
      <c r="G20" s="335" t="str">
        <f>IF(Med_disc!L40&lt;&gt;"",Med_disc!L40&amp;" "&amp;Med_disc!M40&amp;" "&amp;INDEX(ber_Med_disc!$B$27:$B$30,ber_Med_disc!O19,1)&amp;" in "&amp;Med_disc!$O$40,"")</f>
        <v/>
      </c>
      <c r="H20" s="165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5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5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5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5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5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5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5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5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5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5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5" t="str">
        <f>IF(OR($D20="1 dd",$D20="2 dd",$D20="3 dd",$D20="4 dd",$D20="6 dd",$D20="8 dd",$D20="12 dd",$D20="an",$D20="1 X"),VLOOKUP($D20,ber_tijden!$A$16:$X$25,ber_tijden!X$14,FALSE),"")</f>
        <v/>
      </c>
      <c r="AE20" s="19"/>
      <c r="AF20" s="164"/>
      <c r="AG20" s="19"/>
    </row>
    <row r="21" spans="2:33" ht="26.1" customHeight="1" x14ac:dyDescent="0.35">
      <c r="B21" s="166">
        <f>IF(C21&lt;&gt;" ",Med_disc!C42,"")</f>
        <v>0</v>
      </c>
      <c r="C21" s="333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4" t="str">
        <f>IF(Med_disc!H42&lt;&gt;"",Med_disc!H42,"")</f>
        <v/>
      </c>
      <c r="E21" s="335" t="str">
        <f>IF(AND(D21&lt;&gt;"",D21&lt;&gt;"STOP"),ber_Med_disc!H20&amp;" "&amp;ber_Med_disc!F20,"")</f>
        <v/>
      </c>
      <c r="F21" s="335" t="str">
        <f>IF(AND(D21&lt;&gt;"",D21&lt;&gt;"STOP"),ber_Med_disc!L20," ")</f>
        <v xml:space="preserve"> </v>
      </c>
      <c r="G21" s="335" t="str">
        <f>IF(Med_disc!L42&lt;&gt;"",Med_disc!L42&amp;" "&amp;Med_disc!M42&amp;" "&amp;INDEX(ber_Med_disc!$B$27:$B$30,ber_Med_disc!O20,1)&amp;" in "&amp;Med_disc!$O$42,"")</f>
        <v/>
      </c>
      <c r="H21" s="165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5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5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5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5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5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5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5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5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5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5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5" t="str">
        <f>IF(OR($D21="1 dd",$D21="2 dd",$D21="3 dd",$D21="4 dd",$D21="6 dd",$D21="8 dd",$D21="12 dd",$D21="an",$D21="1 X"),VLOOKUP($D21,ber_tijden!$A$16:$X$25,ber_tijden!X$14,FALSE),"")</f>
        <v/>
      </c>
      <c r="AE21" s="19"/>
      <c r="AF21" s="164"/>
      <c r="AG21" s="19"/>
    </row>
    <row r="22" spans="2:33" ht="26.1" customHeight="1" x14ac:dyDescent="0.35">
      <c r="B22" s="166">
        <f>IF(C22&lt;&gt;" ",Med_disc!C44,"")</f>
        <v>0</v>
      </c>
      <c r="C22" s="333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4" t="str">
        <f>IF(Med_disc!H44&lt;&gt;"",Med_disc!H44,"")</f>
        <v/>
      </c>
      <c r="E22" s="335" t="str">
        <f>IF(AND(D22&lt;&gt;"",D22&lt;&gt;"STOP"),ber_Med_disc!H21&amp;" "&amp;ber_Med_disc!F21,"")</f>
        <v/>
      </c>
      <c r="F22" s="335" t="str">
        <f>IF(AND(D22&lt;&gt;"",D22&lt;&gt;"STOP"),ber_Med_disc!L21," ")</f>
        <v xml:space="preserve"> </v>
      </c>
      <c r="G22" s="335" t="str">
        <f>IF(Med_disc!L44&lt;&gt;"",Med_disc!L44&amp;" "&amp;Med_disc!M44&amp;" "&amp;INDEX(ber_Med_disc!$B$27:$B$30,ber_Med_disc!O21,1)&amp;" in "&amp;Med_disc!$O$44,"")</f>
        <v/>
      </c>
      <c r="H22" s="165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5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5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5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5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5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5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5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5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5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5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5" t="str">
        <f>IF(OR($D22="1 dd",$D22="2 dd",$D22="3 dd",$D22="4 dd",$D22="6 dd",$D22="8 dd",$D22="12 dd",$D22="an",$D22="1 X"),VLOOKUP($D22,ber_tijden!$A$16:$X$25,ber_tijden!X$14,FALSE),"")</f>
        <v/>
      </c>
      <c r="AE22" s="19"/>
      <c r="AF22" s="164"/>
      <c r="AG22" s="19"/>
    </row>
  </sheetData>
  <sheetProtection algorithmName="SHA-512" hashValue="247G0a0hN9IswYm5AN62wUZxOUNm8+ijeHlwzs/Iy5AmpUkk2Qka4vx3mlVPfgsZc8LVrm0P+g0rIUbidsqhrQ==" saltValue="BczxZez2e4PLTw7zX/BoPg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06" customFormat="1" x14ac:dyDescent="0.35"/>
    <row r="2" spans="1:10" s="206" customFormat="1" ht="17.25" customHeight="1" x14ac:dyDescent="0.4">
      <c r="B2" s="207" t="s">
        <v>948</v>
      </c>
      <c r="C2" s="208">
        <f ca="1">AfspraakDatum</f>
        <v>42192</v>
      </c>
      <c r="D2" s="209"/>
      <c r="E2" s="207" t="s">
        <v>949</v>
      </c>
      <c r="F2" s="210">
        <f>OpnDatum</f>
        <v>41363</v>
      </c>
      <c r="G2" s="207" t="str">
        <f ca="1">"ICU-dag: "&amp;AfspraakDatum-OpnDatum+1</f>
        <v>ICU-dag: 830</v>
      </c>
      <c r="H2" s="207"/>
      <c r="I2" s="207"/>
      <c r="J2" s="207"/>
    </row>
    <row r="3" spans="1:10" s="206" customFormat="1" ht="17.25" customHeight="1" x14ac:dyDescent="0.4">
      <c r="B3" s="207" t="s">
        <v>112</v>
      </c>
      <c r="C3" s="211" t="str">
        <f>AchterNaam&amp;", "&amp;VoorNaam</f>
        <v>Achternaam, Voornaam</v>
      </c>
      <c r="D3" s="211"/>
      <c r="E3" s="207" t="s">
        <v>967</v>
      </c>
      <c r="F3" s="210">
        <f>GebDatum</f>
        <v>40909</v>
      </c>
      <c r="G3" s="212" t="str">
        <f>"Gewicht: "&amp;Gewicht/10&amp;" kg"</f>
        <v>Gewicht: 10 kg</v>
      </c>
      <c r="H3" s="207"/>
      <c r="I3" s="212" t="str">
        <f>"Lengte: "&amp;Lengte&amp;" cm"</f>
        <v>Lengte: 80 cm</v>
      </c>
      <c r="J3" s="207"/>
    </row>
    <row r="4" spans="1:10" s="206" customFormat="1" ht="17.25" customHeight="1" x14ac:dyDescent="0.4">
      <c r="A4" s="242"/>
      <c r="B4" s="207" t="s">
        <v>1063</v>
      </c>
      <c r="C4" s="212">
        <f>PatNummer</f>
        <v>0</v>
      </c>
      <c r="D4" s="209"/>
      <c r="E4" s="207" t="s">
        <v>880</v>
      </c>
      <c r="F4" s="214" t="str">
        <f ca="1">TRUNC((AfspraakDatum-GebDatum)/365,0)&amp;" jaar en "&amp;TRUNC(((AfspraakDatum-GebDatum)-365*TRUNC((AfspraakDatum-GebDatum)/365,0))/30,0)&amp;" maand(-en)"</f>
        <v>3 jaar en 6 maand(-en)</v>
      </c>
      <c r="G4" s="207"/>
      <c r="H4" s="207" t="str">
        <f>"Lichamelijk oppervlak: "&amp;ROUND(POWER(Gewicht/10,0.425)*POWER(((Lengte/100)*100),0.725)*0.007184,2)&amp;" m2"</f>
        <v>Lichamelijk oppervlak: 0,46 m2</v>
      </c>
      <c r="I4" s="207"/>
      <c r="J4" s="207"/>
    </row>
    <row r="5" spans="1:10" ht="12.75" customHeight="1" x14ac:dyDescent="0.35"/>
    <row r="6" spans="1:10" ht="17.25" customHeight="1" x14ac:dyDescent="0.4">
      <c r="B6" s="282" t="s">
        <v>102</v>
      </c>
    </row>
    <row r="7" spans="1:10" ht="9.0500000000000007" customHeight="1" x14ac:dyDescent="0.35">
      <c r="I7" s="119" t="s">
        <v>396</v>
      </c>
      <c r="J7" s="119" t="s">
        <v>1041</v>
      </c>
    </row>
    <row r="8" spans="1:10" ht="17.25" customHeight="1" x14ac:dyDescent="0.35">
      <c r="A8" s="26">
        <v>1</v>
      </c>
      <c r="C8" s="275"/>
      <c r="E8" s="29"/>
      <c r="F8" s="276" t="str">
        <f>IF(INDEX(ber_Infusen!A1:C34,ber_Infusen!E2,2)&lt;&gt;0,INDEX(ber_Infusen!$A$1:$C$34,ber_Infusen!E2,2)&amp;" ml","")</f>
        <v/>
      </c>
      <c r="I8" s="119" t="b">
        <f>IF(INDEX(ber_Infusen!$A$1:$C$34,ber_Infusen!E2,2)&lt;&gt;0,INDEX(ber_Infusen!$A$1:$C$34,ber_Infusen!E2,3))</f>
        <v>0</v>
      </c>
      <c r="J8" s="119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77" t="str">
        <f>IF(INDEX(ber_Infusen!$A$1:$C$34,ber_Infusen!E3,2)&lt;&gt;0,INDEX(ber_Infusen!$A$1:$C$34,ber_Infusen!E3,2)&amp;" ml","")</f>
        <v/>
      </c>
      <c r="I9" s="119" t="b">
        <f>IF(INDEX(ber_Infusen!$A$1:$C$34,ber_Infusen!E3,2)&lt;&gt;0,INDEX(ber_Infusen!$A$1:$C$34,ber_Infusen!E3,3))</f>
        <v>0</v>
      </c>
      <c r="J9" s="119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77" t="str">
        <f>IF(INDEX(ber_Infusen!$A$1:$C$34,ber_Infusen!E4,2)&lt;&gt;0,INDEX(ber_Infusen!$A$1:$C$34,ber_Infusen!E4,2)&amp;" ml","")</f>
        <v/>
      </c>
      <c r="I10" s="119" t="b">
        <f>IF(INDEX(ber_Infusen!$A$1:$C$34,ber_Infusen!E4,2)&lt;&gt;0,INDEX(ber_Infusen!$A$1:$C$34,ber_Infusen!E4,3))</f>
        <v>0</v>
      </c>
      <c r="J10" s="119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77" t="str">
        <f>IF(INDEX(ber_Infusen!$A$1:$C$34,ber_Infusen!E5,2)&lt;&gt;0,INDEX(ber_Infusen!$A$1:$C$34,ber_Infusen!E5,2)&amp;" ml","")</f>
        <v/>
      </c>
      <c r="I11" s="119" t="b">
        <f>IF(INDEX(ber_Infusen!$A$1:$C$34,ber_Infusen!E5,2)&lt;&gt;0,INDEX(ber_Infusen!$A$1:$C$34,ber_Infusen!E5,3))</f>
        <v>0</v>
      </c>
      <c r="J11" s="119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77" t="str">
        <f>IF(INDEX(ber_Infusen!$A$1:$C$34,ber_Infusen!E6,2)&lt;&gt;0,INDEX(ber_Infusen!$A$1:$C$34,ber_Infusen!E6,2)&amp;" ml","")</f>
        <v/>
      </c>
      <c r="I12" s="119" t="b">
        <f>IF(INDEX(ber_Infusen!$A$1:$C$34,ber_Infusen!E6,2)&lt;&gt;0,INDEX(ber_Infusen!$A$1:$C$34,ber_Infusen!E6,3))</f>
        <v>0</v>
      </c>
      <c r="J12" s="119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77" t="str">
        <f>IF(INDEX(ber_Infusen!$A$1:$C$34,ber_Infusen!E7,2)&lt;&gt;0,INDEX(ber_Infusen!$A$1:$C$34,ber_Infusen!E7,2)&amp;" ml","")</f>
        <v/>
      </c>
      <c r="I13" s="119" t="b">
        <f>IF(INDEX(ber_Infusen!$A$1:$C$34,ber_Infusen!E7,2)&lt;&gt;0,INDEX(ber_Infusen!$A$1:$C$34,ber_Infusen!E7,3))</f>
        <v>0</v>
      </c>
      <c r="J13" s="119">
        <f>IF(INDEX(ber_Infusen!$A$1:$C$34,ber_Infusen!E7,2)&lt;&gt;0,INDEX(ber_Infusen!$A$1:$C$34,ber_Infusen!E7,2),0)</f>
        <v>0</v>
      </c>
    </row>
    <row r="14" spans="1:10" ht="17.25" customHeight="1" x14ac:dyDescent="0.35">
      <c r="I14" s="119" t="b">
        <f>IF(INDEX(ber_Infusen!$A$1:$C$34,ber_Infusen!E8,2)&lt;&gt;0,INDEX(ber_Infusen!$A$1:$C$34,ber_Infusen!E8,3))</f>
        <v>0</v>
      </c>
      <c r="J14" s="119">
        <f>IF(INDEX(ber_Infusen!$A$1:$C$34,ber_Infusen!E8,2)&lt;&gt;0,INDEX(ber_Infusen!$A$1:$C$34,ber_Infusen!E8,2),0)</f>
        <v>0</v>
      </c>
    </row>
    <row r="15" spans="1:10" ht="17.25" customHeight="1" x14ac:dyDescent="0.35">
      <c r="B15" s="304" t="s">
        <v>912</v>
      </c>
      <c r="C15" s="313">
        <f>ber_Opm!C3</f>
        <v>0</v>
      </c>
      <c r="D15" s="314"/>
      <c r="E15" s="314"/>
      <c r="F15" s="314"/>
      <c r="G15" s="314"/>
      <c r="H15" s="314"/>
      <c r="I15" s="315">
        <f>SUM(I8:I14)</f>
        <v>0</v>
      </c>
      <c r="J15" s="315">
        <f>SUM(J8:J14)</f>
        <v>0</v>
      </c>
    </row>
    <row r="16" spans="1:10" ht="17.25" customHeight="1" x14ac:dyDescent="0.35"/>
    <row r="17" spans="1:10" ht="17.25" customHeight="1" x14ac:dyDescent="0.4">
      <c r="A17" s="29"/>
      <c r="B17" s="282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75"/>
      <c r="E19" s="29"/>
      <c r="H19" s="238" t="s">
        <v>116</v>
      </c>
      <c r="I19" s="206"/>
      <c r="J19" s="206"/>
    </row>
    <row r="20" spans="1:10" ht="17.25" customHeight="1" x14ac:dyDescent="0.35">
      <c r="A20" s="26">
        <v>2</v>
      </c>
      <c r="E20" s="29"/>
      <c r="H20" s="242" t="s">
        <v>869</v>
      </c>
      <c r="I20" s="206"/>
      <c r="J20" s="206"/>
    </row>
    <row r="21" spans="1:10" ht="17.25" customHeight="1" x14ac:dyDescent="0.4">
      <c r="A21" s="26">
        <v>3</v>
      </c>
      <c r="E21" s="29"/>
      <c r="H21" s="281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06" t="s">
        <v>1306</v>
      </c>
      <c r="C23" s="26" t="str">
        <f>IF(Controle_3&gt;0,"om de "&amp;Controle_3&amp;" uur","")</f>
        <v/>
      </c>
      <c r="E23" s="242" t="s">
        <v>1308</v>
      </c>
      <c r="F23" s="26" t="str">
        <f>IF(Controle_2&gt;0,"om de "&amp;Controle_2&amp;" uur","")</f>
        <v/>
      </c>
    </row>
    <row r="24" spans="1:10" ht="17.25" customHeight="1" x14ac:dyDescent="0.35">
      <c r="B24" s="206" t="s">
        <v>1309</v>
      </c>
      <c r="C24" s="26" t="str">
        <f>IF(Controle_6&gt;0,"om de "&amp;Controle_6&amp;" uur","")</f>
        <v/>
      </c>
      <c r="E24" s="242" t="s">
        <v>1307</v>
      </c>
      <c r="F24" s="26" t="str">
        <f>IF(Controle_8&gt;0,"om de "&amp;Controle_8&amp;" uur","")</f>
        <v/>
      </c>
    </row>
    <row r="25" spans="1:10" ht="18" customHeight="1" x14ac:dyDescent="0.35">
      <c r="A25" s="272">
        <v>6</v>
      </c>
      <c r="B25" s="381">
        <f>ber_Opm!C11</f>
        <v>0</v>
      </c>
      <c r="C25" s="376"/>
      <c r="D25" s="376"/>
      <c r="E25" s="376"/>
      <c r="F25" s="376"/>
      <c r="G25" s="274"/>
      <c r="H25" s="29"/>
    </row>
    <row r="26" spans="1:10" ht="17.25" customHeight="1" x14ac:dyDescent="0.35">
      <c r="B26" s="376"/>
      <c r="C26" s="376"/>
      <c r="D26" s="376"/>
      <c r="E26" s="376"/>
      <c r="F26" s="376"/>
      <c r="G26" s="274"/>
      <c r="H26" s="274"/>
      <c r="I26" s="274"/>
      <c r="J26" s="278"/>
    </row>
    <row r="27" spans="1:10" ht="17.25" customHeight="1" x14ac:dyDescent="0.35">
      <c r="B27" s="376"/>
      <c r="C27" s="376"/>
      <c r="D27" s="376"/>
      <c r="E27" s="376"/>
      <c r="F27" s="376"/>
      <c r="G27" s="274"/>
      <c r="H27" s="274"/>
      <c r="I27" s="274"/>
      <c r="J27" s="279"/>
    </row>
    <row r="28" spans="1:10" ht="20.100000000000001" customHeight="1" x14ac:dyDescent="0.35">
      <c r="B28" s="310"/>
      <c r="C28" s="311"/>
      <c r="D28" s="311"/>
      <c r="E28" s="311"/>
      <c r="F28" s="311"/>
      <c r="G28" s="311"/>
      <c r="H28" s="312"/>
      <c r="I28" s="312"/>
      <c r="J28" s="311"/>
    </row>
    <row r="29" spans="1:10" ht="20.100000000000001" customHeight="1" x14ac:dyDescent="0.4">
      <c r="B29" s="282" t="s">
        <v>73</v>
      </c>
      <c r="H29" s="278"/>
      <c r="I29" s="278"/>
      <c r="J29" s="278"/>
    </row>
    <row r="30" spans="1:10" ht="20.100000000000001" customHeight="1" x14ac:dyDescent="0.35"/>
    <row r="31" spans="1:10" ht="20.100000000000001" customHeight="1" x14ac:dyDescent="0.35">
      <c r="B31" s="206" t="s">
        <v>775</v>
      </c>
      <c r="E31" s="206" t="s">
        <v>202</v>
      </c>
    </row>
    <row r="32" spans="1:10" ht="20.100000000000001" customHeight="1" x14ac:dyDescent="0.35"/>
    <row r="33" spans="2:3" ht="13.2" x14ac:dyDescent="0.4">
      <c r="B33" s="206" t="s">
        <v>921</v>
      </c>
      <c r="C33" s="280" t="str">
        <f>IF(ber_Infusen!O1&gt;1,ber_Infusen!R1&amp;" /min","")</f>
        <v/>
      </c>
    </row>
    <row r="34" spans="2:3" ht="17.25" customHeight="1" x14ac:dyDescent="0.4">
      <c r="C34" s="280"/>
    </row>
    <row r="35" spans="2:3" ht="17.25" customHeight="1" x14ac:dyDescent="0.4">
      <c r="B35" s="206" t="s">
        <v>203</v>
      </c>
      <c r="C35" s="280" t="str">
        <f>IF(ber_Infusen!O1&gt;1,ber_Infusen!R2&amp;" mA","")</f>
        <v/>
      </c>
    </row>
    <row r="36" spans="2:3" ht="17.25" customHeight="1" x14ac:dyDescent="0.4">
      <c r="B36" s="206" t="s">
        <v>204</v>
      </c>
      <c r="C36" s="280" t="str">
        <f>IF(ber_Infusen!O1&gt;1,ber_Infusen!R3&amp;" mA","")</f>
        <v/>
      </c>
    </row>
    <row r="37" spans="2:3" ht="17.25" customHeight="1" x14ac:dyDescent="0.4">
      <c r="C37" s="280"/>
    </row>
    <row r="38" spans="2:3" ht="17.25" customHeight="1" x14ac:dyDescent="0.4">
      <c r="B38" s="206" t="s">
        <v>205</v>
      </c>
      <c r="C38" s="280" t="str">
        <f>IF(ber_Infusen!O1&gt;1,ber_Infusen!R4&amp;" msec","")</f>
        <v/>
      </c>
    </row>
    <row r="39" spans="2:3" ht="17.25" customHeight="1" x14ac:dyDescent="0.4">
      <c r="C39" s="280"/>
    </row>
    <row r="40" spans="2:3" ht="17.25" customHeight="1" x14ac:dyDescent="0.4">
      <c r="B40" s="206" t="s">
        <v>206</v>
      </c>
      <c r="C40" s="280" t="str">
        <f>IF(ber_Infusen!O1&gt;1,ber_Infusen!R5/10&amp;" mV","")</f>
        <v/>
      </c>
    </row>
    <row r="41" spans="2:3" ht="17.25" customHeight="1" x14ac:dyDescent="0.4">
      <c r="B41" s="206" t="s">
        <v>207</v>
      </c>
      <c r="C41" s="280" t="str">
        <f>IF(ber_Infusen!O1&gt;1,ber_Infusen!R6/10&amp;" mV","")</f>
        <v/>
      </c>
    </row>
    <row r="42" spans="2:3" ht="17.25" customHeight="1" x14ac:dyDescent="0.35"/>
  </sheetData>
  <sheetProtection algorithmName="SHA-512" hashValue="w6dce4tpJnxJzjvHQQsDBYwaqPeaqi/wJ/I5y7AwKCbqvre4tLTE3CQfbzcC+oNglrqJ1kMupbieuAkGbaMB1A==" saltValue="m3HK1n5nx1u3t2gNGjuquQ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774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1312</v>
      </c>
      <c r="L2">
        <v>2</v>
      </c>
      <c r="M2">
        <v>1</v>
      </c>
      <c r="Q2" t="s">
        <v>770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897</v>
      </c>
      <c r="J3" t="s">
        <v>1313</v>
      </c>
      <c r="L3">
        <v>3</v>
      </c>
      <c r="M3">
        <v>1</v>
      </c>
      <c r="O3" t="s">
        <v>1132</v>
      </c>
      <c r="P3" t="s">
        <v>767</v>
      </c>
      <c r="Q3" t="s">
        <v>771</v>
      </c>
      <c r="S3">
        <v>10</v>
      </c>
    </row>
    <row r="4" spans="1:19" x14ac:dyDescent="0.35">
      <c r="A4" s="11" t="s">
        <v>1101</v>
      </c>
      <c r="B4">
        <v>72</v>
      </c>
      <c r="C4">
        <f>B4*0.155</f>
        <v>11.16</v>
      </c>
      <c r="D4">
        <v>3</v>
      </c>
      <c r="E4">
        <v>1</v>
      </c>
      <c r="G4" s="8" t="s">
        <v>898</v>
      </c>
      <c r="J4" t="s">
        <v>1299</v>
      </c>
      <c r="L4">
        <v>4</v>
      </c>
      <c r="M4">
        <v>1</v>
      </c>
      <c r="O4" t="s">
        <v>765</v>
      </c>
      <c r="P4" t="s">
        <v>768</v>
      </c>
      <c r="Q4" t="s">
        <v>772</v>
      </c>
      <c r="S4">
        <v>170</v>
      </c>
    </row>
    <row r="5" spans="1:19" x14ac:dyDescent="0.35">
      <c r="A5" s="11" t="s">
        <v>1102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899</v>
      </c>
      <c r="J5" t="s">
        <v>1296</v>
      </c>
      <c r="L5">
        <v>5</v>
      </c>
      <c r="M5">
        <v>1</v>
      </c>
      <c r="O5" t="s">
        <v>766</v>
      </c>
      <c r="P5" t="s">
        <v>769</v>
      </c>
      <c r="Q5" t="s">
        <v>773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900</v>
      </c>
      <c r="J6" t="s">
        <v>125</v>
      </c>
      <c r="L6">
        <v>6</v>
      </c>
      <c r="M6">
        <v>1</v>
      </c>
      <c r="Q6" t="s">
        <v>939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901</v>
      </c>
      <c r="J7" t="s">
        <v>1292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902</v>
      </c>
      <c r="J8" t="s">
        <v>1293</v>
      </c>
      <c r="O8" t="s">
        <v>870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903</v>
      </c>
      <c r="J9" t="s">
        <v>984</v>
      </c>
    </row>
    <row r="10" spans="1:19" x14ac:dyDescent="0.35">
      <c r="A10" s="11" t="s">
        <v>297</v>
      </c>
      <c r="G10" s="9" t="s">
        <v>444</v>
      </c>
      <c r="J10" t="s">
        <v>1302</v>
      </c>
    </row>
    <row r="11" spans="1:19" x14ac:dyDescent="0.35">
      <c r="A11" s="11" t="s">
        <v>1321</v>
      </c>
      <c r="J11" t="s">
        <v>1301</v>
      </c>
    </row>
    <row r="12" spans="1:19" x14ac:dyDescent="0.35">
      <c r="A12" s="11" t="s">
        <v>1322</v>
      </c>
      <c r="J12" t="s">
        <v>1291</v>
      </c>
    </row>
    <row r="13" spans="1:19" x14ac:dyDescent="0.35">
      <c r="A13" s="11" t="s">
        <v>1048</v>
      </c>
      <c r="G13" s="9"/>
      <c r="J13" t="s">
        <v>1303</v>
      </c>
    </row>
    <row r="14" spans="1:19" x14ac:dyDescent="0.35">
      <c r="A14" s="11" t="s">
        <v>1049</v>
      </c>
      <c r="G14" s="9"/>
      <c r="J14" t="s">
        <v>1311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1300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1294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1298</v>
      </c>
    </row>
    <row r="18" spans="1:10" x14ac:dyDescent="0.35">
      <c r="A18" s="11" t="s">
        <v>589</v>
      </c>
      <c r="J18" t="s">
        <v>1297</v>
      </c>
    </row>
    <row r="19" spans="1:10" x14ac:dyDescent="0.35">
      <c r="A19" s="11" t="s">
        <v>1321</v>
      </c>
      <c r="J19" t="s">
        <v>1310</v>
      </c>
    </row>
    <row r="20" spans="1:10" x14ac:dyDescent="0.35">
      <c r="A20" s="11" t="s">
        <v>1322</v>
      </c>
      <c r="J20" t="s">
        <v>1295</v>
      </c>
    </row>
    <row r="21" spans="1:10" x14ac:dyDescent="0.35">
      <c r="A21" s="11" t="s">
        <v>1050</v>
      </c>
      <c r="J21" t="s">
        <v>1314</v>
      </c>
    </row>
    <row r="22" spans="1:10" x14ac:dyDescent="0.35">
      <c r="A22" s="11" t="s">
        <v>980</v>
      </c>
      <c r="J22" t="s">
        <v>1075</v>
      </c>
    </row>
    <row r="23" spans="1:10" x14ac:dyDescent="0.35">
      <c r="A23" s="11" t="s">
        <v>510</v>
      </c>
      <c r="J23" t="s">
        <v>1304</v>
      </c>
    </row>
    <row r="24" spans="1:10" x14ac:dyDescent="0.35">
      <c r="A24" s="11" t="s">
        <v>981</v>
      </c>
      <c r="J24" t="s">
        <v>1076</v>
      </c>
    </row>
    <row r="25" spans="1:10" x14ac:dyDescent="0.35">
      <c r="A25" s="11" t="s">
        <v>953</v>
      </c>
      <c r="J25" t="s">
        <v>1305</v>
      </c>
    </row>
    <row r="26" spans="1:10" x14ac:dyDescent="0.35">
      <c r="A26" s="11" t="s">
        <v>1392</v>
      </c>
      <c r="J26" t="s">
        <v>1077</v>
      </c>
    </row>
    <row r="27" spans="1:10" x14ac:dyDescent="0.35">
      <c r="A27" s="11" t="s">
        <v>1221</v>
      </c>
      <c r="J27" t="s">
        <v>1078</v>
      </c>
    </row>
    <row r="28" spans="1:10" x14ac:dyDescent="0.35">
      <c r="A28" s="11" t="s">
        <v>1219</v>
      </c>
      <c r="J28" t="s">
        <v>1079</v>
      </c>
    </row>
    <row r="29" spans="1:10" x14ac:dyDescent="0.35">
      <c r="A29" s="11" t="s">
        <v>1220</v>
      </c>
      <c r="J29" t="s">
        <v>296</v>
      </c>
    </row>
    <row r="30" spans="1:10" x14ac:dyDescent="0.35">
      <c r="A30" s="11" t="s">
        <v>1393</v>
      </c>
      <c r="J30" t="s">
        <v>124</v>
      </c>
    </row>
    <row r="31" spans="1:10" x14ac:dyDescent="0.35">
      <c r="A31" s="11" t="s">
        <v>1355</v>
      </c>
      <c r="J31" t="s">
        <v>72</v>
      </c>
    </row>
    <row r="32" spans="1:10" x14ac:dyDescent="0.35">
      <c r="A32" s="11" t="s">
        <v>1356</v>
      </c>
    </row>
    <row r="33" spans="1:1" x14ac:dyDescent="0.35">
      <c r="A33" s="11" t="s">
        <v>1357</v>
      </c>
    </row>
    <row r="34" spans="1:1" x14ac:dyDescent="0.35">
      <c r="A34" s="11" t="s">
        <v>985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1082</v>
      </c>
      <c r="E17" t="s">
        <v>1083</v>
      </c>
      <c r="F17" s="23">
        <f ca="1">TODAY()-GebDatum+1</f>
        <v>1284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1084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06" customFormat="1" x14ac:dyDescent="0.35">
      <c r="A1" s="242"/>
    </row>
    <row r="2" spans="1:22" s="206" customFormat="1" ht="13.2" x14ac:dyDescent="0.4">
      <c r="A2" s="242"/>
      <c r="B2" s="207" t="s">
        <v>948</v>
      </c>
      <c r="D2" s="208">
        <f ca="1">AfspraakDatum</f>
        <v>42192</v>
      </c>
      <c r="E2" s="209"/>
      <c r="F2" s="207" t="s">
        <v>949</v>
      </c>
      <c r="G2" s="210">
        <f>OpnDatum</f>
        <v>41363</v>
      </c>
      <c r="H2" s="207" t="str">
        <f ca="1">"ICU-dag: "&amp;AfspraakDatum-OpnDatum+1</f>
        <v>ICU-dag: 830</v>
      </c>
      <c r="I2" s="207"/>
      <c r="J2" s="207"/>
      <c r="K2" s="207"/>
    </row>
    <row r="3" spans="1:22" s="206" customFormat="1" ht="13.2" x14ac:dyDescent="0.4">
      <c r="A3" s="242"/>
      <c r="B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210">
        <f>GebDatum</f>
        <v>40909</v>
      </c>
      <c r="H3" s="212" t="str">
        <f>"Gewicht: "&amp;Gewicht/10&amp;" kg"</f>
        <v>Gewicht: 10 kg</v>
      </c>
      <c r="I3" s="207"/>
      <c r="J3" s="212" t="str">
        <f>"Lengte: "&amp;Lengte&amp;" cm"</f>
        <v>Lengte: 80 cm</v>
      </c>
      <c r="K3" s="207"/>
    </row>
    <row r="4" spans="1:22" s="206" customFormat="1" ht="13.2" x14ac:dyDescent="0.4">
      <c r="A4" s="242"/>
      <c r="B4" s="207" t="s">
        <v>1063</v>
      </c>
      <c r="D4" s="212">
        <f>PatNummer</f>
        <v>0</v>
      </c>
      <c r="E4" s="209"/>
      <c r="F4" s="207" t="s">
        <v>880</v>
      </c>
      <c r="G4" s="214" t="str">
        <f ca="1">TRUNC((AfspraakDatum-GebDatum)/365,0)&amp;" jaar en "&amp;TRUNC(((AfspraakDatum-GebDatum)-365*TRUNC((AfspraakDatum-GebDatum)/365,0))/30,0)&amp;" maand(-en)"</f>
        <v>3 jaar en 6 maand(-en)</v>
      </c>
      <c r="H4" s="207"/>
      <c r="I4" s="207" t="str">
        <f>"Lichamelijk oppervlak: "&amp;ROUND(POWER(Gewicht/10,0.425)*POWER(((Lengte/100)*100),0.725)*0.007184,2)&amp;" m2"</f>
        <v>Lichamelijk oppervlak: 0,46 m2</v>
      </c>
      <c r="J4" s="207"/>
      <c r="K4" s="207"/>
    </row>
    <row r="5" spans="1:22" ht="13.2" x14ac:dyDescent="0.4">
      <c r="C5" s="118"/>
      <c r="D5" s="218"/>
      <c r="E5" s="105"/>
      <c r="F5" s="118"/>
      <c r="G5" s="219"/>
      <c r="H5" s="118"/>
      <c r="I5" s="118"/>
      <c r="J5" s="118"/>
      <c r="K5" s="118"/>
    </row>
    <row r="6" spans="1:22" ht="17.25" customHeight="1" x14ac:dyDescent="0.4">
      <c r="C6" s="282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295" t="s">
        <v>890</v>
      </c>
      <c r="D7" s="29"/>
      <c r="E7" s="29"/>
      <c r="F7" s="29"/>
      <c r="G7" s="29"/>
      <c r="H7" s="29"/>
      <c r="I7" s="29"/>
      <c r="J7" s="29"/>
      <c r="K7" s="29"/>
      <c r="L7" s="295" t="s">
        <v>543</v>
      </c>
      <c r="N7" s="273"/>
    </row>
    <row r="8" spans="1:22" ht="19.55" customHeight="1" x14ac:dyDescent="0.35">
      <c r="B8" s="276"/>
      <c r="C8" s="284" t="str">
        <f>IF(ber_PO!O22&lt;&gt;0,ber_PO!L22&amp;" dd","")</f>
        <v/>
      </c>
      <c r="D8" s="285" t="str">
        <f>IF(ber_PO!O22&lt;&gt;0,ber_PO!N22&amp;" ml","")</f>
        <v/>
      </c>
      <c r="E8" s="276"/>
      <c r="F8" s="276"/>
      <c r="G8" s="276" t="str">
        <f>IF(C8="24 dd","continue drip","")</f>
        <v/>
      </c>
      <c r="H8" s="276" t="str">
        <f>IF(ber_PO!P22&gt;1,ber_PO!O22&amp;" ml per dag","")</f>
        <v/>
      </c>
      <c r="I8" s="276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76"/>
      <c r="C9" s="284" t="str">
        <f>IF(ber_PO!P23&gt;1,ber_PO!L23&amp;" dd","")</f>
        <v/>
      </c>
      <c r="D9" s="285" t="str">
        <f>IF(ber_PO!P23&gt;1,ber_PO!N23&amp;" gram","")</f>
        <v/>
      </c>
      <c r="E9" s="276"/>
      <c r="F9" s="276"/>
      <c r="G9" s="276"/>
      <c r="H9" s="276" t="str">
        <f>IF(ber_PO!P23&gt;1,ber_PO!O23&amp;" gram/dag","")</f>
        <v/>
      </c>
      <c r="I9" s="277" t="str">
        <f>IF(AND(ber_PO!O23&lt;&gt;0,ber_PO!O22&lt;&gt;0),"= "&amp;ROUND(ber_PO!O23*100/ber_PO!O22,1)&amp;"% extra","")</f>
        <v/>
      </c>
      <c r="J9" s="29"/>
      <c r="L9" s="206"/>
      <c r="M9" s="270" t="s">
        <v>544</v>
      </c>
      <c r="N9" s="306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76"/>
      <c r="C10" s="284" t="str">
        <f>IF(ber_PO!P24&gt;1,ber_PO!L24&amp;" dd","")</f>
        <v/>
      </c>
      <c r="D10" s="285" t="str">
        <f>IF(ber_PO!P24&gt;1,ber_PO!N24&amp;" gram","")</f>
        <v/>
      </c>
      <c r="E10" s="276"/>
      <c r="F10" s="276"/>
      <c r="G10" s="276"/>
      <c r="H10" s="276" t="str">
        <f>IF(ber_PO!P24&gt;1,ber_PO!O24&amp;" gram per dag","")</f>
        <v/>
      </c>
      <c r="I10" s="277" t="str">
        <f>IF(AND(ber_PO!O24&lt;&gt;0,ber_PO!O23&lt;&gt;0),"= "&amp;ROUND(ber_PO!O24*100/ber_PO!O22,1)&amp;"% extra","")</f>
        <v/>
      </c>
      <c r="J10" s="29"/>
      <c r="L10" s="206"/>
      <c r="M10" s="270" t="s">
        <v>658</v>
      </c>
      <c r="N10" s="309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76"/>
      <c r="C11" s="284" t="str">
        <f>IF(ber_PO!P25&gt;1,ber_PO!L25&amp;" dd","")</f>
        <v/>
      </c>
      <c r="D11" s="285" t="str">
        <f>IF(ber_PO!P25&gt;1,ber_PO!N25&amp;" gram","")</f>
        <v/>
      </c>
      <c r="E11" s="276"/>
      <c r="F11" s="276"/>
      <c r="G11" s="276"/>
      <c r="H11" s="276" t="str">
        <f>IF(ber_PO!P25&gt;1,ber_PO!O25&amp;" gram per dag","")</f>
        <v/>
      </c>
      <c r="I11" s="277" t="str">
        <f>IF(AND(ber_PO!O25&lt;&gt;0,ber_PO!O24&lt;&gt;0),"= "&amp;ROUND(ber_PO!O25*100/ber_PO!O22,1)&amp;"% extra","")</f>
        <v/>
      </c>
      <c r="J11" s="29"/>
      <c r="L11" s="206"/>
      <c r="M11" s="270" t="s">
        <v>545</v>
      </c>
      <c r="N11" s="309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17"/>
      <c r="D12" s="118"/>
      <c r="E12" s="29"/>
      <c r="F12" s="29"/>
      <c r="G12" s="29"/>
      <c r="H12" s="29"/>
      <c r="I12" s="29"/>
      <c r="J12" s="29"/>
      <c r="L12" s="206"/>
      <c r="M12" s="299" t="s">
        <v>659</v>
      </c>
      <c r="N12" s="309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04"/>
      <c r="C13" s="271" t="s">
        <v>912</v>
      </c>
      <c r="D13" s="305">
        <f>ber_Opm!C15</f>
        <v>0</v>
      </c>
      <c r="E13" s="306"/>
      <c r="F13" s="306"/>
      <c r="G13" s="306"/>
      <c r="H13" s="306"/>
      <c r="I13" s="306"/>
      <c r="J13" s="306"/>
      <c r="K13" s="306"/>
      <c r="L13" s="206"/>
      <c r="M13" s="299" t="s">
        <v>546</v>
      </c>
      <c r="N13" s="309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295" t="s">
        <v>891</v>
      </c>
      <c r="H14" s="283"/>
      <c r="J14" s="38"/>
      <c r="K14" s="38"/>
      <c r="L14" s="300"/>
      <c r="M14" s="299" t="s">
        <v>884</v>
      </c>
      <c r="N14" s="309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2"/>
      <c r="C15" s="308" t="s">
        <v>1046</v>
      </c>
      <c r="D15" s="273" t="str">
        <f>IF(ber_TPN!F3&lt;&gt;0,IF(ber_TPN!F3/24&gt;=10,ROUND(ber_TPN!F3/24,1),ROUND(ber_TPN!F3/24,1))&amp;" ml/uur","")</f>
        <v/>
      </c>
      <c r="E15" s="118" t="str">
        <f>IF(D15&lt;&gt;"",ber_TPN!F3&amp;" ml per dag","")</f>
        <v/>
      </c>
      <c r="F15" s="29"/>
      <c r="G15" s="276"/>
      <c r="H15" s="308" t="s">
        <v>1047</v>
      </c>
      <c r="I15" s="273" t="str">
        <f>IF(ber_TPN!D18&lt;&gt;0,ber_TPN!E18&amp;" ml/uur","")</f>
        <v/>
      </c>
      <c r="J15" s="118" t="str">
        <f>IF(I15&lt;&gt;"",ber_TPN!F18&amp;" ml per dag","")</f>
        <v/>
      </c>
      <c r="K15" s="29"/>
      <c r="L15" s="300"/>
      <c r="M15" s="299" t="s">
        <v>660</v>
      </c>
      <c r="N15" s="309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2"/>
      <c r="C16" s="308"/>
      <c r="D16" s="29"/>
      <c r="E16" s="273" t="str">
        <f>IF(AND(ber_TPN!E4&lt;&gt;0,ber_TPN!E4&lt;&gt;"",ber_TPN!B4&lt;&gt;1,ber_TPN!F4&lt;&gt;0),ber_TPN!F4&amp;" ml","")</f>
        <v/>
      </c>
      <c r="F16" s="272" t="str">
        <f>IF(AND(Gewicht/10&gt;=16,TPN=2),"Peditrace","")</f>
        <v/>
      </c>
      <c r="G16" s="288" t="str">
        <f>IF(AND(Gewicht/10&gt;=16,ber_TPN!F5&gt;0),ber_TPN!F5&amp;" ml","")</f>
        <v/>
      </c>
      <c r="H16" s="242"/>
      <c r="I16" s="29"/>
      <c r="J16" s="290"/>
      <c r="K16" s="291"/>
      <c r="L16" s="300"/>
      <c r="M16" s="301" t="s">
        <v>547</v>
      </c>
      <c r="N16" s="309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2"/>
      <c r="C17" s="242"/>
      <c r="D17" s="29"/>
      <c r="E17" s="273" t="str">
        <f>IF(ber_TPN!F6&lt;&gt;0,ROUND(ber_TPN!F6,1)&amp;" ml","")</f>
        <v/>
      </c>
      <c r="F17" s="382" t="str">
        <f>IF(AND(Gewicht/10&gt;50,TPN=2),"in 100 ml glucose 10%, "&amp;ROUND((ber_TPN!F5+ber_TPN!F16)/24,1)&amp;" ml/uur","")</f>
        <v/>
      </c>
      <c r="G17" s="382"/>
      <c r="H17" s="242"/>
      <c r="I17" s="29"/>
      <c r="J17" s="273" t="str">
        <f>IF(ber_TPN!F19&lt;&gt;0,ROUND(ber_TPN!F19,1)&amp;" ml","")</f>
        <v/>
      </c>
      <c r="K17" s="289"/>
      <c r="L17" s="242"/>
      <c r="M17" s="299" t="s">
        <v>977</v>
      </c>
      <c r="N17" s="309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2"/>
      <c r="C18" s="242" t="s">
        <v>1039</v>
      </c>
      <c r="D18" s="29"/>
      <c r="E18" s="273" t="str">
        <f>IF(ber_TPN!C7,ber_TPN!F7&amp;" ml","")</f>
        <v/>
      </c>
      <c r="F18" s="29"/>
      <c r="G18" s="29"/>
      <c r="H18" s="298" t="s">
        <v>1039</v>
      </c>
      <c r="I18" s="29"/>
      <c r="J18" s="273" t="str">
        <f>IF(ber_TPN!C20,ber_TPN!F20&amp;" ml","")</f>
        <v/>
      </c>
      <c r="K18" s="289"/>
      <c r="L18" s="29"/>
      <c r="P18" s="38"/>
      <c r="T18" s="38"/>
      <c r="U18" s="38"/>
      <c r="V18" s="38"/>
    </row>
    <row r="19" spans="2:22" ht="19.55" customHeight="1" x14ac:dyDescent="0.4">
      <c r="B19" s="242"/>
      <c r="C19" s="242" t="s">
        <v>662</v>
      </c>
      <c r="D19" s="29"/>
      <c r="E19" s="273" t="str">
        <f>IF(ber_TPN!C8,ber_TPN!F8&amp;" ml","")</f>
        <v/>
      </c>
      <c r="F19" s="29"/>
      <c r="G19" s="29"/>
      <c r="H19" s="298" t="s">
        <v>662</v>
      </c>
      <c r="I19" s="29"/>
      <c r="J19" s="273" t="str">
        <f>IF(ber_TPN!C21,ber_TPN!F21&amp;" ml","")</f>
        <v/>
      </c>
      <c r="K19" s="289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3"/>
      <c r="F20" s="29"/>
      <c r="G20" s="29"/>
      <c r="H20" s="217"/>
      <c r="I20" s="29"/>
      <c r="J20" s="273"/>
      <c r="K20" s="289"/>
      <c r="L20" s="29"/>
      <c r="P20" s="38"/>
      <c r="T20" s="38"/>
      <c r="U20" s="38"/>
      <c r="V20" s="38"/>
    </row>
    <row r="21" spans="2:22" ht="19.55" customHeight="1" x14ac:dyDescent="0.4">
      <c r="B21" s="242"/>
      <c r="C21" s="242" t="s">
        <v>1040</v>
      </c>
      <c r="D21" s="29"/>
      <c r="E21" s="273" t="str">
        <f>IF(ber_TPN!C9,ber_TPN!D9&amp;" ml","")</f>
        <v/>
      </c>
      <c r="F21" s="29"/>
      <c r="G21" s="273" t="str">
        <f>IF(AND(Gewicht/10&lt;=50,SSTglucose&lt;11,TPN=2),"in "&amp;ber_TPN!F16&amp;" ml glucose 10% ="&amp;ROUND((ber_TPN!F16+ber_TPN!F10+ber_TPN!F9)/24,1)&amp;" ml/uur","")</f>
        <v/>
      </c>
      <c r="H21" s="217"/>
      <c r="I21" s="29"/>
      <c r="J21" s="290"/>
      <c r="K21" s="291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2"/>
      <c r="C22" s="242" t="s">
        <v>978</v>
      </c>
      <c r="E22" s="273" t="str">
        <f>IF(ber_TPN!C10,ber_TPN!D10&amp;" ml","")</f>
        <v/>
      </c>
      <c r="J22" s="290"/>
      <c r="K22" s="291"/>
      <c r="L22" s="290"/>
      <c r="M22" s="290"/>
      <c r="N22" s="290"/>
      <c r="O22" s="290"/>
      <c r="P22" s="290"/>
      <c r="T22" s="290"/>
      <c r="U22" s="290"/>
      <c r="V22" s="290"/>
    </row>
    <row r="23" spans="2:22" ht="24.05" customHeight="1" x14ac:dyDescent="0.4">
      <c r="B23" s="296"/>
      <c r="C23" s="296" t="s">
        <v>976</v>
      </c>
      <c r="D23" s="276"/>
      <c r="E23" s="286" t="str">
        <f>IF(ber_TPN!C11,ber_TPN!F11&amp;" ml","")</f>
        <v/>
      </c>
      <c r="F23" s="276"/>
      <c r="G23" s="276" t="str">
        <f>IF(ber_TPN!F11&gt;0,ROUND(ber_TPN!F11*1.5/(Gewicht/10),2)&amp;" mmol/kg","")</f>
        <v/>
      </c>
      <c r="H23" s="27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6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3" t="s">
        <v>611</v>
      </c>
      <c r="D24" s="273" t="str">
        <f>IF(ber_TPN!D12&lt;&gt;0,ber_TPN!E12&amp;" ml/uur","")</f>
        <v/>
      </c>
      <c r="E24" s="273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297"/>
      <c r="C25" s="297" t="s">
        <v>612</v>
      </c>
      <c r="D25" s="288"/>
      <c r="E25" s="287" t="str">
        <f>IF(ber_TPN!F13&lt;&gt;0,ROUND(ber_TPN!F13,0)&amp;" ml","")</f>
        <v/>
      </c>
      <c r="F25" s="288"/>
      <c r="G25" s="288"/>
      <c r="H25" s="288"/>
      <c r="I25" s="292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2"/>
      <c r="C26" s="242" t="s">
        <v>613</v>
      </c>
      <c r="D26" s="29"/>
      <c r="E26" s="273" t="str">
        <f>IF(ber_TPN!C14,ber_TPN!F14&amp;" ml","")</f>
        <v/>
      </c>
      <c r="F26" s="29"/>
      <c r="G26" s="29"/>
      <c r="H26" s="29"/>
      <c r="I26" s="29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296"/>
      <c r="C27" s="296" t="s">
        <v>614</v>
      </c>
      <c r="D27" s="276"/>
      <c r="E27" s="286" t="str">
        <f>IF(ber_TPN!C15,ber_TPN!F15&amp;" ml","")</f>
        <v/>
      </c>
      <c r="F27" s="276"/>
      <c r="G27" s="276"/>
      <c r="H27" s="276"/>
      <c r="I27" s="294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3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04"/>
      <c r="C29" s="271" t="s">
        <v>912</v>
      </c>
      <c r="D29" s="305">
        <f>ber_Opm!C9</f>
        <v>0</v>
      </c>
      <c r="E29" s="306"/>
      <c r="F29" s="306"/>
      <c r="G29" s="306"/>
      <c r="H29" s="306"/>
      <c r="I29" s="306"/>
      <c r="J29" s="307"/>
      <c r="K29" s="307"/>
      <c r="L29" s="307"/>
      <c r="M29" s="307"/>
      <c r="N29" s="307"/>
      <c r="O29" s="307"/>
      <c r="P29" s="307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3"/>
      <c r="D30" s="29"/>
      <c r="E30" s="273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2" t="s">
        <v>881</v>
      </c>
      <c r="C31" s="302"/>
      <c r="D31" s="303" t="str">
        <f>ROUND(ber_totalen!C2,0)&amp;" ml/kg"</f>
        <v>0 ml/kg</v>
      </c>
      <c r="E31" s="302" t="str">
        <f ca="1">ROUND(ber_normaal!$A$18,0)&amp;" ml/kg"</f>
        <v>100 ml/kg</v>
      </c>
      <c r="F31" s="302" t="str">
        <f>"= "&amp;ROUND(ber_totalen!C2*Gewicht/10,0)&amp;" ml/dag"</f>
        <v>= 0 ml/dag</v>
      </c>
      <c r="G31" s="302"/>
      <c r="H31" s="302" t="s">
        <v>658</v>
      </c>
      <c r="I31" s="303" t="str">
        <f>ROUND(ber_totalen!$C$9,1)&amp;"  gram/kg"</f>
        <v>0  gram/kg</v>
      </c>
      <c r="J31" s="302" t="str">
        <f>IF(Gewicht/10&lt;30,"2-2,5 g/kg","1,5 g/kg")</f>
        <v>2-2,5 g/kg</v>
      </c>
      <c r="K31" s="302"/>
      <c r="L31" s="331"/>
      <c r="M31" s="332"/>
      <c r="N31" s="332"/>
      <c r="O31" s="332"/>
      <c r="P31" s="332"/>
    </row>
    <row r="32" spans="2:22" ht="13.2" x14ac:dyDescent="0.4">
      <c r="B32" s="302" t="s">
        <v>882</v>
      </c>
      <c r="C32" s="302"/>
      <c r="D32" s="303" t="str">
        <f>ROUND(ber_totalen!E38,0)&amp;" kCal/kg"</f>
        <v>0 kCal/kg</v>
      </c>
      <c r="E32" s="302" t="str">
        <f ca="1">ber_normaal!$A$21&amp;" kCal/kg"</f>
        <v>90 kCal/kg</v>
      </c>
      <c r="F32" s="302"/>
      <c r="G32" s="302"/>
      <c r="H32" s="302" t="s">
        <v>659</v>
      </c>
      <c r="I32" s="303" t="str">
        <f>ROUND(ber_totalen!$C$13,1)&amp;" gram/kg"</f>
        <v>0 gram/kg</v>
      </c>
      <c r="J32" s="302" t="str">
        <f>IF(Gewicht/10&lt;30,"4 g/kg","2 g/kg")</f>
        <v>4 g/kg</v>
      </c>
      <c r="K32" s="302"/>
      <c r="L32" s="331"/>
      <c r="M32" s="332"/>
      <c r="N32" s="332"/>
      <c r="O32" s="332"/>
      <c r="P32" s="332"/>
    </row>
    <row r="33" spans="2:16" ht="13.2" x14ac:dyDescent="0.4">
      <c r="B33" s="302" t="s">
        <v>702</v>
      </c>
      <c r="C33" s="302"/>
      <c r="D33" s="303" t="str">
        <f>ROUND(ber_totalen!C5,1)&amp;" g/kg"</f>
        <v>0 g/kg</v>
      </c>
      <c r="E33" s="302" t="s">
        <v>1087</v>
      </c>
      <c r="F33" s="302" t="str">
        <f>"= "&amp;ROUND(ber_totalen!C5/1.4,1)&amp;" mg/kg/min"</f>
        <v>= 0 mg/kg/min</v>
      </c>
      <c r="G33" s="302"/>
      <c r="H33" s="302" t="s">
        <v>660</v>
      </c>
      <c r="I33" s="303" t="str">
        <f>ROUND(ber_totalen!$C$27,1)&amp;" mmol/kg"</f>
        <v>0 mmol/kg</v>
      </c>
      <c r="J33" s="302" t="s">
        <v>1366</v>
      </c>
      <c r="K33" s="302"/>
      <c r="L33" s="331"/>
      <c r="M33" s="332"/>
      <c r="N33" s="332"/>
      <c r="O33" s="332"/>
      <c r="P33" s="332"/>
    </row>
    <row r="34" spans="2:16" ht="13.2" x14ac:dyDescent="0.4">
      <c r="B34" s="302" t="s">
        <v>883</v>
      </c>
      <c r="C34" s="302"/>
      <c r="D34" s="303" t="str">
        <f>ROUND(ber_totalen!C17,1)&amp;" mmol/kg"</f>
        <v>0 mmol/kg</v>
      </c>
      <c r="E34" s="302" t="s">
        <v>1081</v>
      </c>
      <c r="F34" s="302"/>
      <c r="G34" s="302"/>
      <c r="H34" s="302" t="s">
        <v>977</v>
      </c>
      <c r="I34" s="303" t="str">
        <f>ROUND(ber_totalen!$C$33,1)&amp;" mmol/kg"</f>
        <v>0 mmol/kg</v>
      </c>
      <c r="J34" s="302" t="s">
        <v>1086</v>
      </c>
      <c r="K34" s="302"/>
      <c r="L34" s="331"/>
      <c r="M34" s="332"/>
      <c r="N34" s="332"/>
      <c r="O34" s="332"/>
      <c r="P34" s="332"/>
    </row>
    <row r="35" spans="2:16" ht="13.2" x14ac:dyDescent="0.4">
      <c r="B35" s="302" t="s">
        <v>884</v>
      </c>
      <c r="C35" s="302"/>
      <c r="D35" s="303" t="str">
        <f>ROUND(ber_totalen!C23,1)&amp;" mmol/kg"</f>
        <v>0 mmol/kg</v>
      </c>
      <c r="E35" s="302" t="s">
        <v>1080</v>
      </c>
      <c r="F35" s="302"/>
      <c r="G35" s="302"/>
      <c r="H35" s="302" t="s">
        <v>661</v>
      </c>
      <c r="I35" s="303" t="str">
        <f>ROUND(ber_totalen!$C$30,1)&amp;" mmol/kg"</f>
        <v>0 mmol/kg</v>
      </c>
      <c r="J35" s="302" t="s">
        <v>1085</v>
      </c>
      <c r="K35" s="302"/>
      <c r="L35" s="331"/>
      <c r="M35" s="332"/>
      <c r="N35" s="332"/>
      <c r="O35" s="332"/>
      <c r="P35" s="332"/>
    </row>
  </sheetData>
  <sheetProtection algorithmName="SHA-512" hashValue="703iYtIH+h5pxstUEnXFTe4J00JLSNShOnIXO8nZm8MvoRMdzxd6qSL14ikQIXxXyv4SuQSR9QoPGx9TBsEssQ==" saltValue="0psjzsaXbUbZ/81veW69D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915</v>
      </c>
      <c r="E2" s="37" t="s">
        <v>379</v>
      </c>
      <c r="F2" t="s">
        <v>960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1044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958</v>
      </c>
      <c r="F5">
        <f>IF(AND(Gewicht/10&gt;=16,TPN&gt;1,OR(SSTglucose&lt;11,Gewicht/10&gt;50)),E5,0)</f>
        <v>0</v>
      </c>
    </row>
    <row r="6" spans="1:15" x14ac:dyDescent="0.35">
      <c r="A6" t="s">
        <v>916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1040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978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976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1045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1039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3"/>
      <c r="B25" s="103" t="s">
        <v>663</v>
      </c>
      <c r="C25" s="103" t="s">
        <v>664</v>
      </c>
      <c r="D25" s="103" t="s">
        <v>665</v>
      </c>
      <c r="E25" s="103" t="s">
        <v>666</v>
      </c>
      <c r="F25" s="103" t="s">
        <v>667</v>
      </c>
      <c r="G25" s="103" t="s">
        <v>668</v>
      </c>
      <c r="H25" s="103" t="s">
        <v>669</v>
      </c>
      <c r="I25" s="103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945</v>
      </c>
      <c r="L26">
        <v>0.05</v>
      </c>
      <c r="M26">
        <v>0</v>
      </c>
    </row>
    <row r="27" spans="1:15" x14ac:dyDescent="0.35">
      <c r="A27" s="103" t="s">
        <v>1038</v>
      </c>
      <c r="B27" s="103">
        <v>0.08</v>
      </c>
      <c r="C27" s="103">
        <v>0</v>
      </c>
      <c r="D27" s="103">
        <v>8.0000000000000002E-3</v>
      </c>
      <c r="E27" s="103">
        <v>0.02</v>
      </c>
      <c r="F27" s="103">
        <v>2.8000000000000001E-2</v>
      </c>
      <c r="G27" s="103">
        <v>8.0000000000000002E-3</v>
      </c>
      <c r="H27" s="103">
        <v>2.4E-2</v>
      </c>
      <c r="I27" s="103">
        <v>0.32</v>
      </c>
      <c r="J27">
        <v>2</v>
      </c>
      <c r="K27" t="s">
        <v>946</v>
      </c>
      <c r="L27">
        <v>0.1</v>
      </c>
      <c r="M27">
        <v>0</v>
      </c>
    </row>
    <row r="28" spans="1:15" x14ac:dyDescent="0.35">
      <c r="A28" s="103" t="s">
        <v>1037</v>
      </c>
      <c r="B28" s="103">
        <v>7.3999999999999996E-2</v>
      </c>
      <c r="C28" s="103">
        <v>0</v>
      </c>
      <c r="D28" s="103">
        <f>(0.5*0.5)/35</f>
        <v>7.1428571428571426E-3</v>
      </c>
      <c r="E28" s="103">
        <f>1.7/100</f>
        <v>1.7000000000000001E-2</v>
      </c>
      <c r="F28" s="103">
        <v>2.5000000000000001E-2</v>
      </c>
      <c r="G28" s="103">
        <f>0.6/100</f>
        <v>6.0000000000000001E-3</v>
      </c>
      <c r="H28" s="103">
        <v>2.1000000000000001E-2</v>
      </c>
      <c r="I28" s="103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3" t="s">
        <v>1038</v>
      </c>
      <c r="B29" s="103">
        <v>0.08</v>
      </c>
      <c r="C29" s="103">
        <v>0</v>
      </c>
      <c r="D29" s="103">
        <f>0.4*0.5/25</f>
        <v>8.0000000000000002E-3</v>
      </c>
      <c r="E29" s="103">
        <f>0.5/25</f>
        <v>0.02</v>
      </c>
      <c r="F29" s="103">
        <v>2.8000000000000001E-2</v>
      </c>
      <c r="G29" s="103">
        <v>8.0000000000000002E-3</v>
      </c>
      <c r="H29" s="103">
        <v>2.4E-2</v>
      </c>
      <c r="I29" s="103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3" t="s">
        <v>180</v>
      </c>
      <c r="B30" s="103">
        <v>8.7999999999999995E-2</v>
      </c>
      <c r="C30" s="103">
        <v>0</v>
      </c>
      <c r="D30" s="103">
        <f>0.5*0.4/20</f>
        <v>0.01</v>
      </c>
      <c r="E30" s="103">
        <v>2.5000000000000001E-2</v>
      </c>
      <c r="F30" s="103">
        <v>1.7999999999999999E-2</v>
      </c>
      <c r="G30" s="103">
        <v>0.01</v>
      </c>
      <c r="H30" s="103">
        <v>0.03</v>
      </c>
      <c r="I30" s="103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3" t="s">
        <v>181</v>
      </c>
      <c r="B31" s="103">
        <v>8.3000000000000004E-2</v>
      </c>
      <c r="C31" s="103">
        <v>0</v>
      </c>
      <c r="D31" s="103">
        <f>0.3*0.5/12</f>
        <v>1.2499999999999999E-2</v>
      </c>
      <c r="E31" s="103">
        <v>3.1E-2</v>
      </c>
      <c r="F31" s="103">
        <v>2.5999999999999999E-2</v>
      </c>
      <c r="G31" s="103">
        <v>1.2500000000000001E-2</v>
      </c>
      <c r="H31" s="103">
        <v>3.7999999999999999E-2</v>
      </c>
      <c r="I31" s="103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3" t="s">
        <v>293</v>
      </c>
      <c r="B32" s="103">
        <v>7.0000000000000007E-2</v>
      </c>
      <c r="C32" s="103">
        <v>0.24</v>
      </c>
      <c r="D32" s="103">
        <v>4.0500000000000001E-2</v>
      </c>
      <c r="E32" s="103">
        <v>2.5700000000000001E-2</v>
      </c>
      <c r="F32" s="103">
        <v>4.1000000000000003E-3</v>
      </c>
      <c r="G32" s="103">
        <v>5.0000000000000001E-3</v>
      </c>
      <c r="H32" s="103">
        <v>1.47E-2</v>
      </c>
      <c r="I32" s="103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861</v>
      </c>
      <c r="L34">
        <v>0.4</v>
      </c>
      <c r="M34">
        <v>0</v>
      </c>
      <c r="N34">
        <v>0</v>
      </c>
    </row>
    <row r="35" spans="1:15" x14ac:dyDescent="0.35">
      <c r="A35" s="103" t="s">
        <v>1037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3" t="s">
        <v>1038</v>
      </c>
      <c r="J36">
        <v>11</v>
      </c>
      <c r="K36" t="s">
        <v>1429</v>
      </c>
      <c r="L36">
        <v>0.05</v>
      </c>
      <c r="M36">
        <v>7.6999999999999999E-2</v>
      </c>
      <c r="O36">
        <v>0</v>
      </c>
    </row>
    <row r="37" spans="1:15" x14ac:dyDescent="0.35">
      <c r="A37" s="103" t="s">
        <v>180</v>
      </c>
      <c r="J37">
        <v>12</v>
      </c>
      <c r="K37" t="s">
        <v>1430</v>
      </c>
      <c r="L37">
        <v>0.05</v>
      </c>
      <c r="M37">
        <v>0.155</v>
      </c>
      <c r="O37">
        <v>0</v>
      </c>
    </row>
    <row r="38" spans="1:15" x14ac:dyDescent="0.35">
      <c r="A38" s="103" t="s">
        <v>181</v>
      </c>
      <c r="J38">
        <v>13</v>
      </c>
      <c r="K38" t="s">
        <v>957</v>
      </c>
      <c r="L38">
        <v>0</v>
      </c>
      <c r="M38">
        <v>0.155</v>
      </c>
      <c r="O38">
        <v>0</v>
      </c>
    </row>
    <row r="39" spans="1:15" x14ac:dyDescent="0.35">
      <c r="A39" s="103" t="s">
        <v>293</v>
      </c>
      <c r="J39">
        <v>14</v>
      </c>
      <c r="K39" s="11" t="s">
        <v>1431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1181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295" t="s">
        <v>447</v>
      </c>
      <c r="C1" s="317"/>
      <c r="D1" s="330" t="s">
        <v>1420</v>
      </c>
      <c r="E1" s="317"/>
      <c r="F1" s="317"/>
      <c r="G1" s="29"/>
      <c r="H1" s="118"/>
      <c r="I1" s="29"/>
      <c r="J1" s="29"/>
    </row>
    <row r="2" spans="1:17" ht="13.2" x14ac:dyDescent="0.4">
      <c r="A2" s="29"/>
      <c r="B2" s="282"/>
    </row>
    <row r="3" spans="1:17" ht="18.75" customHeight="1" x14ac:dyDescent="0.4">
      <c r="A3" s="29"/>
      <c r="B3" s="308" t="s">
        <v>1181</v>
      </c>
      <c r="C3" s="242"/>
      <c r="D3" s="308" t="s">
        <v>1421</v>
      </c>
      <c r="E3" s="242"/>
      <c r="F3" s="308" t="s">
        <v>1422</v>
      </c>
      <c r="G3" s="242"/>
      <c r="H3" s="308" t="s">
        <v>451</v>
      </c>
      <c r="I3" s="242"/>
      <c r="J3" s="308"/>
      <c r="K3" s="242"/>
      <c r="L3" s="308" t="s">
        <v>68</v>
      </c>
      <c r="M3" s="242"/>
      <c r="N3" s="308" t="s">
        <v>69</v>
      </c>
      <c r="O3" s="242"/>
      <c r="P3" s="308" t="s">
        <v>70</v>
      </c>
      <c r="Q3" s="242"/>
    </row>
    <row r="4" spans="1:17" ht="26.3" customHeight="1" x14ac:dyDescent="0.35">
      <c r="B4" s="328"/>
      <c r="C4" s="329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1:17" ht="26.3" customHeight="1" x14ac:dyDescent="0.35">
      <c r="B5" s="328"/>
      <c r="C5" s="329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</row>
    <row r="6" spans="1:17" ht="26.3" customHeight="1" x14ac:dyDescent="0.35">
      <c r="B6" s="328"/>
      <c r="C6" s="329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ht="26.3" customHeight="1" x14ac:dyDescent="0.35">
      <c r="B7" s="328"/>
      <c r="C7" s="329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ht="26.3" customHeight="1" x14ac:dyDescent="0.35">
      <c r="B8" s="328"/>
      <c r="C8" s="329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ht="26.3" customHeight="1" x14ac:dyDescent="0.35">
      <c r="B9" s="328"/>
      <c r="C9" s="329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1:17" ht="26.3" customHeight="1" x14ac:dyDescent="0.35">
      <c r="B10" s="328"/>
      <c r="C10" s="329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</row>
    <row r="11" spans="1:17" ht="26.3" customHeight="1" x14ac:dyDescent="0.35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ht="26.3" customHeight="1" x14ac:dyDescent="0.35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ht="26.3" customHeight="1" x14ac:dyDescent="0.35"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ht="26.3" customHeight="1" x14ac:dyDescent="0.35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ht="26.3" customHeight="1" x14ac:dyDescent="0.35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ht="26.3" customHeight="1" x14ac:dyDescent="0.35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</row>
    <row r="17" spans="2:17" ht="26.3" customHeight="1" x14ac:dyDescent="0.35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2:17" ht="26.3" customHeight="1" x14ac:dyDescent="0.35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</row>
    <row r="19" spans="2:17" ht="26.3" customHeight="1" x14ac:dyDescent="0.35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26.3" customHeight="1" x14ac:dyDescent="0.35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2:17" ht="26.3" customHeight="1" x14ac:dyDescent="0.35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2:17" ht="26.3" customHeight="1" x14ac:dyDescent="0.35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2:17" ht="26.3" customHeight="1" x14ac:dyDescent="0.35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2:17" ht="26.3" customHeight="1" x14ac:dyDescent="0.35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</row>
    <row r="25" spans="2:17" ht="26.3" customHeight="1" x14ac:dyDescent="0.35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2:17" ht="26.3" customHeight="1" x14ac:dyDescent="0.35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2:17" ht="26.3" customHeight="1" x14ac:dyDescent="0.35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2:17" ht="26.3" customHeight="1" x14ac:dyDescent="0.35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2:17" ht="26.3" customHeight="1" x14ac:dyDescent="0.35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</row>
    <row r="30" spans="2:17" ht="26.3" customHeight="1" x14ac:dyDescent="0.35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</row>
    <row r="33" spans="2:3" x14ac:dyDescent="0.35">
      <c r="B33" s="206" t="s">
        <v>912</v>
      </c>
      <c r="C33" s="26">
        <f>opmAfsprBlad__9</f>
        <v>0</v>
      </c>
    </row>
  </sheetData>
  <sheetProtection algorithmName="SHA-512" hashValue="XkxIoF586vk/CLbPQI8cvTZHx89AHtLITOSR0Rq0aiwR7Gs9jFVnsG5brf2yuVR8NRUtHx146MsByrRdGahG6w==" saltValue="raM6EWHKlcuUVO9ueKRq7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882</v>
      </c>
      <c r="E1" t="s">
        <v>605</v>
      </c>
    </row>
    <row r="2" spans="1:5" ht="13.2" x14ac:dyDescent="0.4">
      <c r="A2" s="12" t="s">
        <v>1041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1042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1043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1112</v>
      </c>
      <c r="B1" t="s">
        <v>1360</v>
      </c>
      <c r="C1" t="s">
        <v>414</v>
      </c>
      <c r="D1" t="s">
        <v>635</v>
      </c>
      <c r="E1" t="s">
        <v>920</v>
      </c>
      <c r="F1" t="s">
        <v>623</v>
      </c>
      <c r="G1" t="s">
        <v>919</v>
      </c>
      <c r="H1" t="s">
        <v>627</v>
      </c>
      <c r="I1" t="s">
        <v>1395</v>
      </c>
      <c r="J1" t="s">
        <v>1396</v>
      </c>
      <c r="K1" t="s">
        <v>1367</v>
      </c>
    </row>
    <row r="2" spans="1:17" x14ac:dyDescent="0.35">
      <c r="A2" t="s">
        <v>993</v>
      </c>
      <c r="B2" t="s">
        <v>992</v>
      </c>
      <c r="D2" t="s">
        <v>993</v>
      </c>
      <c r="E2" t="s">
        <v>935</v>
      </c>
      <c r="H2" t="s">
        <v>914</v>
      </c>
      <c r="I2" t="b">
        <v>0</v>
      </c>
      <c r="J2">
        <v>30</v>
      </c>
      <c r="K2">
        <v>3</v>
      </c>
    </row>
    <row r="3" spans="1:17" x14ac:dyDescent="0.35">
      <c r="A3" t="s">
        <v>1091</v>
      </c>
      <c r="B3" t="s">
        <v>587</v>
      </c>
      <c r="C3" t="s">
        <v>1378</v>
      </c>
      <c r="D3" t="s">
        <v>636</v>
      </c>
      <c r="E3" t="s">
        <v>936</v>
      </c>
      <c r="F3" t="s">
        <v>624</v>
      </c>
      <c r="G3" t="s">
        <v>1218</v>
      </c>
      <c r="H3" t="s">
        <v>628</v>
      </c>
    </row>
    <row r="4" spans="1:17" x14ac:dyDescent="0.35">
      <c r="A4" t="s">
        <v>1113</v>
      </c>
      <c r="B4" t="s">
        <v>588</v>
      </c>
      <c r="C4" t="s">
        <v>1379</v>
      </c>
      <c r="D4" t="s">
        <v>637</v>
      </c>
      <c r="E4" t="s">
        <v>937</v>
      </c>
      <c r="H4" t="s">
        <v>113</v>
      </c>
    </row>
    <row r="5" spans="1:17" x14ac:dyDescent="0.35">
      <c r="A5" t="s">
        <v>959</v>
      </c>
      <c r="B5" t="s">
        <v>990</v>
      </c>
      <c r="D5" t="s">
        <v>1394</v>
      </c>
      <c r="E5" t="s">
        <v>938</v>
      </c>
      <c r="H5" t="s">
        <v>114</v>
      </c>
    </row>
    <row r="6" spans="1:17" x14ac:dyDescent="0.35">
      <c r="A6" t="s">
        <v>412</v>
      </c>
      <c r="B6" t="s">
        <v>991</v>
      </c>
      <c r="D6" t="s">
        <v>411</v>
      </c>
      <c r="E6" t="s">
        <v>939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4" t="s">
        <v>665</v>
      </c>
      <c r="E4" s="74">
        <v>4.3478000000000003E-2</v>
      </c>
      <c r="H4" s="74"/>
    </row>
    <row r="5" spans="3:8" x14ac:dyDescent="0.35">
      <c r="C5" s="6"/>
      <c r="D5" s="74" t="s">
        <v>666</v>
      </c>
      <c r="E5" s="74">
        <v>2.5641000000000001E-2</v>
      </c>
      <c r="H5" s="74"/>
    </row>
    <row r="6" spans="3:8" x14ac:dyDescent="0.35">
      <c r="D6" s="74" t="s">
        <v>667</v>
      </c>
      <c r="E6" s="74">
        <v>2.5000000000000001E-2</v>
      </c>
      <c r="H6" s="74"/>
    </row>
    <row r="7" spans="3:8" x14ac:dyDescent="0.35">
      <c r="D7" s="74" t="s">
        <v>674</v>
      </c>
      <c r="E7" s="74">
        <v>3.2288999999999998E-2</v>
      </c>
      <c r="H7" s="74"/>
    </row>
    <row r="8" spans="3:8" x14ac:dyDescent="0.35">
      <c r="D8" s="74" t="s">
        <v>668</v>
      </c>
      <c r="E8" s="74">
        <v>4.1140999999999997E-2</v>
      </c>
      <c r="H8" s="74"/>
    </row>
    <row r="9" spans="3:8" x14ac:dyDescent="0.35">
      <c r="D9" s="74"/>
      <c r="E9" s="74"/>
      <c r="H9" s="74"/>
    </row>
    <row r="10" spans="3:8" x14ac:dyDescent="0.35">
      <c r="D10" s="74"/>
      <c r="E10" s="74"/>
      <c r="H10" s="74"/>
    </row>
    <row r="11" spans="3:8" x14ac:dyDescent="0.35">
      <c r="D11" s="74"/>
      <c r="E11" s="74"/>
      <c r="H11" s="74"/>
    </row>
    <row r="12" spans="3:8" x14ac:dyDescent="0.35">
      <c r="D12" s="74"/>
      <c r="E12" s="74"/>
      <c r="H12" s="74"/>
    </row>
    <row r="13" spans="3:8" x14ac:dyDescent="0.35">
      <c r="D13" s="74"/>
      <c r="E13" s="74"/>
      <c r="H13" s="74"/>
    </row>
    <row r="14" spans="3:8" x14ac:dyDescent="0.35">
      <c r="D14" s="74"/>
      <c r="E14" s="74"/>
      <c r="H14" s="74"/>
    </row>
    <row r="15" spans="3:8" x14ac:dyDescent="0.35">
      <c r="D15" s="74"/>
      <c r="E15" s="74"/>
      <c r="H15" s="74"/>
    </row>
    <row r="16" spans="3:8" x14ac:dyDescent="0.35">
      <c r="D16" s="74"/>
      <c r="E16" s="74"/>
      <c r="H16" s="74"/>
    </row>
    <row r="17" spans="4:8" x14ac:dyDescent="0.35">
      <c r="D17" s="74"/>
      <c r="E17" s="74"/>
      <c r="H17" s="74"/>
    </row>
    <row r="18" spans="4:8" x14ac:dyDescent="0.35">
      <c r="D18" s="74"/>
      <c r="E18" s="74"/>
      <c r="H18" s="74"/>
    </row>
    <row r="19" spans="4:8" x14ac:dyDescent="0.35">
      <c r="D19" s="74"/>
      <c r="E19" s="74"/>
      <c r="H19" s="74"/>
    </row>
    <row r="20" spans="4:8" x14ac:dyDescent="0.35">
      <c r="D20" s="74"/>
      <c r="E20" s="74"/>
      <c r="H20" s="74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951</v>
      </c>
      <c r="V1" s="37" t="s">
        <v>60</v>
      </c>
      <c r="W1" s="37" t="s">
        <v>952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888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951</v>
      </c>
    </row>
    <row r="43" spans="1:3" x14ac:dyDescent="0.35">
      <c r="A43" s="37" t="s">
        <v>60</v>
      </c>
    </row>
    <row r="44" spans="1:3" x14ac:dyDescent="0.35">
      <c r="A44" s="37" t="s">
        <v>952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186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IF(TPN&lt;&gt;1,ROUND(G21/24,1)&amp;"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IF(AND(TPN&lt;&gt;1,G16&lt;&gt;0,Gewicht/10&lt;=50),ROUND(ber_TPN!F7,0),"")</f>
        <v/>
      </c>
      <c r="H14" s="108"/>
    </row>
    <row r="15" spans="1:8" ht="20.100000000000001" customHeight="1" x14ac:dyDescent="0.35">
      <c r="A15" s="389"/>
      <c r="B15" s="126" t="s">
        <v>1323</v>
      </c>
      <c r="C15" s="127"/>
      <c r="D15" s="127" t="s">
        <v>182</v>
      </c>
      <c r="E15" s="127" t="s">
        <v>295</v>
      </c>
      <c r="F15" s="128" t="s">
        <v>295</v>
      </c>
      <c r="G15" s="125" t="str">
        <f>IF(AND(TPN&lt;&gt;1,G16&lt;&gt;0,Gewicht/10&lt;=50),ROUND(ber_TPN!F8,0),"")</f>
        <v/>
      </c>
      <c r="H15" s="108"/>
    </row>
    <row r="16" spans="1:8" ht="20.100000000000001" customHeight="1" x14ac:dyDescent="0.35">
      <c r="A16" s="44"/>
      <c r="B16" s="126" t="s">
        <v>1324</v>
      </c>
      <c r="C16" s="127"/>
      <c r="D16" s="127" t="s">
        <v>561</v>
      </c>
      <c r="E16" s="127" t="s">
        <v>183</v>
      </c>
      <c r="F16" s="128" t="s">
        <v>184</v>
      </c>
      <c r="G16" s="129" t="str">
        <f>IF(TPN&lt;&gt;1,ber_TPN!F4,"")</f>
        <v/>
      </c>
      <c r="H16" s="108"/>
    </row>
    <row r="17" spans="1:8" ht="20.100000000000001" customHeight="1" x14ac:dyDescent="0.35">
      <c r="A17" s="44"/>
      <c r="B17" s="126" t="s">
        <v>946</v>
      </c>
      <c r="C17" s="127"/>
      <c r="D17" s="127" t="s">
        <v>185</v>
      </c>
      <c r="E17" s="127"/>
      <c r="F17" s="128"/>
      <c r="G17" s="129" t="str">
        <f>IF(AND(SSTglucose=2,TPN&lt;&gt;1,Gewicht/10&lt;=50),ROUND(ber_TPN!F6,0),"")</f>
        <v/>
      </c>
      <c r="H17" s="108"/>
    </row>
    <row r="18" spans="1:8" ht="20.100000000000001" customHeight="1" x14ac:dyDescent="0.35">
      <c r="A18" s="44"/>
      <c r="B18" s="126" t="s">
        <v>1325</v>
      </c>
      <c r="C18" s="127"/>
      <c r="D18" s="127"/>
      <c r="E18" s="127" t="s">
        <v>187</v>
      </c>
      <c r="F18" s="128"/>
      <c r="G18" s="129" t="str">
        <f>IF(AND(SSTglucose=3,TPN&lt;&gt;1,Gewicht/10&lt;=50),ROUND(ber_TPN!F6,0),"")</f>
        <v/>
      </c>
      <c r="H18" s="108"/>
    </row>
    <row r="19" spans="1:8" ht="20.100000000000001" customHeight="1" x14ac:dyDescent="0.35">
      <c r="A19" s="44"/>
      <c r="B19" s="126" t="s">
        <v>299</v>
      </c>
      <c r="C19" s="127"/>
      <c r="D19" s="127"/>
      <c r="E19" s="127"/>
      <c r="F19" s="128" t="s">
        <v>188</v>
      </c>
      <c r="G19" s="129" t="str">
        <f>IF(AND(SSTglucose=5,TPN&lt;&gt;1,Gewicht/10&lt;=50),ROUND(ber_TPN!F6,0),"")</f>
        <v/>
      </c>
      <c r="H19" s="108"/>
    </row>
    <row r="20" spans="1:8" ht="20.100000000000001" customHeight="1" x14ac:dyDescent="0.35">
      <c r="A20" s="44"/>
      <c r="B20" s="126" t="str">
        <f>IF(AND(TPN=2,SSTglucose&lt;&gt;2,SSTglucose&lt;&gt;3,SSTglucose&lt;&gt;5,SSTglucose&lt;11),INDEX(tblSSTGlucose,SSTglucose,1),"Glucose       %")</f>
        <v>Glucose       %</v>
      </c>
      <c r="C20" s="127"/>
      <c r="D20" s="127"/>
      <c r="E20" s="127"/>
      <c r="F20" s="128"/>
      <c r="G20" s="129" t="str">
        <f>IF(AND(TPN&lt;&gt;1,B20&lt;&gt;"",Gewicht/10&lt;=50),IF(AND(SSTglucose&lt;&gt;2,SSTglucose&lt;&gt;3,SSTglucose&lt;&gt;5,SSTglucose&lt;11),ROUND(ber_TPN!F6,0),""),"")</f>
        <v/>
      </c>
      <c r="H20" s="108"/>
    </row>
    <row r="21" spans="1:8" ht="15.95" customHeight="1" x14ac:dyDescent="0.35">
      <c r="A21" s="44"/>
      <c r="B21" s="54"/>
      <c r="C21" s="54"/>
      <c r="D21" s="54"/>
      <c r="E21" s="392" t="s">
        <v>653</v>
      </c>
      <c r="F21" s="392"/>
      <c r="G21" s="109">
        <f>SUM(G14:G20)+IF(AND(Gewicht/10&gt;=16,Gewicht/10&lt;=50),ber_TPN!F5,0)</f>
        <v>0</v>
      </c>
      <c r="H21" s="108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386" t="str">
        <f>IF(G26&gt;0,ROUND(G26/24,1)&amp;" ml/u","")</f>
        <v/>
      </c>
      <c r="B23" s="122" t="s">
        <v>612</v>
      </c>
      <c r="C23" s="123"/>
      <c r="D23" s="123" t="s">
        <v>1236</v>
      </c>
      <c r="E23" s="123" t="s">
        <v>1237</v>
      </c>
      <c r="F23" s="124" t="s">
        <v>561</v>
      </c>
      <c r="G23" s="125">
        <f>ROUND(ber_TPN!F13,0)</f>
        <v>0</v>
      </c>
      <c r="H23" s="50"/>
    </row>
    <row r="24" spans="1:8" ht="20.100000000000001" customHeight="1" x14ac:dyDescent="0.35">
      <c r="A24" s="387"/>
      <c r="B24" s="126" t="s">
        <v>613</v>
      </c>
      <c r="C24" s="127"/>
      <c r="D24" s="127"/>
      <c r="E24" s="393" t="s">
        <v>911</v>
      </c>
      <c r="F24" s="394"/>
      <c r="G24" s="129">
        <f>ROUND(ber_TPN!F14,0)</f>
        <v>0</v>
      </c>
      <c r="H24" s="45"/>
    </row>
    <row r="25" spans="1:8" ht="20.100000000000001" customHeight="1" x14ac:dyDescent="0.35">
      <c r="A25" s="44"/>
      <c r="B25" s="126"/>
      <c r="C25" s="127"/>
      <c r="D25" s="127"/>
      <c r="E25" s="393"/>
      <c r="F25" s="394"/>
      <c r="G25" s="129"/>
      <c r="H25" s="45"/>
    </row>
    <row r="26" spans="1:8" ht="15.95" customHeight="1" x14ac:dyDescent="0.35">
      <c r="A26" s="44"/>
      <c r="B26" s="106"/>
      <c r="C26" s="106"/>
      <c r="D26" s="106"/>
      <c r="E26" s="395" t="s">
        <v>653</v>
      </c>
      <c r="F26" s="395"/>
      <c r="G26" s="111">
        <f>SUM(G23:G25)</f>
        <v>0</v>
      </c>
      <c r="H26" s="107"/>
    </row>
    <row r="27" spans="1:8" ht="15.95" customHeight="1" thickBot="1" x14ac:dyDescent="0.4">
      <c r="A27" s="44"/>
      <c r="B27" s="106"/>
      <c r="C27" s="106"/>
      <c r="D27" s="106"/>
      <c r="E27" s="106"/>
      <c r="F27" s="106"/>
      <c r="G27" s="49"/>
      <c r="H27" s="45"/>
    </row>
    <row r="28" spans="1:8" ht="15.95" customHeight="1" thickTop="1" x14ac:dyDescent="0.35">
      <c r="A28" s="51"/>
      <c r="B28" s="390" t="s">
        <v>386</v>
      </c>
      <c r="C28" s="391"/>
      <c r="D28" s="391"/>
      <c r="E28" s="391"/>
      <c r="F28" s="391"/>
      <c r="G28" s="99"/>
      <c r="H28" s="52"/>
    </row>
    <row r="29" spans="1:8" ht="20.100000000000001" customHeight="1" x14ac:dyDescent="0.35">
      <c r="A29" s="386" t="str">
        <f>IF(G36&gt;0,ROUND(G36/24,1)&amp;" ml/u","")</f>
        <v/>
      </c>
      <c r="B29" s="133" t="s">
        <v>128</v>
      </c>
      <c r="C29" s="135"/>
      <c r="D29" s="135"/>
      <c r="E29" s="135"/>
      <c r="F29" s="136"/>
      <c r="G29" s="125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387"/>
      <c r="B30" s="134" t="s">
        <v>1326</v>
      </c>
      <c r="C30" s="137"/>
      <c r="D30" s="137"/>
      <c r="E30" s="137"/>
      <c r="F30" s="138"/>
      <c r="G30" s="129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4" t="s">
        <v>1358</v>
      </c>
      <c r="C31" s="137"/>
      <c r="D31" s="137"/>
      <c r="E31" s="137"/>
      <c r="F31" s="138"/>
      <c r="G31" s="129">
        <f>ber_TPN!F9</f>
        <v>0</v>
      </c>
      <c r="H31" s="45"/>
    </row>
    <row r="32" spans="1:8" ht="20.100000000000001" customHeight="1" x14ac:dyDescent="0.35">
      <c r="A32" s="44"/>
      <c r="B32" s="134" t="s">
        <v>1359</v>
      </c>
      <c r="C32" s="137"/>
      <c r="D32" s="137"/>
      <c r="E32" s="137"/>
      <c r="F32" s="138"/>
      <c r="G32" s="129">
        <f>ber_TPN!F10</f>
        <v>0</v>
      </c>
      <c r="H32" s="45"/>
    </row>
    <row r="33" spans="1:8" ht="20.100000000000001" customHeight="1" x14ac:dyDescent="0.35">
      <c r="A33" s="44"/>
      <c r="B33" s="134" t="s">
        <v>946</v>
      </c>
      <c r="C33" s="137"/>
      <c r="D33" s="137"/>
      <c r="E33" s="137"/>
      <c r="F33" s="138"/>
      <c r="G33" s="129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4" t="str">
        <f>IF(AND(OR(TPN=1,AND(TPN=2,SSTglucose&gt;10)),SSTglucose&lt;&gt;11,SSTglucose&lt;&gt;2),INDEX(tblSSTGlucose,SSTglucose,1),"Glucose       %")</f>
        <v>Glucose 5%</v>
      </c>
      <c r="C34" s="137"/>
      <c r="D34" s="137"/>
      <c r="E34" s="137"/>
      <c r="F34" s="138"/>
      <c r="G34" s="129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3" t="s">
        <v>1327</v>
      </c>
      <c r="C35" s="135"/>
      <c r="D35" s="135"/>
      <c r="E35" s="135"/>
      <c r="F35" s="136"/>
      <c r="G35" s="129" t="str">
        <f>IF(AND(SSTglucose=11),ROUND(ber_TPN!F6,0),"")</f>
        <v/>
      </c>
      <c r="H35" s="45"/>
    </row>
    <row r="36" spans="1:8" ht="15.95" customHeight="1" x14ac:dyDescent="0.35">
      <c r="A36" s="44"/>
      <c r="B36" s="106"/>
      <c r="C36" s="106"/>
      <c r="D36" s="106"/>
      <c r="E36" s="395" t="s">
        <v>655</v>
      </c>
      <c r="F36" s="395"/>
      <c r="G36" s="110">
        <f>SUM(G29:G35)</f>
        <v>0</v>
      </c>
      <c r="H36" s="45"/>
    </row>
    <row r="37" spans="1:8" ht="15.95" customHeight="1" thickBot="1" x14ac:dyDescent="0.4">
      <c r="A37" s="44"/>
      <c r="B37" s="106"/>
      <c r="C37" s="106"/>
      <c r="D37" s="106"/>
      <c r="E37" s="106"/>
      <c r="F37" s="106"/>
      <c r="G37" s="49"/>
      <c r="H37" s="45"/>
    </row>
    <row r="38" spans="1:8" ht="15.95" customHeight="1" thickTop="1" x14ac:dyDescent="0.35">
      <c r="A38" s="51"/>
      <c r="B38" s="396" t="s">
        <v>731</v>
      </c>
      <c r="C38" s="397"/>
      <c r="D38" s="397"/>
      <c r="E38" s="397"/>
      <c r="F38" s="398"/>
      <c r="G38" s="52" t="s">
        <v>732</v>
      </c>
      <c r="H38" s="52"/>
    </row>
    <row r="39" spans="1:8" ht="15.95" customHeight="1" x14ac:dyDescent="0.35">
      <c r="A39" s="53"/>
      <c r="B39" s="383" t="s">
        <v>733</v>
      </c>
      <c r="C39" s="384"/>
      <c r="D39" s="384"/>
      <c r="E39" s="384"/>
      <c r="F39" s="385"/>
      <c r="G39" s="47" t="s">
        <v>734</v>
      </c>
      <c r="H39" s="45"/>
    </row>
    <row r="40" spans="1:8" ht="15.95" customHeight="1" x14ac:dyDescent="0.35">
      <c r="A40" s="53"/>
      <c r="B40" s="383" t="s">
        <v>735</v>
      </c>
      <c r="C40" s="384"/>
      <c r="D40" s="384"/>
      <c r="E40" s="384"/>
      <c r="F40" s="385"/>
      <c r="G40" s="47" t="s">
        <v>732</v>
      </c>
      <c r="H40" s="48"/>
    </row>
    <row r="42" spans="1:8" x14ac:dyDescent="0.35">
      <c r="A42" s="11" t="s">
        <v>736</v>
      </c>
    </row>
    <row r="43" spans="1:8" x14ac:dyDescent="0.35">
      <c r="A43" s="11" t="s">
        <v>654</v>
      </c>
    </row>
    <row r="45" spans="1:8" x14ac:dyDescent="0.35">
      <c r="A45" s="11" t="s">
        <v>737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XmJ2eoLpxrvhL2QP/eGK7uZQp6Va7eu1ailGGPQ3tNSmzjtRDhPMIPMkXHR+5wXJiZgI1V0+ScTgH3TYmUwMyQ==" saltValue="oqQDQrbvvJyyns0foLlBlg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360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1329</v>
      </c>
      <c r="C16" s="127"/>
      <c r="D16" s="127" t="s">
        <v>1237</v>
      </c>
      <c r="E16" s="127" t="s">
        <v>1330</v>
      </c>
      <c r="F16" s="128" t="s">
        <v>183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1331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1332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1333</v>
      </c>
      <c r="C19" s="127"/>
      <c r="D19" s="127"/>
      <c r="E19" s="127"/>
      <c r="F19" s="128" t="s">
        <v>1334</v>
      </c>
      <c r="G19" s="129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6" t="s">
        <v>1335</v>
      </c>
      <c r="C20" s="127"/>
      <c r="D20" s="127"/>
      <c r="E20" s="127"/>
      <c r="F20" s="128" t="s">
        <v>1336</v>
      </c>
      <c r="G20" s="129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392" t="s">
        <v>653</v>
      </c>
      <c r="F22" s="392"/>
      <c r="G22" s="109">
        <f>SUM(G14:G21)</f>
        <v>0</v>
      </c>
      <c r="H22" s="107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386" t="str">
        <f>IF(G27&gt;0,ROUND(G27/24,1)&amp;"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87"/>
      <c r="B25" s="126" t="s">
        <v>613</v>
      </c>
      <c r="C25" s="127"/>
      <c r="D25" s="127"/>
      <c r="E25" s="410" t="s">
        <v>1159</v>
      </c>
      <c r="F25" s="411"/>
      <c r="G25" s="125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5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392" t="s">
        <v>653</v>
      </c>
      <c r="F27" s="392"/>
      <c r="G27" s="111">
        <f>SUM(G24:G26)</f>
        <v>0</v>
      </c>
      <c r="H27" s="107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08" t="s">
        <v>386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6" t="str">
        <f>IF(G33&gt;0,ROUND(G39/24,1)&amp;"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IF(AND(OR(TPN=1,AND(TPN=2,SSTglucose&gt;10))),ROUND(ber_TPN!F7,0),0)</f>
        <v>0</v>
      </c>
      <c r="H30" s="45"/>
    </row>
    <row r="31" spans="1:8" ht="20.100000000000001" customHeight="1" x14ac:dyDescent="0.35">
      <c r="A31" s="387"/>
      <c r="B31" s="134" t="s">
        <v>1326</v>
      </c>
      <c r="C31" s="137"/>
      <c r="D31" s="137"/>
      <c r="E31" s="137"/>
      <c r="F31" s="141"/>
      <c r="G31" s="142">
        <f>IF(AND(OR(TPN=1,AND(TPN=2,SSTglucose&gt;10))),ROUND(ber_TPN!F8,0),0)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4" t="str">
        <f>IF(AND(OR(TPN=1,AND(TPN=2,SSTglucose&gt;10)),SSTglucose&lt;&gt;2,SSTglucose&lt;&gt;11,SSTglucose&lt;&gt;12,SSTglucose&lt;&gt;13),INDEX(tblSSTGlucose,SSTglucose,1),"Glucose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18" t="s">
        <v>1327</v>
      </c>
      <c r="C36" s="419"/>
      <c r="D36" s="419"/>
      <c r="E36" s="419"/>
      <c r="F36" s="141"/>
      <c r="G36" s="142" t="str">
        <f>IF(OR(SSTglucose=11),ROUND(ber_TPN!F6,0),"")</f>
        <v/>
      </c>
      <c r="H36" s="45"/>
    </row>
    <row r="37" spans="1:8" ht="20.100000000000001" customHeight="1" x14ac:dyDescent="0.35">
      <c r="A37" s="44"/>
      <c r="B37" s="418" t="s">
        <v>129</v>
      </c>
      <c r="C37" s="419"/>
      <c r="D37" s="419"/>
      <c r="E37" s="419"/>
      <c r="F37" s="141"/>
      <c r="G37" s="142" t="str">
        <f>IF(AND(SSTglucose=12),ROUND(ber_TPN!F6,0),"")</f>
        <v/>
      </c>
      <c r="H37" s="45"/>
    </row>
    <row r="38" spans="1:8" ht="20.100000000000001" customHeight="1" x14ac:dyDescent="0.35">
      <c r="A38" s="44"/>
      <c r="B38" s="418" t="s">
        <v>130</v>
      </c>
      <c r="C38" s="419"/>
      <c r="D38" s="419"/>
      <c r="E38" s="419"/>
      <c r="F38" s="139"/>
      <c r="G38" s="142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392" t="s">
        <v>655</v>
      </c>
      <c r="F39" s="392"/>
      <c r="G39" s="110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2" t="s">
        <v>731</v>
      </c>
      <c r="C41" s="413"/>
      <c r="D41" s="413"/>
      <c r="E41" s="413"/>
      <c r="F41" s="414"/>
      <c r="G41" s="52" t="s">
        <v>732</v>
      </c>
      <c r="H41" s="52"/>
    </row>
    <row r="42" spans="1:8" ht="15.95" customHeight="1" x14ac:dyDescent="0.35">
      <c r="A42" s="53"/>
      <c r="B42" s="415" t="s">
        <v>733</v>
      </c>
      <c r="C42" s="416"/>
      <c r="D42" s="416"/>
      <c r="E42" s="416"/>
      <c r="F42" s="417"/>
      <c r="G42" s="47" t="s">
        <v>734</v>
      </c>
      <c r="H42" s="45"/>
    </row>
    <row r="43" spans="1:8" ht="15.95" customHeight="1" x14ac:dyDescent="0.35">
      <c r="A43" s="53"/>
      <c r="B43" s="415" t="s">
        <v>735</v>
      </c>
      <c r="C43" s="416"/>
      <c r="D43" s="416"/>
      <c r="E43" s="416"/>
      <c r="F43" s="417"/>
      <c r="G43" s="47" t="s">
        <v>732</v>
      </c>
      <c r="H43" s="48"/>
    </row>
    <row r="45" spans="1:8" x14ac:dyDescent="0.35">
      <c r="A45" s="11" t="s">
        <v>736</v>
      </c>
    </row>
    <row r="46" spans="1:8" x14ac:dyDescent="0.35">
      <c r="A46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FNlypUZ5reYKy0D63r7YtNmp73BVawfZxpiCItJzWfuZZ7nxOSzWYBgMWRr1xvkDuofTxNcRTp7uuFPXkQKubA==" saltValue="qlOZ5VWKN+0GHiiZGvEPYA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361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">
        <v>1105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1337</v>
      </c>
      <c r="C16" s="127"/>
      <c r="D16" s="127" t="s">
        <v>1237</v>
      </c>
      <c r="E16" s="127" t="s">
        <v>561</v>
      </c>
      <c r="F16" s="128" t="s">
        <v>1330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958</v>
      </c>
      <c r="C17" s="127"/>
      <c r="D17" s="127"/>
      <c r="E17" s="410" t="s">
        <v>416</v>
      </c>
      <c r="F17" s="411"/>
      <c r="G17" s="129">
        <f>ROUND(ber_TPN!F5,0)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 t="s">
        <v>417</v>
      </c>
      <c r="E18" s="127"/>
      <c r="F18" s="128"/>
      <c r="G18" s="129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6" t="s">
        <v>312</v>
      </c>
      <c r="C19" s="127"/>
      <c r="D19" s="127"/>
      <c r="E19" s="127" t="s">
        <v>418</v>
      </c>
      <c r="F19" s="128"/>
      <c r="G19" s="129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6" t="s">
        <v>651</v>
      </c>
      <c r="C20" s="127"/>
      <c r="D20" s="127"/>
      <c r="E20" s="127"/>
      <c r="F20" s="128" t="s">
        <v>419</v>
      </c>
      <c r="G20" s="129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653</v>
      </c>
      <c r="F22" s="395"/>
      <c r="G22" s="109">
        <f>SUM(G14:G21)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IF(TPN&lt;&gt;1,ROUND(G27/24,1)&amp;"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613</v>
      </c>
      <c r="C25" s="127"/>
      <c r="D25" s="127"/>
      <c r="E25" s="410" t="s">
        <v>1159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653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390" t="s">
        <v>386</v>
      </c>
      <c r="C29" s="391"/>
      <c r="D29" s="391"/>
      <c r="E29" s="391"/>
      <c r="F29" s="391"/>
      <c r="G29" s="99"/>
      <c r="H29" s="52"/>
    </row>
    <row r="30" spans="1:8" ht="20.100000000000001" customHeight="1" x14ac:dyDescent="0.35">
      <c r="A30" s="388" t="str">
        <f>ROUND(G38/24,1)&amp;" ml/u"</f>
        <v>0 ml/u</v>
      </c>
      <c r="B30" s="133" t="s">
        <v>128</v>
      </c>
      <c r="C30" s="135"/>
      <c r="D30" s="135"/>
      <c r="E30" s="135"/>
      <c r="F30" s="136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1326</v>
      </c>
      <c r="C31" s="137"/>
      <c r="D31" s="137"/>
      <c r="E31" s="137"/>
      <c r="F31" s="138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38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38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38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38"/>
      <c r="G35" s="142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4"/>
      <c r="B36" s="418" t="s">
        <v>129</v>
      </c>
      <c r="C36" s="419"/>
      <c r="D36" s="419"/>
      <c r="E36" s="419"/>
      <c r="F36" s="138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130</v>
      </c>
      <c r="C37" s="419"/>
      <c r="D37" s="419"/>
      <c r="E37" s="419"/>
      <c r="F37" s="138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106"/>
      <c r="C38" s="106"/>
      <c r="D38" s="106"/>
      <c r="E38" s="395" t="s">
        <v>655</v>
      </c>
      <c r="F38" s="395"/>
      <c r="G38" s="110">
        <f>SUM(G30:G37)</f>
        <v>0</v>
      </c>
      <c r="H38" s="45"/>
    </row>
    <row r="39" spans="1:8" ht="15.95" customHeight="1" thickBot="1" x14ac:dyDescent="0.4">
      <c r="A39" s="44"/>
      <c r="B39" s="106"/>
      <c r="C39" s="106"/>
      <c r="D39" s="106"/>
      <c r="E39" s="106"/>
      <c r="F39" s="106"/>
      <c r="G39" s="49"/>
      <c r="H39" s="45"/>
    </row>
    <row r="40" spans="1:8" ht="15.95" customHeight="1" thickTop="1" x14ac:dyDescent="0.35">
      <c r="A40" s="51"/>
      <c r="B40" s="396" t="s">
        <v>731</v>
      </c>
      <c r="C40" s="397"/>
      <c r="D40" s="397"/>
      <c r="E40" s="397"/>
      <c r="F40" s="398"/>
      <c r="G40" s="52" t="s">
        <v>732</v>
      </c>
      <c r="H40" s="52"/>
    </row>
    <row r="41" spans="1:8" ht="15.95" customHeight="1" x14ac:dyDescent="0.35">
      <c r="A41" s="53"/>
      <c r="B41" s="383" t="s">
        <v>733</v>
      </c>
      <c r="C41" s="384"/>
      <c r="D41" s="384"/>
      <c r="E41" s="384"/>
      <c r="F41" s="385"/>
      <c r="G41" s="47" t="s">
        <v>734</v>
      </c>
      <c r="H41" s="45"/>
    </row>
    <row r="42" spans="1:8" ht="15.95" customHeight="1" x14ac:dyDescent="0.35">
      <c r="A42" s="53"/>
      <c r="B42" s="383" t="s">
        <v>735</v>
      </c>
      <c r="C42" s="384"/>
      <c r="D42" s="384"/>
      <c r="E42" s="384"/>
      <c r="F42" s="385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6" spans="1:8" x14ac:dyDescent="0.35">
      <c r="A46" s="11" t="s">
        <v>737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OZ2/q/f5nBEx91AUNk0H+NqInGg0zKQJh09b6zLgYgezjX39VqKa/vcNDF+KisbMnUzYNFYMO7rH4kz0TYdpfA==" saltValue="PZ+3mBQN6qLuk/DLflnPBw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362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">
        <v>1104</v>
      </c>
      <c r="C9" s="11">
        <f>ber_TPN!F23</f>
        <v>0</v>
      </c>
      <c r="D9" s="11" t="s">
        <v>983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955</v>
      </c>
      <c r="B11" s="402" t="s">
        <v>552</v>
      </c>
      <c r="C11" s="404"/>
      <c r="D11" s="406" t="s">
        <v>553</v>
      </c>
      <c r="E11" s="406" t="s">
        <v>554</v>
      </c>
      <c r="F11" s="406" t="s">
        <v>555</v>
      </c>
      <c r="G11" s="45"/>
      <c r="H11" s="45" t="s">
        <v>556</v>
      </c>
    </row>
    <row r="12" spans="1:8" x14ac:dyDescent="0.35">
      <c r="A12" s="46" t="s">
        <v>557</v>
      </c>
      <c r="B12" s="403"/>
      <c r="C12" s="405"/>
      <c r="D12" s="407"/>
      <c r="E12" s="407"/>
      <c r="F12" s="407"/>
      <c r="G12" s="45" t="s">
        <v>558</v>
      </c>
      <c r="H12" s="47" t="s">
        <v>559</v>
      </c>
    </row>
    <row r="13" spans="1:8" ht="20.100000000000001" customHeight="1" x14ac:dyDescent="0.35">
      <c r="A13" s="388" t="str">
        <f>IF(G22&lt;&gt;0,ROUND(G22/24,1)&amp;" ml/u","")</f>
        <v/>
      </c>
      <c r="B13" s="122" t="s">
        <v>128</v>
      </c>
      <c r="C13" s="123"/>
      <c r="D13" s="123" t="s">
        <v>560</v>
      </c>
      <c r="E13" s="123" t="s">
        <v>560</v>
      </c>
      <c r="F13" s="124" t="s">
        <v>560</v>
      </c>
      <c r="G13" s="125" t="str">
        <f>IF(AND(TPN&lt;&gt;1,G15&lt;&gt;0),ROUND(ber_TPN!F7,0),"")</f>
        <v/>
      </c>
      <c r="H13" s="45"/>
    </row>
    <row r="14" spans="1:8" ht="20.100000000000001" customHeight="1" x14ac:dyDescent="0.35">
      <c r="A14" s="389"/>
      <c r="B14" s="126" t="s">
        <v>1323</v>
      </c>
      <c r="C14" s="127"/>
      <c r="D14" s="127" t="s">
        <v>1328</v>
      </c>
      <c r="E14" s="127" t="s">
        <v>182</v>
      </c>
      <c r="F14" s="128" t="s">
        <v>182</v>
      </c>
      <c r="G14" s="125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6" t="s">
        <v>420</v>
      </c>
      <c r="C15" s="127"/>
      <c r="D15" s="127" t="s">
        <v>1236</v>
      </c>
      <c r="E15" s="127" t="s">
        <v>421</v>
      </c>
      <c r="F15" s="128" t="s">
        <v>426</v>
      </c>
      <c r="G15" s="129" t="str">
        <f>IF(TPN&lt;&gt;1,ber_TPN!F4,"")</f>
        <v/>
      </c>
      <c r="H15" s="45"/>
    </row>
    <row r="16" spans="1:8" ht="20.100000000000001" customHeight="1" x14ac:dyDescent="0.35">
      <c r="A16" s="44"/>
      <c r="B16" s="126" t="s">
        <v>958</v>
      </c>
      <c r="C16" s="127"/>
      <c r="D16" s="127"/>
      <c r="E16" s="410" t="s">
        <v>416</v>
      </c>
      <c r="F16" s="411"/>
      <c r="G16" s="129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422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423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424</v>
      </c>
      <c r="C19" s="127" t="s">
        <v>675</v>
      </c>
      <c r="D19" s="127"/>
      <c r="E19" s="127"/>
      <c r="F19" s="128" t="s">
        <v>1336</v>
      </c>
      <c r="G19" s="129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6" t="s">
        <v>425</v>
      </c>
      <c r="C20" s="127"/>
      <c r="D20" s="127"/>
      <c r="E20" s="127"/>
      <c r="F20" s="128" t="s">
        <v>1330</v>
      </c>
      <c r="G20" s="129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IF(AND(TPN=2,SSTglucose&lt;&gt;2,SSTglucose&lt;&gt;6,SSTglucose&lt;&gt;7,SSTglucose&lt;&gt;9,SSTglucose&lt;11),INDEX(tblSSTGlucose,SSTglucose,1),"Glucose       %")</f>
        <v>Glucose       %</v>
      </c>
      <c r="C21" s="131"/>
      <c r="D21" s="131"/>
      <c r="E21" s="131"/>
      <c r="F21" s="132"/>
      <c r="G21" s="129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653</v>
      </c>
      <c r="F22" s="395"/>
      <c r="G22" s="109">
        <f>SUM(G13:G21)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IF(G27&lt;&gt;0,ROUND(G27/24,1)&amp;" ml/u","")</f>
        <v/>
      </c>
      <c r="B24" s="122" t="s">
        <v>612</v>
      </c>
      <c r="C24" s="123"/>
      <c r="D24" s="123" t="s">
        <v>1103</v>
      </c>
      <c r="E24" s="123" t="s">
        <v>560</v>
      </c>
      <c r="F24" s="124" t="s">
        <v>1237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613</v>
      </c>
      <c r="C25" s="127"/>
      <c r="D25" s="127"/>
      <c r="E25" s="410" t="s">
        <v>1159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653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408" t="s">
        <v>386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8" t="str">
        <f>IF(G38&lt;&gt;0,ROUND(G38/24,1)&amp;"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1326</v>
      </c>
      <c r="C31" s="137"/>
      <c r="D31" s="137"/>
      <c r="E31" s="137"/>
      <c r="F31" s="141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4"/>
      <c r="B36" s="418" t="s">
        <v>129</v>
      </c>
      <c r="C36" s="419"/>
      <c r="D36" s="419"/>
      <c r="E36" s="419"/>
      <c r="F36" s="141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130</v>
      </c>
      <c r="C37" s="419"/>
      <c r="D37" s="419"/>
      <c r="E37" s="419"/>
      <c r="F37" s="141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392" t="s">
        <v>655</v>
      </c>
      <c r="F38" s="392"/>
      <c r="G38" s="110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396" t="s">
        <v>731</v>
      </c>
      <c r="C40" s="397"/>
      <c r="D40" s="397"/>
      <c r="E40" s="397"/>
      <c r="F40" s="398"/>
      <c r="G40" s="52" t="s">
        <v>732</v>
      </c>
      <c r="H40" s="52"/>
    </row>
    <row r="41" spans="1:8" ht="15.95" customHeight="1" x14ac:dyDescent="0.35">
      <c r="A41" s="53"/>
      <c r="B41" s="383" t="s">
        <v>733</v>
      </c>
      <c r="C41" s="384"/>
      <c r="D41" s="384"/>
      <c r="E41" s="384"/>
      <c r="F41" s="385"/>
      <c r="G41" s="47" t="s">
        <v>734</v>
      </c>
      <c r="H41" s="45"/>
    </row>
    <row r="42" spans="1:8" ht="15.95" customHeight="1" x14ac:dyDescent="0.35">
      <c r="A42" s="53"/>
      <c r="B42" s="383" t="s">
        <v>735</v>
      </c>
      <c r="C42" s="384"/>
      <c r="D42" s="384"/>
      <c r="E42" s="384"/>
      <c r="F42" s="385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slqFr7MbvXyg1fRiALoVz5dL13CsmW+aflEhq4DeSME9KsW9+q11GWjRiXMeL80+DYuzvRtcJ3+gJ2K/BhBZOQ==" saltValue="8sLJFhg9WxUVva6WodoDsA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1230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983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955</v>
      </c>
      <c r="B11" s="402" t="s">
        <v>552</v>
      </c>
      <c r="C11" s="404"/>
      <c r="D11" s="406" t="s">
        <v>553</v>
      </c>
      <c r="E11" s="406" t="s">
        <v>554</v>
      </c>
      <c r="F11" s="406" t="s">
        <v>555</v>
      </c>
      <c r="G11" s="45"/>
      <c r="H11" s="45" t="s">
        <v>556</v>
      </c>
    </row>
    <row r="12" spans="1:8" x14ac:dyDescent="0.35">
      <c r="A12" s="46" t="s">
        <v>557</v>
      </c>
      <c r="B12" s="403"/>
      <c r="C12" s="405"/>
      <c r="D12" s="407"/>
      <c r="E12" s="407"/>
      <c r="F12" s="407"/>
      <c r="G12" s="45" t="s">
        <v>558</v>
      </c>
      <c r="H12" s="47" t="s">
        <v>559</v>
      </c>
    </row>
    <row r="13" spans="1:8" ht="20.100000000000001" customHeight="1" x14ac:dyDescent="0.35">
      <c r="A13" s="150" t="str">
        <f>IF(G15&lt;&gt;0,ROUND(G15/24,1)&amp;" ml/u","")</f>
        <v/>
      </c>
      <c r="B13" s="126" t="s">
        <v>285</v>
      </c>
      <c r="C13" s="127"/>
      <c r="D13" s="127" t="s">
        <v>286</v>
      </c>
      <c r="E13" s="127" t="s">
        <v>287</v>
      </c>
      <c r="F13" s="128" t="s">
        <v>288</v>
      </c>
      <c r="G13" s="155" t="str">
        <f>IF(TPN&lt;&gt;1,ber_TPN!F4,"")</f>
        <v/>
      </c>
      <c r="H13" s="45"/>
    </row>
    <row r="14" spans="1:8" ht="20.100000000000001" customHeight="1" x14ac:dyDescent="0.35">
      <c r="A14" s="151"/>
      <c r="B14" s="126"/>
      <c r="C14" s="127"/>
      <c r="D14" s="127"/>
      <c r="E14" s="127"/>
      <c r="F14" s="128"/>
      <c r="G14" s="129"/>
      <c r="H14" s="45"/>
    </row>
    <row r="15" spans="1:8" ht="20.100000000000001" customHeight="1" x14ac:dyDescent="0.35">
      <c r="A15" s="44"/>
      <c r="B15" s="153"/>
      <c r="C15" s="153"/>
      <c r="D15" s="153"/>
      <c r="E15" s="153"/>
      <c r="F15" s="153" t="s">
        <v>655</v>
      </c>
      <c r="G15" s="154">
        <f>SUM(G13:G14)</f>
        <v>0</v>
      </c>
      <c r="H15" s="45"/>
    </row>
    <row r="16" spans="1:8" ht="20.100000000000001" customHeight="1" x14ac:dyDescent="0.35">
      <c r="A16" s="44"/>
      <c r="B16" s="127"/>
      <c r="C16" s="127"/>
      <c r="D16" s="127"/>
      <c r="E16" s="127"/>
      <c r="F16" s="127"/>
      <c r="G16" s="152"/>
      <c r="H16" s="45"/>
    </row>
    <row r="17" spans="1:8" ht="20.100000000000001" customHeight="1" x14ac:dyDescent="0.35">
      <c r="A17" s="151" t="str">
        <f>IF(G19&lt;&gt;0,ROUND(G19/24,1)&amp;" ml/u","")</f>
        <v/>
      </c>
      <c r="B17" s="126" t="s">
        <v>958</v>
      </c>
      <c r="C17" s="127"/>
      <c r="D17" s="127"/>
      <c r="E17" s="123"/>
      <c r="F17" s="124" t="s">
        <v>561</v>
      </c>
      <c r="G17" s="129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/>
      <c r="E18" s="127"/>
      <c r="F18" s="128" t="s">
        <v>284</v>
      </c>
      <c r="G18" s="129">
        <f>IF(G17&gt;0,100,0)</f>
        <v>0</v>
      </c>
      <c r="H18" s="45"/>
    </row>
    <row r="19" spans="1:8" ht="20.100000000000001" customHeight="1" x14ac:dyDescent="0.35">
      <c r="A19" s="44"/>
      <c r="B19" s="112"/>
      <c r="C19" s="112"/>
      <c r="D19" s="112"/>
      <c r="E19" s="395" t="s">
        <v>653</v>
      </c>
      <c r="F19" s="395"/>
      <c r="G19" s="109">
        <f>SUM(G17:G18)</f>
        <v>0</v>
      </c>
      <c r="H19" s="45"/>
    </row>
    <row r="20" spans="1:8" ht="20.100000000000001" customHeight="1" x14ac:dyDescent="0.35">
      <c r="A20" s="44"/>
      <c r="B20" s="106"/>
      <c r="C20" s="106"/>
      <c r="D20" s="106"/>
      <c r="E20" s="106"/>
      <c r="F20" s="106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2" t="s">
        <v>612</v>
      </c>
      <c r="C21" s="123"/>
      <c r="D21" s="123" t="s">
        <v>289</v>
      </c>
      <c r="E21" s="123" t="s">
        <v>290</v>
      </c>
      <c r="F21" s="124" t="s">
        <v>291</v>
      </c>
      <c r="G21" s="125">
        <f>ROUND(ber_TPN!F13,0)</f>
        <v>0</v>
      </c>
      <c r="H21" s="45"/>
    </row>
    <row r="22" spans="1:8" ht="20.100000000000001" customHeight="1" x14ac:dyDescent="0.35">
      <c r="A22" s="44"/>
      <c r="B22" s="126" t="s">
        <v>613</v>
      </c>
      <c r="C22" s="127"/>
      <c r="D22" s="127"/>
      <c r="E22" s="123"/>
      <c r="F22" s="124" t="s">
        <v>292</v>
      </c>
      <c r="G22" s="129">
        <f>ROUND(ber_TPN!F14,0)</f>
        <v>0</v>
      </c>
      <c r="H22" s="45"/>
    </row>
    <row r="23" spans="1:8" ht="20.100000000000001" customHeight="1" x14ac:dyDescent="0.35">
      <c r="A23" s="44"/>
      <c r="B23" s="126" t="s">
        <v>646</v>
      </c>
      <c r="C23" s="127"/>
      <c r="D23" s="127"/>
      <c r="E23" s="123"/>
      <c r="F23" s="124" t="s">
        <v>292</v>
      </c>
      <c r="G23" s="129">
        <f>ROUND(ber_TPN!F15,0)</f>
        <v>0</v>
      </c>
      <c r="H23" s="45"/>
    </row>
    <row r="24" spans="1:8" ht="20.100000000000001" customHeight="1" x14ac:dyDescent="0.35">
      <c r="A24" s="44"/>
      <c r="B24" s="106"/>
      <c r="C24" s="106"/>
      <c r="D24" s="106"/>
      <c r="E24" s="395" t="s">
        <v>653</v>
      </c>
      <c r="F24" s="395"/>
      <c r="G24" s="111">
        <f>SUM(G21:G23)</f>
        <v>0</v>
      </c>
      <c r="H24" s="107"/>
    </row>
    <row r="25" spans="1:8" ht="15.95" customHeight="1" thickBot="1" x14ac:dyDescent="0.4">
      <c r="A25" s="44"/>
      <c r="B25" s="106"/>
      <c r="C25" s="106"/>
      <c r="D25" s="106"/>
      <c r="E25" s="106"/>
      <c r="F25" s="106"/>
      <c r="G25" s="49"/>
      <c r="H25" s="45"/>
    </row>
    <row r="26" spans="1:8" ht="15.95" customHeight="1" thickTop="1" x14ac:dyDescent="0.35">
      <c r="A26" s="51"/>
      <c r="B26" s="408" t="s">
        <v>386</v>
      </c>
      <c r="C26" s="409"/>
      <c r="D26" s="409"/>
      <c r="E26" s="409"/>
      <c r="F26" s="409"/>
      <c r="G26" s="99"/>
      <c r="H26" s="52"/>
    </row>
    <row r="27" spans="1:8" ht="20.100000000000001" customHeight="1" x14ac:dyDescent="0.35">
      <c r="A27" s="388" t="str">
        <f>IF(G35&lt;&gt;0,ROUND(G35/24,1)&amp;" ml/u","")</f>
        <v/>
      </c>
      <c r="B27" s="133" t="s">
        <v>128</v>
      </c>
      <c r="C27" s="135"/>
      <c r="D27" s="135"/>
      <c r="E27" s="135"/>
      <c r="F27" s="139"/>
      <c r="G27" s="140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389"/>
      <c r="B28" s="134" t="s">
        <v>1326</v>
      </c>
      <c r="C28" s="137"/>
      <c r="D28" s="137"/>
      <c r="E28" s="137"/>
      <c r="F28" s="141"/>
      <c r="G28" s="142">
        <f>IF(AND(OR(TPN=1,Gewicht/10&gt;50,AND(TPN=2,SSTglucose&gt;10))),ROUND(ber_TPN!F8,0),"")</f>
        <v>0</v>
      </c>
      <c r="H28" s="45"/>
    </row>
    <row r="29" spans="1:8" ht="15.95" customHeight="1" x14ac:dyDescent="0.35">
      <c r="A29" s="104"/>
      <c r="B29" s="134" t="s">
        <v>1358</v>
      </c>
      <c r="C29" s="137"/>
      <c r="D29" s="137"/>
      <c r="E29" s="137"/>
      <c r="F29" s="141"/>
      <c r="G29" s="142">
        <f>ber_TPN!F9</f>
        <v>0</v>
      </c>
      <c r="H29" s="45"/>
    </row>
    <row r="30" spans="1:8" ht="15.95" customHeight="1" x14ac:dyDescent="0.35">
      <c r="A30" s="104"/>
      <c r="B30" s="134" t="s">
        <v>1359</v>
      </c>
      <c r="C30" s="137"/>
      <c r="D30" s="137"/>
      <c r="E30" s="137"/>
      <c r="F30" s="141"/>
      <c r="G30" s="142">
        <f>ber_TPN!F10</f>
        <v>0</v>
      </c>
      <c r="H30" s="45"/>
    </row>
    <row r="31" spans="1:8" ht="15.95" customHeight="1" x14ac:dyDescent="0.35">
      <c r="A31" s="104"/>
      <c r="B31" s="134" t="s">
        <v>946</v>
      </c>
      <c r="C31" s="137"/>
      <c r="D31" s="137"/>
      <c r="E31" s="137"/>
      <c r="F31" s="141"/>
      <c r="G31" s="142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4"/>
      <c r="B32" s="134" t="str">
        <f>IF(AND(OR(TPN=1,AND(TPN=2,SSTglucose&gt;10)),SSTglucose&lt;&gt;2,SSTglucose&lt;&gt;12,SSTglucose&lt;&gt;13),INDEX(tblSSTGlucose,SSTglucose,1),"Glucose       %")</f>
        <v>Glucose 5%</v>
      </c>
      <c r="C32" s="137"/>
      <c r="D32" s="137"/>
      <c r="E32" s="137"/>
      <c r="F32" s="141"/>
      <c r="G32" s="142">
        <f>IF(AND(SSTglucose&lt;&gt;2,SSTglucose&lt;&gt;12,SSTglucose&lt;&gt;13),ber_TPN!F6,"")</f>
        <v>0</v>
      </c>
      <c r="H32" s="45"/>
    </row>
    <row r="33" spans="1:8" ht="15.95" customHeight="1" x14ac:dyDescent="0.35">
      <c r="A33" s="104"/>
      <c r="B33" s="418" t="s">
        <v>129</v>
      </c>
      <c r="C33" s="419"/>
      <c r="D33" s="419"/>
      <c r="E33" s="419"/>
      <c r="F33" s="141"/>
      <c r="G33" s="142" t="str">
        <f>IF(AND(SSTglucose=12),ROUND(ber_TPN!F6,0),"")</f>
        <v/>
      </c>
      <c r="H33" s="45"/>
    </row>
    <row r="34" spans="1:8" ht="20.100000000000001" customHeight="1" x14ac:dyDescent="0.35">
      <c r="A34" s="44"/>
      <c r="B34" s="418" t="s">
        <v>130</v>
      </c>
      <c r="C34" s="419"/>
      <c r="D34" s="419"/>
      <c r="E34" s="419"/>
      <c r="F34" s="141"/>
      <c r="G34" s="142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392" t="s">
        <v>655</v>
      </c>
      <c r="F35" s="392"/>
      <c r="G35" s="110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396" t="s">
        <v>731</v>
      </c>
      <c r="C37" s="397"/>
      <c r="D37" s="397"/>
      <c r="E37" s="397"/>
      <c r="F37" s="398"/>
      <c r="G37" s="52" t="s">
        <v>732</v>
      </c>
      <c r="H37" s="52"/>
    </row>
    <row r="38" spans="1:8" ht="20.100000000000001" customHeight="1" x14ac:dyDescent="0.35">
      <c r="A38" s="53"/>
      <c r="B38" s="383" t="s">
        <v>733</v>
      </c>
      <c r="C38" s="384"/>
      <c r="D38" s="384"/>
      <c r="E38" s="384"/>
      <c r="F38" s="385"/>
      <c r="G38" s="47" t="s">
        <v>734</v>
      </c>
      <c r="H38" s="45"/>
    </row>
    <row r="39" spans="1:8" ht="20.100000000000001" customHeight="1" x14ac:dyDescent="0.35">
      <c r="A39" s="53"/>
      <c r="B39" s="383" t="s">
        <v>735</v>
      </c>
      <c r="C39" s="384"/>
      <c r="D39" s="384"/>
      <c r="E39" s="384"/>
      <c r="F39" s="385"/>
      <c r="G39" s="47" t="s">
        <v>732</v>
      </c>
      <c r="H39" s="48"/>
    </row>
    <row r="40" spans="1:8" ht="20.100000000000001" customHeight="1" x14ac:dyDescent="0.35"/>
    <row r="41" spans="1:8" ht="15.95" customHeight="1" x14ac:dyDescent="0.35">
      <c r="A41" s="11" t="s">
        <v>736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737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FaygIvug27Hr1IZcnD3qWlemUZaDv3JpAkduYKQQFeY6hfAKvXowC1v3tt+MSasQ3SAPTSn8boMeEY1RCrbMow==" saltValue="D/aW/NaxmvqtQgzZnNZhYw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836</vt:i4>
      </vt:variant>
    </vt:vector>
  </HeadingPairs>
  <TitlesOfParts>
    <vt:vector size="85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2015-07-07T08:38:05Z</dcterms:modified>
</cp:coreProperties>
</file>