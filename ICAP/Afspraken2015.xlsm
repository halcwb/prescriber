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8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9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drawings/drawing10.xml" ContentType="application/vnd.openxmlformats-officedocument.drawing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drawings/drawing11.xml" ContentType="application/vnd.openxmlformats-officedocument.drawing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drawings/drawing12.xml" ContentType="application/vnd.openxmlformats-officedocument.drawing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l\Dropbox\Development\prescriber\ICAP\"/>
    </mc:Choice>
  </mc:AlternateContent>
  <bookViews>
    <workbookView showHorizontalScroll="0" showSheetTabs="0" xWindow="1847" yWindow="-15" windowWidth="9718" windowHeight="7321" tabRatio="819" firstSheet="4" activeTab="6"/>
  </bookViews>
  <sheets>
    <sheet name="GewMeisje" sheetId="68" r:id="rId1"/>
    <sheet name="GrafGewMeisje" sheetId="66" r:id="rId2"/>
    <sheet name="GrafGewJongen" sheetId="65" r:id="rId3"/>
    <sheet name="GewJongen" sheetId="64" r:id="rId4"/>
    <sheet name="HEIGHTNL.CRF" sheetId="62" r:id="rId5"/>
    <sheet name="WEIGHTNL.CRF" sheetId="61" r:id="rId6"/>
    <sheet name="AcuteOpvang" sheetId="32" r:id="rId7"/>
    <sheet name="ber_Opm" sheetId="35" state="veryHidden" r:id="rId8"/>
    <sheet name="AfsprakenCMV" sheetId="15" r:id="rId9"/>
    <sheet name="AfsprakenPLV" sheetId="58" r:id="rId10"/>
    <sheet name="AfsprakenHFO" sheetId="59" r:id="rId11"/>
    <sheet name="dbBead" sheetId="14" state="veryHidden" r:id="rId12"/>
    <sheet name="Temp" sheetId="39" state="veryHidden" r:id="rId13"/>
    <sheet name="Patienten" sheetId="33" state="veryHidden" r:id="rId14"/>
    <sheet name="AfsprakenTekst" sheetId="70" r:id="rId15"/>
    <sheet name="MedicatieIV" sheetId="2" r:id="rId16"/>
    <sheet name="ber_IVmed" sheetId="7" state="veryHidden" r:id="rId17"/>
    <sheet name="Instellen" sheetId="6" r:id="rId18"/>
    <sheet name="Med_disc" sheetId="25" r:id="rId19"/>
    <sheet name="ber_Med_disc" sheetId="34" state="veryHidden" r:id="rId20"/>
    <sheet name="ber_tijden" sheetId="26" state="veryHidden" r:id="rId21"/>
    <sheet name="Medicatie" sheetId="28" r:id="rId22"/>
    <sheet name="Infusen" sheetId="16" r:id="rId23"/>
    <sheet name="ber_Infusen" sheetId="17" state="veryHidden" r:id="rId24"/>
    <sheet name="ber_normaal" sheetId="31" state="veryHidden" r:id="rId25"/>
    <sheet name="validatie" sheetId="38" state="veryHidden" r:id="rId26"/>
    <sheet name="Intake" sheetId="9" r:id="rId27"/>
    <sheet name="ber_TPN" sheetId="11" state="veryHidden" r:id="rId28"/>
    <sheet name="Ber_Lab" sheetId="69" state="veryHidden" r:id="rId29"/>
    <sheet name="Lab" sheetId="18" r:id="rId30"/>
    <sheet name="ber_totalen" sheetId="10" state="veryHidden" r:id="rId31"/>
    <sheet name="ber_bead" sheetId="3" state="veryHidden" r:id="rId32"/>
    <sheet name="conversie" sheetId="13" state="veryHidden" r:id="rId33"/>
    <sheet name="ber_PO" sheetId="12" state="veryHidden" r:id="rId34"/>
    <sheet name="TPN2tot6kg" sheetId="46" r:id="rId35"/>
    <sheet name="TPN7tot15kg" sheetId="54" r:id="rId36"/>
    <sheet name="TPN16tot30kg" sheetId="55" r:id="rId37"/>
    <sheet name="TPN31tot50kg" sheetId="56" r:id="rId38"/>
    <sheet name="TPNboven50kg" sheetId="60" r:id="rId39"/>
  </sheets>
  <functionGroups builtInGroupCount="18"/>
  <definedNames>
    <definedName name="_xlnm._FilterDatabase" localSheetId="13" hidden="1">Patienten!$A$1:$Q$754</definedName>
    <definedName name="_xlnm._FilterDatabase" localSheetId="12" hidden="1">Temp!$A$2:$B$515</definedName>
    <definedName name="_FiO2">dbBead!$S$2</definedName>
    <definedName name="AchterNaam">dbBead!$D$2</definedName>
    <definedName name="Afrond_1">ber_IVmed!$K$3</definedName>
    <definedName name="Afrond_10">ber_IVmed!$K$12</definedName>
    <definedName name="Afrond_11">ber_IVmed!$K$13</definedName>
    <definedName name="Afrond_12">ber_IVmed!$K$14</definedName>
    <definedName name="Afrond_13">ber_IVmed!$K$15</definedName>
    <definedName name="Afrond_14">ber_IVmed!$K$16</definedName>
    <definedName name="Afrond_15">ber_IVmed!$K$17</definedName>
    <definedName name="Afrond_16">ber_IVmed!$K$18</definedName>
    <definedName name="Afrond_17">ber_IVmed!$K$19</definedName>
    <definedName name="Afrond_18">ber_IVmed!$K$21</definedName>
    <definedName name="Afrond_19">ber_IVmed!$K$22</definedName>
    <definedName name="Afrond_2">ber_IVmed!$K$4</definedName>
    <definedName name="Afrond_20">ber_IVmed!$K$23</definedName>
    <definedName name="Afrond_21">ber_IVmed!$K$24</definedName>
    <definedName name="Afrond_22">ber_IVmed!$K$25</definedName>
    <definedName name="Afrond_23">ber_IVmed!$K$26</definedName>
    <definedName name="Afrond_3">ber_IVmed!$K$5</definedName>
    <definedName name="Afrond_4">ber_IVmed!$K$6</definedName>
    <definedName name="Afrond_5">ber_IVmed!$K$7</definedName>
    <definedName name="Afrond_6">ber_IVmed!$K$8</definedName>
    <definedName name="Afrond_7">ber_IVmed!$K$9</definedName>
    <definedName name="Afrond_8">ber_IVmed!$K$10</definedName>
    <definedName name="Afrond_9">ber_IVmed!$K$11</definedName>
    <definedName name="AfspraakDatum">dbBead!$B$2</definedName>
    <definedName name="AfsprakenVersie">dbBead!$AQ$2</definedName>
    <definedName name="ApparaatCV">dbBead!$R$2</definedName>
    <definedName name="AutoMode">ber_bead!$I$2</definedName>
    <definedName name="Beademing">dbBead!$Q$2</definedName>
    <definedName name="BedNummer">Patienten!$T$1</definedName>
    <definedName name="CaGluc">ber_TPN!$C$9</definedName>
    <definedName name="CaGlucVol">ber_TPN!$E$9</definedName>
    <definedName name="CDP">dbBead!$AH$2</definedName>
    <definedName name="Comfort">ber_Infusen!$P$8</definedName>
    <definedName name="Controle_1">ber_Infusen!$H$1</definedName>
    <definedName name="Controle_10">ber_Infusen!$H$10</definedName>
    <definedName name="Controle_2">ber_Infusen!$H$2</definedName>
    <definedName name="Controle_3">ber_Infusen!$H$3</definedName>
    <definedName name="Controle_4">ber_Infusen!$H$4</definedName>
    <definedName name="Controle_5">ber_Infusen!$H$5</definedName>
    <definedName name="Controle_6">ber_Infusen!$H$6</definedName>
    <definedName name="Controle_7">ber_Infusen!$H$7</definedName>
    <definedName name="Controle_8">ber_Infusen!$H$8</definedName>
    <definedName name="Controle_9">ber_Infusen!$H$9</definedName>
    <definedName name="dbPatientSave">Patienten!$A$1:$B$771</definedName>
    <definedName name="DeltaP">dbBead!$AG$2</definedName>
    <definedName name="DiscAlarm">dbBead!$AM$2</definedName>
    <definedName name="DosHoev_1">ber_Med_disc!$F$2</definedName>
    <definedName name="DosHoev_10">ber_Med_disc!$F$11</definedName>
    <definedName name="DosHoev_11">ber_Med_disc!$F$12</definedName>
    <definedName name="DosHoev_12">ber_Med_disc!$F$13</definedName>
    <definedName name="DosHoev_13">ber_Med_disc!$F$14</definedName>
    <definedName name="DosHoev_14">ber_Med_disc!$F$15</definedName>
    <definedName name="DosHoev_15">ber_Med_disc!$F$16</definedName>
    <definedName name="DosHoev_16">ber_Med_disc!$F$17</definedName>
    <definedName name="DosHoev_17">ber_Med_disc!$F$18</definedName>
    <definedName name="DosHoev_18">ber_Med_disc!$F$19</definedName>
    <definedName name="DosHoev_19">ber_Med_disc!$F$20</definedName>
    <definedName name="DosHoev_2">ber_Med_disc!$F$3</definedName>
    <definedName name="DosHoev_20">ber_Med_disc!$F$21</definedName>
    <definedName name="DosHoev_3">ber_Med_disc!$F$4</definedName>
    <definedName name="DosHoev_4">ber_Med_disc!$F$5</definedName>
    <definedName name="DosHoev_5">ber_Med_disc!$F$6</definedName>
    <definedName name="DosHoev_6">ber_Med_disc!$F$7</definedName>
    <definedName name="DosHoev_7">ber_Med_disc!$F$8</definedName>
    <definedName name="DosHoev_8">ber_Med_disc!$F$9</definedName>
    <definedName name="DosHoev_9">ber_Med_disc!$F$10</definedName>
    <definedName name="DrukCV">dbBead!$AD$2</definedName>
    <definedName name="DrukPLV">dbBead!$AL$2</definedName>
    <definedName name="Druppelen">dbBead!$L$2</definedName>
    <definedName name="Eenheid_1">ber_Med_disc!$E$2</definedName>
    <definedName name="Eenheid_10">ber_Med_disc!$E$11</definedName>
    <definedName name="Eenheid_11">ber_Med_disc!$E$12</definedName>
    <definedName name="Eenheid_12">ber_Med_disc!$E$13</definedName>
    <definedName name="Eenheid_13">ber_Med_disc!$E$14</definedName>
    <definedName name="Eenheid_14">ber_Med_disc!$E$15</definedName>
    <definedName name="Eenheid_15">ber_Med_disc!$E$16</definedName>
    <definedName name="Eenheid_16">ber_Med_disc!$E$17</definedName>
    <definedName name="Eenheid_17">ber_Med_disc!$E$18</definedName>
    <definedName name="Eenheid_18">ber_Med_disc!$E$19</definedName>
    <definedName name="Eenheid_19">ber_Med_disc!$E$20</definedName>
    <definedName name="Eenheid_2">ber_Med_disc!$E$3</definedName>
    <definedName name="Eenheid_20">ber_Med_disc!$E$21</definedName>
    <definedName name="Eenheid_3">ber_Med_disc!$E$4</definedName>
    <definedName name="Eenheid_4">ber_Med_disc!$E$5</definedName>
    <definedName name="Eenheid_5">ber_Med_disc!$E$6</definedName>
    <definedName name="Eenheid_6">ber_Med_disc!$E$7</definedName>
    <definedName name="Eenheid_7">ber_Med_disc!$E$8</definedName>
    <definedName name="Eenheid_8">ber_Med_disc!$E$9</definedName>
    <definedName name="Eenheid_9">ber_Med_disc!$E$10</definedName>
    <definedName name="EndInspCycl">ber_bead!$J$2</definedName>
    <definedName name="FreqCV">dbBead!$V$2</definedName>
    <definedName name="FreqHFO">dbBead!$AE$2</definedName>
    <definedName name="FreqPLV">dbBead!$AJ$2</definedName>
    <definedName name="FreqPO_1">ber_PO!$L$22</definedName>
    <definedName name="FreqPO_2">ber_PO!$L$23</definedName>
    <definedName name="FreqPO_3">ber_PO!$L$24</definedName>
    <definedName name="FreqPO_4">ber_PO!$L$25</definedName>
    <definedName name="GebDatum">dbBead!$F$2</definedName>
    <definedName name="Gewicht">dbBead!$G$2</definedName>
    <definedName name="HoudingsDrainage">dbBead!$P$2</definedName>
    <definedName name="Infuus_1">ber_Infusen!$E$2</definedName>
    <definedName name="Infuus_2">ber_Infusen!$E$3</definedName>
    <definedName name="Infuus_3">ber_Infusen!$E$4</definedName>
    <definedName name="Infuus_4">ber_Infusen!$E$5</definedName>
    <definedName name="Infuus_5">ber_Infusen!$E$6</definedName>
    <definedName name="Infuus_6">ber_Infusen!$E$7</definedName>
    <definedName name="InspFlow">dbBead!$AK$2</definedName>
    <definedName name="InstMedIVDos_1">ber_IVmed!$F$3</definedName>
    <definedName name="InstMedIVDos_10">ber_IVmed!$F$12</definedName>
    <definedName name="InstMedIVDos_11">ber_IVmed!$F$13</definedName>
    <definedName name="InstMedIVDos_12">ber_IVmed!$F$14</definedName>
    <definedName name="InstMedIVDos_13">ber_IVmed!$F$15</definedName>
    <definedName name="InstMedIVDos_14">ber_IVmed!$F$16</definedName>
    <definedName name="InstMedIVDos_15">ber_IVmed!$F$17</definedName>
    <definedName name="InstMedIVDos_16">ber_IVmed!$F$18</definedName>
    <definedName name="InstMedIVDos_17">ber_IVmed!$F$19</definedName>
    <definedName name="InstMedIVDos_18">ber_IVmed!$F$21</definedName>
    <definedName name="InstMedIVDos_19">ber_IVmed!$F$22</definedName>
    <definedName name="InstMedIVDos_2">ber_IVmed!$F$4</definedName>
    <definedName name="InstMedIVDos_20">ber_IVmed!$F$23</definedName>
    <definedName name="InstMedIVDos_21">ber_IVmed!$F$24</definedName>
    <definedName name="InstMedIVDos_22">ber_IVmed!$F$25</definedName>
    <definedName name="InstMedIVDos_23">ber_IVmed!$F$26</definedName>
    <definedName name="InstMedIVDos_3">ber_IVmed!$F$5</definedName>
    <definedName name="InstMedIVDos_4">ber_IVmed!$F$6</definedName>
    <definedName name="InstMedIVDos_5">ber_IVmed!$F$7</definedName>
    <definedName name="InstMedIVDos_6">ber_IVmed!$F$8</definedName>
    <definedName name="InstMedIVDos_7">ber_IVmed!$F$9</definedName>
    <definedName name="InstMedIVDos_8">ber_IVmed!$F$10</definedName>
    <definedName name="InstMedIVDos_9">ber_IVmed!$F$11</definedName>
    <definedName name="InstMedIVStand_1">ber_IVmed!$E$3</definedName>
    <definedName name="InstMedIVStand_10">ber_IVmed!$E$12</definedName>
    <definedName name="InstMedIVStand_11">ber_IVmed!$E$13</definedName>
    <definedName name="InstMedIVStand_12">ber_IVmed!$E$14</definedName>
    <definedName name="InstMedIVStand_13">ber_IVmed!$E$15</definedName>
    <definedName name="InstMedIVStand_14">ber_IVmed!$E$16</definedName>
    <definedName name="InstMedIVStand_15">ber_IVmed!$E$17</definedName>
    <definedName name="InstMedIVStand_16">ber_IVmed!$E$18</definedName>
    <definedName name="InstMedIVStand_17">ber_IVmed!$E$19</definedName>
    <definedName name="InstMedIVStand_18">ber_IVmed!$E$21</definedName>
    <definedName name="InstMedIVStand_19">ber_IVmed!$E$22</definedName>
    <definedName name="InstMedIVStand_2">ber_IVmed!$E$4</definedName>
    <definedName name="InstMedIVStand_20">ber_IVmed!$E$23</definedName>
    <definedName name="InstMedIVStand_21">ber_IVmed!$E$24</definedName>
    <definedName name="InstMedIVStand_22">ber_IVmed!$E$25</definedName>
    <definedName name="InstMedIVStand_23">ber_IVmed!$E$26</definedName>
    <definedName name="InstMedIVStand_3">ber_IVmed!$E$5</definedName>
    <definedName name="InstMedIVStand_4">ber_IVmed!$E$6</definedName>
    <definedName name="InstMedIVStand_5">ber_IVmed!$E$7</definedName>
    <definedName name="InstMedIVStand_6">ber_IVmed!$E$8</definedName>
    <definedName name="InstMedIVStand_7">ber_IVmed!$E$9</definedName>
    <definedName name="InstMedIVStand_8">ber_IVmed!$E$10</definedName>
    <definedName name="InstMedIVStand_9">ber_IVmed!$E$11</definedName>
    <definedName name="KCl">ber_TPN!$C$8</definedName>
    <definedName name="KCl_2">ber_TPN!$C$21</definedName>
    <definedName name="KClVol">ber_TPN!$E$8</definedName>
    <definedName name="KClVol_2">ber_TPN!$E$21</definedName>
    <definedName name="KeuzePO_1">ber_PO!$P$22</definedName>
    <definedName name="KeuzePO_2">ber_PO!$P$23</definedName>
    <definedName name="KeuzePO_3">ber_PO!$P$24</definedName>
    <definedName name="KeuzePO_4">ber_PO!$P$25</definedName>
    <definedName name="KNaFosfaat">ber_TPN!$C$11</definedName>
    <definedName name="KNaFosfaatVol">ber_TPN!$E$11</definedName>
    <definedName name="Lab12__1">Ber_Lab!$E$5</definedName>
    <definedName name="Lab12__10">Ber_Lab!$E$14</definedName>
    <definedName name="Lab12__11">Ber_Lab!$E$15</definedName>
    <definedName name="Lab12__12">Ber_Lab!$E$16</definedName>
    <definedName name="Lab12__13">Ber_Lab!$E$17</definedName>
    <definedName name="Lab12__14">Ber_Lab!$E$18</definedName>
    <definedName name="Lab12__15">Ber_Lab!$E$19</definedName>
    <definedName name="Lab12__16">Ber_Lab!$E$20</definedName>
    <definedName name="Lab12__17">Ber_Lab!$E$21</definedName>
    <definedName name="Lab12__18">Ber_Lab!$E$22</definedName>
    <definedName name="Lab12__19">Ber_Lab!$E$23</definedName>
    <definedName name="Lab12__2">Ber_Lab!$E$6</definedName>
    <definedName name="Lab12__20">Ber_Lab!$E$24</definedName>
    <definedName name="Lab12__21">Ber_Lab!$E$25</definedName>
    <definedName name="Lab12__22">Ber_Lab!$E$26</definedName>
    <definedName name="Lab12__23">Ber_Lab!$E$27</definedName>
    <definedName name="Lab12__24">Ber_Lab!$E$28</definedName>
    <definedName name="Lab12__25">Ber_Lab!$E$29</definedName>
    <definedName name="Lab12__26">Ber_Lab!$E$30</definedName>
    <definedName name="Lab12__27">Ber_Lab!$E$31</definedName>
    <definedName name="Lab12__3">Ber_Lab!$E$7</definedName>
    <definedName name="Lab12__4">Ber_Lab!$E$8</definedName>
    <definedName name="Lab12__5">Ber_Lab!$E$9</definedName>
    <definedName name="Lab12__6">Ber_Lab!$E$10</definedName>
    <definedName name="Lab12__7">Ber_Lab!$E$11</definedName>
    <definedName name="Lab12__8">Ber_Lab!$E$12</definedName>
    <definedName name="Lab12__9">Ber_Lab!$E$13</definedName>
    <definedName name="Lab16__1">Ber_Lab!$G$5</definedName>
    <definedName name="Lab16__10">Ber_Lab!$G$14</definedName>
    <definedName name="Lab16__11">Ber_Lab!$G$15</definedName>
    <definedName name="Lab16__12">Ber_Lab!$G$16</definedName>
    <definedName name="Lab16__13">Ber_Lab!$G$17</definedName>
    <definedName name="Lab16__14">Ber_Lab!$G$18</definedName>
    <definedName name="Lab16__15">Ber_Lab!$G$19</definedName>
    <definedName name="Lab16__16">Ber_Lab!$G$20</definedName>
    <definedName name="Lab16__17">Ber_Lab!$G$21</definedName>
    <definedName name="Lab16__18">Ber_Lab!$G$22</definedName>
    <definedName name="Lab16__19">Ber_Lab!$G$23</definedName>
    <definedName name="Lab16__2">Ber_Lab!$G$6</definedName>
    <definedName name="Lab16__20">Ber_Lab!$G$24</definedName>
    <definedName name="Lab16__21">Ber_Lab!$G$25</definedName>
    <definedName name="Lab16__22">Ber_Lab!$G$26</definedName>
    <definedName name="Lab16__23">Ber_Lab!$G$27</definedName>
    <definedName name="Lab16__24">Ber_Lab!$G$28</definedName>
    <definedName name="Lab16__25">Ber_Lab!$G$29</definedName>
    <definedName name="Lab16__26">Ber_Lab!$G$30</definedName>
    <definedName name="Lab16__27">Ber_Lab!$G$31</definedName>
    <definedName name="Lab16__3">Ber_Lab!$G$7</definedName>
    <definedName name="Lab16__4">Ber_Lab!$G$8</definedName>
    <definedName name="Lab16__5">Ber_Lab!$G$9</definedName>
    <definedName name="Lab16__6">Ber_Lab!$G$10</definedName>
    <definedName name="Lab16__7">Ber_Lab!$G$11</definedName>
    <definedName name="Lab16__8">Ber_Lab!$G$12</definedName>
    <definedName name="Lab16__9">Ber_Lab!$G$13</definedName>
    <definedName name="Lab20__1">Ber_Lab!$I$5</definedName>
    <definedName name="Lab20__10">Ber_Lab!$I$14</definedName>
    <definedName name="Lab20__11">Ber_Lab!$I$15</definedName>
    <definedName name="Lab20__12">Ber_Lab!$I$16</definedName>
    <definedName name="Lab20__13">Ber_Lab!$I$17</definedName>
    <definedName name="Lab20__14">Ber_Lab!$I$18</definedName>
    <definedName name="Lab20__15">Ber_Lab!$I$19</definedName>
    <definedName name="Lab20__16">Ber_Lab!$I$20</definedName>
    <definedName name="Lab20__17">Ber_Lab!$I$21</definedName>
    <definedName name="Lab20__18">Ber_Lab!$I$22</definedName>
    <definedName name="Lab20__19">Ber_Lab!$I$23</definedName>
    <definedName name="Lab20__2">Ber_Lab!$I$6</definedName>
    <definedName name="Lab20__20">Ber_Lab!$I$24</definedName>
    <definedName name="Lab20__21">Ber_Lab!$I$25</definedName>
    <definedName name="Lab20__22">Ber_Lab!$I$26</definedName>
    <definedName name="Lab20__23">Ber_Lab!$I$27</definedName>
    <definedName name="Lab20__24">Ber_Lab!$I$28</definedName>
    <definedName name="Lab20__25">Ber_Lab!$I$29</definedName>
    <definedName name="Lab20__26">Ber_Lab!$I$30</definedName>
    <definedName name="Lab20__27">Ber_Lab!$I$31</definedName>
    <definedName name="Lab20__3">Ber_Lab!$I$7</definedName>
    <definedName name="Lab20__4">Ber_Lab!$I$8</definedName>
    <definedName name="Lab20__5">Ber_Lab!$I$9</definedName>
    <definedName name="Lab20__6">Ber_Lab!$I$10</definedName>
    <definedName name="Lab20__7">Ber_Lab!$I$11</definedName>
    <definedName name="Lab20__8">Ber_Lab!$I$12</definedName>
    <definedName name="Lab20__9">Ber_Lab!$I$13</definedName>
    <definedName name="Lab24__1">Ber_Lab!$K$5</definedName>
    <definedName name="Lab24__10">Ber_Lab!$K$14</definedName>
    <definedName name="Lab24__11">Ber_Lab!$K$15</definedName>
    <definedName name="Lab24__12">Ber_Lab!$K$16</definedName>
    <definedName name="Lab24__13">Ber_Lab!$K$17</definedName>
    <definedName name="Lab24__14">Ber_Lab!$K$18</definedName>
    <definedName name="Lab24__15">Ber_Lab!$K$19</definedName>
    <definedName name="Lab24__16">Ber_Lab!$K$20</definedName>
    <definedName name="Lab24__17">Ber_Lab!$K$21</definedName>
    <definedName name="Lab24__18">Ber_Lab!$K$22</definedName>
    <definedName name="Lab24__19">Ber_Lab!$K$23</definedName>
    <definedName name="Lab24__2">Ber_Lab!$K$6</definedName>
    <definedName name="Lab24__20">Ber_Lab!$K$24</definedName>
    <definedName name="Lab24__21">Ber_Lab!$K$25</definedName>
    <definedName name="Lab24__22">Ber_Lab!$K$26</definedName>
    <definedName name="Lab24__23">Ber_Lab!$K$27</definedName>
    <definedName name="Lab24__24">Ber_Lab!$K$28</definedName>
    <definedName name="Lab24__25">Ber_Lab!$K$29</definedName>
    <definedName name="Lab24__26">Ber_Lab!$K$30</definedName>
    <definedName name="Lab24__27">Ber_Lab!$K$31</definedName>
    <definedName name="Lab24__3">Ber_Lab!$K$7</definedName>
    <definedName name="Lab24__4">Ber_Lab!$K$8</definedName>
    <definedName name="Lab24__5">Ber_Lab!$K$9</definedName>
    <definedName name="Lab24__6">Ber_Lab!$K$10</definedName>
    <definedName name="Lab24__7">Ber_Lab!$K$11</definedName>
    <definedName name="Lab24__8">Ber_Lab!$K$12</definedName>
    <definedName name="Lab24__9">Ber_Lab!$K$13</definedName>
    <definedName name="LabDag1_1">Ber_Lab!$M$5</definedName>
    <definedName name="LabDag1_10">Ber_Lab!$M$14</definedName>
    <definedName name="LabDag1_11">Ber_Lab!$M$15</definedName>
    <definedName name="LabDag1_12">Ber_Lab!$M$16</definedName>
    <definedName name="LabDag1_13">Ber_Lab!$M$17</definedName>
    <definedName name="LabDag1_14">Ber_Lab!$M$18</definedName>
    <definedName name="LabDag1_15">Ber_Lab!$M$19</definedName>
    <definedName name="LabDag1_16">Ber_Lab!$M$20</definedName>
    <definedName name="LabDag1_17">Ber_Lab!$M$21</definedName>
    <definedName name="LabDag1_18">Ber_Lab!$M$22</definedName>
    <definedName name="LabDag1_19">Ber_Lab!$M$23</definedName>
    <definedName name="LabDag1_2">Ber_Lab!$M$6</definedName>
    <definedName name="LabDag1_20">Ber_Lab!$M$24</definedName>
    <definedName name="LabDag1_21">Ber_Lab!$M$25</definedName>
    <definedName name="LabDag1_22">Ber_Lab!$M$26</definedName>
    <definedName name="LabDag1_23">Ber_Lab!$M$27</definedName>
    <definedName name="LabDag1_24">Ber_Lab!$M$28</definedName>
    <definedName name="LabDag1_25">Ber_Lab!$M$29</definedName>
    <definedName name="LabDag1_26">Ber_Lab!$M$30</definedName>
    <definedName name="LabDag1_27">Ber_Lab!$M$31</definedName>
    <definedName name="LabDag1_3">Ber_Lab!$M$7</definedName>
    <definedName name="LabDag1_4">Ber_Lab!$M$8</definedName>
    <definedName name="LabDag1_5">Ber_Lab!$M$9</definedName>
    <definedName name="LabDag1_6">Ber_Lab!$M$10</definedName>
    <definedName name="LabDag1_7">Ber_Lab!$M$11</definedName>
    <definedName name="LabDag1_8">Ber_Lab!$M$12</definedName>
    <definedName name="LabDag1_9">Ber_Lab!$M$13</definedName>
    <definedName name="LabDag2_1">Ber_Lab!$O$5</definedName>
    <definedName name="LabDag2_10">Ber_Lab!$O$14</definedName>
    <definedName name="LabDag2_11">Ber_Lab!$O$15</definedName>
    <definedName name="LabDag2_12">Ber_Lab!$O$16</definedName>
    <definedName name="LabDag2_13">Ber_Lab!$O$17</definedName>
    <definedName name="LabDag2_14">Ber_Lab!$O$18</definedName>
    <definedName name="LabDag2_15">Ber_Lab!$O$19</definedName>
    <definedName name="LabDag2_16">Ber_Lab!$O$20</definedName>
    <definedName name="LabDag2_17">Ber_Lab!$O$21</definedName>
    <definedName name="LabDag2_18">Ber_Lab!$O$22</definedName>
    <definedName name="LabDag2_19">Ber_Lab!$O$23</definedName>
    <definedName name="LabDag2_2">Ber_Lab!$O$6</definedName>
    <definedName name="LabDag2_20">Ber_Lab!$O$24</definedName>
    <definedName name="LabDag2_21">Ber_Lab!$O$25</definedName>
    <definedName name="LabDag2_22">Ber_Lab!$O$26</definedName>
    <definedName name="LabDag2_23">Ber_Lab!$O$27</definedName>
    <definedName name="LabDag2_24">Ber_Lab!$O$28</definedName>
    <definedName name="LabDag2_25">Ber_Lab!$O$29</definedName>
    <definedName name="LabDag2_26">Ber_Lab!$O$30</definedName>
    <definedName name="LabDag2_27">Ber_Lab!$O$31</definedName>
    <definedName name="LabDag2_3">Ber_Lab!$O$7</definedName>
    <definedName name="LabDag2_4">Ber_Lab!$O$8</definedName>
    <definedName name="LabDag2_5">Ber_Lab!$O$9</definedName>
    <definedName name="LabDag2_6">Ber_Lab!$O$10</definedName>
    <definedName name="LabDag2_7">Ber_Lab!$O$11</definedName>
    <definedName name="LabDag2_8">Ber_Lab!$O$12</definedName>
    <definedName name="LabDag2_9">Ber_Lab!$O$13</definedName>
    <definedName name="LabDag3_1">Ber_Lab!$Q$5</definedName>
    <definedName name="LabDag3_10">Ber_Lab!$Q$14</definedName>
    <definedName name="LabDag3_11">Ber_Lab!$Q$15</definedName>
    <definedName name="LabDag3_12">Ber_Lab!$Q$16</definedName>
    <definedName name="LabDag3_13">Ber_Lab!$Q$17</definedName>
    <definedName name="LabDag3_14">Ber_Lab!$Q$18</definedName>
    <definedName name="LabDag3_15">Ber_Lab!$Q$19</definedName>
    <definedName name="LabDag3_16">Ber_Lab!$Q$20</definedName>
    <definedName name="LabDag3_17">Ber_Lab!$Q$21</definedName>
    <definedName name="LabDag3_18">Ber_Lab!$Q$22</definedName>
    <definedName name="LabDag3_19">Ber_Lab!$Q$23</definedName>
    <definedName name="LabDag3_2">Ber_Lab!$Q$6</definedName>
    <definedName name="LabDag3_20">Ber_Lab!$Q$24</definedName>
    <definedName name="LabDag3_21">Ber_Lab!$Q$25</definedName>
    <definedName name="LabDag3_22">Ber_Lab!$Q$26</definedName>
    <definedName name="LabDag3_23">Ber_Lab!$Q$27</definedName>
    <definedName name="LabDag3_24">Ber_Lab!$Q$28</definedName>
    <definedName name="LabDag3_25">Ber_Lab!$Q$29</definedName>
    <definedName name="LabDag3_26">Ber_Lab!$Q$30</definedName>
    <definedName name="LabDag3_27">Ber_Lab!$Q$31</definedName>
    <definedName name="LabDag3_3">Ber_Lab!$Q$7</definedName>
    <definedName name="LabDag3_4">Ber_Lab!$Q$8</definedName>
    <definedName name="LabDag3_5">Ber_Lab!$Q$9</definedName>
    <definedName name="LabDag3_6">Ber_Lab!$Q$10</definedName>
    <definedName name="LabDag3_7">Ber_Lab!$Q$11</definedName>
    <definedName name="LabDag3_8">Ber_Lab!$Q$12</definedName>
    <definedName name="LabDag3_9">Ber_Lab!$Q$13</definedName>
    <definedName name="LabOpn_1">Ber_Lab!$C$5</definedName>
    <definedName name="LabOpn_10">Ber_Lab!$C$14</definedName>
    <definedName name="LabOpn_11">Ber_Lab!$C$15</definedName>
    <definedName name="LabOpn_12">Ber_Lab!$C$16</definedName>
    <definedName name="LabOpn_13">Ber_Lab!$C$17</definedName>
    <definedName name="LabOpn_14">Ber_Lab!$C$18</definedName>
    <definedName name="LabOpn_15">Ber_Lab!$C$19</definedName>
    <definedName name="LabOpn_16">Ber_Lab!$C$20</definedName>
    <definedName name="LabOpn_17">Ber_Lab!$C$21</definedName>
    <definedName name="LabOpn_18">Ber_Lab!$C$22</definedName>
    <definedName name="LabOpn_19">Ber_Lab!$C$23</definedName>
    <definedName name="LabOpn_2">Ber_Lab!$C$6</definedName>
    <definedName name="LabOpn_20">Ber_Lab!$C$24</definedName>
    <definedName name="LabOpn_21">Ber_Lab!$C$25</definedName>
    <definedName name="LabOpn_22">Ber_Lab!$C$26</definedName>
    <definedName name="LabOpn_23">Ber_Lab!$C$27</definedName>
    <definedName name="LabOpn_24">Ber_Lab!$C$28</definedName>
    <definedName name="LabOpn_25">Ber_Lab!$C$29</definedName>
    <definedName name="LabOpn_26">Ber_Lab!$C$30</definedName>
    <definedName name="LabOpn_27">Ber_Lab!$C$31</definedName>
    <definedName name="LabOpn_3">Ber_Lab!$C$7</definedName>
    <definedName name="LabOpn_4">Ber_Lab!$C$8</definedName>
    <definedName name="LabOpn_5">Ber_Lab!$C$9</definedName>
    <definedName name="LabOpn_6">Ber_Lab!$C$10</definedName>
    <definedName name="LabOpn_7">Ber_Lab!$C$11</definedName>
    <definedName name="LabOpn_8">Ber_Lab!$C$12</definedName>
    <definedName name="LabOpn_9">Ber_Lab!$C$13</definedName>
    <definedName name="Lengte">dbBead!$H$2</definedName>
    <definedName name="LipidenStand">ber_TPN!$D$12</definedName>
    <definedName name="MedDosHoev_1">ber_Med_disc!$F$2</definedName>
    <definedName name="MedDosHoev_10">ber_Med_disc!$F$11</definedName>
    <definedName name="MedDosHoev_11">ber_Med_disc!$F$12</definedName>
    <definedName name="MedDosHoev_12">ber_Med_disc!$F$13</definedName>
    <definedName name="MedDosHoev_13">ber_Med_disc!$F$14</definedName>
    <definedName name="MedDosHoev_14">ber_Med_disc!$F$15</definedName>
    <definedName name="MedDosHoev_15">ber_Med_disc!$F$16</definedName>
    <definedName name="MedDosHoev_16">ber_Med_disc!$F$17</definedName>
    <definedName name="MedDosHoev_17">ber_Med_disc!$F$18</definedName>
    <definedName name="MedDosHoev_18">ber_Med_disc!$F$19</definedName>
    <definedName name="MedDosHoev_19">ber_Med_disc!$F$20</definedName>
    <definedName name="MedDosHoev_2">ber_Med_disc!$F$3</definedName>
    <definedName name="MedDosHoev_20">ber_Med_disc!$F$21</definedName>
    <definedName name="MedDosHoev_3">ber_Med_disc!$F$4</definedName>
    <definedName name="MedDosHoev_4">ber_Med_disc!$F$5</definedName>
    <definedName name="MedDosHoev_5">ber_Med_disc!$F$6</definedName>
    <definedName name="MedDosHoev_6">ber_Med_disc!$F$7</definedName>
    <definedName name="MedDosHoev_7">ber_Med_disc!$F$8</definedName>
    <definedName name="MedDosHoev_8">ber_Med_disc!$F$9</definedName>
    <definedName name="MedDosHoev_9">ber_Med_disc!$F$10</definedName>
    <definedName name="MedInloop_1">ber_Med_disc!$P$2</definedName>
    <definedName name="MedInloop_10">ber_Med_disc!$P$11</definedName>
    <definedName name="MedInloop_11">ber_Med_disc!$P$12</definedName>
    <definedName name="MedInloop_12">ber_Med_disc!$P$13</definedName>
    <definedName name="MedInloop_13">ber_Med_disc!$P$14</definedName>
    <definedName name="MedInloop_14">ber_Med_disc!$P$15</definedName>
    <definedName name="MedInloop_15">ber_Med_disc!$P$16</definedName>
    <definedName name="MedInloop_16">ber_Med_disc!$P$17</definedName>
    <definedName name="MedInloop_17">ber_Med_disc!$P$18</definedName>
    <definedName name="MedInloop_18">ber_Med_disc!$P$19</definedName>
    <definedName name="MedInloop_19">ber_Med_disc!$P$20</definedName>
    <definedName name="MedInloop_2">ber_Med_disc!$P$3</definedName>
    <definedName name="MedInloop_20">ber_Med_disc!$P$21</definedName>
    <definedName name="MedInloop_3">ber_Med_disc!$P$4</definedName>
    <definedName name="MedInloop_4">ber_Med_disc!$P$5</definedName>
    <definedName name="MedInloop_5">ber_Med_disc!$P$6</definedName>
    <definedName name="MedInloop_6">ber_Med_disc!$P$7</definedName>
    <definedName name="MedInloop_7">ber_Med_disc!$P$8</definedName>
    <definedName name="MedInloop_8">ber_Med_disc!$P$9</definedName>
    <definedName name="MedInloop_9">ber_Med_disc!$P$10</definedName>
    <definedName name="MedIVKeuze_1">ber_IVmed!$B$31</definedName>
    <definedName name="MedIVKeuze_10">ber_IVmed!$B$40</definedName>
    <definedName name="MedIVKeuze_11">ber_IVmed!$B$41</definedName>
    <definedName name="MedIVKeuze_12">ber_IVmed!$B$42</definedName>
    <definedName name="MedIVKeuze_13">ber_IVmed!$B$43</definedName>
    <definedName name="MedIVKeuze_14">ber_IVmed!$B$44</definedName>
    <definedName name="MedIVKeuze_15">ber_IVmed!$B$45</definedName>
    <definedName name="MedIVKeuze_2">ber_IVmed!$B$32</definedName>
    <definedName name="MedIVKeuze_3">ber_IVmed!$B$33</definedName>
    <definedName name="MedIVKeuze_4">ber_IVmed!$B$34</definedName>
    <definedName name="MedIVKeuze_5">ber_IVmed!$B$35</definedName>
    <definedName name="MedIVKeuze_6">ber_IVmed!$B$36</definedName>
    <definedName name="MedIVKeuze_7">ber_IVmed!$B$37</definedName>
    <definedName name="MedIVKeuze_8">ber_IVmed!$B$38</definedName>
    <definedName name="MedIVKeuze_9">ber_IVmed!$B$39</definedName>
    <definedName name="MedIVMlOpl_11">ber_IVmed!$C$41</definedName>
    <definedName name="MedIVMlOpl_12">ber_IVmed!$C$42</definedName>
    <definedName name="MedIVMlOpl_13">ber_IVmed!$C$43</definedName>
    <definedName name="MedIVMlOpl_14">ber_IVmed!$C$44</definedName>
    <definedName name="MedIVMlOpl_15">ber_IVmed!$C$45</definedName>
    <definedName name="MedIVMlOpl_16">ber_IVmed!$C$45</definedName>
    <definedName name="MedIVMlSpuit_1">ber_IVmed!$D$3</definedName>
    <definedName name="MedIVMlSpuit_10">ber_IVmed!$D$12</definedName>
    <definedName name="MedIVMlSpuit_11">ber_IVmed!$D$13</definedName>
    <definedName name="MedIVMlSpuit_12">ber_IVmed!$D$14</definedName>
    <definedName name="MedIVMlSpuit_13">ber_IVmed!$D$15</definedName>
    <definedName name="MedIVMlSpuit_14">ber_IVmed!$D$16</definedName>
    <definedName name="MedIVMlSpuit_15">ber_IVmed!$D$17</definedName>
    <definedName name="MedIVMlSpuit_16">ber_IVmed!$D$18</definedName>
    <definedName name="MedIVMlSpuit_17">ber_IVmed!$D$19</definedName>
    <definedName name="MedIVMlSpuit_18">ber_IVmed!$D$21</definedName>
    <definedName name="MedIVMlSpuit_19">ber_IVmed!$D$22</definedName>
    <definedName name="MedIVMlSpuit_2">ber_IVmed!$D$4</definedName>
    <definedName name="MedIVMlSpuit_20">ber_IVmed!$D$23</definedName>
    <definedName name="MedIVMlSpuit_21">ber_IVmed!$D$24</definedName>
    <definedName name="MedIVMlSpuit_22">ber_IVmed!$D$25</definedName>
    <definedName name="MedIVMlSpuit_23">ber_IVmed!$D$26</definedName>
    <definedName name="MedIVMlSpuit_3">ber_IVmed!$D$5</definedName>
    <definedName name="MedIVMlSpuit_4">ber_IVmed!$D$6</definedName>
    <definedName name="MedIVMlSpuit_5">ber_IVmed!$D$7</definedName>
    <definedName name="MedIVMlSpuit_6">ber_IVmed!$D$8</definedName>
    <definedName name="MedIVMlSpuit_7">ber_IVmed!$D$9</definedName>
    <definedName name="MedIVMlSpuit_8">ber_IVmed!$D$10</definedName>
    <definedName name="MedIVMlSpuit_9">ber_IVmed!$D$11</definedName>
    <definedName name="MedIVOplVlst_1">ber_IVmed!$D$31</definedName>
    <definedName name="MedIVOplVlst_10">ber_IVmed!$D$40</definedName>
    <definedName name="MedIVOplVlst_11">ber_IVmed!$D$41</definedName>
    <definedName name="MedIVOplVlst_12">ber_IVmed!$D$42</definedName>
    <definedName name="MedIVOplVlst_13">ber_IVmed!$D$43</definedName>
    <definedName name="MedIVOplVlst_14">ber_IVmed!$D$44</definedName>
    <definedName name="MedIVOplVlst_15">ber_IVmed!$D$45</definedName>
    <definedName name="MedIVOplVlst_2">ber_IVmed!$D$32</definedName>
    <definedName name="MedIVOplVlst_3">ber_IVmed!$D$33</definedName>
    <definedName name="MedIVOplVlst_4">ber_IVmed!$D$34</definedName>
    <definedName name="MedIVOplVlst_5">ber_IVmed!$D$35</definedName>
    <definedName name="MedIVOplVlst_6">ber_IVmed!$D$36</definedName>
    <definedName name="MedIVOplVlst_7">ber_IVmed!$D$37</definedName>
    <definedName name="MedIVOplVlst_8">ber_IVmed!$D$38</definedName>
    <definedName name="MedIVOplVlst_9">ber_IVmed!$D$39</definedName>
    <definedName name="MedIVStand_1">ber_IVmed!$E$31</definedName>
    <definedName name="MedIVStand_10">ber_IVmed!$E$40</definedName>
    <definedName name="MedIVStand_11">ber_IVmed!$E$41</definedName>
    <definedName name="MedIVStand_12">ber_IVmed!$E$42</definedName>
    <definedName name="MedIVStand_13">ber_IVmed!$E$43</definedName>
    <definedName name="MedIVStand_14">ber_IVmed!$E$44</definedName>
    <definedName name="MedIVStand_15">ber_IVmed!$E$45</definedName>
    <definedName name="MedIVStand_2">ber_IVmed!$E$32</definedName>
    <definedName name="MedIVStand_3">ber_IVmed!$E$33</definedName>
    <definedName name="MedIVStand_4">ber_IVmed!$E$34</definedName>
    <definedName name="MedIVStand_5">ber_IVmed!$E$35</definedName>
    <definedName name="MedIVStand_6">ber_IVmed!$E$36</definedName>
    <definedName name="MedIVStand_7">ber_IVmed!$E$37</definedName>
    <definedName name="MedIVStand_8">ber_IVmed!$E$38</definedName>
    <definedName name="MedIVStand_9">ber_IVmed!$E$39</definedName>
    <definedName name="MedIVSterkte_11">ber_IVmed!$N$41</definedName>
    <definedName name="MedIVSterkte_12">ber_IVmed!$N$42</definedName>
    <definedName name="MedIVSterkte_13">ber_IVmed!$N$43</definedName>
    <definedName name="MedIVSterkte_14">ber_IVmed!$N$44</definedName>
    <definedName name="MedIVSterkte_15">ber_IVmed!$N$45</definedName>
    <definedName name="MedKeuze_0">ber_Med_disc!$B$25</definedName>
    <definedName name="MedKeuze_1">ber_Med_disc!$C$2</definedName>
    <definedName name="MedKeuze_10">ber_Med_disc!$C$11</definedName>
    <definedName name="MedKeuze_11">ber_Med_disc!$C$12</definedName>
    <definedName name="MedKeuze_12">ber_Med_disc!$C$13</definedName>
    <definedName name="MedKeuze_13">ber_Med_disc!$C$14</definedName>
    <definedName name="MedKeuze_14">ber_Med_disc!$C$15</definedName>
    <definedName name="MedKeuze_15">ber_Med_disc!$C$16</definedName>
    <definedName name="MedKeuze_16">ber_Med_disc!$C$17</definedName>
    <definedName name="MedKeuze_17">ber_Med_disc!$C$18</definedName>
    <definedName name="MedKeuze_18">ber_Med_disc!$C$19</definedName>
    <definedName name="MedKeuze_19">ber_Med_disc!$C$20</definedName>
    <definedName name="MedKeuze_2">ber_Med_disc!$C$3</definedName>
    <definedName name="MedKeuze_20">ber_Med_disc!$C$21</definedName>
    <definedName name="MedKeuze_3">ber_Med_disc!$C$4</definedName>
    <definedName name="MedKeuze_4">ber_Med_disc!$C$5</definedName>
    <definedName name="MedKeuze_5">ber_Med_disc!$C$6</definedName>
    <definedName name="MedKeuze_6">ber_Med_disc!$C$7</definedName>
    <definedName name="MedKeuze_7">ber_Med_disc!$C$8</definedName>
    <definedName name="MedKeuze_8">ber_Med_disc!$C$9</definedName>
    <definedName name="MedKeuze_9">ber_Med_disc!$C$10</definedName>
    <definedName name="MedOpl_1">ber_Med_disc!$N$2</definedName>
    <definedName name="MedOpl_10">ber_Med_disc!$N$11</definedName>
    <definedName name="MedOpl_11">ber_Med_disc!$N$12</definedName>
    <definedName name="MedOpl_12">ber_Med_disc!$N$13</definedName>
    <definedName name="MedOpl_13">ber_Med_disc!$N$14</definedName>
    <definedName name="MedOpl_14">ber_Med_disc!$N$15</definedName>
    <definedName name="MedOpl_15">ber_Med_disc!$N$16</definedName>
    <definedName name="MedOpl_16">ber_Med_disc!$N$17</definedName>
    <definedName name="MedOpl_17">ber_Med_disc!$N$18</definedName>
    <definedName name="MedOpl_18">ber_Med_disc!$N$19</definedName>
    <definedName name="MedOpl_19">ber_Med_disc!$N$20</definedName>
    <definedName name="MedOpl_2">ber_Med_disc!$N$3</definedName>
    <definedName name="MedOpl_20">ber_Med_disc!$N$21</definedName>
    <definedName name="MedOpl_3">ber_Med_disc!$N$4</definedName>
    <definedName name="MedOpl_4">ber_Med_disc!$N$5</definedName>
    <definedName name="MedOpl_5">ber_Med_disc!$N$6</definedName>
    <definedName name="MedOpl_6">ber_Med_disc!$N$7</definedName>
    <definedName name="MedOpl_7">ber_Med_disc!$N$8</definedName>
    <definedName name="MedOpl_8">ber_Med_disc!$N$9</definedName>
    <definedName name="MedOpl_9">ber_Med_disc!$N$10</definedName>
    <definedName name="MedOplVol_1">ber_Med_disc!$M$2</definedName>
    <definedName name="MedOplVol_10">ber_Med_disc!$M$11</definedName>
    <definedName name="MedOplVol_11">ber_Med_disc!$M$12</definedName>
    <definedName name="MedOplVol_12">ber_Med_disc!$M$13</definedName>
    <definedName name="MedOplVol_13">ber_Med_disc!$M$14</definedName>
    <definedName name="MedOplVol_14">ber_Med_disc!$M$15</definedName>
    <definedName name="MedOplVol_15">ber_Med_disc!$M$16</definedName>
    <definedName name="MedOplVol_16">ber_Med_disc!$M$17</definedName>
    <definedName name="MedOplVol_17">ber_Med_disc!$M$18</definedName>
    <definedName name="MedOplVol_18">ber_Med_disc!$M$19</definedName>
    <definedName name="MedOplVol_19">ber_Med_disc!$M$20</definedName>
    <definedName name="MedOplVol_2">ber_Med_disc!$M$3</definedName>
    <definedName name="MedOplVol_20">ber_Med_disc!$M$21</definedName>
    <definedName name="MedOplVol_3">ber_Med_disc!$M$4</definedName>
    <definedName name="MedOplVol_4">ber_Med_disc!$M$5</definedName>
    <definedName name="MedOplVol_5">ber_Med_disc!$M$6</definedName>
    <definedName name="MedOplVol_6">ber_Med_disc!$M$7</definedName>
    <definedName name="MedOplVol_7">ber_Med_disc!$M$8</definedName>
    <definedName name="MedOplVol_8">ber_Med_disc!$M$9</definedName>
    <definedName name="MedOplVol_9">ber_Med_disc!$M$10</definedName>
    <definedName name="MedStart_1">ber_Med_disc!$B$2</definedName>
    <definedName name="MedStart_10">ber_Med_disc!$B$11</definedName>
    <definedName name="MedStart_11">ber_Med_disc!$B$12</definedName>
    <definedName name="MedStart_12">ber_Med_disc!$B$13</definedName>
    <definedName name="MedStart_13">ber_Med_disc!$B$14</definedName>
    <definedName name="MedStart_14">ber_Med_disc!$B$15</definedName>
    <definedName name="MedStart_15">ber_Med_disc!$B$16</definedName>
    <definedName name="MedStart_16">ber_Med_disc!$B$17</definedName>
    <definedName name="MedStart_17">ber_Med_disc!$B$18</definedName>
    <definedName name="MedStart_18">ber_Med_disc!$B$19</definedName>
    <definedName name="MedStart_19">ber_Med_disc!$B$20</definedName>
    <definedName name="MedStart_2">ber_Med_disc!$B$3</definedName>
    <definedName name="MedStart_20">ber_Med_disc!$B$21</definedName>
    <definedName name="MedStart_3">ber_Med_disc!$B$4</definedName>
    <definedName name="MedStart_4">ber_Med_disc!$B$5</definedName>
    <definedName name="MedStart_5">ber_Med_disc!$B$6</definedName>
    <definedName name="MedStart_6">ber_Med_disc!$B$7</definedName>
    <definedName name="MedStart_7">ber_Med_disc!$B$8</definedName>
    <definedName name="MedStart_8">ber_Med_disc!$B$9</definedName>
    <definedName name="MedStart_9">ber_Med_disc!$B$10</definedName>
    <definedName name="MedTijden_1">ber_Med_disc!$H$2</definedName>
    <definedName name="MedTijden_10">ber_Med_disc!$H$11</definedName>
    <definedName name="MedTijden_11">ber_Med_disc!$H$12</definedName>
    <definedName name="MedTijden_12">ber_Med_disc!$H$13</definedName>
    <definedName name="MedTijden_13">ber_Med_disc!$H$14</definedName>
    <definedName name="MedTijden_14">ber_Med_disc!$H$15</definedName>
    <definedName name="MedTijden_15">ber_Med_disc!$H$16</definedName>
    <definedName name="MedTijden_16">ber_Med_disc!$H$17</definedName>
    <definedName name="MedTijden_17">ber_Med_disc!$H$18</definedName>
    <definedName name="MedTijden_18">ber_Med_disc!$H$19</definedName>
    <definedName name="MedTijden_19">ber_Med_disc!$H$20</definedName>
    <definedName name="MedTijden_2">ber_Med_disc!$H$3</definedName>
    <definedName name="MedTijden_20">ber_Med_disc!$H$21</definedName>
    <definedName name="MedTijden_3">ber_Med_disc!$H$4</definedName>
    <definedName name="MedTijden_4">ber_Med_disc!$H$5</definedName>
    <definedName name="MedTijden_5">ber_Med_disc!$H$6</definedName>
    <definedName name="MedTijden_6">ber_Med_disc!$H$7</definedName>
    <definedName name="MedTijden_7">ber_Med_disc!$H$8</definedName>
    <definedName name="MedTijden_8">ber_Med_disc!$H$9</definedName>
    <definedName name="MedTijden_9">ber_Med_disc!$H$10</definedName>
    <definedName name="MedToed_1">ber_Med_disc!$K$2</definedName>
    <definedName name="MedToed_10">ber_Med_disc!$K$11</definedName>
    <definedName name="MedToed_11">ber_Med_disc!$K$12</definedName>
    <definedName name="MedToed_12">ber_Med_disc!$K$13</definedName>
    <definedName name="MedToed_13">ber_Med_disc!$K$14</definedName>
    <definedName name="MedToed_14">ber_Med_disc!$K$15</definedName>
    <definedName name="MedToed_15">ber_Med_disc!$K$16</definedName>
    <definedName name="MedToed_16">ber_Med_disc!$K$17</definedName>
    <definedName name="MedToed_17">ber_Med_disc!$K$18</definedName>
    <definedName name="MedToed_18">ber_Med_disc!$K$19</definedName>
    <definedName name="MedToed_19">ber_Med_disc!$K$20</definedName>
    <definedName name="MedToed_2">ber_Med_disc!$K$3</definedName>
    <definedName name="MedToed_20">ber_Med_disc!$K$21</definedName>
    <definedName name="MedToed_3">ber_Med_disc!$K$4</definedName>
    <definedName name="MedToed_4">ber_Med_disc!$K$5</definedName>
    <definedName name="MedToed_5">ber_Med_disc!$K$6</definedName>
    <definedName name="MedToed_6">ber_Med_disc!$K$7</definedName>
    <definedName name="MedToed_7">ber_Med_disc!$K$8</definedName>
    <definedName name="MedToed_8">ber_Med_disc!$K$9</definedName>
    <definedName name="MedToed_9">ber_Med_disc!$K$10</definedName>
    <definedName name="MgCl">ber_TPN!$C$10</definedName>
    <definedName name="MgClVol">ber_TPN!$E$10</definedName>
    <definedName name="ModeCV">dbBead!$U$2</definedName>
    <definedName name="NaCl">ber_TPN!$C$7</definedName>
    <definedName name="NaCl_2">ber_TPN!$C$20</definedName>
    <definedName name="NaClVol">ber_TPN!$E$7</definedName>
    <definedName name="NaClVol_2">ber_TPN!$E$20</definedName>
    <definedName name="O2_">dbBead!$N$2</definedName>
    <definedName name="opmAfsprBlad__1">ber_Opm!$C$2</definedName>
    <definedName name="opmAfsprBlad__10">ber_Opm!$C$11</definedName>
    <definedName name="opmAfsprBlad__11">ber_Opm!$C$12</definedName>
    <definedName name="opmAfsprBlad__12">ber_Opm!$C$13</definedName>
    <definedName name="opmAfsprBlad__13">ber_Opm!$C$14</definedName>
    <definedName name="opmAfsprBlad__14">ber_Opm!$C$15</definedName>
    <definedName name="opmAfsprBlad__2">ber_Opm!$C$3</definedName>
    <definedName name="opmAfsprBlad__3">ber_Opm!$C$4</definedName>
    <definedName name="opmAfsprBlad__4">ber_Opm!$C$5</definedName>
    <definedName name="opmAfsprBlad__5">ber_Opm!$C$6</definedName>
    <definedName name="opmAfsprBlad__6">ber_Opm!$C$7</definedName>
    <definedName name="opmAfsprBlad__7">ber_Opm!$C$8</definedName>
    <definedName name="opmAfsprBlad__8">ber_Opm!$C$9</definedName>
    <definedName name="opmAfsprBlad__9">ber_Opm!$C$10</definedName>
    <definedName name="opmMedDisc__1">ber_Opm!$C$16</definedName>
    <definedName name="opmMedDisc__10">ber_Opm!$C$25</definedName>
    <definedName name="opmMedDisc__11">ber_Opm!$C$26</definedName>
    <definedName name="opmMedDisc__12">ber_Opm!$C$27</definedName>
    <definedName name="opmMedDisc__13">ber_Opm!$C$28</definedName>
    <definedName name="opmMedDisc__14">ber_Opm!$C$29</definedName>
    <definedName name="opmMedDisc__15">ber_Opm!$C$30</definedName>
    <definedName name="opmMedDisc__16">ber_Opm!$C$31</definedName>
    <definedName name="opmMedDisc__17">ber_Opm!$C$32</definedName>
    <definedName name="opmMedDisc__18">ber_Opm!$C$33</definedName>
    <definedName name="opmMedDisc__19">ber_Opm!$C$34</definedName>
    <definedName name="opmMedDisc__2">ber_Opm!$C$17</definedName>
    <definedName name="opmMedDisc__20">ber_Opm!$C$35</definedName>
    <definedName name="opmMedDisc__3">ber_Opm!$C$18</definedName>
    <definedName name="opmMedDisc__4">ber_Opm!$C$19</definedName>
    <definedName name="opmMedDisc__5">ber_Opm!$C$20</definedName>
    <definedName name="opmMedDisc__6">ber_Opm!$C$21</definedName>
    <definedName name="opmMedDisc__7">ber_Opm!$C$22</definedName>
    <definedName name="opmMedDisc__8">ber_Opm!$C$23</definedName>
    <definedName name="opmMedDisc__9">ber_Opm!$C$24</definedName>
    <definedName name="OpnDatum">dbBead!$C$2</definedName>
    <definedName name="Overige_1">ber_Infusen!$M$1</definedName>
    <definedName name="Overige_2">ber_Infusen!$M$2</definedName>
    <definedName name="Overige_3">ber_Infusen!$M$3</definedName>
    <definedName name="Overige_4">ber_Infusen!$M$4</definedName>
    <definedName name="Overige_5">ber_Infusen!$M$5</definedName>
    <definedName name="Overige_6">ber_Infusen!$M$6</definedName>
    <definedName name="PatNummer">dbBead!$A$2</definedName>
    <definedName name="patRec">Patienten!$S$1</definedName>
    <definedName name="Peditrace">ber_TPN!$E$5</definedName>
    <definedName name="Peep">dbBead!$T$2</definedName>
    <definedName name="PM">ber_Infusen!$O$1</definedName>
    <definedName name="PM_AO">ber_Infusen!$R$2</definedName>
    <definedName name="PM_AS">ber_Infusen!$R$5</definedName>
    <definedName name="PM_AV">ber_Infusen!$R$4</definedName>
    <definedName name="PM_Freq">ber_Infusen!$R$1</definedName>
    <definedName name="PM_Mod">ber_Infusen!$P$1</definedName>
    <definedName name="PM_VO">ber_Infusen!$R$3</definedName>
    <definedName name="PM_VS">ber_Infusen!$R$6</definedName>
    <definedName name="PresCon">dbBead!$AC$2</definedName>
    <definedName name="PresSup">dbBead!$AB$2</definedName>
    <definedName name="_xlnm.Print_Area" localSheetId="6">AcuteOpvang!$B$2:$G$44</definedName>
    <definedName name="_xlnm.Print_Area" localSheetId="8">AfsprakenCMV!$A$2:$J$160</definedName>
    <definedName name="_xlnm.Print_Area" localSheetId="10">AfsprakenHFO!$A$2:$J$161</definedName>
    <definedName name="_xlnm.Print_Area" localSheetId="9">AfsprakenPLV!$A$2:$J$160</definedName>
    <definedName name="_xlnm.Print_Area" localSheetId="21">Medicatie!$B$1:$AG$22</definedName>
    <definedName name="_xlnm.Print_Area" localSheetId="36">TPN16tot30kg!$A$1:$H$48</definedName>
    <definedName name="_xlnm.Print_Area" localSheetId="34">TPN2tot6kg!$A$1:$H$48</definedName>
    <definedName name="_xlnm.Print_Area" localSheetId="37">TPN31tot50kg!$A$1:$H$49</definedName>
    <definedName name="_xlnm.Print_Area" localSheetId="35">TPN7tot15kg!$A$1:$H$50</definedName>
    <definedName name="_xlnm.Print_Area" localSheetId="38">TPNboven50kg!$A$1:$H$52</definedName>
    <definedName name="RecNo_0">ber_Med_disc!$E$25</definedName>
    <definedName name="RecNo_1">ber_Med_disc!$T$2</definedName>
    <definedName name="RecNo_10">ber_Med_disc!$T$11</definedName>
    <definedName name="RecNo_11">ber_Med_disc!$T$12</definedName>
    <definedName name="RecNo_12">ber_Med_disc!$T$13</definedName>
    <definedName name="RecNo_13">ber_Med_disc!$T$14</definedName>
    <definedName name="RecNo_14">ber_Med_disc!$T$15</definedName>
    <definedName name="RecNo_15">ber_Med_disc!$T$16</definedName>
    <definedName name="RecNo_16">ber_Med_disc!$T$17</definedName>
    <definedName name="RecNo_17">ber_Med_disc!$T$18</definedName>
    <definedName name="RecNo_18">ber_Med_disc!$T$19</definedName>
    <definedName name="RecNo_19">ber_Med_disc!$T$20</definedName>
    <definedName name="RecNo_2">ber_Med_disc!$T$3</definedName>
    <definedName name="RecNo_20">ber_Med_disc!$T$21</definedName>
    <definedName name="RecNo_3">ber_Med_disc!$T$4</definedName>
    <definedName name="RecNo_4">ber_Med_disc!$T$5</definedName>
    <definedName name="RecNo_5">ber_Med_disc!$T$6</definedName>
    <definedName name="RecNo_6">ber_Med_disc!$T$7</definedName>
    <definedName name="RecNo_7">ber_Med_disc!$T$8</definedName>
    <definedName name="RecNo_8">ber_Med_disc!$T$9</definedName>
    <definedName name="RecNo_9">ber_Med_disc!$T$10</definedName>
    <definedName name="reservePat">Patienten!$C$2:$C$591</definedName>
    <definedName name="Risetime">dbBead!$Z$2</definedName>
    <definedName name="Soluvit">ber_TPN!$C$15</definedName>
    <definedName name="SoluvitVol">ber_TPN!$E$15</definedName>
    <definedName name="Sonde">ber_PO!$A$1</definedName>
    <definedName name="SpecVoed_1">ber_PO!$AF$12</definedName>
    <definedName name="SpecVoed_2">ber_PO!$AF$13</definedName>
    <definedName name="SpecVoed_3">ber_PO!$AF$14</definedName>
    <definedName name="SpecVoed_4">ber_PO!$AF$15</definedName>
    <definedName name="SpecVoed_5">ber_PO!$AF$16</definedName>
    <definedName name="SpecVoed_6">ber_PO!$AF$17</definedName>
    <definedName name="SpecVoed_7">ber_PO!$AF$18</definedName>
    <definedName name="SpecVoed_8">ber_PO!$AF$19</definedName>
    <definedName name="SpecVoed_9">ber_PO!$AF$20</definedName>
    <definedName name="SST2Stand">ber_TPN!$D$18</definedName>
    <definedName name="SSTglucose">ber_TPN!$B$6</definedName>
    <definedName name="SSTGlucose_2">ber_TPN!$B$19</definedName>
    <definedName name="SSTStand">ber_TPN!$D$3</definedName>
    <definedName name="StandDos_1">ber_Med_disc!$D$2</definedName>
    <definedName name="StandDos_10">ber_Med_disc!$D$11</definedName>
    <definedName name="StandDos_11">ber_Med_disc!$D$12</definedName>
    <definedName name="StandDos_12">ber_Med_disc!$D$13</definedName>
    <definedName name="StandDos_13">ber_Med_disc!$D$14</definedName>
    <definedName name="StandDos_14">ber_Med_disc!$D$15</definedName>
    <definedName name="StandDos_15">ber_Med_disc!$D$16</definedName>
    <definedName name="StandDos_16">ber_Med_disc!$D$17</definedName>
    <definedName name="StandDos_17">ber_Med_disc!$D$18</definedName>
    <definedName name="StandDos_18">ber_Med_disc!$D$19</definedName>
    <definedName name="StandDos_19">ber_Med_disc!$D$20</definedName>
    <definedName name="StandDos_2">ber_Med_disc!$D$3</definedName>
    <definedName name="StandDos_20">ber_Med_disc!$D$21</definedName>
    <definedName name="StandDos_3">ber_Med_disc!$D$4</definedName>
    <definedName name="StandDos_4">ber_Med_disc!$D$5</definedName>
    <definedName name="StandDos_5">ber_Med_disc!$D$6</definedName>
    <definedName name="StandDos_6">ber_Med_disc!$D$7</definedName>
    <definedName name="StandDos_7">ber_Med_disc!$D$8</definedName>
    <definedName name="StandDos_8">ber_Med_disc!$D$9</definedName>
    <definedName name="StandDos_9">ber_Med_disc!$D$10</definedName>
    <definedName name="StartDatum_1">ber_Med_disc!$B$2</definedName>
    <definedName name="StartDatum_10">ber_Med_disc!$B$11</definedName>
    <definedName name="StartDatum_11">ber_Med_disc!$B$12</definedName>
    <definedName name="StartDatum_12">ber_Med_disc!$B$13</definedName>
    <definedName name="StartDatum_13">ber_Med_disc!$B$14</definedName>
    <definedName name="StartDatum_14">ber_Med_disc!$B$15</definedName>
    <definedName name="StartDatum_15">ber_Med_disc!$B$16</definedName>
    <definedName name="StartDatum_16">ber_Med_disc!$B$17</definedName>
    <definedName name="StartDatum_17">ber_Med_disc!$B$18</definedName>
    <definedName name="StartDatum_18">ber_Med_disc!$B$19</definedName>
    <definedName name="StartDatum_19">ber_Med_disc!$B$20</definedName>
    <definedName name="StartDatum_2">ber_Med_disc!$B$3</definedName>
    <definedName name="StartDatum_20">ber_Med_disc!$B$21</definedName>
    <definedName name="StartDatum_3">ber_Med_disc!$B$4</definedName>
    <definedName name="StartDatum_4">ber_Med_disc!$B$5</definedName>
    <definedName name="StartDatum_5">ber_Med_disc!$B$6</definedName>
    <definedName name="StartDatum_6">ber_Med_disc!$B$7</definedName>
    <definedName name="StartDatum_7">ber_Med_disc!$B$8</definedName>
    <definedName name="StartDatum_8">ber_Med_disc!$B$9</definedName>
    <definedName name="StartDatum_9">ber_Med_disc!$B$10</definedName>
    <definedName name="tblAanvAfspr">ber_Infusen!$J$1:$J$31</definedName>
    <definedName name="tblAdvies">#REF!</definedName>
    <definedName name="tblApparaat">ber_bead!$D$2:$D$5</definedName>
    <definedName name="tblBerPO">ber_PO!$B$2:$AF$10</definedName>
    <definedName name="tblBerPoeder">ber_PO!$AH$2:$AX$10</definedName>
    <definedName name="tblBijz">#REF!</definedName>
    <definedName name="tblDBFormularium">#REF!</definedName>
    <definedName name="tblDosEenh">#REF!</definedName>
    <definedName name="tblDoseringen">ber_IVmed!$B$2:$J$27</definedName>
    <definedName name="tblDruppelen">ber_bead!$C$2:$C$4</definedName>
    <definedName name="tblGroep">#REF!</definedName>
    <definedName name="tblHFO">ber_bead!$F$2:$F$3</definedName>
    <definedName name="tblInfusen">ber_Infusen!$A$1:$A$34</definedName>
    <definedName name="tblInstellen">Instellen!$B$5:$G$20</definedName>
    <definedName name="tblMedicatieIV">ber_IVmed!$B$4:$I$26</definedName>
    <definedName name="tblMerkNaam">#REF!</definedName>
    <definedName name="tblMode">ber_bead!$E$2:$E$7</definedName>
    <definedName name="tblOplossing">ber_IVmed!$P$4:$P$7</definedName>
    <definedName name="tblPLV">ber_bead!$G$2:$G$3</definedName>
    <definedName name="tblPrepNaam">#REF!</definedName>
    <definedName name="tblRecNo">#REF!</definedName>
    <definedName name="tblRecNoPrep">#REF!</definedName>
    <definedName name="tblSonde">ber_bead!$H$2:$H$5</definedName>
    <definedName name="tblSSTGlucose">ber_TPN!$K$26:$K$39</definedName>
    <definedName name="tblStandDos">#REF!</definedName>
    <definedName name="tblSterkte">#REF!</definedName>
    <definedName name="tblSterkteEenh">#REF!</definedName>
    <definedName name="tblStof">#REF!</definedName>
    <definedName name="tblTijden">ber_Med_disc!$C$28:$D$38</definedName>
    <definedName name="tblToediening">#REF!</definedName>
    <definedName name="tblToegang">ber_bead!$A$2:$A$6</definedName>
    <definedName name="tblTPN">ber_TPN!$A$26:$I$27</definedName>
    <definedName name="tblVoedingPO">ber_PO!$A$22:$A$53</definedName>
    <definedName name="tblZuurstof">ber_bead!$B$2:$B$6</definedName>
    <definedName name="TePLV">dbBead!$AO$2</definedName>
    <definedName name="TiCV">dbBead!$X$2</definedName>
    <definedName name="TidalVolCV">dbBead!$W$2</definedName>
    <definedName name="TidalVolPLV">dbBead!$AI$2</definedName>
    <definedName name="TiHFO">dbBead!$AF$2</definedName>
    <definedName name="TiPLV">dbBead!$AN$2</definedName>
    <definedName name="Toegang">dbBead!$I$2</definedName>
    <definedName name="Tp">dbBead!$Y$2</definedName>
    <definedName name="TPN">ber_TPN!$B$4</definedName>
    <definedName name="TPNVol">ber_TPN!$E$4</definedName>
    <definedName name="Trigger">dbBead!$AA$2</definedName>
    <definedName name="TrigTimeOut">ber_bead!$K$2</definedName>
    <definedName name="TubeLengte">dbBead!$K$2</definedName>
    <definedName name="TubeMaat">dbBead!$J$2</definedName>
    <definedName name="VitIntra">ber_TPN!$C$14</definedName>
    <definedName name="VitIntraVol">ber_TPN!$E$14</definedName>
    <definedName name="VolPO_1">ber_PO!$M$22</definedName>
    <definedName name="VolPO_2">ber_PO!$M$23</definedName>
    <definedName name="VolPO_3">ber_PO!$M$24</definedName>
    <definedName name="VolPO_4">ber_PO!$M$25</definedName>
    <definedName name="VoorNaam">dbBead!$E$2</definedName>
    <definedName name="WisselLigging">dbBead!$O$2</definedName>
    <definedName name="Zuurstof">dbBead!$M$2</definedName>
  </definedNames>
  <calcPr calcId="152511"/>
</workbook>
</file>

<file path=xl/calcChain.xml><?xml version="1.0" encoding="utf-8"?>
<calcChain xmlns="http://schemas.openxmlformats.org/spreadsheetml/2006/main">
  <c r="B2" i="14" l="1"/>
  <c r="V3" i="34" l="1"/>
  <c r="W3" i="34"/>
  <c r="X3" i="34"/>
  <c r="AA3" i="34"/>
  <c r="V4" i="34"/>
  <c r="W4" i="34"/>
  <c r="X4" i="34"/>
  <c r="AA4" i="34"/>
  <c r="V5" i="34"/>
  <c r="W5" i="34"/>
  <c r="X5" i="34"/>
  <c r="AA5" i="34"/>
  <c r="V6" i="34"/>
  <c r="W6" i="34"/>
  <c r="X6" i="34"/>
  <c r="AA6" i="34"/>
  <c r="V7" i="34"/>
  <c r="W7" i="34"/>
  <c r="X7" i="34"/>
  <c r="AA7" i="34"/>
  <c r="V8" i="34"/>
  <c r="W8" i="34"/>
  <c r="X8" i="34"/>
  <c r="AA8" i="34"/>
  <c r="V9" i="34"/>
  <c r="W9" i="34"/>
  <c r="X9" i="34"/>
  <c r="AA9" i="34"/>
  <c r="V10" i="34"/>
  <c r="W10" i="34"/>
  <c r="X10" i="34"/>
  <c r="AA10" i="34"/>
  <c r="V11" i="34"/>
  <c r="W11" i="34"/>
  <c r="X11" i="34"/>
  <c r="AA11" i="34"/>
  <c r="V12" i="34"/>
  <c r="W12" i="34"/>
  <c r="X12" i="34"/>
  <c r="AA12" i="34"/>
  <c r="V13" i="34"/>
  <c r="W13" i="34"/>
  <c r="X13" i="34"/>
  <c r="AA13" i="34"/>
  <c r="V14" i="34"/>
  <c r="W14" i="34"/>
  <c r="X14" i="34"/>
  <c r="AA14" i="34"/>
  <c r="V15" i="34"/>
  <c r="W15" i="34"/>
  <c r="X15" i="34"/>
  <c r="AA15" i="34"/>
  <c r="V16" i="34"/>
  <c r="W16" i="34"/>
  <c r="X16" i="34"/>
  <c r="AA16" i="34"/>
  <c r="V17" i="34"/>
  <c r="W17" i="34"/>
  <c r="X17" i="34"/>
  <c r="AA17" i="34"/>
  <c r="V18" i="34"/>
  <c r="W18" i="34"/>
  <c r="X18" i="34"/>
  <c r="AA18" i="34"/>
  <c r="V19" i="34"/>
  <c r="W19" i="34"/>
  <c r="X19" i="34"/>
  <c r="AA19" i="34"/>
  <c r="V20" i="34"/>
  <c r="W20" i="34"/>
  <c r="X20" i="34"/>
  <c r="AA20" i="34"/>
  <c r="V21" i="34"/>
  <c r="W21" i="34"/>
  <c r="X21" i="34"/>
  <c r="AA21" i="34"/>
  <c r="X2" i="34"/>
  <c r="V2" i="34"/>
  <c r="E5" i="32" l="1"/>
  <c r="D8" i="32" s="1"/>
  <c r="G17" i="46"/>
  <c r="G18" i="46"/>
  <c r="G19" i="46"/>
  <c r="F4" i="11"/>
  <c r="E16" i="9" s="1"/>
  <c r="F8" i="11"/>
  <c r="J8" i="11" s="1"/>
  <c r="F7" i="11"/>
  <c r="G29" i="46" s="1"/>
  <c r="E3" i="11"/>
  <c r="F5" i="11"/>
  <c r="G16" i="9" s="1"/>
  <c r="B20" i="46"/>
  <c r="G20" i="46" s="1"/>
  <c r="G16" i="46"/>
  <c r="G15" i="46" s="1"/>
  <c r="A14" i="46"/>
  <c r="F106" i="15"/>
  <c r="D106" i="15" s="1"/>
  <c r="F10" i="11"/>
  <c r="G33" i="54" s="1"/>
  <c r="A30" i="54" s="1"/>
  <c r="F16" i="11"/>
  <c r="G31" i="60" s="1"/>
  <c r="F17" i="9"/>
  <c r="K20" i="7"/>
  <c r="C20" i="7" s="1"/>
  <c r="G20" i="7" s="1"/>
  <c r="F2" i="15"/>
  <c r="F3" i="15"/>
  <c r="C4" i="70" s="1"/>
  <c r="D29" i="9"/>
  <c r="C63" i="70" s="1"/>
  <c r="E20" i="32"/>
  <c r="D21" i="11"/>
  <c r="D20" i="11"/>
  <c r="E18" i="11"/>
  <c r="F18" i="11" s="1"/>
  <c r="J19" i="9"/>
  <c r="J106" i="15" s="1"/>
  <c r="H106" i="15" s="1"/>
  <c r="J18" i="9"/>
  <c r="J105" i="15" s="1"/>
  <c r="H105" i="15" s="1"/>
  <c r="I15" i="9"/>
  <c r="I103" i="15" s="1"/>
  <c r="H103" i="15" s="1"/>
  <c r="C9" i="2"/>
  <c r="C9" i="7"/>
  <c r="G9" i="7" s="1"/>
  <c r="C16" i="7"/>
  <c r="C16" i="6" s="1"/>
  <c r="C18" i="7"/>
  <c r="G18" i="7" s="1"/>
  <c r="C17" i="7"/>
  <c r="C17" i="6" s="1"/>
  <c r="C21" i="7"/>
  <c r="G21" i="7" s="1"/>
  <c r="C4" i="7"/>
  <c r="G4" i="7" s="1"/>
  <c r="C10" i="2"/>
  <c r="AA10" i="2" s="1"/>
  <c r="AB10" i="2" s="1"/>
  <c r="C7" i="7"/>
  <c r="G7" i="7" s="1"/>
  <c r="C12" i="7"/>
  <c r="G12" i="7" s="1"/>
  <c r="G19" i="7"/>
  <c r="C11" i="2"/>
  <c r="AA11" i="2" s="1"/>
  <c r="C3" i="7"/>
  <c r="G3" i="7" s="1"/>
  <c r="C12" i="2"/>
  <c r="C88" i="15" s="1"/>
  <c r="C6" i="7"/>
  <c r="G6" i="7" s="1"/>
  <c r="C13" i="2"/>
  <c r="AA13" i="2" s="1"/>
  <c r="AB13" i="2" s="1"/>
  <c r="C14" i="2"/>
  <c r="I14" i="2" s="1"/>
  <c r="C8" i="7"/>
  <c r="C8" i="6" s="1"/>
  <c r="C15" i="2"/>
  <c r="C90" i="59" s="1"/>
  <c r="C16" i="2"/>
  <c r="H16" i="2" s="1"/>
  <c r="G23" i="7"/>
  <c r="C17" i="2"/>
  <c r="AA17" i="2" s="1"/>
  <c r="AB17" i="2" s="1"/>
  <c r="C8" i="2"/>
  <c r="G3" i="34"/>
  <c r="I8" i="25" s="1"/>
  <c r="I3" i="34"/>
  <c r="G4" i="34"/>
  <c r="I10" i="25" s="1"/>
  <c r="I4" i="34"/>
  <c r="G5" i="34"/>
  <c r="I5" i="34"/>
  <c r="G6" i="34"/>
  <c r="I6" i="34"/>
  <c r="G7" i="34"/>
  <c r="I7" i="34"/>
  <c r="G8" i="34"/>
  <c r="I8" i="34"/>
  <c r="G9" i="34"/>
  <c r="I9" i="34"/>
  <c r="G10" i="34"/>
  <c r="I10" i="34"/>
  <c r="G11" i="34"/>
  <c r="I11" i="34"/>
  <c r="G12" i="34"/>
  <c r="I12" i="34"/>
  <c r="G13" i="34"/>
  <c r="I13" i="34"/>
  <c r="G14" i="34"/>
  <c r="I14" i="34"/>
  <c r="G15" i="34"/>
  <c r="I15" i="34"/>
  <c r="G16" i="34"/>
  <c r="I16" i="34"/>
  <c r="G17" i="34"/>
  <c r="I17" i="34"/>
  <c r="G18" i="34"/>
  <c r="I18" i="34"/>
  <c r="G19" i="34"/>
  <c r="I19" i="34"/>
  <c r="G20" i="34"/>
  <c r="I20" i="34"/>
  <c r="G21" i="34"/>
  <c r="I21" i="34"/>
  <c r="G2" i="34"/>
  <c r="I2" i="34"/>
  <c r="U21" i="34"/>
  <c r="U20" i="34"/>
  <c r="U2" i="34"/>
  <c r="U3" i="34"/>
  <c r="U4" i="34"/>
  <c r="U5" i="34"/>
  <c r="U6" i="34"/>
  <c r="U7" i="34"/>
  <c r="U8" i="34"/>
  <c r="U9" i="34"/>
  <c r="U10" i="34"/>
  <c r="U11" i="34"/>
  <c r="U12" i="34"/>
  <c r="U13" i="34"/>
  <c r="U14" i="34"/>
  <c r="U15" i="34"/>
  <c r="U16" i="34"/>
  <c r="U17" i="34"/>
  <c r="U18" i="34"/>
  <c r="U19" i="34"/>
  <c r="AB19" i="34" s="1"/>
  <c r="C39" i="70" s="1"/>
  <c r="O3" i="34"/>
  <c r="Y3" i="34" s="1"/>
  <c r="Z3" i="34" s="1"/>
  <c r="O4" i="34"/>
  <c r="Y4" i="34" s="1"/>
  <c r="Z4" i="34" s="1"/>
  <c r="O5" i="34"/>
  <c r="Y5" i="34" s="1"/>
  <c r="Z5" i="34" s="1"/>
  <c r="O6" i="34"/>
  <c r="Y6" i="34" s="1"/>
  <c r="Z6" i="34" s="1"/>
  <c r="O7" i="34"/>
  <c r="Y7" i="34" s="1"/>
  <c r="Z7" i="34" s="1"/>
  <c r="O8" i="34"/>
  <c r="Y8" i="34" s="1"/>
  <c r="Z8" i="34" s="1"/>
  <c r="O9" i="34"/>
  <c r="Y9" i="34" s="1"/>
  <c r="Z9" i="34" s="1"/>
  <c r="O10" i="34"/>
  <c r="Y10" i="34" s="1"/>
  <c r="Z10" i="34" s="1"/>
  <c r="O11" i="34"/>
  <c r="Y11" i="34" s="1"/>
  <c r="Z11" i="34" s="1"/>
  <c r="O12" i="34"/>
  <c r="Y12" i="34" s="1"/>
  <c r="Z12" i="34" s="1"/>
  <c r="O13" i="34"/>
  <c r="Y13" i="34" s="1"/>
  <c r="Z13" i="34" s="1"/>
  <c r="O14" i="34"/>
  <c r="Y14" i="34" s="1"/>
  <c r="Z14" i="34" s="1"/>
  <c r="O15" i="34"/>
  <c r="Y15" i="34" s="1"/>
  <c r="Z15" i="34" s="1"/>
  <c r="O16" i="34"/>
  <c r="Y16" i="34" s="1"/>
  <c r="Z16" i="34" s="1"/>
  <c r="O17" i="34"/>
  <c r="Y17" i="34" s="1"/>
  <c r="Z17" i="34" s="1"/>
  <c r="O2" i="34"/>
  <c r="R2" i="34" s="1"/>
  <c r="O18" i="34"/>
  <c r="Y18" i="34" s="1"/>
  <c r="Z18" i="34" s="1"/>
  <c r="O19" i="34"/>
  <c r="Y19" i="34" s="1"/>
  <c r="Z19" i="34" s="1"/>
  <c r="O20" i="34"/>
  <c r="Y20" i="34" s="1"/>
  <c r="Z20" i="34" s="1"/>
  <c r="O21" i="34"/>
  <c r="Y21" i="34" s="1"/>
  <c r="Z21" i="34" s="1"/>
  <c r="AA2" i="34"/>
  <c r="C22" i="28"/>
  <c r="C21" i="28"/>
  <c r="C20" i="28"/>
  <c r="C19" i="28"/>
  <c r="C18" i="28"/>
  <c r="C17" i="28"/>
  <c r="C16" i="28"/>
  <c r="C15" i="28"/>
  <c r="C14" i="28"/>
  <c r="D28" i="25"/>
  <c r="H28" i="25"/>
  <c r="K29" i="25" s="1"/>
  <c r="C13" i="28"/>
  <c r="D26" i="25"/>
  <c r="H26" i="25"/>
  <c r="N27" i="25" s="1"/>
  <c r="C12" i="28"/>
  <c r="D24" i="25"/>
  <c r="H24" i="25"/>
  <c r="K25" i="25" s="1"/>
  <c r="C11" i="28"/>
  <c r="D22" i="25"/>
  <c r="H22" i="25"/>
  <c r="N23" i="25" s="1"/>
  <c r="C10" i="28"/>
  <c r="D20" i="25"/>
  <c r="H20" i="25"/>
  <c r="D10" i="28" s="1"/>
  <c r="C9" i="28"/>
  <c r="D18" i="25"/>
  <c r="H18" i="25"/>
  <c r="K19" i="25" s="1"/>
  <c r="C8" i="28"/>
  <c r="D16" i="25"/>
  <c r="H16" i="25"/>
  <c r="D8" i="28" s="1"/>
  <c r="C7" i="28"/>
  <c r="H14" i="25"/>
  <c r="D7" i="28" s="1"/>
  <c r="D14" i="25"/>
  <c r="C6" i="28"/>
  <c r="D12" i="25"/>
  <c r="H12" i="25"/>
  <c r="D6" i="28" s="1"/>
  <c r="D10" i="25"/>
  <c r="H10" i="25"/>
  <c r="H8" i="25"/>
  <c r="D8" i="25"/>
  <c r="H6" i="25"/>
  <c r="D3" i="28" s="1"/>
  <c r="L6" i="25"/>
  <c r="D6" i="25"/>
  <c r="D40" i="25"/>
  <c r="L40" i="25"/>
  <c r="G20" i="28" s="1"/>
  <c r="H40" i="25"/>
  <c r="D20" i="28" s="1"/>
  <c r="D38" i="25"/>
  <c r="L38" i="25"/>
  <c r="G19" i="28" s="1"/>
  <c r="H38" i="25"/>
  <c r="D19" i="28" s="1"/>
  <c r="D36" i="25"/>
  <c r="L36" i="25"/>
  <c r="G18" i="28" s="1"/>
  <c r="H36" i="25"/>
  <c r="D18" i="28" s="1"/>
  <c r="F18" i="28" s="1"/>
  <c r="D34" i="25"/>
  <c r="H34" i="25"/>
  <c r="D17" i="28" s="1"/>
  <c r="D32" i="25"/>
  <c r="H32" i="25"/>
  <c r="M33" i="25" s="1"/>
  <c r="H30" i="25"/>
  <c r="N31" i="25" s="1"/>
  <c r="D30" i="25"/>
  <c r="C5" i="70"/>
  <c r="C3" i="70"/>
  <c r="C2" i="70"/>
  <c r="N22" i="12"/>
  <c r="O22" i="12" s="1"/>
  <c r="F33" i="15"/>
  <c r="F34" i="15"/>
  <c r="F35" i="15"/>
  <c r="E32" i="15"/>
  <c r="D11" i="11"/>
  <c r="F11" i="11"/>
  <c r="M11" i="11" s="1"/>
  <c r="E23" i="9"/>
  <c r="D9" i="11"/>
  <c r="F9" i="11"/>
  <c r="D10" i="11"/>
  <c r="G33" i="60"/>
  <c r="G34" i="60"/>
  <c r="E21" i="9"/>
  <c r="F112" i="15" s="1"/>
  <c r="D112" i="15" s="1"/>
  <c r="L112" i="15" s="1"/>
  <c r="E22" i="9"/>
  <c r="F113" i="15" s="1"/>
  <c r="D113" i="15" s="1"/>
  <c r="L113" i="15" s="1"/>
  <c r="O23" i="12"/>
  <c r="H30" i="12" s="1"/>
  <c r="O24" i="12"/>
  <c r="I29" i="12" s="1"/>
  <c r="O25" i="12"/>
  <c r="J30" i="12" s="1"/>
  <c r="J31" i="7"/>
  <c r="J32" i="7"/>
  <c r="J33" i="7"/>
  <c r="J34" i="7"/>
  <c r="J35" i="7"/>
  <c r="J36" i="7"/>
  <c r="J37" i="7"/>
  <c r="J38" i="7"/>
  <c r="J39" i="7"/>
  <c r="J40" i="7"/>
  <c r="I33" i="7"/>
  <c r="I34" i="7"/>
  <c r="I35" i="7"/>
  <c r="I36" i="7"/>
  <c r="I37" i="7"/>
  <c r="I38" i="7"/>
  <c r="I39" i="7"/>
  <c r="I40" i="7"/>
  <c r="J41" i="7"/>
  <c r="C19" i="2"/>
  <c r="C93" i="58" s="1"/>
  <c r="L93" i="58" s="1"/>
  <c r="I41" i="7"/>
  <c r="J42" i="7"/>
  <c r="I42" i="7"/>
  <c r="J43" i="7"/>
  <c r="I43" i="7"/>
  <c r="J44" i="7"/>
  <c r="I44" i="7"/>
  <c r="J45" i="7"/>
  <c r="I45" i="7"/>
  <c r="I8" i="16"/>
  <c r="I9" i="16"/>
  <c r="I10" i="16"/>
  <c r="I11" i="16"/>
  <c r="I12" i="16"/>
  <c r="I13" i="16"/>
  <c r="I14" i="16"/>
  <c r="Q2" i="34"/>
  <c r="Q11" i="34"/>
  <c r="Q12" i="34"/>
  <c r="Q13" i="34"/>
  <c r="Q14" i="34"/>
  <c r="Q15" i="34"/>
  <c r="Q16" i="34"/>
  <c r="Q17" i="34"/>
  <c r="Q18" i="34"/>
  <c r="Q19" i="34"/>
  <c r="Q20" i="34"/>
  <c r="Q3" i="34"/>
  <c r="Q21" i="34"/>
  <c r="Q4" i="34"/>
  <c r="Q5" i="34"/>
  <c r="Q6" i="34"/>
  <c r="Q7" i="34"/>
  <c r="Q8" i="34"/>
  <c r="Q9" i="34"/>
  <c r="Q10" i="34"/>
  <c r="K31" i="7"/>
  <c r="K40" i="7"/>
  <c r="K41" i="7"/>
  <c r="K42" i="7"/>
  <c r="K43" i="7"/>
  <c r="K44" i="7"/>
  <c r="K45" i="7"/>
  <c r="K32" i="7"/>
  <c r="K33" i="7"/>
  <c r="K34" i="7"/>
  <c r="K35" i="7"/>
  <c r="K36" i="7"/>
  <c r="K37" i="7"/>
  <c r="K38" i="7"/>
  <c r="K39" i="7"/>
  <c r="D15" i="11"/>
  <c r="F15" i="11"/>
  <c r="G26" i="55" s="1"/>
  <c r="E12" i="11"/>
  <c r="F12" i="11" s="1"/>
  <c r="H24" i="9" s="1"/>
  <c r="D14" i="11"/>
  <c r="F14" i="11"/>
  <c r="G24" i="46" s="1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S2" i="34"/>
  <c r="R11" i="34"/>
  <c r="S11" i="34"/>
  <c r="R12" i="34"/>
  <c r="S12" i="34"/>
  <c r="R13" i="34"/>
  <c r="S13" i="34"/>
  <c r="R14" i="34"/>
  <c r="S14" i="34"/>
  <c r="R15" i="34"/>
  <c r="S15" i="34"/>
  <c r="R16" i="34"/>
  <c r="S16" i="34"/>
  <c r="R17" i="34"/>
  <c r="S17" i="34"/>
  <c r="R18" i="34"/>
  <c r="S18" i="34"/>
  <c r="R19" i="34"/>
  <c r="S19" i="34"/>
  <c r="R20" i="34"/>
  <c r="S20" i="34"/>
  <c r="R3" i="34"/>
  <c r="S3" i="34"/>
  <c r="R21" i="34"/>
  <c r="S21" i="34"/>
  <c r="R4" i="34"/>
  <c r="S4" i="34"/>
  <c r="R5" i="34"/>
  <c r="S5" i="34"/>
  <c r="R6" i="34"/>
  <c r="S6" i="34"/>
  <c r="R7" i="34"/>
  <c r="S7" i="34"/>
  <c r="R8" i="34"/>
  <c r="S8" i="34"/>
  <c r="R9" i="34"/>
  <c r="S9" i="34"/>
  <c r="R10" i="34"/>
  <c r="S10" i="34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C20" i="2"/>
  <c r="F42" i="7" s="1"/>
  <c r="I20" i="2" s="1"/>
  <c r="C21" i="2"/>
  <c r="F43" i="7" s="1"/>
  <c r="I21" i="2" s="1"/>
  <c r="C22" i="2"/>
  <c r="C96" i="58" s="1"/>
  <c r="L96" i="58" s="1"/>
  <c r="C23" i="2"/>
  <c r="C97" i="59" s="1"/>
  <c r="L97" i="59" s="1"/>
  <c r="J8" i="16"/>
  <c r="J9" i="16"/>
  <c r="J10" i="16"/>
  <c r="J11" i="16"/>
  <c r="J12" i="16"/>
  <c r="J13" i="16"/>
  <c r="J14" i="16"/>
  <c r="D45" i="15"/>
  <c r="C69" i="70" s="1"/>
  <c r="D5" i="69"/>
  <c r="D6" i="69"/>
  <c r="D7" i="69"/>
  <c r="D8" i="69"/>
  <c r="D9" i="69"/>
  <c r="D10" i="69"/>
  <c r="D11" i="69"/>
  <c r="D12" i="69"/>
  <c r="D13" i="69"/>
  <c r="D14" i="69"/>
  <c r="D15" i="69"/>
  <c r="D16" i="69"/>
  <c r="D17" i="69"/>
  <c r="D18" i="69"/>
  <c r="D19" i="69"/>
  <c r="D20" i="69"/>
  <c r="D21" i="69"/>
  <c r="D22" i="69"/>
  <c r="D23" i="69"/>
  <c r="D24" i="69"/>
  <c r="D25" i="69"/>
  <c r="D26" i="69"/>
  <c r="D27" i="69"/>
  <c r="D28" i="69"/>
  <c r="D29" i="69"/>
  <c r="D30" i="69"/>
  <c r="D31" i="69"/>
  <c r="F5" i="69"/>
  <c r="F6" i="69"/>
  <c r="F7" i="69"/>
  <c r="F8" i="69"/>
  <c r="F9" i="69"/>
  <c r="F10" i="69"/>
  <c r="F11" i="69"/>
  <c r="F12" i="69"/>
  <c r="F13" i="69"/>
  <c r="F14" i="69"/>
  <c r="F15" i="69"/>
  <c r="F16" i="69"/>
  <c r="F17" i="69"/>
  <c r="F18" i="69"/>
  <c r="F19" i="69"/>
  <c r="F20" i="69"/>
  <c r="F21" i="69"/>
  <c r="F22" i="69"/>
  <c r="F23" i="69"/>
  <c r="F24" i="69"/>
  <c r="F25" i="69"/>
  <c r="F26" i="69"/>
  <c r="F27" i="69"/>
  <c r="F28" i="69"/>
  <c r="F29" i="69"/>
  <c r="F30" i="69"/>
  <c r="F31" i="69"/>
  <c r="H5" i="69"/>
  <c r="H6" i="69"/>
  <c r="H7" i="69"/>
  <c r="H8" i="69"/>
  <c r="H9" i="69"/>
  <c r="H10" i="69"/>
  <c r="H11" i="69"/>
  <c r="H12" i="69"/>
  <c r="H13" i="69"/>
  <c r="H14" i="69"/>
  <c r="H15" i="69"/>
  <c r="H16" i="69"/>
  <c r="H17" i="69"/>
  <c r="H18" i="69"/>
  <c r="H19" i="69"/>
  <c r="H20" i="69"/>
  <c r="H21" i="69"/>
  <c r="H22" i="69"/>
  <c r="H23" i="69"/>
  <c r="H24" i="69"/>
  <c r="H25" i="69"/>
  <c r="H26" i="69"/>
  <c r="H27" i="69"/>
  <c r="H28" i="69"/>
  <c r="H29" i="69"/>
  <c r="H30" i="69"/>
  <c r="H31" i="69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0" i="69"/>
  <c r="L31" i="69"/>
  <c r="B5" i="69"/>
  <c r="B6" i="69"/>
  <c r="B7" i="69"/>
  <c r="B8" i="69"/>
  <c r="B9" i="69"/>
  <c r="B10" i="69"/>
  <c r="B11" i="69"/>
  <c r="B12" i="69"/>
  <c r="B13" i="69"/>
  <c r="B14" i="69"/>
  <c r="B15" i="69"/>
  <c r="B16" i="69"/>
  <c r="B17" i="69"/>
  <c r="B18" i="69"/>
  <c r="B19" i="69"/>
  <c r="B20" i="69"/>
  <c r="B21" i="69"/>
  <c r="B22" i="69"/>
  <c r="B23" i="69"/>
  <c r="B24" i="69"/>
  <c r="B25" i="69"/>
  <c r="B26" i="69"/>
  <c r="B27" i="69"/>
  <c r="B28" i="69"/>
  <c r="B29" i="69"/>
  <c r="B30" i="69"/>
  <c r="B31" i="69"/>
  <c r="D24" i="9"/>
  <c r="E119" i="59" s="1"/>
  <c r="D119" i="59" s="1"/>
  <c r="E27" i="9"/>
  <c r="F123" i="15" s="1"/>
  <c r="D123" i="15" s="1"/>
  <c r="L123" i="15" s="1"/>
  <c r="E26" i="9"/>
  <c r="F122" i="15" s="1"/>
  <c r="D122" i="15" s="1"/>
  <c r="L122" i="15" s="1"/>
  <c r="C56" i="15"/>
  <c r="C48" i="70" s="1"/>
  <c r="C33" i="16"/>
  <c r="C35" i="16"/>
  <c r="C36" i="16"/>
  <c r="C38" i="16"/>
  <c r="C40" i="16"/>
  <c r="C41" i="16"/>
  <c r="C54" i="15"/>
  <c r="C47" i="70" s="1"/>
  <c r="D37" i="15"/>
  <c r="C57" i="70" s="1"/>
  <c r="C9" i="9"/>
  <c r="C10" i="9"/>
  <c r="C11" i="9"/>
  <c r="D100" i="15"/>
  <c r="C55" i="70" s="1"/>
  <c r="C73" i="15"/>
  <c r="L73" i="15" s="1"/>
  <c r="C74" i="15"/>
  <c r="C51" i="70" s="1"/>
  <c r="C75" i="15"/>
  <c r="C52" i="70" s="1"/>
  <c r="C76" i="15"/>
  <c r="L76" i="15" s="1"/>
  <c r="C77" i="15"/>
  <c r="C54" i="70" s="1"/>
  <c r="C72" i="15"/>
  <c r="C49" i="70" s="1"/>
  <c r="C50" i="15"/>
  <c r="C43" i="70" s="1"/>
  <c r="C51" i="15"/>
  <c r="C44" i="70" s="1"/>
  <c r="C52" i="15"/>
  <c r="C45" i="70" s="1"/>
  <c r="C23" i="16"/>
  <c r="C24" i="16"/>
  <c r="F23" i="16"/>
  <c r="F24" i="16"/>
  <c r="C53" i="15"/>
  <c r="C46" i="70" s="1"/>
  <c r="C49" i="15"/>
  <c r="L190" i="15" s="1"/>
  <c r="H42" i="25"/>
  <c r="D21" i="28" s="1"/>
  <c r="L42" i="25"/>
  <c r="H44" i="25"/>
  <c r="D22" i="28" s="1"/>
  <c r="L44" i="25"/>
  <c r="G22" i="28" s="1"/>
  <c r="C21" i="70"/>
  <c r="C11" i="7"/>
  <c r="C11" i="6" s="1"/>
  <c r="F9" i="2"/>
  <c r="G5" i="7"/>
  <c r="C13" i="7"/>
  <c r="C13" i="6" s="1"/>
  <c r="D10" i="2"/>
  <c r="F10" i="2"/>
  <c r="D11" i="2"/>
  <c r="F11" i="2"/>
  <c r="D12" i="2"/>
  <c r="F12" i="2"/>
  <c r="D13" i="2"/>
  <c r="F13" i="2"/>
  <c r="D14" i="2"/>
  <c r="F14" i="2"/>
  <c r="D15" i="2"/>
  <c r="F15" i="2"/>
  <c r="D16" i="2"/>
  <c r="F16" i="2"/>
  <c r="D17" i="2"/>
  <c r="F17" i="2"/>
  <c r="F19" i="2"/>
  <c r="D19" i="2"/>
  <c r="F8" i="2"/>
  <c r="G22" i="7"/>
  <c r="G26" i="7"/>
  <c r="J7" i="59"/>
  <c r="G27" i="7"/>
  <c r="C23" i="6"/>
  <c r="D23" i="6"/>
  <c r="B23" i="6"/>
  <c r="H22" i="6"/>
  <c r="G22" i="6"/>
  <c r="F22" i="6"/>
  <c r="E22" i="6"/>
  <c r="D22" i="6"/>
  <c r="C22" i="6"/>
  <c r="B22" i="6"/>
  <c r="I11" i="15"/>
  <c r="G11" i="15"/>
  <c r="E13" i="15"/>
  <c r="C13" i="15" s="1"/>
  <c r="I13" i="15"/>
  <c r="G13" i="15" s="1"/>
  <c r="I14" i="15"/>
  <c r="G14" i="15" s="1"/>
  <c r="C33" i="18"/>
  <c r="N23" i="12"/>
  <c r="D9" i="9"/>
  <c r="F33" i="59"/>
  <c r="F33" i="58"/>
  <c r="J5" i="69"/>
  <c r="J6" i="69"/>
  <c r="J7" i="69"/>
  <c r="J8" i="69"/>
  <c r="J9" i="69"/>
  <c r="J10" i="69"/>
  <c r="J11" i="69"/>
  <c r="J12" i="69"/>
  <c r="J13" i="69"/>
  <c r="J14" i="69"/>
  <c r="J15" i="69"/>
  <c r="J16" i="69"/>
  <c r="J17" i="69"/>
  <c r="J18" i="69"/>
  <c r="J19" i="69"/>
  <c r="J20" i="69"/>
  <c r="J21" i="69"/>
  <c r="J22" i="69"/>
  <c r="J23" i="69"/>
  <c r="J24" i="69"/>
  <c r="J25" i="69"/>
  <c r="J26" i="69"/>
  <c r="J27" i="69"/>
  <c r="J28" i="69"/>
  <c r="J29" i="69"/>
  <c r="J30" i="69"/>
  <c r="J31" i="69"/>
  <c r="P31" i="69"/>
  <c r="N31" i="69"/>
  <c r="P30" i="69"/>
  <c r="N30" i="69"/>
  <c r="P29" i="69"/>
  <c r="N29" i="69"/>
  <c r="P28" i="69"/>
  <c r="N28" i="69"/>
  <c r="P27" i="69"/>
  <c r="N27" i="69"/>
  <c r="P26" i="69"/>
  <c r="N26" i="69"/>
  <c r="P25" i="69"/>
  <c r="N25" i="69"/>
  <c r="P24" i="69"/>
  <c r="N24" i="69"/>
  <c r="P23" i="69"/>
  <c r="N23" i="69"/>
  <c r="P22" i="69"/>
  <c r="N22" i="69"/>
  <c r="P21" i="69"/>
  <c r="N21" i="69"/>
  <c r="P20" i="69"/>
  <c r="N20" i="69"/>
  <c r="P19" i="69"/>
  <c r="N19" i="69"/>
  <c r="P18" i="69"/>
  <c r="N18" i="69"/>
  <c r="P17" i="69"/>
  <c r="N17" i="69"/>
  <c r="P16" i="69"/>
  <c r="N16" i="69"/>
  <c r="P15" i="69"/>
  <c r="N15" i="69"/>
  <c r="P14" i="69"/>
  <c r="N14" i="69"/>
  <c r="P13" i="69"/>
  <c r="N13" i="69"/>
  <c r="P12" i="69"/>
  <c r="N12" i="69"/>
  <c r="P11" i="69"/>
  <c r="N11" i="69"/>
  <c r="P10" i="69"/>
  <c r="N10" i="69"/>
  <c r="P9" i="69"/>
  <c r="N9" i="69"/>
  <c r="P8" i="69"/>
  <c r="N8" i="69"/>
  <c r="P7" i="69"/>
  <c r="N7" i="69"/>
  <c r="P6" i="69"/>
  <c r="N6" i="69"/>
  <c r="P5" i="69"/>
  <c r="N5" i="69"/>
  <c r="N24" i="12"/>
  <c r="N25" i="12"/>
  <c r="D9" i="10"/>
  <c r="E9" i="10" s="1"/>
  <c r="D13" i="10"/>
  <c r="E13" i="10" s="1"/>
  <c r="E104" i="15"/>
  <c r="C15" i="7"/>
  <c r="C14" i="7"/>
  <c r="C14" i="6" s="1"/>
  <c r="C25" i="7"/>
  <c r="G25" i="7" s="1"/>
  <c r="C10" i="7"/>
  <c r="G10" i="7" s="1"/>
  <c r="D11" i="9"/>
  <c r="D10" i="9"/>
  <c r="D16" i="32"/>
  <c r="D25" i="32"/>
  <c r="D24" i="32"/>
  <c r="B3" i="32"/>
  <c r="C3" i="32"/>
  <c r="F5" i="32"/>
  <c r="B2" i="32"/>
  <c r="D15" i="32"/>
  <c r="D14" i="32"/>
  <c r="D14" i="62"/>
  <c r="D22" i="62"/>
  <c r="T19" i="61"/>
  <c r="T27" i="61"/>
  <c r="F138" i="15"/>
  <c r="I134" i="15"/>
  <c r="I133" i="15"/>
  <c r="E133" i="15"/>
  <c r="I132" i="15"/>
  <c r="E132" i="15"/>
  <c r="C132" i="15"/>
  <c r="D125" i="15"/>
  <c r="I69" i="15"/>
  <c r="I4" i="15"/>
  <c r="E7" i="15"/>
  <c r="C7" i="15" s="1"/>
  <c r="I10" i="15"/>
  <c r="G10" i="15" s="1"/>
  <c r="I68" i="15"/>
  <c r="E68" i="15"/>
  <c r="I67" i="15"/>
  <c r="E67" i="15"/>
  <c r="I2" i="15"/>
  <c r="I3" i="15"/>
  <c r="D79" i="15"/>
  <c r="D18" i="15"/>
  <c r="E3" i="15"/>
  <c r="E2" i="15"/>
  <c r="C129" i="15"/>
  <c r="C130" i="15"/>
  <c r="E129" i="15"/>
  <c r="E130" i="15"/>
  <c r="C131" i="15"/>
  <c r="G130" i="15"/>
  <c r="I129" i="15"/>
  <c r="I130" i="15"/>
  <c r="G129" i="15"/>
  <c r="B31" i="15"/>
  <c r="B102" i="15"/>
  <c r="B5" i="15"/>
  <c r="C67" i="15"/>
  <c r="C2" i="15"/>
  <c r="E10" i="15"/>
  <c r="C10" i="15" s="1"/>
  <c r="E6" i="15"/>
  <c r="C6" i="15" s="1"/>
  <c r="I8" i="15"/>
  <c r="G8" i="15" s="1"/>
  <c r="I12" i="15"/>
  <c r="G12" i="15" s="1"/>
  <c r="E11" i="15"/>
  <c r="C11" i="15" s="1"/>
  <c r="E12" i="15"/>
  <c r="C12" i="15" s="1"/>
  <c r="E14" i="15"/>
  <c r="C14" i="15" s="1"/>
  <c r="I6" i="15"/>
  <c r="G6" i="15" s="1"/>
  <c r="E8" i="58"/>
  <c r="D2" i="15"/>
  <c r="F137" i="59"/>
  <c r="I133" i="59"/>
  <c r="I132" i="59"/>
  <c r="E132" i="59"/>
  <c r="I131" i="59"/>
  <c r="E131" i="59"/>
  <c r="C131" i="59"/>
  <c r="C130" i="59"/>
  <c r="I129" i="59"/>
  <c r="G129" i="59"/>
  <c r="E129" i="59"/>
  <c r="C129" i="59"/>
  <c r="I128" i="59"/>
  <c r="G128" i="59"/>
  <c r="E128" i="59"/>
  <c r="C128" i="59"/>
  <c r="D124" i="59"/>
  <c r="E103" i="59"/>
  <c r="B101" i="59"/>
  <c r="D99" i="59"/>
  <c r="D78" i="59"/>
  <c r="C76" i="59"/>
  <c r="L76" i="59" s="1"/>
  <c r="C75" i="59"/>
  <c r="L75" i="59" s="1"/>
  <c r="C74" i="59"/>
  <c r="L74" i="59" s="1"/>
  <c r="C73" i="59"/>
  <c r="L73" i="59" s="1"/>
  <c r="C72" i="59"/>
  <c r="L72" i="59" s="1"/>
  <c r="C71" i="59"/>
  <c r="L71" i="59" s="1"/>
  <c r="I68" i="59"/>
  <c r="I67" i="59"/>
  <c r="E67" i="59"/>
  <c r="I66" i="59"/>
  <c r="E66" i="59"/>
  <c r="C66" i="59"/>
  <c r="C56" i="59"/>
  <c r="C54" i="59"/>
  <c r="C52" i="59"/>
  <c r="C51" i="59"/>
  <c r="C50" i="59"/>
  <c r="C49" i="59"/>
  <c r="D45" i="59"/>
  <c r="D37" i="59"/>
  <c r="F35" i="59"/>
  <c r="E32" i="59"/>
  <c r="B31" i="59"/>
  <c r="D17" i="59"/>
  <c r="C11" i="59"/>
  <c r="E10" i="59"/>
  <c r="C10" i="59"/>
  <c r="H8" i="59"/>
  <c r="C8" i="59"/>
  <c r="H7" i="59"/>
  <c r="E7" i="59"/>
  <c r="C7" i="59"/>
  <c r="H6" i="59"/>
  <c r="C6" i="59"/>
  <c r="B5" i="59"/>
  <c r="I4" i="59"/>
  <c r="I3" i="59"/>
  <c r="E3" i="59"/>
  <c r="I2" i="59"/>
  <c r="E2" i="59"/>
  <c r="C2" i="59"/>
  <c r="F34" i="59"/>
  <c r="E6" i="59"/>
  <c r="F105" i="59"/>
  <c r="D105" i="59" s="1"/>
  <c r="C53" i="59"/>
  <c r="E13" i="59"/>
  <c r="E12" i="59"/>
  <c r="E15" i="59"/>
  <c r="E14" i="59"/>
  <c r="E11" i="59"/>
  <c r="F137" i="58"/>
  <c r="I133" i="58"/>
  <c r="I132" i="58"/>
  <c r="E132" i="58"/>
  <c r="I131" i="58"/>
  <c r="E131" i="58"/>
  <c r="C131" i="58"/>
  <c r="C130" i="58"/>
  <c r="I129" i="58"/>
  <c r="G129" i="58"/>
  <c r="E129" i="58"/>
  <c r="C129" i="58"/>
  <c r="I128" i="58"/>
  <c r="G128" i="58"/>
  <c r="E128" i="58"/>
  <c r="C128" i="58"/>
  <c r="D124" i="58"/>
  <c r="E103" i="58"/>
  <c r="B101" i="58"/>
  <c r="D99" i="58"/>
  <c r="D78" i="58"/>
  <c r="C76" i="58"/>
  <c r="L76" i="58" s="1"/>
  <c r="C75" i="58"/>
  <c r="L75" i="58" s="1"/>
  <c r="C74" i="58"/>
  <c r="L74" i="58" s="1"/>
  <c r="C73" i="58"/>
  <c r="L73" i="58" s="1"/>
  <c r="C72" i="58"/>
  <c r="L72" i="58" s="1"/>
  <c r="C71" i="58"/>
  <c r="L71" i="58" s="1"/>
  <c r="I68" i="58"/>
  <c r="I67" i="58"/>
  <c r="E67" i="58"/>
  <c r="I66" i="58"/>
  <c r="E66" i="58"/>
  <c r="C66" i="58"/>
  <c r="C56" i="58"/>
  <c r="C54" i="58"/>
  <c r="C52" i="58"/>
  <c r="C51" i="58"/>
  <c r="C50" i="58"/>
  <c r="C49" i="58"/>
  <c r="D45" i="58"/>
  <c r="D37" i="58"/>
  <c r="F35" i="58"/>
  <c r="E32" i="58"/>
  <c r="B31" i="58"/>
  <c r="D17" i="58"/>
  <c r="E10" i="58"/>
  <c r="E14" i="58" s="1"/>
  <c r="C15" i="58"/>
  <c r="C10" i="58"/>
  <c r="H8" i="58"/>
  <c r="C8" i="58"/>
  <c r="H7" i="58"/>
  <c r="E7" i="58"/>
  <c r="C7" i="58"/>
  <c r="H6" i="58"/>
  <c r="C6" i="58"/>
  <c r="B5" i="58"/>
  <c r="I4" i="58"/>
  <c r="I3" i="58"/>
  <c r="E3" i="58"/>
  <c r="I2" i="58"/>
  <c r="E2" i="58"/>
  <c r="C2" i="58"/>
  <c r="F34" i="58"/>
  <c r="E6" i="58"/>
  <c r="F105" i="58"/>
  <c r="D105" i="58" s="1"/>
  <c r="C53" i="58"/>
  <c r="F67" i="58"/>
  <c r="C17" i="17"/>
  <c r="C16" i="17"/>
  <c r="C9" i="17"/>
  <c r="C3" i="17"/>
  <c r="C4" i="17"/>
  <c r="C5" i="17"/>
  <c r="C6" i="17"/>
  <c r="C8" i="17"/>
  <c r="M34" i="7"/>
  <c r="M35" i="7"/>
  <c r="M36" i="7"/>
  <c r="M37" i="7"/>
  <c r="M38" i="7"/>
  <c r="M39" i="7"/>
  <c r="M40" i="7"/>
  <c r="M41" i="7"/>
  <c r="M42" i="7"/>
  <c r="M43" i="7"/>
  <c r="M44" i="7"/>
  <c r="M45" i="7"/>
  <c r="M31" i="7"/>
  <c r="C24" i="7"/>
  <c r="G24" i="7" s="1"/>
  <c r="M33" i="7"/>
  <c r="M32" i="7"/>
  <c r="E25" i="34"/>
  <c r="C25" i="34"/>
  <c r="D25" i="34" s="1"/>
  <c r="F17" i="31"/>
  <c r="A21" i="31" s="1"/>
  <c r="E32" i="9" s="1"/>
  <c r="E26" i="2" s="1"/>
  <c r="F18" i="31"/>
  <c r="AR2" i="12"/>
  <c r="AS2" i="12"/>
  <c r="AT2" i="12"/>
  <c r="AU2" i="12"/>
  <c r="AR3" i="12"/>
  <c r="AS3" i="12"/>
  <c r="AT3" i="12"/>
  <c r="AU3" i="12"/>
  <c r="AR4" i="12"/>
  <c r="AS4" i="12"/>
  <c r="AT4" i="12"/>
  <c r="AU4" i="12"/>
  <c r="AR5" i="12"/>
  <c r="AS5" i="12"/>
  <c r="AT5" i="12"/>
  <c r="AU5" i="12"/>
  <c r="AR6" i="12"/>
  <c r="AS6" i="12"/>
  <c r="AT6" i="12"/>
  <c r="AU6" i="12"/>
  <c r="AR7" i="12"/>
  <c r="AS7" i="12"/>
  <c r="AT7" i="12"/>
  <c r="AU7" i="12"/>
  <c r="AR8" i="12"/>
  <c r="AS8" i="12"/>
  <c r="AT8" i="12"/>
  <c r="AU8" i="12"/>
  <c r="AR9" i="12"/>
  <c r="AS9" i="12"/>
  <c r="AT9" i="12"/>
  <c r="AU9" i="12"/>
  <c r="AR10" i="12"/>
  <c r="AS10" i="12"/>
  <c r="AT10" i="12"/>
  <c r="AU10" i="12"/>
  <c r="AI2" i="12"/>
  <c r="AJ2" i="12"/>
  <c r="AK2" i="12"/>
  <c r="AL2" i="12"/>
  <c r="AM2" i="12"/>
  <c r="AN2" i="12"/>
  <c r="AO2" i="12"/>
  <c r="AP2" i="12"/>
  <c r="AQ2" i="12"/>
  <c r="AX2" i="12"/>
  <c r="AI3" i="12"/>
  <c r="AJ3" i="12"/>
  <c r="AK3" i="12"/>
  <c r="AL3" i="12"/>
  <c r="AM3" i="12"/>
  <c r="AN3" i="12"/>
  <c r="AO3" i="12"/>
  <c r="AP3" i="12"/>
  <c r="AQ3" i="12"/>
  <c r="AX3" i="12"/>
  <c r="AI4" i="12"/>
  <c r="AJ4" i="12"/>
  <c r="AK4" i="12"/>
  <c r="AL4" i="12"/>
  <c r="AM4" i="12"/>
  <c r="AN4" i="12"/>
  <c r="AO4" i="12"/>
  <c r="AP4" i="12"/>
  <c r="AQ4" i="12"/>
  <c r="AX4" i="12"/>
  <c r="AI5" i="12"/>
  <c r="AJ5" i="12"/>
  <c r="AK5" i="12"/>
  <c r="AL5" i="12"/>
  <c r="AM5" i="12"/>
  <c r="AN5" i="12"/>
  <c r="AO5" i="12"/>
  <c r="AP5" i="12"/>
  <c r="AQ5" i="12"/>
  <c r="AX5" i="12"/>
  <c r="AI6" i="12"/>
  <c r="AJ6" i="12"/>
  <c r="AK6" i="12"/>
  <c r="AL6" i="12"/>
  <c r="AM6" i="12"/>
  <c r="AN6" i="12"/>
  <c r="AO6" i="12"/>
  <c r="AP6" i="12"/>
  <c r="AQ6" i="12"/>
  <c r="AX6" i="12"/>
  <c r="AI7" i="12"/>
  <c r="AJ7" i="12"/>
  <c r="AK7" i="12"/>
  <c r="AL7" i="12"/>
  <c r="AM7" i="12"/>
  <c r="AN7" i="12"/>
  <c r="AO7" i="12"/>
  <c r="AP7" i="12"/>
  <c r="AQ7" i="12"/>
  <c r="AX7" i="12"/>
  <c r="AI8" i="12"/>
  <c r="AJ8" i="12"/>
  <c r="AK8" i="12"/>
  <c r="AL8" i="12"/>
  <c r="AM8" i="12"/>
  <c r="AN8" i="12"/>
  <c r="AO8" i="12"/>
  <c r="AP8" i="12"/>
  <c r="AQ8" i="12"/>
  <c r="AX8" i="12"/>
  <c r="AI9" i="12"/>
  <c r="AJ9" i="12"/>
  <c r="AK9" i="12"/>
  <c r="AL9" i="12"/>
  <c r="AM9" i="12"/>
  <c r="AN9" i="12"/>
  <c r="AO9" i="12"/>
  <c r="AP9" i="12"/>
  <c r="AQ9" i="12"/>
  <c r="AX9" i="12"/>
  <c r="AI10" i="12"/>
  <c r="AJ10" i="12"/>
  <c r="AK10" i="12"/>
  <c r="AL10" i="12"/>
  <c r="AM10" i="12"/>
  <c r="AN10" i="12"/>
  <c r="AO10" i="12"/>
  <c r="AP10" i="12"/>
  <c r="AQ10" i="12"/>
  <c r="AX10" i="12"/>
  <c r="AH10" i="12"/>
  <c r="AH9" i="12"/>
  <c r="AH8" i="12"/>
  <c r="AH7" i="12"/>
  <c r="AH6" i="12"/>
  <c r="AH5" i="12"/>
  <c r="AH4" i="12"/>
  <c r="AH3" i="12"/>
  <c r="AH2" i="12"/>
  <c r="AB2" i="12"/>
  <c r="AC2" i="12"/>
  <c r="AD2" i="12"/>
  <c r="AB3" i="12"/>
  <c r="AC3" i="12"/>
  <c r="AD3" i="12"/>
  <c r="AB4" i="12"/>
  <c r="AC4" i="12"/>
  <c r="AD4" i="12"/>
  <c r="AB5" i="12"/>
  <c r="AC5" i="12"/>
  <c r="AD5" i="12"/>
  <c r="AB6" i="12"/>
  <c r="AC6" i="12"/>
  <c r="AD6" i="12"/>
  <c r="AB7" i="12"/>
  <c r="AC7" i="12"/>
  <c r="AD7" i="12"/>
  <c r="AB8" i="12"/>
  <c r="AC8" i="12"/>
  <c r="AD8" i="12"/>
  <c r="AB9" i="12"/>
  <c r="AC9" i="12"/>
  <c r="AD9" i="12"/>
  <c r="AB10" i="12"/>
  <c r="AC10" i="12"/>
  <c r="AD10" i="12"/>
  <c r="C2" i="12"/>
  <c r="C3" i="12"/>
  <c r="C4" i="12"/>
  <c r="C5" i="12"/>
  <c r="C6" i="12"/>
  <c r="S4" i="12"/>
  <c r="AF4" i="12"/>
  <c r="D4" i="12"/>
  <c r="M4" i="12"/>
  <c r="K4" i="12"/>
  <c r="L4" i="12"/>
  <c r="S5" i="12"/>
  <c r="AF5" i="12"/>
  <c r="D5" i="12"/>
  <c r="M5" i="12"/>
  <c r="K5" i="12"/>
  <c r="L5" i="12"/>
  <c r="S6" i="12"/>
  <c r="AF6" i="12"/>
  <c r="D6" i="12"/>
  <c r="M6" i="12"/>
  <c r="K6" i="12"/>
  <c r="L6" i="12"/>
  <c r="U6" i="12"/>
  <c r="S7" i="12"/>
  <c r="AF7" i="12"/>
  <c r="D7" i="12"/>
  <c r="M7" i="12"/>
  <c r="K7" i="12"/>
  <c r="L7" i="12"/>
  <c r="U7" i="12"/>
  <c r="C7" i="12"/>
  <c r="S8" i="12"/>
  <c r="AF8" i="12"/>
  <c r="D8" i="12"/>
  <c r="M8" i="12"/>
  <c r="K8" i="12"/>
  <c r="L8" i="12"/>
  <c r="U8" i="12"/>
  <c r="C8" i="12"/>
  <c r="S9" i="12"/>
  <c r="AF9" i="12"/>
  <c r="D9" i="12"/>
  <c r="M9" i="12"/>
  <c r="K9" i="12"/>
  <c r="L9" i="12"/>
  <c r="U9" i="12"/>
  <c r="C9" i="12"/>
  <c r="S10" i="12"/>
  <c r="AF10" i="12"/>
  <c r="D10" i="12"/>
  <c r="M10" i="12"/>
  <c r="K10" i="12"/>
  <c r="L10" i="12"/>
  <c r="U10" i="12"/>
  <c r="C10" i="12"/>
  <c r="S3" i="12"/>
  <c r="AF3" i="12"/>
  <c r="D3" i="12"/>
  <c r="M3" i="12"/>
  <c r="K3" i="12"/>
  <c r="L3" i="12"/>
  <c r="E6" i="12"/>
  <c r="F6" i="12"/>
  <c r="G6" i="12"/>
  <c r="H6" i="12"/>
  <c r="I6" i="12"/>
  <c r="J6" i="12"/>
  <c r="N6" i="12"/>
  <c r="O6" i="12"/>
  <c r="P6" i="12"/>
  <c r="Q6" i="12"/>
  <c r="R6" i="12"/>
  <c r="T6" i="12"/>
  <c r="V6" i="12"/>
  <c r="W6" i="12"/>
  <c r="X6" i="12"/>
  <c r="Y6" i="12"/>
  <c r="Z6" i="12"/>
  <c r="AA6" i="12"/>
  <c r="E7" i="12"/>
  <c r="F7" i="12"/>
  <c r="G7" i="12"/>
  <c r="H7" i="12"/>
  <c r="I7" i="12"/>
  <c r="J7" i="12"/>
  <c r="N7" i="12"/>
  <c r="O7" i="12"/>
  <c r="P7" i="12"/>
  <c r="Q7" i="12"/>
  <c r="R7" i="12"/>
  <c r="T7" i="12"/>
  <c r="V7" i="12"/>
  <c r="W7" i="12"/>
  <c r="X7" i="12"/>
  <c r="Y7" i="12"/>
  <c r="Z7" i="12"/>
  <c r="AA7" i="12"/>
  <c r="E8" i="12"/>
  <c r="F8" i="12"/>
  <c r="G8" i="12"/>
  <c r="H8" i="12"/>
  <c r="I8" i="12"/>
  <c r="J8" i="12"/>
  <c r="N8" i="12"/>
  <c r="O8" i="12"/>
  <c r="P8" i="12"/>
  <c r="Q8" i="12"/>
  <c r="R8" i="12"/>
  <c r="T8" i="12"/>
  <c r="V8" i="12"/>
  <c r="W8" i="12"/>
  <c r="X8" i="12"/>
  <c r="Y8" i="12"/>
  <c r="Z8" i="12"/>
  <c r="AA8" i="12"/>
  <c r="E9" i="12"/>
  <c r="F9" i="12"/>
  <c r="G9" i="12"/>
  <c r="H9" i="12"/>
  <c r="I9" i="12"/>
  <c r="J9" i="12"/>
  <c r="N9" i="12"/>
  <c r="O9" i="12"/>
  <c r="P9" i="12"/>
  <c r="Q9" i="12"/>
  <c r="R9" i="12"/>
  <c r="T9" i="12"/>
  <c r="V9" i="12"/>
  <c r="W9" i="12"/>
  <c r="X9" i="12"/>
  <c r="Y9" i="12"/>
  <c r="Z9" i="12"/>
  <c r="AA9" i="12"/>
  <c r="E10" i="12"/>
  <c r="F10" i="12"/>
  <c r="G10" i="12"/>
  <c r="H10" i="12"/>
  <c r="I10" i="12"/>
  <c r="J10" i="12"/>
  <c r="N10" i="12"/>
  <c r="O10" i="12"/>
  <c r="P10" i="12"/>
  <c r="Q10" i="12"/>
  <c r="R10" i="12"/>
  <c r="T10" i="12"/>
  <c r="V10" i="12"/>
  <c r="W10" i="12"/>
  <c r="X10" i="12"/>
  <c r="Y10" i="12"/>
  <c r="Z10" i="12"/>
  <c r="AA10" i="12"/>
  <c r="B7" i="12"/>
  <c r="B8" i="12"/>
  <c r="B9" i="12"/>
  <c r="B10" i="12"/>
  <c r="B6" i="12"/>
  <c r="B2" i="12"/>
  <c r="S2" i="12"/>
  <c r="AF2" i="12"/>
  <c r="D2" i="12"/>
  <c r="M2" i="12"/>
  <c r="K2" i="12"/>
  <c r="L2" i="12"/>
  <c r="E2" i="12"/>
  <c r="E3" i="12"/>
  <c r="E4" i="12"/>
  <c r="E5" i="12"/>
  <c r="B3" i="12"/>
  <c r="B4" i="12"/>
  <c r="B5" i="12"/>
  <c r="C25" i="12"/>
  <c r="C26" i="12"/>
  <c r="C27" i="12"/>
  <c r="C28" i="12"/>
  <c r="C29" i="12"/>
  <c r="C30" i="12"/>
  <c r="C31" i="12"/>
  <c r="C32" i="12"/>
  <c r="C33" i="12"/>
  <c r="N3" i="12"/>
  <c r="H3" i="12"/>
  <c r="N4" i="12"/>
  <c r="H4" i="12"/>
  <c r="N5" i="12"/>
  <c r="H5" i="12"/>
  <c r="N2" i="12"/>
  <c r="H2" i="12"/>
  <c r="T3" i="12"/>
  <c r="T4" i="12"/>
  <c r="T5" i="12"/>
  <c r="T2" i="12"/>
  <c r="I2" i="12"/>
  <c r="J2" i="12"/>
  <c r="I3" i="12"/>
  <c r="J3" i="12"/>
  <c r="I4" i="12"/>
  <c r="J4" i="12"/>
  <c r="I5" i="12"/>
  <c r="J5" i="12"/>
  <c r="U2" i="12"/>
  <c r="U3" i="12"/>
  <c r="U4" i="12"/>
  <c r="U5" i="12"/>
  <c r="AA2" i="12"/>
  <c r="X2" i="12"/>
  <c r="Y2" i="12"/>
  <c r="X3" i="12"/>
  <c r="Y3" i="12"/>
  <c r="X4" i="12"/>
  <c r="Y4" i="12"/>
  <c r="X5" i="12"/>
  <c r="Y5" i="12"/>
  <c r="Z2" i="12"/>
  <c r="Z3" i="12"/>
  <c r="Z4" i="12"/>
  <c r="Z5" i="12"/>
  <c r="V2" i="12"/>
  <c r="W2" i="12"/>
  <c r="V3" i="12"/>
  <c r="W3" i="12"/>
  <c r="AA3" i="12"/>
  <c r="V4" i="12"/>
  <c r="W4" i="12"/>
  <c r="AA4" i="12"/>
  <c r="V5" i="12"/>
  <c r="W5" i="12"/>
  <c r="AA5" i="12"/>
  <c r="P2" i="12"/>
  <c r="Q2" i="12"/>
  <c r="P3" i="12"/>
  <c r="Q3" i="12"/>
  <c r="P4" i="12"/>
  <c r="Q4" i="12"/>
  <c r="P5" i="12"/>
  <c r="Q5" i="12"/>
  <c r="F2" i="12"/>
  <c r="G2" i="12"/>
  <c r="F3" i="12"/>
  <c r="G3" i="12"/>
  <c r="F4" i="12"/>
  <c r="G4" i="12"/>
  <c r="F5" i="12"/>
  <c r="G5" i="12"/>
  <c r="O2" i="12"/>
  <c r="R2" i="12"/>
  <c r="O5" i="12"/>
  <c r="R5" i="12"/>
  <c r="O4" i="12"/>
  <c r="R4" i="12"/>
  <c r="O3" i="12"/>
  <c r="R3" i="12"/>
  <c r="D31" i="11"/>
  <c r="D30" i="11"/>
  <c r="E29" i="11"/>
  <c r="D29" i="11"/>
  <c r="G28" i="11"/>
  <c r="D28" i="11"/>
  <c r="E28" i="11"/>
  <c r="D8" i="11"/>
  <c r="D7" i="11"/>
  <c r="D13" i="64"/>
  <c r="C12" i="64"/>
  <c r="B12" i="64"/>
  <c r="C11" i="64"/>
  <c r="B11" i="64"/>
  <c r="C10" i="64"/>
  <c r="B10" i="64"/>
  <c r="C9" i="64"/>
  <c r="B9" i="64"/>
  <c r="C8" i="64"/>
  <c r="B8" i="64"/>
  <c r="C7" i="64"/>
  <c r="B7" i="64"/>
  <c r="C6" i="64"/>
  <c r="B6" i="64"/>
  <c r="C5" i="64"/>
  <c r="B5" i="64"/>
  <c r="C4" i="64"/>
  <c r="B4" i="64"/>
  <c r="C3" i="64"/>
  <c r="B3" i="64"/>
  <c r="C49" i="68"/>
  <c r="B49" i="68"/>
  <c r="C48" i="68"/>
  <c r="B48" i="68"/>
  <c r="C47" i="68"/>
  <c r="B47" i="68"/>
  <c r="C46" i="68"/>
  <c r="B46" i="68"/>
  <c r="C45" i="68"/>
  <c r="B45" i="68"/>
  <c r="C44" i="68"/>
  <c r="B44" i="68"/>
  <c r="C43" i="68"/>
  <c r="B43" i="68"/>
  <c r="C42" i="68"/>
  <c r="B42" i="68"/>
  <c r="C41" i="68"/>
  <c r="B41" i="68"/>
  <c r="C40" i="68"/>
  <c r="B40" i="68"/>
  <c r="C39" i="68"/>
  <c r="B39" i="68"/>
  <c r="C38" i="68"/>
  <c r="B38" i="68"/>
  <c r="C37" i="68"/>
  <c r="B37" i="68"/>
  <c r="C36" i="68"/>
  <c r="B36" i="68"/>
  <c r="C35" i="68"/>
  <c r="B35" i="68"/>
  <c r="C34" i="68"/>
  <c r="B34" i="68"/>
  <c r="C33" i="68"/>
  <c r="B33" i="68"/>
  <c r="C32" i="68"/>
  <c r="B32" i="68"/>
  <c r="C31" i="68"/>
  <c r="B31" i="68"/>
  <c r="C30" i="68"/>
  <c r="B30" i="68"/>
  <c r="C29" i="68"/>
  <c r="B29" i="68"/>
  <c r="C28" i="68"/>
  <c r="B28" i="68"/>
  <c r="C27" i="68"/>
  <c r="B27" i="68"/>
  <c r="C26" i="68"/>
  <c r="B26" i="68"/>
  <c r="C25" i="68"/>
  <c r="B25" i="68"/>
  <c r="C24" i="68"/>
  <c r="B24" i="68"/>
  <c r="C23" i="68"/>
  <c r="B23" i="68"/>
  <c r="C22" i="68"/>
  <c r="B22" i="68"/>
  <c r="C21" i="68"/>
  <c r="B21" i="68"/>
  <c r="C20" i="68"/>
  <c r="B20" i="68"/>
  <c r="C19" i="68"/>
  <c r="B19" i="68"/>
  <c r="C18" i="68"/>
  <c r="B18" i="68"/>
  <c r="C17" i="68"/>
  <c r="B17" i="68"/>
  <c r="C16" i="68"/>
  <c r="B16" i="68"/>
  <c r="C15" i="68"/>
  <c r="B15" i="68"/>
  <c r="C14" i="68"/>
  <c r="B14" i="68"/>
  <c r="C13" i="68"/>
  <c r="B13" i="68"/>
  <c r="C12" i="68"/>
  <c r="B12" i="68"/>
  <c r="C11" i="68"/>
  <c r="B11" i="68"/>
  <c r="C10" i="68"/>
  <c r="B10" i="68"/>
  <c r="C9" i="68"/>
  <c r="B9" i="68"/>
  <c r="C8" i="68"/>
  <c r="B8" i="68"/>
  <c r="C7" i="68"/>
  <c r="B7" i="68"/>
  <c r="C6" i="68"/>
  <c r="B6" i="68"/>
  <c r="C5" i="68"/>
  <c r="B5" i="68"/>
  <c r="C4" i="68"/>
  <c r="B4" i="68"/>
  <c r="C3" i="68"/>
  <c r="B3" i="68"/>
  <c r="D3" i="62"/>
  <c r="D4" i="62"/>
  <c r="D5" i="62"/>
  <c r="D6" i="62"/>
  <c r="D7" i="62"/>
  <c r="D8" i="62"/>
  <c r="D9" i="62"/>
  <c r="D10" i="62"/>
  <c r="D11" i="62"/>
  <c r="D12" i="62"/>
  <c r="D13" i="62"/>
  <c r="D15" i="62"/>
  <c r="D16" i="62"/>
  <c r="D17" i="62"/>
  <c r="D18" i="62"/>
  <c r="D19" i="62"/>
  <c r="D20" i="62"/>
  <c r="D21" i="62"/>
  <c r="D23" i="62"/>
  <c r="D24" i="62"/>
  <c r="D25" i="62"/>
  <c r="D26" i="62"/>
  <c r="D27" i="62"/>
  <c r="D28" i="62"/>
  <c r="D29" i="62"/>
  <c r="D30" i="62"/>
  <c r="D31" i="62"/>
  <c r="D32" i="62"/>
  <c r="D33" i="62"/>
  <c r="D34" i="62"/>
  <c r="D35" i="62"/>
  <c r="D36" i="62"/>
  <c r="D37" i="62"/>
  <c r="D38" i="62"/>
  <c r="D39" i="62"/>
  <c r="D40" i="62"/>
  <c r="D41" i="62"/>
  <c r="D42" i="62"/>
  <c r="D43" i="62"/>
  <c r="D44" i="62"/>
  <c r="D45" i="62"/>
  <c r="D2" i="62"/>
  <c r="H21" i="16"/>
  <c r="B25" i="16"/>
  <c r="C15" i="16"/>
  <c r="H4" i="16"/>
  <c r="C4" i="16"/>
  <c r="I3" i="16"/>
  <c r="G3" i="16"/>
  <c r="F3" i="16"/>
  <c r="C3" i="16"/>
  <c r="F2" i="16"/>
  <c r="F9" i="16"/>
  <c r="F8" i="16"/>
  <c r="F13" i="16"/>
  <c r="F12" i="16"/>
  <c r="F11" i="16"/>
  <c r="F10" i="16"/>
  <c r="H21" i="6"/>
  <c r="F21" i="6"/>
  <c r="F20" i="6"/>
  <c r="F16" i="6"/>
  <c r="H12" i="6"/>
  <c r="F12" i="6"/>
  <c r="F11" i="6"/>
  <c r="F10" i="6"/>
  <c r="H10" i="6"/>
  <c r="H9" i="6"/>
  <c r="B9" i="6"/>
  <c r="D9" i="6"/>
  <c r="E9" i="6"/>
  <c r="F9" i="6"/>
  <c r="G9" i="6"/>
  <c r="F8" i="6"/>
  <c r="F7" i="6"/>
  <c r="H7" i="6"/>
  <c r="H8" i="6"/>
  <c r="H6" i="6"/>
  <c r="B20" i="6"/>
  <c r="H20" i="6"/>
  <c r="G20" i="6"/>
  <c r="E20" i="6"/>
  <c r="D20" i="6"/>
  <c r="H5" i="6"/>
  <c r="B5" i="6"/>
  <c r="G5" i="6"/>
  <c r="F5" i="6"/>
  <c r="E5" i="6"/>
  <c r="D5" i="6"/>
  <c r="F6" i="6"/>
  <c r="H4" i="6"/>
  <c r="G4" i="6"/>
  <c r="F4" i="6"/>
  <c r="E4" i="6"/>
  <c r="D4" i="6"/>
  <c r="B4" i="6"/>
  <c r="H14" i="6"/>
  <c r="F19" i="6"/>
  <c r="F18" i="6"/>
  <c r="F17" i="6"/>
  <c r="F14" i="6"/>
  <c r="F13" i="6"/>
  <c r="H11" i="6"/>
  <c r="F15" i="6"/>
  <c r="D6" i="6"/>
  <c r="D7" i="6"/>
  <c r="D8" i="6"/>
  <c r="D10" i="6"/>
  <c r="D11" i="6"/>
  <c r="D12" i="6"/>
  <c r="D13" i="6"/>
  <c r="D14" i="6"/>
  <c r="D15" i="6"/>
  <c r="D16" i="6"/>
  <c r="D17" i="6"/>
  <c r="D18" i="6"/>
  <c r="D19" i="6"/>
  <c r="D21" i="6"/>
  <c r="E13" i="6"/>
  <c r="E14" i="6"/>
  <c r="G6" i="6"/>
  <c r="G7" i="6"/>
  <c r="G8" i="6"/>
  <c r="G10" i="6"/>
  <c r="G11" i="6"/>
  <c r="G12" i="6"/>
  <c r="G13" i="6"/>
  <c r="G14" i="6"/>
  <c r="G15" i="6"/>
  <c r="G16" i="6"/>
  <c r="G17" i="6"/>
  <c r="G18" i="6"/>
  <c r="G19" i="6"/>
  <c r="G21" i="6"/>
  <c r="B19" i="6"/>
  <c r="E19" i="6"/>
  <c r="H19" i="6"/>
  <c r="B21" i="6"/>
  <c r="E21" i="6"/>
  <c r="H13" i="6"/>
  <c r="H15" i="6"/>
  <c r="H16" i="6"/>
  <c r="H17" i="6"/>
  <c r="H18" i="6"/>
  <c r="B16" i="6"/>
  <c r="E16" i="6"/>
  <c r="E18" i="6"/>
  <c r="B18" i="6"/>
  <c r="E17" i="6"/>
  <c r="B17" i="6"/>
  <c r="B13" i="6"/>
  <c r="B14" i="6"/>
  <c r="B15" i="6"/>
  <c r="B6" i="6"/>
  <c r="B7" i="6"/>
  <c r="B8" i="6"/>
  <c r="B10" i="6"/>
  <c r="B11" i="6"/>
  <c r="B12" i="6"/>
  <c r="E15" i="6"/>
  <c r="E12" i="6"/>
  <c r="E11" i="6"/>
  <c r="E10" i="6"/>
  <c r="E8" i="6"/>
  <c r="E7" i="6"/>
  <c r="E6" i="6"/>
  <c r="H9" i="9"/>
  <c r="F16" i="9"/>
  <c r="G21" i="9"/>
  <c r="D13" i="9"/>
  <c r="E18" i="9"/>
  <c r="I4" i="9"/>
  <c r="D4" i="9"/>
  <c r="J3" i="9"/>
  <c r="H3" i="9"/>
  <c r="G3" i="9"/>
  <c r="D3" i="9"/>
  <c r="G2" i="9"/>
  <c r="H11" i="9"/>
  <c r="H10" i="9"/>
  <c r="N10" i="9"/>
  <c r="N11" i="9"/>
  <c r="N12" i="9"/>
  <c r="N13" i="9"/>
  <c r="N14" i="9"/>
  <c r="N15" i="9"/>
  <c r="N16" i="9"/>
  <c r="N17" i="9"/>
  <c r="N9" i="9"/>
  <c r="D6" i="9"/>
  <c r="J31" i="9"/>
  <c r="I25" i="2" s="1"/>
  <c r="J32" i="9"/>
  <c r="I26" i="2" s="1"/>
  <c r="M4" i="25"/>
  <c r="E4" i="25"/>
  <c r="N3" i="25"/>
  <c r="K3" i="25"/>
  <c r="J3" i="25"/>
  <c r="E3" i="25"/>
  <c r="J2" i="25"/>
  <c r="K6" i="25"/>
  <c r="K8" i="25"/>
  <c r="K10" i="25"/>
  <c r="K12" i="25"/>
  <c r="K14" i="25"/>
  <c r="K16" i="25"/>
  <c r="K18" i="25"/>
  <c r="K20" i="25"/>
  <c r="K22" i="25"/>
  <c r="K24" i="25"/>
  <c r="K26" i="25"/>
  <c r="K28" i="25"/>
  <c r="K30" i="25"/>
  <c r="K32" i="25"/>
  <c r="K34" i="25"/>
  <c r="K36" i="25"/>
  <c r="K38" i="25"/>
  <c r="K40" i="25"/>
  <c r="K42" i="25"/>
  <c r="K44" i="25"/>
  <c r="J6" i="25"/>
  <c r="K7" i="25" s="1"/>
  <c r="J8" i="25"/>
  <c r="J10" i="25"/>
  <c r="J12" i="25"/>
  <c r="I12" i="25"/>
  <c r="J14" i="25"/>
  <c r="I14" i="25"/>
  <c r="J16" i="25"/>
  <c r="I16" i="25"/>
  <c r="J18" i="25"/>
  <c r="I18" i="25"/>
  <c r="J20" i="25"/>
  <c r="I20" i="25"/>
  <c r="J22" i="25"/>
  <c r="I22" i="25"/>
  <c r="J24" i="25"/>
  <c r="I24" i="25"/>
  <c r="J26" i="25"/>
  <c r="I26" i="25"/>
  <c r="J28" i="25"/>
  <c r="I28" i="25"/>
  <c r="J30" i="25"/>
  <c r="I30" i="25"/>
  <c r="J32" i="25"/>
  <c r="I32" i="25"/>
  <c r="J34" i="25"/>
  <c r="I34" i="25"/>
  <c r="J36" i="25"/>
  <c r="I36" i="25"/>
  <c r="J38" i="25"/>
  <c r="I38" i="25"/>
  <c r="J40" i="25"/>
  <c r="I40" i="25"/>
  <c r="J42" i="25"/>
  <c r="I42" i="25"/>
  <c r="D42" i="25"/>
  <c r="J35" i="25"/>
  <c r="J33" i="25"/>
  <c r="J31" i="25"/>
  <c r="J29" i="25"/>
  <c r="J27" i="25"/>
  <c r="J25" i="25"/>
  <c r="J23" i="25"/>
  <c r="J21" i="25"/>
  <c r="J19" i="25"/>
  <c r="J17" i="25"/>
  <c r="J13" i="25"/>
  <c r="J15" i="25"/>
  <c r="D7" i="25"/>
  <c r="H7" i="25"/>
  <c r="M7" i="25"/>
  <c r="N7" i="25"/>
  <c r="D45" i="25"/>
  <c r="D43" i="25"/>
  <c r="D41" i="25"/>
  <c r="D39" i="25"/>
  <c r="D37" i="25"/>
  <c r="D35" i="25"/>
  <c r="D33" i="25"/>
  <c r="D31" i="25"/>
  <c r="D29" i="25"/>
  <c r="D27" i="25"/>
  <c r="D25" i="25"/>
  <c r="D23" i="25"/>
  <c r="D21" i="25"/>
  <c r="D19" i="25"/>
  <c r="D17" i="25"/>
  <c r="D15" i="25"/>
  <c r="D13" i="25"/>
  <c r="D11" i="25"/>
  <c r="D9" i="25"/>
  <c r="K37" i="25"/>
  <c r="D44" i="25"/>
  <c r="C44" i="25"/>
  <c r="C42" i="25"/>
  <c r="C40" i="25"/>
  <c r="N45" i="25"/>
  <c r="M45" i="25"/>
  <c r="J44" i="25"/>
  <c r="K45" i="25"/>
  <c r="J45" i="25"/>
  <c r="H45" i="25"/>
  <c r="I44" i="25"/>
  <c r="N43" i="25"/>
  <c r="M43" i="25"/>
  <c r="K43" i="25"/>
  <c r="J43" i="25"/>
  <c r="H43" i="25"/>
  <c r="N41" i="25"/>
  <c r="M41" i="25"/>
  <c r="K41" i="25"/>
  <c r="J41" i="25"/>
  <c r="H41" i="25"/>
  <c r="N39" i="25"/>
  <c r="M39" i="25"/>
  <c r="K39" i="25"/>
  <c r="J39" i="25"/>
  <c r="H39" i="25"/>
  <c r="N37" i="25"/>
  <c r="M37" i="25"/>
  <c r="J37" i="25"/>
  <c r="H37" i="25"/>
  <c r="C38" i="25"/>
  <c r="C36" i="25"/>
  <c r="C34" i="25"/>
  <c r="C32" i="25"/>
  <c r="C30" i="25"/>
  <c r="C28" i="25"/>
  <c r="C18" i="25"/>
  <c r="C22" i="25"/>
  <c r="C20" i="25"/>
  <c r="C16" i="25"/>
  <c r="C12" i="25"/>
  <c r="C26" i="25"/>
  <c r="C24" i="25"/>
  <c r="C14" i="25"/>
  <c r="B1" i="28"/>
  <c r="F1" i="28"/>
  <c r="I1" i="28"/>
  <c r="D1" i="28"/>
  <c r="AB1" i="28"/>
  <c r="H2" i="2"/>
  <c r="D3" i="2"/>
  <c r="H3" i="2"/>
  <c r="I3" i="2"/>
  <c r="K3" i="2"/>
  <c r="D4" i="2"/>
  <c r="J4" i="2"/>
  <c r="J8" i="2"/>
  <c r="J9" i="2"/>
  <c r="J10" i="2"/>
  <c r="J11" i="2"/>
  <c r="J12" i="2"/>
  <c r="J13" i="2"/>
  <c r="J14" i="2"/>
  <c r="J15" i="2"/>
  <c r="J16" i="2"/>
  <c r="J17" i="2"/>
  <c r="J18" i="2"/>
  <c r="D20" i="2"/>
  <c r="F20" i="2"/>
  <c r="D21" i="2"/>
  <c r="F21" i="2"/>
  <c r="D22" i="2"/>
  <c r="F22" i="2"/>
  <c r="D23" i="2"/>
  <c r="F23" i="2"/>
  <c r="C25" i="2"/>
  <c r="G25" i="2"/>
  <c r="C26" i="2"/>
  <c r="G26" i="2"/>
  <c r="C27" i="2"/>
  <c r="E27" i="2"/>
  <c r="G27" i="2"/>
  <c r="I27" i="2"/>
  <c r="C28" i="2"/>
  <c r="E28" i="2"/>
  <c r="G28" i="2"/>
  <c r="I28" i="2"/>
  <c r="C29" i="2"/>
  <c r="E29" i="2"/>
  <c r="G29" i="2"/>
  <c r="I29" i="2"/>
  <c r="D31" i="2"/>
  <c r="G36" i="55"/>
  <c r="G37" i="55"/>
  <c r="B35" i="55"/>
  <c r="A24" i="55"/>
  <c r="G18" i="55"/>
  <c r="G19" i="55"/>
  <c r="G20" i="55"/>
  <c r="B21" i="55"/>
  <c r="F3" i="55"/>
  <c r="F4" i="55"/>
  <c r="B3" i="55"/>
  <c r="F5" i="55"/>
  <c r="G6" i="55"/>
  <c r="G16" i="55"/>
  <c r="G15" i="55" s="1"/>
  <c r="G21" i="55"/>
  <c r="A14" i="55"/>
  <c r="B34" i="46"/>
  <c r="A10" i="46"/>
  <c r="F3" i="46"/>
  <c r="F4" i="46"/>
  <c r="B3" i="46"/>
  <c r="F5" i="46"/>
  <c r="G6" i="46"/>
  <c r="G16" i="56"/>
  <c r="B35" i="56"/>
  <c r="B21" i="56"/>
  <c r="G17" i="56"/>
  <c r="G18" i="56"/>
  <c r="G19" i="56"/>
  <c r="G20" i="56"/>
  <c r="G36" i="56"/>
  <c r="G37" i="56"/>
  <c r="F3" i="56"/>
  <c r="F4" i="56"/>
  <c r="B3" i="56"/>
  <c r="F5" i="56"/>
  <c r="G6" i="56"/>
  <c r="G15" i="56"/>
  <c r="G14" i="56" s="1"/>
  <c r="G21" i="56"/>
  <c r="G19" i="54"/>
  <c r="B35" i="54"/>
  <c r="G38" i="54"/>
  <c r="G37" i="54"/>
  <c r="G17" i="54"/>
  <c r="G18" i="54"/>
  <c r="G20" i="54"/>
  <c r="B21" i="54"/>
  <c r="A10" i="54"/>
  <c r="F3" i="54"/>
  <c r="F4" i="54"/>
  <c r="B3" i="54"/>
  <c r="F5" i="54"/>
  <c r="G6" i="54"/>
  <c r="G16" i="54"/>
  <c r="G15" i="54" s="1"/>
  <c r="G21" i="54"/>
  <c r="A14" i="54"/>
  <c r="G17" i="60"/>
  <c r="G18" i="60" s="1"/>
  <c r="G19" i="60" s="1"/>
  <c r="A17" i="60" s="1"/>
  <c r="G13" i="60"/>
  <c r="G15" i="60" s="1"/>
  <c r="A13" i="60" s="1"/>
  <c r="B32" i="60"/>
  <c r="A9" i="60"/>
  <c r="F3" i="60"/>
  <c r="F4" i="60"/>
  <c r="B3" i="60"/>
  <c r="F5" i="60"/>
  <c r="G6" i="60"/>
  <c r="T3" i="61"/>
  <c r="T4" i="61"/>
  <c r="T5" i="61"/>
  <c r="T6" i="61"/>
  <c r="T7" i="61"/>
  <c r="T8" i="61"/>
  <c r="T9" i="61"/>
  <c r="T10" i="61"/>
  <c r="T11" i="61"/>
  <c r="T12" i="61"/>
  <c r="T13" i="61"/>
  <c r="T14" i="61"/>
  <c r="T15" i="61"/>
  <c r="T16" i="61"/>
  <c r="T17" i="61"/>
  <c r="T18" i="61"/>
  <c r="T20" i="61"/>
  <c r="T21" i="61"/>
  <c r="T22" i="61"/>
  <c r="T23" i="61"/>
  <c r="T24" i="61"/>
  <c r="T25" i="61"/>
  <c r="T26" i="61"/>
  <c r="T28" i="61"/>
  <c r="T29" i="61"/>
  <c r="T30" i="61"/>
  <c r="T31" i="61"/>
  <c r="T32" i="61"/>
  <c r="T33" i="61"/>
  <c r="T34" i="61"/>
  <c r="T35" i="61"/>
  <c r="T36" i="61"/>
  <c r="T37" i="61"/>
  <c r="T38" i="61"/>
  <c r="T39" i="61"/>
  <c r="T40" i="61"/>
  <c r="T41" i="61"/>
  <c r="T42" i="61"/>
  <c r="T43" i="61"/>
  <c r="T44" i="61"/>
  <c r="T45" i="61"/>
  <c r="T46" i="61"/>
  <c r="T47" i="61"/>
  <c r="T48" i="61"/>
  <c r="T49" i="61"/>
  <c r="T2" i="61"/>
  <c r="B4" i="61"/>
  <c r="B5" i="61"/>
  <c r="B6" i="61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24" i="61"/>
  <c r="B25" i="61"/>
  <c r="B26" i="61"/>
  <c r="B27" i="61"/>
  <c r="B28" i="61"/>
  <c r="B29" i="61"/>
  <c r="B30" i="61"/>
  <c r="B31" i="61"/>
  <c r="B32" i="61"/>
  <c r="B33" i="61"/>
  <c r="B34" i="61"/>
  <c r="B35" i="61"/>
  <c r="B36" i="61"/>
  <c r="B37" i="61"/>
  <c r="B38" i="61"/>
  <c r="B39" i="61"/>
  <c r="B40" i="61"/>
  <c r="B41" i="61"/>
  <c r="B42" i="61"/>
  <c r="B43" i="61"/>
  <c r="B44" i="61"/>
  <c r="B45" i="61"/>
  <c r="B46" i="61"/>
  <c r="B47" i="61"/>
  <c r="B48" i="61"/>
  <c r="B49" i="61"/>
  <c r="B3" i="61"/>
  <c r="C4" i="61"/>
  <c r="C5" i="61"/>
  <c r="C6" i="61"/>
  <c r="C7" i="61"/>
  <c r="C8" i="61"/>
  <c r="C9" i="61"/>
  <c r="C10" i="61"/>
  <c r="C11" i="61"/>
  <c r="C12" i="61"/>
  <c r="C13" i="61"/>
  <c r="C14" i="61"/>
  <c r="C15" i="61"/>
  <c r="C16" i="61"/>
  <c r="C17" i="61"/>
  <c r="C18" i="61"/>
  <c r="C19" i="61"/>
  <c r="C20" i="61"/>
  <c r="C21" i="61"/>
  <c r="C22" i="61"/>
  <c r="C23" i="61"/>
  <c r="C24" i="61"/>
  <c r="C25" i="61"/>
  <c r="C26" i="61"/>
  <c r="C27" i="61"/>
  <c r="C28" i="61"/>
  <c r="C29" i="61"/>
  <c r="C30" i="61"/>
  <c r="C31" i="61"/>
  <c r="C32" i="61"/>
  <c r="C33" i="61"/>
  <c r="C34" i="61"/>
  <c r="C35" i="61"/>
  <c r="C36" i="61"/>
  <c r="C37" i="61"/>
  <c r="C38" i="61"/>
  <c r="C39" i="61"/>
  <c r="C40" i="61"/>
  <c r="C41" i="61"/>
  <c r="C42" i="61"/>
  <c r="C43" i="61"/>
  <c r="C44" i="61"/>
  <c r="C45" i="61"/>
  <c r="C46" i="61"/>
  <c r="C47" i="61"/>
  <c r="C48" i="61"/>
  <c r="C49" i="61"/>
  <c r="C3" i="61"/>
  <c r="I6" i="25" l="1"/>
  <c r="D28" i="32"/>
  <c r="E15" i="32"/>
  <c r="G5" i="32"/>
  <c r="D20" i="32"/>
  <c r="E33" i="32"/>
  <c r="D36" i="32"/>
  <c r="D33" i="32"/>
  <c r="E24" i="32"/>
  <c r="E9" i="32"/>
  <c r="D19" i="32"/>
  <c r="D12" i="32"/>
  <c r="E36" i="32"/>
  <c r="D35" i="32"/>
  <c r="E25" i="32"/>
  <c r="E19" i="32"/>
  <c r="E16" i="32"/>
  <c r="H25" i="12"/>
  <c r="E11" i="32"/>
  <c r="E31" i="32"/>
  <c r="E30" i="32"/>
  <c r="D11" i="32"/>
  <c r="E27" i="32"/>
  <c r="D10" i="32"/>
  <c r="C5" i="32"/>
  <c r="C23" i="32" s="1"/>
  <c r="D9" i="2"/>
  <c r="M17" i="25"/>
  <c r="K33" i="25"/>
  <c r="C10" i="25"/>
  <c r="C6" i="25"/>
  <c r="C8" i="25"/>
  <c r="G23" i="2"/>
  <c r="G98" i="15" s="1"/>
  <c r="D8" i="2"/>
  <c r="B3" i="10"/>
  <c r="H8" i="9"/>
  <c r="N21" i="25"/>
  <c r="M35" i="25"/>
  <c r="D2" i="58"/>
  <c r="H21" i="25"/>
  <c r="H33" i="25"/>
  <c r="E119" i="58"/>
  <c r="D119" i="58" s="1"/>
  <c r="C95" i="59"/>
  <c r="E95" i="59" s="1"/>
  <c r="C96" i="15"/>
  <c r="C18" i="70" s="1"/>
  <c r="J7" i="58"/>
  <c r="M19" i="25"/>
  <c r="N33" i="25"/>
  <c r="AA9" i="2"/>
  <c r="AB9" i="2" s="1"/>
  <c r="E19" i="9"/>
  <c r="K9" i="25"/>
  <c r="J8" i="58"/>
  <c r="C53" i="70"/>
  <c r="C42" i="70"/>
  <c r="L16" i="25"/>
  <c r="M16" i="25" s="1"/>
  <c r="D14" i="28"/>
  <c r="R14" i="28" s="1"/>
  <c r="E120" i="15"/>
  <c r="D120" i="15" s="1"/>
  <c r="F131" i="59"/>
  <c r="H29" i="12"/>
  <c r="L191" i="15"/>
  <c r="K13" i="25"/>
  <c r="D12" i="28"/>
  <c r="V12" i="28" s="1"/>
  <c r="L75" i="15"/>
  <c r="E14" i="32"/>
  <c r="D27" i="32"/>
  <c r="D30" i="32"/>
  <c r="F66" i="59"/>
  <c r="F121" i="58"/>
  <c r="D121" i="58" s="1"/>
  <c r="L121" i="58" s="1"/>
  <c r="F121" i="59"/>
  <c r="D121" i="59" s="1"/>
  <c r="L121" i="59" s="1"/>
  <c r="L193" i="15"/>
  <c r="G33" i="56"/>
  <c r="G30" i="60"/>
  <c r="N17" i="25"/>
  <c r="H17" i="25"/>
  <c r="H15" i="25"/>
  <c r="N15" i="25"/>
  <c r="W18" i="28"/>
  <c r="K35" i="25"/>
  <c r="L34" i="25"/>
  <c r="G17" i="28" s="1"/>
  <c r="H31" i="25"/>
  <c r="K27" i="25"/>
  <c r="AA3" i="28"/>
  <c r="J3" i="28"/>
  <c r="X3" i="28"/>
  <c r="AB3" i="28"/>
  <c r="L3" i="28"/>
  <c r="AB10" i="34"/>
  <c r="C30" i="70" s="1"/>
  <c r="C97" i="58"/>
  <c r="L97" i="58" s="1"/>
  <c r="C96" i="59"/>
  <c r="G22" i="2"/>
  <c r="G97" i="15" s="1"/>
  <c r="E21" i="2"/>
  <c r="C95" i="15"/>
  <c r="C17" i="70" s="1"/>
  <c r="I28" i="12"/>
  <c r="F132" i="59"/>
  <c r="G17" i="7"/>
  <c r="G29" i="12"/>
  <c r="G23" i="60"/>
  <c r="F122" i="59"/>
  <c r="D122" i="59" s="1"/>
  <c r="L122" i="59" s="1"/>
  <c r="AB5" i="34"/>
  <c r="C25" i="70" s="1"/>
  <c r="AB16" i="34"/>
  <c r="C36" i="70" s="1"/>
  <c r="J104" i="58"/>
  <c r="H104" i="58" s="1"/>
  <c r="J104" i="59"/>
  <c r="H104" i="59" s="1"/>
  <c r="G30" i="55"/>
  <c r="I7" i="11"/>
  <c r="G27" i="60"/>
  <c r="F113" i="59" s="1"/>
  <c r="D113" i="59" s="1"/>
  <c r="L113" i="59" s="1"/>
  <c r="G30" i="54"/>
  <c r="G30" i="56"/>
  <c r="G33" i="55"/>
  <c r="F112" i="58"/>
  <c r="D112" i="58" s="1"/>
  <c r="L112" i="58" s="1"/>
  <c r="F112" i="59"/>
  <c r="D112" i="59" s="1"/>
  <c r="L112" i="59" s="1"/>
  <c r="L10" i="11"/>
  <c r="G32" i="46"/>
  <c r="K21" i="25"/>
  <c r="M21" i="25"/>
  <c r="L20" i="25"/>
  <c r="G10" i="28" s="1"/>
  <c r="K17" i="25"/>
  <c r="K15" i="25"/>
  <c r="E22" i="28"/>
  <c r="AD22" i="28"/>
  <c r="V22" i="28"/>
  <c r="N22" i="28"/>
  <c r="Z22" i="28"/>
  <c r="J22" i="28"/>
  <c r="W22" i="28"/>
  <c r="O22" i="28"/>
  <c r="AA22" i="28"/>
  <c r="S22" i="28"/>
  <c r="K22" i="28"/>
  <c r="R22" i="28"/>
  <c r="N9" i="25"/>
  <c r="H9" i="25"/>
  <c r="E20" i="28"/>
  <c r="F20" i="28"/>
  <c r="AA20" i="28"/>
  <c r="S20" i="28"/>
  <c r="K20" i="28"/>
  <c r="P20" i="28"/>
  <c r="H20" i="28"/>
  <c r="O20" i="28"/>
  <c r="AB20" i="28"/>
  <c r="T20" i="28"/>
  <c r="L20" i="28"/>
  <c r="X20" i="28"/>
  <c r="W20" i="28"/>
  <c r="E19" i="28"/>
  <c r="AA19" i="28"/>
  <c r="S19" i="28"/>
  <c r="K19" i="28"/>
  <c r="Y19" i="28"/>
  <c r="Q19" i="28"/>
  <c r="I19" i="28"/>
  <c r="W19" i="28"/>
  <c r="O19" i="28"/>
  <c r="AC19" i="28"/>
  <c r="U19" i="28"/>
  <c r="M19" i="28"/>
  <c r="K18" i="28"/>
  <c r="AA18" i="28"/>
  <c r="O18" i="28"/>
  <c r="S18" i="28"/>
  <c r="K31" i="25"/>
  <c r="M29" i="25"/>
  <c r="M25" i="25"/>
  <c r="T3" i="28"/>
  <c r="P3" i="28"/>
  <c r="O40" i="25"/>
  <c r="AB7" i="34"/>
  <c r="C27" i="70" s="1"/>
  <c r="M38" i="25"/>
  <c r="AB15" i="34"/>
  <c r="C35" i="70" s="1"/>
  <c r="E22" i="2"/>
  <c r="K46" i="7"/>
  <c r="B26" i="10" s="1"/>
  <c r="C26" i="10" s="1"/>
  <c r="I24" i="12"/>
  <c r="H28" i="12"/>
  <c r="G24" i="12"/>
  <c r="G30" i="12"/>
  <c r="G25" i="12"/>
  <c r="G31" i="54"/>
  <c r="G30" i="46"/>
  <c r="G28" i="60"/>
  <c r="L77" i="15"/>
  <c r="L74" i="15"/>
  <c r="L72" i="15"/>
  <c r="G26" i="56"/>
  <c r="F122" i="58"/>
  <c r="D122" i="58" s="1"/>
  <c r="L122" i="58" s="1"/>
  <c r="G26" i="54"/>
  <c r="D31" i="32"/>
  <c r="J25" i="12"/>
  <c r="J31" i="12"/>
  <c r="H22" i="12"/>
  <c r="H27" i="12"/>
  <c r="H26" i="12"/>
  <c r="H24" i="12"/>
  <c r="H31" i="12"/>
  <c r="F67" i="15"/>
  <c r="F2" i="58"/>
  <c r="F132" i="15"/>
  <c r="J29" i="12"/>
  <c r="J26" i="12"/>
  <c r="I30" i="12"/>
  <c r="I10" i="9"/>
  <c r="I34" i="58" s="1"/>
  <c r="I25" i="12"/>
  <c r="I9" i="9"/>
  <c r="I33" i="59" s="1"/>
  <c r="G25" i="56"/>
  <c r="G25" i="55"/>
  <c r="G22" i="60"/>
  <c r="G25" i="54"/>
  <c r="K4" i="11"/>
  <c r="D4" i="11"/>
  <c r="G4" i="11"/>
  <c r="I4" i="11"/>
  <c r="M4" i="11"/>
  <c r="M23" i="11" s="1"/>
  <c r="B32" i="10" s="1"/>
  <c r="C32" i="10" s="1"/>
  <c r="F107" i="59"/>
  <c r="D107" i="59" s="1"/>
  <c r="L107" i="59" s="1"/>
  <c r="J6" i="58"/>
  <c r="J6" i="59"/>
  <c r="I7" i="15"/>
  <c r="G7" i="15" s="1"/>
  <c r="G14" i="46"/>
  <c r="G21" i="46" s="1"/>
  <c r="I102" i="58"/>
  <c r="H102" i="58" s="1"/>
  <c r="I102" i="59"/>
  <c r="H102" i="59" s="1"/>
  <c r="J15" i="9"/>
  <c r="J102" i="58" s="1"/>
  <c r="AB9" i="34"/>
  <c r="C29" i="70" s="1"/>
  <c r="AB6" i="34"/>
  <c r="C26" i="70" s="1"/>
  <c r="AB20" i="34"/>
  <c r="C40" i="70" s="1"/>
  <c r="AB17" i="34"/>
  <c r="C37" i="70" s="1"/>
  <c r="AB14" i="34"/>
  <c r="C34" i="70" s="1"/>
  <c r="AB13" i="34"/>
  <c r="C33" i="70" s="1"/>
  <c r="AB12" i="34"/>
  <c r="C32" i="70" s="1"/>
  <c r="AB11" i="34"/>
  <c r="C31" i="70" s="1"/>
  <c r="L195" i="15"/>
  <c r="L106" i="15"/>
  <c r="L192" i="15"/>
  <c r="D66" i="59"/>
  <c r="D131" i="58"/>
  <c r="D2" i="59"/>
  <c r="D132" i="15"/>
  <c r="D66" i="58"/>
  <c r="D67" i="15"/>
  <c r="J105" i="58"/>
  <c r="H105" i="58" s="1"/>
  <c r="L105" i="58" s="1"/>
  <c r="J105" i="59"/>
  <c r="H105" i="59" s="1"/>
  <c r="L105" i="59" s="1"/>
  <c r="Z10" i="28"/>
  <c r="T10" i="28"/>
  <c r="AB10" i="28"/>
  <c r="L10" i="28"/>
  <c r="X10" i="28"/>
  <c r="H10" i="28"/>
  <c r="P10" i="28"/>
  <c r="J9" i="34"/>
  <c r="AD9" i="34" s="1"/>
  <c r="AC9" i="34" s="1"/>
  <c r="H19" i="25"/>
  <c r="N19" i="25"/>
  <c r="E8" i="28"/>
  <c r="AA8" i="28"/>
  <c r="W8" i="28"/>
  <c r="S8" i="28"/>
  <c r="O8" i="28"/>
  <c r="K8" i="28"/>
  <c r="F8" i="28"/>
  <c r="AD8" i="28"/>
  <c r="Z8" i="28"/>
  <c r="V8" i="28"/>
  <c r="R8" i="28"/>
  <c r="N8" i="28"/>
  <c r="J8" i="28"/>
  <c r="AB8" i="28"/>
  <c r="T8" i="28"/>
  <c r="P8" i="28"/>
  <c r="L8" i="28"/>
  <c r="AC8" i="28"/>
  <c r="Y8" i="28"/>
  <c r="U8" i="28"/>
  <c r="Q8" i="28"/>
  <c r="M8" i="28"/>
  <c r="I8" i="28"/>
  <c r="X8" i="28"/>
  <c r="H8" i="28"/>
  <c r="J7" i="34"/>
  <c r="L7" i="34" s="1"/>
  <c r="AC7" i="28"/>
  <c r="Y7" i="28"/>
  <c r="U7" i="28"/>
  <c r="Q7" i="28"/>
  <c r="M7" i="28"/>
  <c r="I7" i="28"/>
  <c r="AB7" i="28"/>
  <c r="X7" i="28"/>
  <c r="P7" i="28"/>
  <c r="L7" i="28"/>
  <c r="H7" i="28"/>
  <c r="AA7" i="28"/>
  <c r="W7" i="28"/>
  <c r="S7" i="28"/>
  <c r="O7" i="28"/>
  <c r="K7" i="28"/>
  <c r="AD7" i="28"/>
  <c r="Z7" i="28"/>
  <c r="V7" i="28"/>
  <c r="R7" i="28"/>
  <c r="N7" i="28"/>
  <c r="J7" i="28"/>
  <c r="T7" i="28"/>
  <c r="L14" i="25"/>
  <c r="M14" i="25" s="1"/>
  <c r="M15" i="25"/>
  <c r="Q6" i="28"/>
  <c r="AB6" i="28"/>
  <c r="X6" i="28"/>
  <c r="T6" i="28"/>
  <c r="P6" i="28"/>
  <c r="L6" i="28"/>
  <c r="H6" i="28"/>
  <c r="AA6" i="28"/>
  <c r="W6" i="28"/>
  <c r="S6" i="28"/>
  <c r="O6" i="28"/>
  <c r="K6" i="28"/>
  <c r="AD6" i="28"/>
  <c r="Z6" i="28"/>
  <c r="V6" i="28"/>
  <c r="R6" i="28"/>
  <c r="N6" i="28"/>
  <c r="J6" i="28"/>
  <c r="AC6" i="28"/>
  <c r="Y6" i="28"/>
  <c r="U6" i="28"/>
  <c r="M6" i="28"/>
  <c r="I6" i="28"/>
  <c r="M13" i="25"/>
  <c r="H13" i="25"/>
  <c r="N13" i="25"/>
  <c r="L12" i="25"/>
  <c r="O12" i="25" s="1"/>
  <c r="J5" i="34"/>
  <c r="AD5" i="34" s="1"/>
  <c r="AC5" i="34" s="1"/>
  <c r="J21" i="34"/>
  <c r="AD21" i="34" s="1"/>
  <c r="AC21" i="34" s="1"/>
  <c r="H22" i="28"/>
  <c r="L22" i="28"/>
  <c r="P22" i="28"/>
  <c r="T22" i="28"/>
  <c r="X22" i="28"/>
  <c r="AB22" i="28"/>
  <c r="I22" i="28"/>
  <c r="M22" i="28"/>
  <c r="Q22" i="28"/>
  <c r="U22" i="28"/>
  <c r="Y22" i="28"/>
  <c r="AC22" i="28"/>
  <c r="M9" i="25"/>
  <c r="J3" i="34"/>
  <c r="L3" i="34" s="1"/>
  <c r="E21" i="28"/>
  <c r="AA21" i="28"/>
  <c r="W21" i="28"/>
  <c r="S21" i="28"/>
  <c r="O21" i="28"/>
  <c r="K21" i="28"/>
  <c r="AD21" i="28"/>
  <c r="Z21" i="28"/>
  <c r="V21" i="28"/>
  <c r="R21" i="28"/>
  <c r="N21" i="28"/>
  <c r="J21" i="28"/>
  <c r="AC21" i="28"/>
  <c r="Y21" i="28"/>
  <c r="U21" i="28"/>
  <c r="Q21" i="28"/>
  <c r="M21" i="28"/>
  <c r="I21" i="28"/>
  <c r="AB21" i="28"/>
  <c r="X21" i="28"/>
  <c r="T21" i="28"/>
  <c r="P21" i="28"/>
  <c r="L21" i="28"/>
  <c r="H21" i="28"/>
  <c r="J19" i="34"/>
  <c r="AD19" i="34" s="1"/>
  <c r="AC19" i="34" s="1"/>
  <c r="I20" i="28"/>
  <c r="M20" i="28"/>
  <c r="Q20" i="28"/>
  <c r="U20" i="28"/>
  <c r="Y20" i="28"/>
  <c r="AC20" i="28"/>
  <c r="J20" i="28"/>
  <c r="N20" i="28"/>
  <c r="R20" i="28"/>
  <c r="V20" i="28"/>
  <c r="Z20" i="28"/>
  <c r="AD20" i="28"/>
  <c r="H19" i="28"/>
  <c r="L19" i="28"/>
  <c r="P19" i="28"/>
  <c r="T19" i="28"/>
  <c r="X19" i="28"/>
  <c r="AB19" i="28"/>
  <c r="J19" i="28"/>
  <c r="N19" i="28"/>
  <c r="R19" i="28"/>
  <c r="V19" i="28"/>
  <c r="Z19" i="28"/>
  <c r="AD19" i="28"/>
  <c r="F19" i="28"/>
  <c r="X18" i="28"/>
  <c r="J17" i="34"/>
  <c r="AD17" i="34" s="1"/>
  <c r="AC17" i="34" s="1"/>
  <c r="H18" i="28"/>
  <c r="L18" i="28"/>
  <c r="P18" i="28"/>
  <c r="T18" i="28"/>
  <c r="AB18" i="28"/>
  <c r="I18" i="28"/>
  <c r="M18" i="28"/>
  <c r="Q18" i="28"/>
  <c r="U18" i="28"/>
  <c r="Y18" i="28"/>
  <c r="AC18" i="28"/>
  <c r="J18" i="28"/>
  <c r="N18" i="28"/>
  <c r="R18" i="28"/>
  <c r="V18" i="28"/>
  <c r="Z18" i="28"/>
  <c r="AD18" i="28"/>
  <c r="E18" i="28"/>
  <c r="AC17" i="28"/>
  <c r="Y17" i="28"/>
  <c r="U17" i="28"/>
  <c r="Q17" i="28"/>
  <c r="M17" i="28"/>
  <c r="I17" i="28"/>
  <c r="AA17" i="28"/>
  <c r="W17" i="28"/>
  <c r="O17" i="28"/>
  <c r="K17" i="28"/>
  <c r="Z17" i="28"/>
  <c r="N17" i="28"/>
  <c r="AB17" i="28"/>
  <c r="X17" i="28"/>
  <c r="T17" i="28"/>
  <c r="P17" i="28"/>
  <c r="L17" i="28"/>
  <c r="H17" i="28"/>
  <c r="S17" i="28"/>
  <c r="AD17" i="28"/>
  <c r="V17" i="28"/>
  <c r="R17" i="28"/>
  <c r="J17" i="28"/>
  <c r="H35" i="25"/>
  <c r="N35" i="25"/>
  <c r="J15" i="34"/>
  <c r="AD15" i="34" s="1"/>
  <c r="AC15" i="34" s="1"/>
  <c r="H29" i="25"/>
  <c r="N29" i="25"/>
  <c r="L28" i="25"/>
  <c r="M28" i="25" s="1"/>
  <c r="J13" i="34"/>
  <c r="L13" i="34" s="1"/>
  <c r="M27" i="25"/>
  <c r="H27" i="25"/>
  <c r="H25" i="25"/>
  <c r="N25" i="25"/>
  <c r="L24" i="25"/>
  <c r="J11" i="34"/>
  <c r="L11" i="34" s="1"/>
  <c r="H3" i="28"/>
  <c r="M3" i="28"/>
  <c r="Q3" i="28"/>
  <c r="U3" i="28"/>
  <c r="Y3" i="28"/>
  <c r="AC3" i="28"/>
  <c r="I3" i="28"/>
  <c r="N3" i="28"/>
  <c r="R3" i="28"/>
  <c r="V3" i="28"/>
  <c r="Z3" i="28"/>
  <c r="AD3" i="28"/>
  <c r="K3" i="28"/>
  <c r="O3" i="28"/>
  <c r="S3" i="28"/>
  <c r="W3" i="28"/>
  <c r="B6" i="28"/>
  <c r="B19" i="28"/>
  <c r="B18" i="28"/>
  <c r="B15" i="28"/>
  <c r="B13" i="28"/>
  <c r="M44" i="25"/>
  <c r="O38" i="25"/>
  <c r="S23" i="34"/>
  <c r="B11" i="28"/>
  <c r="B10" i="28"/>
  <c r="B9" i="28"/>
  <c r="AB8" i="34"/>
  <c r="C28" i="70" s="1"/>
  <c r="B8" i="28"/>
  <c r="B7" i="28"/>
  <c r="B22" i="28"/>
  <c r="M40" i="25"/>
  <c r="B20" i="28"/>
  <c r="AB18" i="34"/>
  <c r="C38" i="70" s="1"/>
  <c r="M36" i="25"/>
  <c r="O36" i="25"/>
  <c r="B17" i="28"/>
  <c r="B16" i="28"/>
  <c r="B14" i="28"/>
  <c r="B12" i="28"/>
  <c r="G14" i="7"/>
  <c r="E23" i="2"/>
  <c r="E96" i="58"/>
  <c r="C95" i="58"/>
  <c r="E95" i="58" s="1"/>
  <c r="G21" i="2"/>
  <c r="C94" i="58"/>
  <c r="C94" i="59"/>
  <c r="E20" i="2"/>
  <c r="G20" i="2"/>
  <c r="D44" i="15"/>
  <c r="C68" i="70" s="1"/>
  <c r="D44" i="58"/>
  <c r="D42" i="58"/>
  <c r="D42" i="15"/>
  <c r="C66" i="70" s="1"/>
  <c r="D41" i="59"/>
  <c r="G23" i="9"/>
  <c r="J11" i="11"/>
  <c r="J27" i="12"/>
  <c r="I26" i="12"/>
  <c r="I11" i="9"/>
  <c r="I35" i="58" s="1"/>
  <c r="G31" i="55"/>
  <c r="F3" i="11"/>
  <c r="F6" i="11" s="1"/>
  <c r="G31" i="56"/>
  <c r="C50" i="70"/>
  <c r="J15" i="16"/>
  <c r="E105" i="15"/>
  <c r="D104" i="59"/>
  <c r="D105" i="15"/>
  <c r="L105" i="15" s="1"/>
  <c r="E104" i="58"/>
  <c r="E104" i="59"/>
  <c r="D104" i="58"/>
  <c r="G14" i="55"/>
  <c r="G17" i="55"/>
  <c r="F107" i="58"/>
  <c r="D107" i="58" s="1"/>
  <c r="L107" i="58" s="1"/>
  <c r="H4" i="11"/>
  <c r="H23" i="11" s="1"/>
  <c r="B11" i="10" s="1"/>
  <c r="L4" i="11"/>
  <c r="F108" i="15"/>
  <c r="D108" i="15" s="1"/>
  <c r="L108" i="15" s="1"/>
  <c r="G13" i="56"/>
  <c r="G22" i="56" s="1"/>
  <c r="A13" i="56" s="1"/>
  <c r="G11" i="7"/>
  <c r="N4" i="11"/>
  <c r="J4" i="11"/>
  <c r="G33" i="46"/>
  <c r="F115" i="58" s="1"/>
  <c r="D115" i="58" s="1"/>
  <c r="L115" i="58" s="1"/>
  <c r="F132" i="58"/>
  <c r="C1" i="70"/>
  <c r="F3" i="59"/>
  <c r="F133" i="15"/>
  <c r="F68" i="15"/>
  <c r="F3" i="58"/>
  <c r="F67" i="59"/>
  <c r="J24" i="12"/>
  <c r="J22" i="12"/>
  <c r="J28" i="12"/>
  <c r="E15" i="58"/>
  <c r="G34" i="56"/>
  <c r="C21" i="6"/>
  <c r="C20" i="6"/>
  <c r="K9" i="11"/>
  <c r="G32" i="54"/>
  <c r="G32" i="55"/>
  <c r="G31" i="46"/>
  <c r="G32" i="56"/>
  <c r="J12" i="58"/>
  <c r="J11" i="58"/>
  <c r="E12" i="58"/>
  <c r="C6" i="6"/>
  <c r="F66" i="58"/>
  <c r="F131" i="58"/>
  <c r="F2" i="59"/>
  <c r="C7" i="6"/>
  <c r="J8" i="34"/>
  <c r="J6" i="34"/>
  <c r="L6" i="34" s="1"/>
  <c r="B21" i="28"/>
  <c r="J20" i="34"/>
  <c r="L20" i="34" s="1"/>
  <c r="J18" i="34"/>
  <c r="L18" i="34" s="1"/>
  <c r="J16" i="34"/>
  <c r="L16" i="34" s="1"/>
  <c r="J14" i="34"/>
  <c r="AD14" i="34" s="1"/>
  <c r="AC14" i="34" s="1"/>
  <c r="J12" i="34"/>
  <c r="L12" i="34" s="1"/>
  <c r="J2" i="34"/>
  <c r="AD2" i="34" s="1"/>
  <c r="AC2" i="34" s="1"/>
  <c r="E15" i="15"/>
  <c r="E16" i="15" s="1"/>
  <c r="C16" i="15" s="1"/>
  <c r="C9" i="6"/>
  <c r="C4" i="6"/>
  <c r="J10" i="34"/>
  <c r="J4" i="34"/>
  <c r="L4" i="34" s="1"/>
  <c r="L194" i="15"/>
  <c r="G34" i="55"/>
  <c r="F111" i="58"/>
  <c r="D111" i="58" s="1"/>
  <c r="L111" i="58" s="1"/>
  <c r="G29" i="60"/>
  <c r="F111" i="59"/>
  <c r="D111" i="59" s="1"/>
  <c r="L111" i="59" s="1"/>
  <c r="G16" i="11"/>
  <c r="G34" i="54"/>
  <c r="E11" i="58"/>
  <c r="E13" i="58"/>
  <c r="J10" i="58"/>
  <c r="C10" i="6"/>
  <c r="G8" i="7"/>
  <c r="C5" i="6"/>
  <c r="C19" i="6"/>
  <c r="C84" i="59"/>
  <c r="I9" i="2"/>
  <c r="J85" i="15" s="1"/>
  <c r="C18" i="6"/>
  <c r="E10" i="2"/>
  <c r="C85" i="59"/>
  <c r="L85" i="59" s="1"/>
  <c r="I10" i="2"/>
  <c r="J86" i="15" s="1"/>
  <c r="G10" i="2"/>
  <c r="C85" i="15"/>
  <c r="L85" i="15" s="1"/>
  <c r="C85" i="58"/>
  <c r="L85" i="58" s="1"/>
  <c r="C86" i="15"/>
  <c r="C8" i="70" s="1"/>
  <c r="F33" i="7"/>
  <c r="G16" i="7"/>
  <c r="C88" i="59"/>
  <c r="E88" i="59" s="1"/>
  <c r="C89" i="15"/>
  <c r="G89" i="15" s="1"/>
  <c r="I8" i="2"/>
  <c r="J84" i="15" s="1"/>
  <c r="F36" i="7"/>
  <c r="E8" i="2"/>
  <c r="G88" i="15"/>
  <c r="E88" i="15"/>
  <c r="C87" i="58"/>
  <c r="E87" i="58" s="1"/>
  <c r="G8" i="2"/>
  <c r="G15" i="2"/>
  <c r="I12" i="2"/>
  <c r="E12" i="2"/>
  <c r="E9" i="2"/>
  <c r="F32" i="7"/>
  <c r="I32" i="7" s="1"/>
  <c r="H12" i="2"/>
  <c r="C83" i="58"/>
  <c r="C88" i="58"/>
  <c r="E88" i="58" s="1"/>
  <c r="C84" i="15"/>
  <c r="I13" i="2"/>
  <c r="E13" i="2"/>
  <c r="G12" i="2"/>
  <c r="F31" i="7"/>
  <c r="I31" i="7" s="1"/>
  <c r="C84" i="58"/>
  <c r="C90" i="58"/>
  <c r="G90" i="58" s="1"/>
  <c r="C83" i="59"/>
  <c r="C87" i="59"/>
  <c r="G87" i="59" s="1"/>
  <c r="G13" i="2"/>
  <c r="G9" i="2"/>
  <c r="C93" i="15"/>
  <c r="G93" i="15" s="1"/>
  <c r="L46" i="7"/>
  <c r="B12" i="10" s="1"/>
  <c r="C10" i="70"/>
  <c r="G13" i="7"/>
  <c r="C86" i="59"/>
  <c r="C87" i="15"/>
  <c r="C9" i="70" s="1"/>
  <c r="F34" i="7"/>
  <c r="G16" i="2"/>
  <c r="I11" i="2"/>
  <c r="J86" i="58" s="1"/>
  <c r="E11" i="2"/>
  <c r="H10" i="2"/>
  <c r="C12" i="6"/>
  <c r="C86" i="58"/>
  <c r="E86" i="58" s="1"/>
  <c r="L88" i="15"/>
  <c r="G11" i="2"/>
  <c r="H11" i="2"/>
  <c r="J90" i="15"/>
  <c r="J89" i="59"/>
  <c r="J89" i="58"/>
  <c r="G90" i="59"/>
  <c r="E90" i="59"/>
  <c r="L90" i="59"/>
  <c r="C92" i="58"/>
  <c r="C91" i="58"/>
  <c r="C89" i="59"/>
  <c r="G17" i="2"/>
  <c r="E16" i="2"/>
  <c r="I15" i="2"/>
  <c r="J90" i="59" s="1"/>
  <c r="E15" i="2"/>
  <c r="G14" i="2"/>
  <c r="F39" i="7"/>
  <c r="H17" i="2"/>
  <c r="AA15" i="2"/>
  <c r="C89" i="58"/>
  <c r="C92" i="59"/>
  <c r="C91" i="59"/>
  <c r="C92" i="15"/>
  <c r="C91" i="15"/>
  <c r="F38" i="7"/>
  <c r="H15" i="2"/>
  <c r="H14" i="2"/>
  <c r="H13" i="2"/>
  <c r="I17" i="2"/>
  <c r="E17" i="2"/>
  <c r="I16" i="2"/>
  <c r="F40" i="7"/>
  <c r="AA16" i="2"/>
  <c r="D3" i="58"/>
  <c r="H4" i="2"/>
  <c r="G4" i="9"/>
  <c r="J4" i="25"/>
  <c r="N2" i="68"/>
  <c r="D67" i="59"/>
  <c r="K2" i="25"/>
  <c r="F4" i="16"/>
  <c r="D2" i="2"/>
  <c r="C2" i="16"/>
  <c r="D68" i="15"/>
  <c r="D2" i="9"/>
  <c r="D133" i="15"/>
  <c r="D132" i="59"/>
  <c r="A18" i="31"/>
  <c r="E31" i="9" s="1"/>
  <c r="E25" i="2" s="1"/>
  <c r="H2" i="9"/>
  <c r="D132" i="58"/>
  <c r="D5" i="32"/>
  <c r="I2" i="2"/>
  <c r="E2" i="25"/>
  <c r="G2" i="16"/>
  <c r="C13" i="64"/>
  <c r="D67" i="58"/>
  <c r="D3" i="59"/>
  <c r="D3" i="15"/>
  <c r="J96" i="15"/>
  <c r="J95" i="59"/>
  <c r="J95" i="58"/>
  <c r="Q23" i="34"/>
  <c r="B20" i="10" s="1"/>
  <c r="C20" i="10" s="1"/>
  <c r="F41" i="7"/>
  <c r="I19" i="2" s="1"/>
  <c r="C94" i="15"/>
  <c r="E19" i="2"/>
  <c r="L10" i="25"/>
  <c r="D5" i="28"/>
  <c r="K11" i="25"/>
  <c r="N11" i="25"/>
  <c r="H11" i="25"/>
  <c r="D11" i="28"/>
  <c r="L22" i="25"/>
  <c r="M23" i="25"/>
  <c r="G14" i="54"/>
  <c r="G22" i="54" s="1"/>
  <c r="J10" i="28"/>
  <c r="R10" i="28"/>
  <c r="M11" i="25"/>
  <c r="K23" i="25"/>
  <c r="M46" i="7"/>
  <c r="B16" i="10" s="1"/>
  <c r="D16" i="10" s="1"/>
  <c r="E93" i="58"/>
  <c r="C93" i="59"/>
  <c r="E8" i="15"/>
  <c r="C8" i="15" s="1"/>
  <c r="E8" i="59"/>
  <c r="G21" i="28"/>
  <c r="O42" i="25"/>
  <c r="M42" i="25"/>
  <c r="D40" i="15"/>
  <c r="C64" i="70" s="1"/>
  <c r="D40" i="59"/>
  <c r="D40" i="58"/>
  <c r="D41" i="15"/>
  <c r="C65" i="70" s="1"/>
  <c r="D41" i="58"/>
  <c r="F45" i="7"/>
  <c r="I23" i="2" s="1"/>
  <c r="C98" i="15"/>
  <c r="D15" i="28"/>
  <c r="L30" i="25"/>
  <c r="M31" i="25"/>
  <c r="M6" i="25"/>
  <c r="O6" i="25"/>
  <c r="J94" i="59"/>
  <c r="J94" i="58"/>
  <c r="J95" i="15"/>
  <c r="G46" i="7"/>
  <c r="F13" i="11"/>
  <c r="F119" i="59"/>
  <c r="F119" i="58"/>
  <c r="E10" i="28"/>
  <c r="F10" i="28"/>
  <c r="AC10" i="28"/>
  <c r="Y10" i="28"/>
  <c r="U10" i="28"/>
  <c r="Q10" i="28"/>
  <c r="M10" i="28"/>
  <c r="I10" i="28"/>
  <c r="AA10" i="28"/>
  <c r="W10" i="28"/>
  <c r="S10" i="28"/>
  <c r="O10" i="28"/>
  <c r="K10" i="28"/>
  <c r="Y2" i="34"/>
  <c r="Z2" i="34" s="1"/>
  <c r="O23" i="34"/>
  <c r="F21" i="11"/>
  <c r="J21" i="11" s="1"/>
  <c r="N10" i="28"/>
  <c r="V10" i="28"/>
  <c r="AD10" i="28"/>
  <c r="O44" i="25"/>
  <c r="H23" i="25"/>
  <c r="E97" i="59"/>
  <c r="F120" i="15"/>
  <c r="G15" i="7"/>
  <c r="C15" i="6"/>
  <c r="G19" i="2"/>
  <c r="D43" i="15"/>
  <c r="C67" i="70" s="1"/>
  <c r="D43" i="58"/>
  <c r="D43" i="59"/>
  <c r="D131" i="59"/>
  <c r="J8" i="59"/>
  <c r="F22" i="28"/>
  <c r="F21" i="28"/>
  <c r="F17" i="11"/>
  <c r="G17" i="11" s="1"/>
  <c r="N17" i="11" s="1"/>
  <c r="I11" i="11"/>
  <c r="H23" i="9"/>
  <c r="E117" i="58" s="1"/>
  <c r="D117" i="58" s="1"/>
  <c r="L117" i="58" s="1"/>
  <c r="D8" i="9"/>
  <c r="G26" i="12"/>
  <c r="C8" i="9"/>
  <c r="G27" i="12"/>
  <c r="G31" i="12"/>
  <c r="G28" i="12"/>
  <c r="G22" i="12"/>
  <c r="L32" i="25"/>
  <c r="D16" i="28"/>
  <c r="L26" i="25"/>
  <c r="D13" i="28"/>
  <c r="AA14" i="2"/>
  <c r="F37" i="7"/>
  <c r="C90" i="15"/>
  <c r="E14" i="2"/>
  <c r="D44" i="59"/>
  <c r="D42" i="59"/>
  <c r="F44" i="7"/>
  <c r="I22" i="2" s="1"/>
  <c r="C97" i="15"/>
  <c r="H46" i="7"/>
  <c r="I15" i="16"/>
  <c r="B19" i="10" s="1"/>
  <c r="C19" i="10" s="1"/>
  <c r="E17" i="28"/>
  <c r="F17" i="28"/>
  <c r="D4" i="28"/>
  <c r="L8" i="25"/>
  <c r="E6" i="28"/>
  <c r="F6" i="28"/>
  <c r="AB11" i="2"/>
  <c r="AC11" i="2" s="1"/>
  <c r="AC10" i="2"/>
  <c r="F103" i="58"/>
  <c r="D103" i="58" s="1"/>
  <c r="F104" i="15"/>
  <c r="D104" i="15" s="1"/>
  <c r="F103" i="59"/>
  <c r="D103" i="59" s="1"/>
  <c r="I27" i="12"/>
  <c r="I31" i="12"/>
  <c r="I22" i="12"/>
  <c r="E7" i="28"/>
  <c r="F7" i="28"/>
  <c r="L18" i="25"/>
  <c r="D9" i="28"/>
  <c r="AA12" i="2"/>
  <c r="F35" i="7"/>
  <c r="F3" i="28"/>
  <c r="E3" i="28"/>
  <c r="AB21" i="34"/>
  <c r="C41" i="70" s="1"/>
  <c r="AC13" i="2"/>
  <c r="AC17" i="2"/>
  <c r="F20" i="11"/>
  <c r="I20" i="11" s="1"/>
  <c r="W2" i="34" l="1"/>
  <c r="G3" i="28"/>
  <c r="L95" i="59"/>
  <c r="G97" i="59"/>
  <c r="G97" i="58"/>
  <c r="O14" i="28"/>
  <c r="I14" i="28"/>
  <c r="L14" i="28"/>
  <c r="U14" i="28"/>
  <c r="H14" i="28"/>
  <c r="K14" i="28"/>
  <c r="Y14" i="28"/>
  <c r="AA14" i="28"/>
  <c r="E14" i="28"/>
  <c r="M14" i="28"/>
  <c r="AB14" i="28"/>
  <c r="X14" i="28"/>
  <c r="S14" i="28"/>
  <c r="AC14" i="28"/>
  <c r="T14" i="28"/>
  <c r="P14" i="28"/>
  <c r="W14" i="28"/>
  <c r="Q14" i="28"/>
  <c r="F14" i="28"/>
  <c r="E96" i="15"/>
  <c r="L95" i="15"/>
  <c r="L95" i="58"/>
  <c r="L96" i="15"/>
  <c r="Z14" i="28"/>
  <c r="Q12" i="28"/>
  <c r="AB2" i="34"/>
  <c r="C22" i="70" s="1"/>
  <c r="E95" i="15"/>
  <c r="J14" i="28"/>
  <c r="D9" i="32"/>
  <c r="O12" i="28"/>
  <c r="E3" i="32"/>
  <c r="D39" i="32"/>
  <c r="E23" i="32"/>
  <c r="D23" i="32"/>
  <c r="D7" i="32"/>
  <c r="D38" i="32"/>
  <c r="I12" i="28"/>
  <c r="H12" i="28"/>
  <c r="E12" i="28"/>
  <c r="Y12" i="28"/>
  <c r="AA12" i="28"/>
  <c r="F12" i="28"/>
  <c r="U12" i="28"/>
  <c r="W12" i="28"/>
  <c r="K29" i="12"/>
  <c r="B28" i="10" s="1"/>
  <c r="C28" i="10" s="1"/>
  <c r="AD14" i="28"/>
  <c r="N14" i="28"/>
  <c r="M12" i="28"/>
  <c r="S12" i="28"/>
  <c r="K12" i="28"/>
  <c r="R12" i="28"/>
  <c r="X12" i="28"/>
  <c r="O16" i="25"/>
  <c r="G8" i="28"/>
  <c r="E97" i="58"/>
  <c r="G96" i="58"/>
  <c r="AC9" i="2"/>
  <c r="H9" i="2" s="1"/>
  <c r="G84" i="59" s="1"/>
  <c r="J46" i="7"/>
  <c r="B21" i="10" s="1"/>
  <c r="C21" i="10" s="1"/>
  <c r="E83" i="59"/>
  <c r="E84" i="58"/>
  <c r="L104" i="59"/>
  <c r="G34" i="46"/>
  <c r="G35" i="46"/>
  <c r="G36" i="54"/>
  <c r="J11" i="25"/>
  <c r="C5" i="28"/>
  <c r="B5" i="28" s="1"/>
  <c r="C4" i="28"/>
  <c r="B4" i="28" s="1"/>
  <c r="J9" i="25"/>
  <c r="Z12" i="28"/>
  <c r="J12" i="28"/>
  <c r="P12" i="28"/>
  <c r="AA8" i="2"/>
  <c r="AB8" i="2" s="1"/>
  <c r="AC8" i="2" s="1"/>
  <c r="H8" i="2" s="1"/>
  <c r="E84" i="59"/>
  <c r="T12" i="28"/>
  <c r="E83" i="58"/>
  <c r="V14" i="28"/>
  <c r="K23" i="11"/>
  <c r="B29" i="10" s="1"/>
  <c r="C29" i="10" s="1"/>
  <c r="M34" i="25"/>
  <c r="AC12" i="28"/>
  <c r="AB12" i="28"/>
  <c r="N12" i="28"/>
  <c r="AD12" i="28"/>
  <c r="L12" i="28"/>
  <c r="F114" i="59"/>
  <c r="D114" i="59" s="1"/>
  <c r="L114" i="59" s="1"/>
  <c r="L104" i="58"/>
  <c r="F107" i="15"/>
  <c r="D107" i="15" s="1"/>
  <c r="L107" i="15" s="1"/>
  <c r="O34" i="25"/>
  <c r="G6" i="28"/>
  <c r="M12" i="25"/>
  <c r="M20" i="25"/>
  <c r="G96" i="59"/>
  <c r="E96" i="59"/>
  <c r="L96" i="59"/>
  <c r="AD7" i="34"/>
  <c r="AC7" i="34" s="1"/>
  <c r="L21" i="34"/>
  <c r="K30" i="12"/>
  <c r="B31" i="10" s="1"/>
  <c r="C31" i="10" s="1"/>
  <c r="C30" i="10" s="1"/>
  <c r="I35" i="9" s="1"/>
  <c r="I35" i="59"/>
  <c r="F114" i="58"/>
  <c r="D114" i="58" s="1"/>
  <c r="L114" i="58" s="1"/>
  <c r="AD4" i="34"/>
  <c r="AC4" i="34" s="1"/>
  <c r="AB4" i="34" s="1"/>
  <c r="C24" i="70" s="1"/>
  <c r="K24" i="12"/>
  <c r="B10" i="10" s="1"/>
  <c r="B9" i="10" s="1"/>
  <c r="C9" i="10" s="1"/>
  <c r="I31" i="9" s="1"/>
  <c r="H25" i="2" s="1"/>
  <c r="F114" i="15"/>
  <c r="D114" i="15" s="1"/>
  <c r="L114" i="15" s="1"/>
  <c r="F113" i="58"/>
  <c r="D113" i="58" s="1"/>
  <c r="L113" i="58" s="1"/>
  <c r="L23" i="11"/>
  <c r="B35" i="10" s="1"/>
  <c r="C35" i="10" s="1"/>
  <c r="O20" i="25"/>
  <c r="G7" i="28"/>
  <c r="O14" i="25"/>
  <c r="AD12" i="34"/>
  <c r="AC12" i="34" s="1"/>
  <c r="AD11" i="34"/>
  <c r="AC11" i="34" s="1"/>
  <c r="L5" i="34"/>
  <c r="AD3" i="34"/>
  <c r="AC3" i="34" s="1"/>
  <c r="AB3" i="34" s="1"/>
  <c r="C23" i="70" s="1"/>
  <c r="L19" i="34"/>
  <c r="L17" i="34"/>
  <c r="L15" i="34"/>
  <c r="K25" i="12"/>
  <c r="B6" i="10" s="1"/>
  <c r="I33" i="58"/>
  <c r="I33" i="15"/>
  <c r="F115" i="15"/>
  <c r="D115" i="15" s="1"/>
  <c r="L115" i="15" s="1"/>
  <c r="I35" i="15"/>
  <c r="K26" i="12"/>
  <c r="B14" i="10" s="1"/>
  <c r="C14" i="10" s="1"/>
  <c r="I34" i="15"/>
  <c r="C15" i="15"/>
  <c r="K28" i="12"/>
  <c r="B24" i="10" s="1"/>
  <c r="C24" i="10" s="1"/>
  <c r="I34" i="59"/>
  <c r="AD13" i="34"/>
  <c r="AC13" i="34" s="1"/>
  <c r="F106" i="58"/>
  <c r="D106" i="58" s="1"/>
  <c r="L106" i="58" s="1"/>
  <c r="F106" i="59"/>
  <c r="D106" i="59" s="1"/>
  <c r="L106" i="59" s="1"/>
  <c r="J103" i="15"/>
  <c r="J102" i="59"/>
  <c r="G22" i="55"/>
  <c r="F110" i="58"/>
  <c r="D110" i="58" s="1"/>
  <c r="L110" i="58" s="1"/>
  <c r="G6" i="11"/>
  <c r="N6" i="11" s="1"/>
  <c r="F116" i="15"/>
  <c r="D116" i="15" s="1"/>
  <c r="L116" i="15" s="1"/>
  <c r="L9" i="34"/>
  <c r="AD20" i="34"/>
  <c r="AC20" i="34" s="1"/>
  <c r="G14" i="28"/>
  <c r="O28" i="25"/>
  <c r="G12" i="28"/>
  <c r="M24" i="25"/>
  <c r="O24" i="25"/>
  <c r="G96" i="15"/>
  <c r="G95" i="59"/>
  <c r="G95" i="58"/>
  <c r="G95" i="15"/>
  <c r="G94" i="59"/>
  <c r="G94" i="58"/>
  <c r="E94" i="59"/>
  <c r="L94" i="59"/>
  <c r="E94" i="58"/>
  <c r="L94" i="58"/>
  <c r="G35" i="56"/>
  <c r="G38" i="56" s="1"/>
  <c r="A30" i="56" s="1"/>
  <c r="G35" i="55"/>
  <c r="G38" i="55" s="1"/>
  <c r="A30" i="55" s="1"/>
  <c r="D15" i="9"/>
  <c r="E15" i="9" s="1"/>
  <c r="G35" i="54"/>
  <c r="F111" i="15"/>
  <c r="D111" i="15" s="1"/>
  <c r="L111" i="15" s="1"/>
  <c r="E17" i="9"/>
  <c r="I6" i="11"/>
  <c r="G32" i="60"/>
  <c r="G35" i="60" s="1"/>
  <c r="F110" i="59"/>
  <c r="D110" i="59" s="1"/>
  <c r="L110" i="59" s="1"/>
  <c r="J6" i="11"/>
  <c r="F19" i="11"/>
  <c r="J19" i="11" s="1"/>
  <c r="F115" i="59"/>
  <c r="D115" i="59" s="1"/>
  <c r="L115" i="59" s="1"/>
  <c r="K27" i="12"/>
  <c r="B18" i="10" s="1"/>
  <c r="C18" i="10" s="1"/>
  <c r="L2" i="34"/>
  <c r="AD6" i="34"/>
  <c r="AC6" i="34" s="1"/>
  <c r="AD18" i="34"/>
  <c r="AC18" i="34" s="1"/>
  <c r="AD16" i="34"/>
  <c r="AC16" i="34" s="1"/>
  <c r="L14" i="34"/>
  <c r="I16" i="15"/>
  <c r="I15" i="15"/>
  <c r="G15" i="15" s="1"/>
  <c r="G16" i="15"/>
  <c r="L8" i="34"/>
  <c r="AD8" i="34"/>
  <c r="AC8" i="34" s="1"/>
  <c r="L10" i="34"/>
  <c r="AD10" i="34"/>
  <c r="AC10" i="34" s="1"/>
  <c r="L84" i="58"/>
  <c r="J85" i="59"/>
  <c r="J84" i="59"/>
  <c r="J84" i="58"/>
  <c r="L86" i="15"/>
  <c r="J85" i="58"/>
  <c r="E86" i="15"/>
  <c r="L84" i="59"/>
  <c r="G86" i="15"/>
  <c r="L88" i="59"/>
  <c r="E85" i="58"/>
  <c r="G85" i="59"/>
  <c r="G88" i="59"/>
  <c r="G85" i="58"/>
  <c r="J83" i="58"/>
  <c r="G87" i="58"/>
  <c r="L87" i="58"/>
  <c r="L83" i="58"/>
  <c r="E85" i="59"/>
  <c r="E85" i="15"/>
  <c r="E90" i="58"/>
  <c r="E89" i="15"/>
  <c r="L89" i="15"/>
  <c r="C11" i="70"/>
  <c r="L90" i="58"/>
  <c r="L86" i="58"/>
  <c r="J86" i="59"/>
  <c r="G86" i="58"/>
  <c r="J83" i="59"/>
  <c r="L88" i="58"/>
  <c r="G88" i="58"/>
  <c r="J87" i="15"/>
  <c r="J91" i="15"/>
  <c r="E87" i="59"/>
  <c r="L87" i="59"/>
  <c r="E84" i="15"/>
  <c r="L84" i="15"/>
  <c r="C15" i="70"/>
  <c r="J88" i="15"/>
  <c r="J87" i="59"/>
  <c r="J87" i="58"/>
  <c r="J90" i="58"/>
  <c r="L83" i="59"/>
  <c r="J89" i="15"/>
  <c r="J88" i="58"/>
  <c r="J88" i="59"/>
  <c r="L93" i="15"/>
  <c r="E93" i="15"/>
  <c r="G87" i="15"/>
  <c r="L87" i="15"/>
  <c r="E87" i="15"/>
  <c r="E86" i="59"/>
  <c r="L86" i="59"/>
  <c r="G86" i="59"/>
  <c r="J93" i="15"/>
  <c r="J92" i="59"/>
  <c r="J92" i="58"/>
  <c r="G91" i="15"/>
  <c r="C13" i="70"/>
  <c r="E91" i="15"/>
  <c r="L91" i="15"/>
  <c r="G92" i="59"/>
  <c r="E92" i="59"/>
  <c r="L92" i="59"/>
  <c r="AB16" i="2"/>
  <c r="AC16" i="2" s="1"/>
  <c r="AB15" i="2"/>
  <c r="AC15" i="2" s="1"/>
  <c r="G92" i="58"/>
  <c r="E92" i="58"/>
  <c r="L92" i="58"/>
  <c r="B7" i="10"/>
  <c r="D7" i="10" s="1"/>
  <c r="D5" i="10" s="1"/>
  <c r="E5" i="10" s="1"/>
  <c r="L92" i="15"/>
  <c r="E92" i="15"/>
  <c r="C14" i="70"/>
  <c r="G92" i="15"/>
  <c r="E89" i="58"/>
  <c r="G89" i="58"/>
  <c r="L89" i="58"/>
  <c r="G91" i="59"/>
  <c r="E91" i="59"/>
  <c r="L91" i="59"/>
  <c r="G91" i="58"/>
  <c r="E91" i="58"/>
  <c r="L91" i="58"/>
  <c r="F46" i="7"/>
  <c r="J92" i="15"/>
  <c r="J91" i="58"/>
  <c r="J91" i="59"/>
  <c r="E89" i="59"/>
  <c r="L89" i="59"/>
  <c r="G89" i="59"/>
  <c r="C133" i="15"/>
  <c r="C68" i="15"/>
  <c r="C132" i="59"/>
  <c r="C67" i="58"/>
  <c r="C67" i="59"/>
  <c r="C132" i="58"/>
  <c r="E2" i="32"/>
  <c r="G16" i="28"/>
  <c r="M32" i="25"/>
  <c r="O32" i="25"/>
  <c r="O10" i="25"/>
  <c r="M10" i="25"/>
  <c r="G5" i="28"/>
  <c r="E33" i="59"/>
  <c r="C33" i="59" s="1"/>
  <c r="E33" i="15"/>
  <c r="C33" i="15" s="1"/>
  <c r="C56" i="70" s="1"/>
  <c r="G8" i="9"/>
  <c r="E33" i="58"/>
  <c r="C33" i="58" s="1"/>
  <c r="J98" i="15"/>
  <c r="J97" i="59"/>
  <c r="J97" i="58"/>
  <c r="L93" i="59"/>
  <c r="E93" i="59"/>
  <c r="J94" i="15"/>
  <c r="J93" i="59"/>
  <c r="J93" i="58"/>
  <c r="F9" i="28"/>
  <c r="E9" i="28"/>
  <c r="AB9" i="28"/>
  <c r="X9" i="28"/>
  <c r="T9" i="28"/>
  <c r="P9" i="28"/>
  <c r="L9" i="28"/>
  <c r="H9" i="28"/>
  <c r="AD9" i="28"/>
  <c r="Z9" i="28"/>
  <c r="V9" i="28"/>
  <c r="R9" i="28"/>
  <c r="N9" i="28"/>
  <c r="J9" i="28"/>
  <c r="AC9" i="28"/>
  <c r="U9" i="28"/>
  <c r="M9" i="28"/>
  <c r="AA9" i="28"/>
  <c r="S9" i="28"/>
  <c r="K9" i="28"/>
  <c r="Y9" i="28"/>
  <c r="Q9" i="28"/>
  <c r="I9" i="28"/>
  <c r="W9" i="28"/>
  <c r="O9" i="28"/>
  <c r="F13" i="28"/>
  <c r="E13" i="28"/>
  <c r="AB13" i="28"/>
  <c r="X13" i="28"/>
  <c r="T13" i="28"/>
  <c r="P13" i="28"/>
  <c r="L13" i="28"/>
  <c r="H13" i="28"/>
  <c r="AD13" i="28"/>
  <c r="Z13" i="28"/>
  <c r="V13" i="28"/>
  <c r="R13" i="28"/>
  <c r="N13" i="28"/>
  <c r="J13" i="28"/>
  <c r="AA13" i="28"/>
  <c r="S13" i="28"/>
  <c r="K13" i="28"/>
  <c r="Y13" i="28"/>
  <c r="Q13" i="28"/>
  <c r="I13" i="28"/>
  <c r="W13" i="28"/>
  <c r="O13" i="28"/>
  <c r="AC13" i="28"/>
  <c r="U13" i="28"/>
  <c r="M13" i="28"/>
  <c r="E25" i="9"/>
  <c r="O13" i="11"/>
  <c r="G24" i="55"/>
  <c r="G27" i="55" s="1"/>
  <c r="G24" i="54"/>
  <c r="G27" i="54" s="1"/>
  <c r="A24" i="54" s="1"/>
  <c r="G21" i="60"/>
  <c r="G24" i="60" s="1"/>
  <c r="A21" i="60" s="1"/>
  <c r="G23" i="46"/>
  <c r="G26" i="46" s="1"/>
  <c r="A23" i="46" s="1"/>
  <c r="G24" i="56"/>
  <c r="G27" i="56" s="1"/>
  <c r="A24" i="56" s="1"/>
  <c r="G15" i="28"/>
  <c r="O30" i="25"/>
  <c r="M30" i="25"/>
  <c r="G11" i="28"/>
  <c r="O22" i="25"/>
  <c r="M22" i="25"/>
  <c r="E97" i="15"/>
  <c r="C19" i="70"/>
  <c r="L97" i="15"/>
  <c r="L98" i="15"/>
  <c r="E98" i="15"/>
  <c r="C20" i="70"/>
  <c r="E117" i="59"/>
  <c r="D117" i="59" s="1"/>
  <c r="L117" i="59" s="1"/>
  <c r="E94" i="15"/>
  <c r="L94" i="15"/>
  <c r="C16" i="70"/>
  <c r="AB12" i="2"/>
  <c r="AC12" i="2" s="1"/>
  <c r="J96" i="59"/>
  <c r="J96" i="58"/>
  <c r="J97" i="15"/>
  <c r="AB14" i="2"/>
  <c r="AC14" i="2" s="1"/>
  <c r="K22" i="12"/>
  <c r="E102" i="59"/>
  <c r="D102" i="59" s="1"/>
  <c r="E102" i="58"/>
  <c r="D102" i="58" s="1"/>
  <c r="E103" i="15"/>
  <c r="F102" i="58"/>
  <c r="F103" i="15"/>
  <c r="F102" i="59"/>
  <c r="E118" i="15"/>
  <c r="O8" i="25"/>
  <c r="G4" i="28"/>
  <c r="M8" i="25"/>
  <c r="O18" i="25"/>
  <c r="M18" i="25"/>
  <c r="G9" i="28"/>
  <c r="F4" i="28"/>
  <c r="AB4" i="28"/>
  <c r="X4" i="28"/>
  <c r="T4" i="28"/>
  <c r="P4" i="28"/>
  <c r="L4" i="28"/>
  <c r="H4" i="28"/>
  <c r="AA4" i="28"/>
  <c r="W4" i="28"/>
  <c r="S4" i="28"/>
  <c r="O4" i="28"/>
  <c r="K4" i="28"/>
  <c r="E4" i="28"/>
  <c r="AD4" i="28"/>
  <c r="Z4" i="28"/>
  <c r="V4" i="28"/>
  <c r="R4" i="28"/>
  <c r="N4" i="28"/>
  <c r="J4" i="28"/>
  <c r="AC4" i="28"/>
  <c r="Y4" i="28"/>
  <c r="U4" i="28"/>
  <c r="Q4" i="28"/>
  <c r="M4" i="28"/>
  <c r="I4" i="28"/>
  <c r="E90" i="15"/>
  <c r="G90" i="15"/>
  <c r="C12" i="70"/>
  <c r="L90" i="15"/>
  <c r="O26" i="25"/>
  <c r="M26" i="25"/>
  <c r="G13" i="28"/>
  <c r="F16" i="28"/>
  <c r="E16" i="28"/>
  <c r="AA16" i="28"/>
  <c r="W16" i="28"/>
  <c r="S16" i="28"/>
  <c r="O16" i="28"/>
  <c r="K16" i="28"/>
  <c r="AC16" i="28"/>
  <c r="Y16" i="28"/>
  <c r="U16" i="28"/>
  <c r="Q16" i="28"/>
  <c r="M16" i="28"/>
  <c r="I16" i="28"/>
  <c r="AD16" i="28"/>
  <c r="V16" i="28"/>
  <c r="N16" i="28"/>
  <c r="AB16" i="28"/>
  <c r="T16" i="28"/>
  <c r="L16" i="28"/>
  <c r="Z16" i="28"/>
  <c r="R16" i="28"/>
  <c r="J16" i="28"/>
  <c r="X16" i="28"/>
  <c r="P16" i="28"/>
  <c r="H16" i="28"/>
  <c r="K31" i="12"/>
  <c r="B34" i="10" s="1"/>
  <c r="G94" i="15"/>
  <c r="G93" i="58"/>
  <c r="G93" i="59"/>
  <c r="F23" i="11"/>
  <c r="E15" i="28"/>
  <c r="AD15" i="28"/>
  <c r="Z15" i="28"/>
  <c r="V15" i="28"/>
  <c r="R15" i="28"/>
  <c r="N15" i="28"/>
  <c r="J15" i="28"/>
  <c r="F15" i="28"/>
  <c r="AB15" i="28"/>
  <c r="X15" i="28"/>
  <c r="T15" i="28"/>
  <c r="P15" i="28"/>
  <c r="L15" i="28"/>
  <c r="H15" i="28"/>
  <c r="AC15" i="28"/>
  <c r="U15" i="28"/>
  <c r="M15" i="28"/>
  <c r="AA15" i="28"/>
  <c r="S15" i="28"/>
  <c r="K15" i="28"/>
  <c r="Y15" i="28"/>
  <c r="Q15" i="28"/>
  <c r="I15" i="28"/>
  <c r="W15" i="28"/>
  <c r="O15" i="28"/>
  <c r="F11" i="28"/>
  <c r="E11" i="28"/>
  <c r="AD11" i="28"/>
  <c r="Z11" i="28"/>
  <c r="V11" i="28"/>
  <c r="R11" i="28"/>
  <c r="N11" i="28"/>
  <c r="J11" i="28"/>
  <c r="AB11" i="28"/>
  <c r="X11" i="28"/>
  <c r="T11" i="28"/>
  <c r="P11" i="28"/>
  <c r="L11" i="28"/>
  <c r="H11" i="28"/>
  <c r="W11" i="28"/>
  <c r="O11" i="28"/>
  <c r="AC11" i="28"/>
  <c r="U11" i="28"/>
  <c r="M11" i="28"/>
  <c r="AA11" i="28"/>
  <c r="S11" i="28"/>
  <c r="K11" i="28"/>
  <c r="Y11" i="28"/>
  <c r="Q11" i="28"/>
  <c r="I11" i="28"/>
  <c r="F5" i="28"/>
  <c r="E5" i="28"/>
  <c r="AD5" i="28"/>
  <c r="Z5" i="28"/>
  <c r="V5" i="28"/>
  <c r="R5" i="28"/>
  <c r="N5" i="28"/>
  <c r="AC5" i="28"/>
  <c r="X5" i="28"/>
  <c r="S5" i="28"/>
  <c r="M5" i="28"/>
  <c r="I5" i="28"/>
  <c r="AB5" i="28"/>
  <c r="W5" i="28"/>
  <c r="Q5" i="28"/>
  <c r="L5" i="28"/>
  <c r="H5" i="28"/>
  <c r="AA5" i="28"/>
  <c r="U5" i="28"/>
  <c r="P5" i="28"/>
  <c r="K5" i="28"/>
  <c r="Y5" i="28"/>
  <c r="T5" i="28"/>
  <c r="O5" i="28"/>
  <c r="J5" i="28"/>
  <c r="C27" i="10" l="1"/>
  <c r="I33" i="9" s="1"/>
  <c r="H27" i="2" s="1"/>
  <c r="G84" i="58"/>
  <c r="G85" i="15"/>
  <c r="C7" i="70" s="1"/>
  <c r="G36" i="46"/>
  <c r="A29" i="46" s="1"/>
  <c r="B27" i="10"/>
  <c r="G39" i="54"/>
  <c r="C3" i="28"/>
  <c r="B3" i="28" s="1"/>
  <c r="J7" i="25"/>
  <c r="G84" i="15"/>
  <c r="C6" i="70" s="1"/>
  <c r="G83" i="59"/>
  <c r="G83" i="58"/>
  <c r="B30" i="10"/>
  <c r="I19" i="11"/>
  <c r="I23" i="11" s="1"/>
  <c r="B22" i="10" s="1"/>
  <c r="C22" i="10" s="1"/>
  <c r="C17" i="10" s="1"/>
  <c r="D34" i="9" s="1"/>
  <c r="D129" i="59"/>
  <c r="D129" i="58"/>
  <c r="D130" i="15"/>
  <c r="C71" i="70" s="1"/>
  <c r="J23" i="11"/>
  <c r="B25" i="10" s="1"/>
  <c r="C25" i="10" s="1"/>
  <c r="C23" i="10" s="1"/>
  <c r="D35" i="9" s="1"/>
  <c r="H129" i="15" s="1"/>
  <c r="C75" i="70" s="1"/>
  <c r="G19" i="11"/>
  <c r="N19" i="11" s="1"/>
  <c r="J17" i="9"/>
  <c r="J103" i="59" s="1"/>
  <c r="H103" i="59" s="1"/>
  <c r="L103" i="59" s="1"/>
  <c r="A27" i="60"/>
  <c r="C10" i="55"/>
  <c r="C10" i="46"/>
  <c r="C10" i="54"/>
  <c r="C9" i="60"/>
  <c r="C9" i="56"/>
  <c r="C34" i="10"/>
  <c r="C33" i="10" s="1"/>
  <c r="I34" i="9" s="1"/>
  <c r="B33" i="10"/>
  <c r="D118" i="15"/>
  <c r="L118" i="15" s="1"/>
  <c r="C60" i="70"/>
  <c r="D103" i="15"/>
  <c r="C58" i="70"/>
  <c r="J130" i="15"/>
  <c r="C79" i="70" s="1"/>
  <c r="J129" i="59"/>
  <c r="J129" i="58"/>
  <c r="H29" i="2"/>
  <c r="O23" i="11"/>
  <c r="B15" i="10" s="1"/>
  <c r="N13" i="11"/>
  <c r="D33" i="15"/>
  <c r="D33" i="59"/>
  <c r="D33" i="58"/>
  <c r="F120" i="59"/>
  <c r="D120" i="59" s="1"/>
  <c r="L120" i="59" s="1"/>
  <c r="F120" i="58"/>
  <c r="D120" i="58" s="1"/>
  <c r="L120" i="58" s="1"/>
  <c r="F121" i="15"/>
  <c r="B4" i="10"/>
  <c r="B2" i="10" s="1"/>
  <c r="C2" i="10" s="1"/>
  <c r="H129" i="59" l="1"/>
  <c r="H129" i="58"/>
  <c r="H130" i="15"/>
  <c r="C76" i="70" s="1"/>
  <c r="F109" i="59"/>
  <c r="D109" i="59" s="1"/>
  <c r="E109" i="59"/>
  <c r="F109" i="58"/>
  <c r="D109" i="58" s="1"/>
  <c r="F110" i="15"/>
  <c r="D110" i="15" s="1"/>
  <c r="G23" i="11"/>
  <c r="B8" i="10" s="1"/>
  <c r="B5" i="10" s="1"/>
  <c r="C5" i="10" s="1"/>
  <c r="D33" i="9" s="1"/>
  <c r="N23" i="11"/>
  <c r="D36" i="10" s="1"/>
  <c r="E36" i="10" s="1"/>
  <c r="E38" i="10" s="1"/>
  <c r="D32" i="9" s="1"/>
  <c r="F128" i="58" s="1"/>
  <c r="B17" i="10"/>
  <c r="B23" i="10"/>
  <c r="J104" i="15"/>
  <c r="H104" i="15" s="1"/>
  <c r="L104" i="15" s="1"/>
  <c r="E110" i="15"/>
  <c r="J103" i="58"/>
  <c r="H103" i="58" s="1"/>
  <c r="L103" i="58" s="1"/>
  <c r="H128" i="59"/>
  <c r="E109" i="58"/>
  <c r="H128" i="58"/>
  <c r="D29" i="2"/>
  <c r="H131" i="15"/>
  <c r="C77" i="70" s="1"/>
  <c r="H130" i="59"/>
  <c r="H130" i="58"/>
  <c r="H28" i="2"/>
  <c r="J129" i="15"/>
  <c r="C78" i="70" s="1"/>
  <c r="J128" i="59"/>
  <c r="D28" i="2"/>
  <c r="J128" i="58"/>
  <c r="D31" i="9"/>
  <c r="F31" i="9"/>
  <c r="D121" i="15"/>
  <c r="L121" i="15" s="1"/>
  <c r="C61" i="70"/>
  <c r="C15" i="10"/>
  <c r="C13" i="10" s="1"/>
  <c r="I32" i="9" s="1"/>
  <c r="B13" i="10"/>
  <c r="C59" i="70" l="1"/>
  <c r="F33" i="9"/>
  <c r="F129" i="15"/>
  <c r="C73" i="70" s="1"/>
  <c r="D26" i="2"/>
  <c r="F128" i="59"/>
  <c r="C62" i="70"/>
  <c r="D128" i="58"/>
  <c r="D129" i="15"/>
  <c r="C70" i="70" s="1"/>
  <c r="D128" i="59"/>
  <c r="D25" i="2"/>
  <c r="D130" i="58"/>
  <c r="D131" i="15"/>
  <c r="C72" i="70" s="1"/>
  <c r="D27" i="2"/>
  <c r="D130" i="59"/>
  <c r="F130" i="15"/>
  <c r="C74" i="70" s="1"/>
  <c r="F129" i="58"/>
  <c r="F129" i="59"/>
  <c r="H26" i="2"/>
</calcChain>
</file>

<file path=xl/sharedStrings.xml><?xml version="1.0" encoding="utf-8"?>
<sst xmlns="http://schemas.openxmlformats.org/spreadsheetml/2006/main" count="4573" uniqueCount="2174">
  <si>
    <t>LabDag3_1</t>
  </si>
  <si>
    <t>LabDag3_10</t>
  </si>
  <si>
    <t>LabDag3_11</t>
  </si>
  <si>
    <t>LabDag3_12</t>
  </si>
  <si>
    <t>LabDag3_13</t>
  </si>
  <si>
    <t>LabDag3_14</t>
  </si>
  <si>
    <t>LabDag3_15</t>
  </si>
  <si>
    <t>LabDag3_16</t>
  </si>
  <si>
    <t>LabDag3_17</t>
  </si>
  <si>
    <t>LabDag3_18</t>
  </si>
  <si>
    <t>LabDag3_2</t>
  </si>
  <si>
    <t>LabDag3_3</t>
  </si>
  <si>
    <t>LabDag3_4</t>
  </si>
  <si>
    <t>LabDag3_5</t>
  </si>
  <si>
    <t>LabDag3_6</t>
  </si>
  <si>
    <t>LabDag3_7</t>
  </si>
  <si>
    <t>LabDag3_8</t>
  </si>
  <si>
    <t>LabDag3_9</t>
  </si>
  <si>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</si>
  <si>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</si>
  <si>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</si>
  <si>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</si>
  <si>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</si>
  <si>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</si>
  <si>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</si>
  <si>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</si>
  <si>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</si>
  <si>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</si>
  <si>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</si>
  <si>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</si>
  <si>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</si>
  <si>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</si>
  <si>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</si>
  <si>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</si>
  <si>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</si>
  <si>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</si>
  <si>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</si>
  <si>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</si>
  <si>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</si>
  <si>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=ber_bead!$C$2:$C$10</t>
  </si>
  <si>
    <t>DosHoev_13</t>
  </si>
  <si>
    <t>DosHoev_14</t>
  </si>
  <si>
    <t>ketanserine</t>
  </si>
  <si>
    <t>INTRAVENEUZE VOEDING</t>
  </si>
  <si>
    <t>Friso 1 comfort</t>
  </si>
  <si>
    <t>Friso 2 normaal</t>
  </si>
  <si>
    <t>Friso 1 normaal</t>
  </si>
  <si>
    <t>Friso 2 comfort</t>
  </si>
  <si>
    <t>Friso 1 hypoall</t>
  </si>
  <si>
    <t>Friso 2 hypoall</t>
  </si>
  <si>
    <t>Nutramigen 2 LGG</t>
  </si>
  <si>
    <t>Pregestimil</t>
  </si>
  <si>
    <t>Flexical</t>
  </si>
  <si>
    <t>Nutrilon Soya 1</t>
  </si>
  <si>
    <t>Nutrilon Soya 2</t>
  </si>
  <si>
    <t>Infatrini</t>
  </si>
  <si>
    <t>Nutrini</t>
  </si>
  <si>
    <t>Nutrini MultiFib</t>
  </si>
  <si>
    <t xml:space="preserve">Nutrini Energy </t>
  </si>
  <si>
    <t>Tentrini</t>
  </si>
  <si>
    <t>Tentrini EnergyFib</t>
  </si>
  <si>
    <t>Nutrison MultiFib</t>
  </si>
  <si>
    <t>MedIVMlSpuit_20</t>
  </si>
  <si>
    <t>MedIVMlSpuit_21</t>
  </si>
  <si>
    <t>MedIVMlSpuit_22</t>
  </si>
  <si>
    <t>MedIVMlSpuit_23</t>
  </si>
  <si>
    <t>MedIVMlSpuit_17</t>
  </si>
  <si>
    <t>MedIVMlSpuit_18</t>
  </si>
  <si>
    <t>MedIVMlSpuit_19</t>
  </si>
  <si>
    <t>06:00 uur dag 1</t>
  </si>
  <si>
    <t>06:00 uur dag 2</t>
  </si>
  <si>
    <t>06:00 uur dag 3</t>
  </si>
  <si>
    <t>06:00 uur</t>
  </si>
  <si>
    <t>X-thorax</t>
  </si>
  <si>
    <t>Pacemaker</t>
  </si>
  <si>
    <t>=ber_lab!$C$11</t>
  </si>
  <si>
    <t>=ber_lab!$C$3</t>
  </si>
  <si>
    <t>=ber_lab!$C$5</t>
  </si>
  <si>
    <t>=ber_lab!$C$6</t>
  </si>
  <si>
    <t>Lab16u_7</t>
  </si>
  <si>
    <t>Lab16u_8</t>
  </si>
  <si>
    <t>Lab16u_9</t>
  </si>
  <si>
    <t>Lab20u_1</t>
  </si>
  <si>
    <t>=ber_Med_disc!$P$20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</si>
  <si>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</si>
  <si>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</si>
  <si>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</si>
  <si>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</si>
  <si>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</si>
  <si>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</si>
  <si>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</si>
  <si>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</si>
  <si>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</si>
  <si>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</si>
  <si>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</si>
  <si>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Afrond_1</t>
  </si>
  <si>
    <t>Afrond_10</t>
  </si>
  <si>
    <t>Afrond_11</t>
  </si>
  <si>
    <t>Leeftijd (jaren)</t>
  </si>
  <si>
    <t>Leeftijd (maanden)</t>
  </si>
  <si>
    <t>Man</t>
  </si>
  <si>
    <t>Vrouw</t>
  </si>
  <si>
    <t>a</t>
  </si>
  <si>
    <t>b</t>
  </si>
  <si>
    <t>c</t>
  </si>
  <si>
    <t>d</t>
  </si>
  <si>
    <t>e</t>
  </si>
  <si>
    <t>f</t>
  </si>
  <si>
    <t>StartDatum_20</t>
  </si>
  <si>
    <t>StartDatum_3</t>
  </si>
  <si>
    <t>StartDatum_4</t>
  </si>
  <si>
    <t>StartDatum_5</t>
  </si>
  <si>
    <t>Intravasale toegang</t>
  </si>
  <si>
    <t>=ber_IVmed!$F$4</t>
  </si>
  <si>
    <t>NaCl_2</t>
  </si>
  <si>
    <t>NaClVol_2</t>
  </si>
  <si>
    <t>=ber_lab!$B$14</t>
  </si>
  <si>
    <t>=ber_lab!$B$15</t>
  </si>
  <si>
    <t>=ber_lab!$B$16</t>
  </si>
  <si>
    <t>=ber_lab!$B$17</t>
  </si>
  <si>
    <t>=ber_lab!$B$3</t>
  </si>
  <si>
    <t>=ber_lab!$B$4</t>
  </si>
  <si>
    <t>=ber_lab!$B$5</t>
  </si>
  <si>
    <t>=ber_lab!$B$6</t>
  </si>
  <si>
    <t>=ber_lab!$B$7</t>
  </si>
  <si>
    <t>=ber_lab!$B$8</t>
  </si>
  <si>
    <t>=ber_lab!$B$9</t>
  </si>
  <si>
    <t>=ber_lab!$B$10</t>
  </si>
  <si>
    <t>=dbBead!$H$2</t>
  </si>
  <si>
    <t>=ber_TPN!$D$12</t>
  </si>
  <si>
    <t>=ber_Med_disc!$P$2</t>
  </si>
  <si>
    <t>=ber_Med_disc!$P$11</t>
  </si>
  <si>
    <t>=ber_Med_disc!$H$15</t>
  </si>
  <si>
    <t>=ber_Med_disc!$H$16</t>
  </si>
  <si>
    <t>=ber_Med_disc!$H$17</t>
  </si>
  <si>
    <t>=ber_Med_disc!$H$18</t>
  </si>
  <si>
    <t>=ber_Med_disc!$H$19</t>
  </si>
  <si>
    <t>=ber_Med_disc!$H$20</t>
  </si>
  <si>
    <t>=ber_Med_disc!$H$3</t>
  </si>
  <si>
    <t>=ber_Med_disc!$H$21</t>
  </si>
  <si>
    <t>=ber_Med_disc!$H$4</t>
  </si>
  <si>
    <t>=ber_Med_disc!$H$5</t>
  </si>
  <si>
    <t>=ber_Med_disc!$H$6</t>
  </si>
  <si>
    <t>=ber_Med_disc!$H$7</t>
  </si>
  <si>
    <t>24 dd</t>
  </si>
  <si>
    <t>salbutamol</t>
  </si>
  <si>
    <t>MedStart_5</t>
  </si>
  <si>
    <t>MedStart_6</t>
  </si>
  <si>
    <t>MedStart_7</t>
  </si>
  <si>
    <t>MedOplVol_3</t>
  </si>
  <si>
    <t>MedOplVol_4</t>
  </si>
  <si>
    <t>Naam:</t>
  </si>
  <si>
    <t>Hevelen</t>
  </si>
  <si>
    <t>Hevelen + spoelen</t>
  </si>
  <si>
    <t>=ber_Opm!$C$26</t>
  </si>
  <si>
    <t>=ber_Opm!$C$27</t>
  </si>
  <si>
    <t>=ber_Opm!$C$28</t>
  </si>
  <si>
    <t>=ber_Opm!$C$29</t>
  </si>
  <si>
    <t>=ber_Opm!$C$30</t>
  </si>
  <si>
    <t>=ber_Opm!$C$31</t>
  </si>
  <si>
    <t>=ber_Opm!$C$32</t>
  </si>
  <si>
    <t>=ber_Opm!$C$33</t>
  </si>
  <si>
    <t>=ber_Opm!$C$34</t>
  </si>
  <si>
    <t>=ber_Opm!$C$17</t>
  </si>
  <si>
    <t>=ber_Opm!$C$35</t>
  </si>
  <si>
    <t>=ber_Opm!$C$18</t>
  </si>
  <si>
    <t>=ber_Opm!$C$19</t>
  </si>
  <si>
    <t>=ber_Opm!$C$20</t>
  </si>
  <si>
    <t>=ber_Opm!$C$21</t>
  </si>
  <si>
    <t>8.</t>
  </si>
  <si>
    <t>20 mg/kg, max 1500 mg</t>
  </si>
  <si>
    <t>Belangrijk!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</si>
  <si>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</si>
  <si>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</si>
  <si>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</si>
  <si>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</si>
  <si>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</si>
  <si>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</si>
  <si>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</si>
  <si>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</si>
  <si>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</si>
  <si>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</si>
  <si>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=ber_TPN!$E$10</t>
  </si>
  <si>
    <t>=dbBead!$U$2</t>
  </si>
  <si>
    <t>=ber_TPN!$C$7</t>
  </si>
  <si>
    <t>=ber_TPN!$C$19</t>
  </si>
  <si>
    <t>=ber_TPN!$E$7</t>
  </si>
  <si>
    <t>=ber_TPN!$E$19</t>
  </si>
  <si>
    <t>=dbBead!$N$2</t>
  </si>
  <si>
    <t>=ber_Opm!$C$2</t>
  </si>
  <si>
    <t>=ber_Opm!$C$11</t>
  </si>
  <si>
    <t>=ber_Opm!$C$12</t>
  </si>
  <si>
    <t>=ber_Opm!$C$13</t>
  </si>
  <si>
    <t>=ber_Opm!$C$14</t>
  </si>
  <si>
    <t>=ber_Opm!$C$15</t>
  </si>
  <si>
    <t>=ber_Opm!$C$3</t>
  </si>
  <si>
    <t>=ber_Opm!$C$4</t>
  </si>
  <si>
    <t>=ber_Opm!$C$5</t>
  </si>
  <si>
    <t>=ber_Opm!$C$6</t>
  </si>
  <si>
    <t>Lab20u_12</t>
  </si>
  <si>
    <t>Lab20u_13</t>
  </si>
  <si>
    <t>0,05-0,1 E/kg/uur</t>
  </si>
  <si>
    <t>NaCl 2,9% (0,5 mmol/ml)</t>
  </si>
  <si>
    <t>Gluc/zout 2/3 – 1/3  (3,3% / 0,3% Na 51 mmol/l)</t>
  </si>
  <si>
    <t>Gluc/zout 2/3 – 1/3  (3,3% / 0,3% Na 51 mmol/l)  met  KCl 30 mmol/l</t>
  </si>
  <si>
    <t>Lab20u_7</t>
  </si>
  <si>
    <t>MedStart_12</t>
  </si>
  <si>
    <t>MedStart_13</t>
  </si>
  <si>
    <t>CVL lijn lumen I: meting + (&lt; 5 kg) flush 5 E heparine/ml FZ: 0,5 ml/uur</t>
  </si>
  <si>
    <t>CVL lijn lumen I: meting + (&gt; 5 kg) flush 1E heparine via drukzak FZ: 3 ml/uur</t>
  </si>
  <si>
    <t>CVL lijn lumen II: meting + (&lt; 5 kg) flush 5 E heparine/ml FZ: 0,5 ml/uur</t>
  </si>
  <si>
    <t>CVL lijn lumen II: meting + (&gt; 5 kg) flush 1E heparine via drukzak FZ: 3 ml/uur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</si>
  <si>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</si>
  <si>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</si>
  <si>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</si>
  <si>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</si>
  <si>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</si>
  <si>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</si>
  <si>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</si>
  <si>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</si>
  <si>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</si>
  <si>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</si>
  <si>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</si>
  <si>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</si>
  <si>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</si>
  <si>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InstMedIVStand_8</t>
  </si>
  <si>
    <t>InstMedIVStand_9</t>
  </si>
  <si>
    <t>Nutrison Soya</t>
  </si>
  <si>
    <t>Peptisorb</t>
  </si>
  <si>
    <t>Nutrison Conc 40</t>
  </si>
  <si>
    <t>Nutrison Conc</t>
  </si>
  <si>
    <t>Pepti Junior</t>
  </si>
  <si>
    <t>Caprilon Formula</t>
  </si>
  <si>
    <t>Solagen</t>
  </si>
  <si>
    <t>Liquigen</t>
  </si>
  <si>
    <t>Nenatal BMF</t>
  </si>
  <si>
    <t>Friso BMF</t>
  </si>
  <si>
    <t>Friso 1 Normaal pdr</t>
  </si>
  <si>
    <t>Friso 2 Normaal pdr</t>
  </si>
  <si>
    <t>Friso 1 Comfort pdr</t>
  </si>
  <si>
    <t>Friso 2 Comfort pdr</t>
  </si>
  <si>
    <t>Friso 1 hypoall pdr</t>
  </si>
  <si>
    <t>Friso 2 hypoall pdr</t>
  </si>
  <si>
    <t>Nutramigen pdr</t>
  </si>
  <si>
    <t>Nutramigen 2 LGG pdr</t>
  </si>
  <si>
    <t>Flexical pdr</t>
  </si>
  <si>
    <t>Nutrilon Soya 1 pdr</t>
  </si>
  <si>
    <t>Nutrilon Soya 2 pdr</t>
  </si>
  <si>
    <t>Peptisorb pdr</t>
  </si>
  <si>
    <t>Pepti Junior pdr</t>
  </si>
  <si>
    <t>Caprilon pdr</t>
  </si>
  <si>
    <t>Fantomalt pdr</t>
  </si>
  <si>
    <t>=ber_Med_disc!$B$12</t>
  </si>
  <si>
    <t>=ber_Med_disc!$B$13</t>
  </si>
  <si>
    <t>=ber_Med_disc!$B$14</t>
  </si>
  <si>
    <t>=ber_Med_disc!$B$15</t>
  </si>
  <si>
    <t>=ber_Med_disc!$B$16</t>
  </si>
  <si>
    <t>=ber_Med_disc!$B$17</t>
  </si>
  <si>
    <t>=ber_Med_disc!$B$18</t>
  </si>
  <si>
    <t>=ber_Med_disc!$B$19</t>
  </si>
  <si>
    <t>=ber_Med_disc!$B$20</t>
  </si>
  <si>
    <t>=ber_Med_disc!$B$3</t>
  </si>
  <si>
    <t>=ber_Med_disc!$B$21</t>
  </si>
  <si>
    <t>=ber_Med_disc!$B$4</t>
  </si>
  <si>
    <t>=ber_Med_disc!$B$5</t>
  </si>
  <si>
    <t>=ber_Med_disc!$B$6</t>
  </si>
  <si>
    <t>=ber_Med_disc!$B$7</t>
  </si>
  <si>
    <t>=ber_Med_disc!$B$8</t>
  </si>
  <si>
    <t>=ber_Med_disc!$B$9</t>
  </si>
  <si>
    <t>=ber_Med_disc!$B$10</t>
  </si>
  <si>
    <t>=ber_Med_disc!$H$2</t>
  </si>
  <si>
    <t>im</t>
  </si>
  <si>
    <t>rect</t>
  </si>
  <si>
    <t>clonidine</t>
  </si>
  <si>
    <t>=ber_Med_disc!$D$20</t>
  </si>
  <si>
    <t>=ber_Med_disc!$D$3</t>
  </si>
  <si>
    <t>=ber_Med_disc!$D$21</t>
  </si>
  <si>
    <t>=ber_Med_disc!$D$4</t>
  </si>
  <si>
    <t>=ber_Med_disc!$D$5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</si>
  <si>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</si>
  <si>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</si>
  <si>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</si>
  <si>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</si>
  <si>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</si>
  <si>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</si>
  <si>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</si>
  <si>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</si>
  <si>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</si>
  <si>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</si>
  <si>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=dbBead!$R$2</t>
  </si>
  <si>
    <t>Stand</t>
  </si>
  <si>
    <t>Oppervlak</t>
  </si>
  <si>
    <t>Tube</t>
  </si>
  <si>
    <t>Defribilleren</t>
  </si>
  <si>
    <t>NaBic 8,4%</t>
  </si>
  <si>
    <t>vullen</t>
  </si>
  <si>
    <t>RecNo</t>
  </si>
  <si>
    <t>=ber_Med_disc!$H$8</t>
  </si>
  <si>
    <t>=ber_Med_disc!$H$9</t>
  </si>
  <si>
    <t>=ber_Med_disc!$H$10</t>
  </si>
  <si>
    <t>nitroprusside</t>
  </si>
  <si>
    <t>5-30 nanogram/kg/min (moet in zout!)</t>
  </si>
  <si>
    <t>0,5-8 mcg/kg/min</t>
  </si>
  <si>
    <t>=ber_IVmed!$K$3</t>
  </si>
  <si>
    <t>=ber_IVmed!$K$12</t>
  </si>
  <si>
    <t>=ber_IVmed!$K$13</t>
  </si>
  <si>
    <t>=ber_IVmed!$K$14</t>
  </si>
  <si>
    <t>=ber_IVmed!$K$15</t>
  </si>
  <si>
    <t>=ber_IVmed!$K$16</t>
  </si>
  <si>
    <t>=ber_IVmed!$K$17</t>
  </si>
  <si>
    <t>=ber_IVmed!$K$4</t>
  </si>
  <si>
    <t>=ber_IVmed!$K$5</t>
  </si>
  <si>
    <t>=ber_IVmed!$K$6</t>
  </si>
  <si>
    <t>=ber_IVmed!$K$7</t>
  </si>
  <si>
    <t>=ber_IVmed!$K$8</t>
  </si>
  <si>
    <t>=dbForm!$W$2:$W$1018</t>
  </si>
  <si>
    <t>tblDoseringen</t>
  </si>
  <si>
    <t>=ber_IVmed!$B$2:$I$20</t>
  </si>
  <si>
    <t>tblDruppelen</t>
  </si>
  <si>
    <t>=dbBead!$Y$2</t>
  </si>
  <si>
    <t>=ber_TPN!$B$4</t>
  </si>
  <si>
    <t>=ber_TPN!$E$4</t>
  </si>
  <si>
    <t>=dbBead!$AA$2</t>
  </si>
  <si>
    <t>=dbBead!$K$2</t>
  </si>
  <si>
    <t>=dbBead!$J$2</t>
  </si>
  <si>
    <t>=ber_TPN!$C$14</t>
  </si>
  <si>
    <t>=ber_TPN!$E$14</t>
  </si>
  <si>
    <t>=ber_PO!$M$22</t>
  </si>
  <si>
    <t>=ber_PO!$M$23</t>
  </si>
  <si>
    <t>=ber_PO!$M$24</t>
  </si>
  <si>
    <t>=ber_PO!$M$25</t>
  </si>
  <si>
    <t>=dbBead!$E$2</t>
  </si>
  <si>
    <t>=dbBead!$O$2</t>
  </si>
  <si>
    <t>=dbBead!$M$2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</si>
  <si>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</si>
  <si>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</si>
  <si>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</si>
  <si>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</si>
  <si>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</si>
  <si>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</si>
  <si>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</si>
  <si>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</si>
  <si>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</si>
  <si>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</si>
  <si>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</si>
  <si>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</si>
  <si>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</si>
  <si>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</si>
  <si>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</si>
  <si>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MedIVMlSpuit_14</t>
  </si>
  <si>
    <t>MedIVMlSpuit_15</t>
  </si>
  <si>
    <t>MedStart_14</t>
  </si>
  <si>
    <t>MedStart_15</t>
  </si>
  <si>
    <t>=ber_Med_disc!$F$15</t>
  </si>
  <si>
    <t>=ber_IVmed!$F$11</t>
  </si>
  <si>
    <t>=ber_IVmed!$E$3</t>
  </si>
  <si>
    <t>=ber_IVmed!$E$12</t>
  </si>
  <si>
    <t>MedicatieIV 1</t>
  </si>
  <si>
    <t>MedicatieIV 2</t>
  </si>
  <si>
    <t>MedicatieIV 3</t>
  </si>
  <si>
    <t>MedicatieIV 4</t>
  </si>
  <si>
    <t>MedicatieIV 5</t>
  </si>
  <si>
    <t>intake IV</t>
  </si>
  <si>
    <t>=ber_Med_disc!$M$2</t>
  </si>
  <si>
    <t>=ber_Med_disc!$M$11</t>
  </si>
  <si>
    <t>=ber_Med_disc!$M$12</t>
  </si>
  <si>
    <t>=ber_Med_disc!$M$13</t>
  </si>
  <si>
    <t>Keuze:</t>
  </si>
  <si>
    <t>MedDosHoev_15</t>
  </si>
  <si>
    <t>MedDosHoev_16</t>
  </si>
  <si>
    <t>MedDosHoev_17</t>
  </si>
  <si>
    <t>E/kg/uur</t>
  </si>
  <si>
    <t>=ber_Opm!$C$10</t>
  </si>
  <si>
    <t>=ber_Opm!$C$16</t>
  </si>
  <si>
    <t>=ber_IVmed!$F$20</t>
  </si>
  <si>
    <t>Lab24u_12</t>
  </si>
  <si>
    <t>Lab24u_2</t>
  </si>
  <si>
    <t>Lab24u_3</t>
  </si>
  <si>
    <t>Lab24u_4</t>
  </si>
  <si>
    <t>Lab24u_5</t>
  </si>
  <si>
    <t>Lab24u_6</t>
  </si>
  <si>
    <t>Lab24u_7</t>
  </si>
  <si>
    <t>Lab24u_8</t>
  </si>
  <si>
    <t>CS/VAS score a 8 uur (8-16-24 uur) en bij (toenemende) onrust</t>
  </si>
  <si>
    <t>=ber_TPN!$C$10</t>
  </si>
  <si>
    <t>E</t>
  </si>
  <si>
    <t>g</t>
  </si>
  <si>
    <t>Aanvullende afspraken</t>
  </si>
  <si>
    <t>6.</t>
  </si>
  <si>
    <t>7.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</si>
  <si>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</si>
  <si>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</si>
  <si>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</si>
  <si>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</si>
  <si>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</si>
  <si>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</si>
  <si>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</si>
  <si>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</si>
  <si>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</si>
  <si>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</si>
  <si>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</si>
  <si>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</si>
  <si>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</si>
  <si>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</si>
  <si>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</si>
  <si>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</si>
  <si>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</si>
  <si>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</si>
  <si>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</si>
  <si>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</si>
  <si>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</si>
  <si>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</si>
  <si>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</si>
  <si>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</si>
  <si>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</si>
  <si>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</si>
  <si>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</si>
  <si>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</si>
  <si>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</si>
  <si>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</si>
  <si>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</si>
  <si>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</si>
  <si>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</si>
  <si>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</si>
  <si>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</si>
  <si>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</si>
  <si>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</si>
  <si>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</si>
  <si>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</si>
  <si>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</si>
  <si>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LabDag2_19</t>
  </si>
  <si>
    <t>LabDag2_20</t>
  </si>
  <si>
    <t>LabDag2_21</t>
  </si>
  <si>
    <t>LabDag2_22</t>
  </si>
  <si>
    <t>LabDag2_23</t>
  </si>
  <si>
    <t>LabDag2_24</t>
  </si>
  <si>
    <t>LabDag2_25</t>
  </si>
  <si>
    <t>LabDag2_26</t>
  </si>
  <si>
    <t>=ber_Opm!$C$7</t>
  </si>
  <si>
    <t>=ber_Opm!$C$8</t>
  </si>
  <si>
    <t>=ber_Opm!$C$9</t>
  </si>
  <si>
    <t>Lab20u_14</t>
  </si>
  <si>
    <t>Lab20u_2</t>
  </si>
  <si>
    <t>Lab20u_3</t>
  </si>
  <si>
    <t>Lab20u_4</t>
  </si>
  <si>
    <t>Lab20u_5</t>
  </si>
  <si>
    <t>Lab20u_6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</si>
  <si>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</si>
  <si>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</si>
  <si>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</si>
  <si>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</si>
  <si>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</si>
  <si>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</si>
  <si>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</si>
  <si>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</si>
  <si>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</si>
  <si>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</si>
  <si>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</si>
  <si>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</si>
  <si>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urostoma</t>
  </si>
  <si>
    <t>CVL lijn lumen I: medicatie</t>
  </si>
  <si>
    <t>=ber_Opm!$C$25</t>
  </si>
  <si>
    <t>Lab24u_9</t>
  </si>
  <si>
    <t>Verwijzing</t>
  </si>
  <si>
    <t>Glucose 17,5%</t>
  </si>
  <si>
    <t>Glucose 12,5 %</t>
  </si>
  <si>
    <t>k</t>
  </si>
  <si>
    <t>=ber_lab!$C$7</t>
  </si>
  <si>
    <t>Anti-convulsiva</t>
  </si>
  <si>
    <t>Diversen</t>
  </si>
  <si>
    <t>hoeveelheid</t>
  </si>
  <si>
    <t>sterkte</t>
  </si>
  <si>
    <t>advies</t>
  </si>
  <si>
    <t>iv</t>
  </si>
  <si>
    <t>or</t>
  </si>
  <si>
    <t>flumazenil</t>
  </si>
  <si>
    <t>Lab20u_11</t>
  </si>
  <si>
    <t>epoprostenol</t>
  </si>
  <si>
    <t>Lab16u_6</t>
  </si>
  <si>
    <t>Overige_1</t>
  </si>
  <si>
    <t>=ber_Infusen!$M$1</t>
  </si>
  <si>
    <t>Glucose 20%</t>
  </si>
  <si>
    <t>Glucose 50%</t>
  </si>
  <si>
    <t>Glucose 15%</t>
  </si>
  <si>
    <t>LabDag2_1</t>
  </si>
  <si>
    <t>LabDag2_10</t>
  </si>
  <si>
    <t>LabDag2_11</t>
  </si>
  <si>
    <t>LabDag2_12</t>
  </si>
  <si>
    <t>LabDag2_13</t>
  </si>
  <si>
    <t>LabDag2_14</t>
  </si>
  <si>
    <t>LabDag2_15</t>
  </si>
  <si>
    <t>LabDag2_16</t>
  </si>
  <si>
    <t>LabDag2_17</t>
  </si>
  <si>
    <t>LabDag2_18</t>
  </si>
  <si>
    <t>LabDag2_2</t>
  </si>
  <si>
    <t>LabDag2_3</t>
  </si>
  <si>
    <t>LabDag2_4</t>
  </si>
  <si>
    <t>LabDag2_5</t>
  </si>
  <si>
    <t>LabDag2_6</t>
  </si>
  <si>
    <t>LabDag2_7</t>
  </si>
  <si>
    <t>LabDag2_8</t>
  </si>
  <si>
    <t>LabDag2_9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</si>
  <si>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</si>
  <si>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</si>
  <si>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</si>
  <si>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</si>
  <si>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</si>
  <si>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</si>
  <si>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</si>
  <si>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</si>
  <si>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</si>
  <si>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</si>
  <si>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</si>
  <si>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Lab12__1</t>
  </si>
  <si>
    <t>Lab12__2</t>
  </si>
  <si>
    <t>Lab12__3</t>
  </si>
  <si>
    <t>Lab12__4</t>
  </si>
  <si>
    <t>Lab12__5</t>
  </si>
  <si>
    <t>Lab16u_12</t>
  </si>
  <si>
    <t>Lab16u_13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</si>
  <si>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</si>
  <si>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</si>
  <si>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</si>
  <si>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</si>
  <si>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</si>
  <si>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</si>
  <si>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</si>
  <si>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</si>
  <si>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=ber_bead!$F$2:$F$3</t>
  </si>
  <si>
    <t>tblInfusen</t>
  </si>
  <si>
    <t>=ber_Infusen!$A$1:$A$34</t>
  </si>
  <si>
    <t>tblInstellen</t>
  </si>
  <si>
    <t>=Instellen!$B$4:$G$21</t>
  </si>
  <si>
    <t>tblMedicatieIV</t>
  </si>
  <si>
    <t>=ber_IVmed!$B$3:$I$20</t>
  </si>
  <si>
    <t>tblMerkNaam</t>
  </si>
  <si>
    <t>=dbForm!$C$2:$C$1016</t>
  </si>
  <si>
    <t>tblMode</t>
  </si>
  <si>
    <t>=ber_bead!$E$2:$E$7</t>
  </si>
  <si>
    <t>tblOplossing</t>
  </si>
  <si>
    <t>=ber_IVmed!$P$3:$P$6</t>
  </si>
  <si>
    <t>tblPLV</t>
  </si>
  <si>
    <t>=ber_bead!$G$2:$G$3</t>
  </si>
  <si>
    <t>tblPrepNaam</t>
  </si>
  <si>
    <t>=dbForm!$U$2:$U$1018</t>
  </si>
  <si>
    <t>tblRecNo</t>
  </si>
  <si>
    <t>Afrond_12</t>
  </si>
  <si>
    <t>Afrond_13</t>
  </si>
  <si>
    <t>Afrond_14</t>
  </si>
  <si>
    <t>=ber_lab!$D$16</t>
  </si>
  <si>
    <t>=ber_lab!$D$17</t>
  </si>
  <si>
    <t>=ber_lab!$D$4</t>
  </si>
  <si>
    <t>=ber_lab!$D$11</t>
  </si>
  <si>
    <t>=ber_lab!$D$3</t>
  </si>
  <si>
    <t>=ber_lab!$D$5</t>
  </si>
  <si>
    <t>=ber_lab!$D$6</t>
  </si>
  <si>
    <t>=ber_lab!$D$7</t>
  </si>
  <si>
    <t>=ber_lab!$D$8</t>
  </si>
  <si>
    <t>=ber_lab!$D$9</t>
  </si>
  <si>
    <t>=ber_lab!$D$10</t>
  </si>
  <si>
    <t>=ber_lab!$D$12</t>
  </si>
  <si>
    <t>=ber_lab!$E$2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</si>
  <si>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</si>
  <si>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</si>
  <si>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</si>
  <si>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</si>
  <si>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</si>
  <si>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</si>
  <si>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</si>
  <si>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</si>
  <si>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</si>
  <si>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</si>
  <si>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</si>
  <si>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</si>
  <si>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=ber_IVmed!$D$3</t>
  </si>
  <si>
    <t>=ber_IVmed!$D$12</t>
  </si>
  <si>
    <t>=ber_IVmed!$D$13</t>
  </si>
  <si>
    <t>=ber_IVmed!$D$14</t>
  </si>
  <si>
    <t>=ber_IVmed!$D$20</t>
  </si>
  <si>
    <t>=ber_IVmed!$D$4</t>
  </si>
  <si>
    <t>=ber_IVmed!$D$5</t>
  </si>
  <si>
    <t>=ber_IVmed!$D$6</t>
  </si>
  <si>
    <t>=ber_IVmed!$D$7</t>
  </si>
  <si>
    <t>berMedDisc</t>
  </si>
  <si>
    <t>opmerkingen bij discontinue medicatie</t>
  </si>
  <si>
    <t>opmAfsprBlad__1</t>
  </si>
  <si>
    <t>opmAfsprBlad__10</t>
  </si>
  <si>
    <t>Per 100 ml:</t>
  </si>
  <si>
    <t>=dbBead!$D$2</t>
  </si>
  <si>
    <t>=ber_Opm!$C$22</t>
  </si>
  <si>
    <t>=ber_Opm!$C$23</t>
  </si>
  <si>
    <t>=ber_Opm!$C$24</t>
  </si>
  <si>
    <t>=dbBead!$C$2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</si>
  <si>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</si>
  <si>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</si>
  <si>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</si>
  <si>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</si>
  <si>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</si>
  <si>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</si>
  <si>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</si>
  <si>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</si>
  <si>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</si>
  <si>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</si>
  <si>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</si>
  <si>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</si>
  <si>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</si>
  <si>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</si>
  <si>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0,125-0,25 mg/kg/dag</t>
  </si>
  <si>
    <t>Adrenaline</t>
  </si>
  <si>
    <t xml:space="preserve">Arterielijn: (&gt; 5 kg) flush 1E heparine/ml FZ met NaBic 8,4% 5 ml/500ml: 3 ml/uur </t>
  </si>
  <si>
    <t>CVL lijn lumenI:</t>
  </si>
  <si>
    <t>CVL lijn lumen II:</t>
  </si>
  <si>
    <t>zout</t>
  </si>
  <si>
    <t>Pols/AH om de</t>
  </si>
  <si>
    <t xml:space="preserve">NIBP om de </t>
  </si>
  <si>
    <t>opmMedDisc__16</t>
  </si>
  <si>
    <t>opmMedDisc__17</t>
  </si>
  <si>
    <t>opmMedDisc__18</t>
  </si>
  <si>
    <t>opmMedDisc__19</t>
  </si>
  <si>
    <t>opmMedDisc__2</t>
  </si>
  <si>
    <t>Lab24u_1</t>
  </si>
  <si>
    <t>Lab24u_10</t>
  </si>
  <si>
    <t>Lab24u_11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</si>
  <si>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</si>
  <si>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</si>
  <si>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</si>
  <si>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</si>
  <si>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</si>
  <si>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</si>
  <si>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</si>
  <si>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AVEA</t>
  </si>
  <si>
    <t>tracheaal canule</t>
  </si>
  <si>
    <t>Lengte</t>
  </si>
  <si>
    <t>Druppelen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</si>
  <si>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</si>
  <si>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</si>
  <si>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</si>
  <si>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</si>
  <si>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</si>
  <si>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</si>
  <si>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</si>
  <si>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</si>
  <si>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</si>
  <si>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</si>
  <si>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</si>
  <si>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</si>
  <si>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</si>
  <si>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</si>
  <si>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</si>
  <si>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=ber_Med_disc!$B$11</t>
  </si>
  <si>
    <t>Lab20__19</t>
  </si>
  <si>
    <t>Lab20__20</t>
  </si>
  <si>
    <t>Lab20__21</t>
  </si>
  <si>
    <t>Lab20__22</t>
  </si>
  <si>
    <t>Lab20__23</t>
  </si>
  <si>
    <t>Lab20__24</t>
  </si>
  <si>
    <t>Lab20__25</t>
  </si>
  <si>
    <t>Lab20__26</t>
  </si>
  <si>
    <t>Lab20__27</t>
  </si>
  <si>
    <t>insuline aspart</t>
  </si>
  <si>
    <t>=ber_Med_disc!$K$8</t>
  </si>
  <si>
    <t>=ber_Med_disc!$K$9</t>
  </si>
  <si>
    <t>=ber_Med_disc!$K$10</t>
  </si>
  <si>
    <t>esketamine</t>
  </si>
  <si>
    <t>=ber_Med_disc!$D$6</t>
  </si>
  <si>
    <t>=ber_Med_disc!$D$7</t>
  </si>
  <si>
    <t>=ber_IVmed!$F$5</t>
  </si>
  <si>
    <t>DosHoev</t>
  </si>
  <si>
    <t>DosTot</t>
  </si>
  <si>
    <t>Toed</t>
  </si>
  <si>
    <t>=ber_lab!$E$15</t>
  </si>
  <si>
    <t>=ber_lab!$E$16</t>
  </si>
  <si>
    <t>=ber_lab!$E$17</t>
  </si>
  <si>
    <t>=ber_lab!$E$4</t>
  </si>
  <si>
    <t>=ber_lab!$E$11</t>
  </si>
  <si>
    <t>=ber_lab!$E$3</t>
  </si>
  <si>
    <t>=ber_lab!$E$5</t>
  </si>
  <si>
    <t>=ber_lab!$E$6</t>
  </si>
  <si>
    <t>=ber_lab!$E$7</t>
  </si>
  <si>
    <t>=ber_lab!$E$8</t>
  </si>
  <si>
    <t>Urine bepaling:</t>
  </si>
  <si>
    <t>Sediment</t>
  </si>
  <si>
    <t>Urinekweek</t>
  </si>
  <si>
    <t>Laboratorium</t>
  </si>
  <si>
    <t>12:00 uur</t>
  </si>
  <si>
    <t>16:00 uur</t>
  </si>
  <si>
    <t>20:00 uur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</si>
  <si>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</si>
  <si>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</si>
  <si>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</si>
  <si>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</si>
  <si>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</si>
  <si>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</si>
  <si>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</si>
  <si>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</si>
  <si>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</si>
  <si>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</si>
  <si>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</si>
  <si>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</si>
  <si>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</si>
  <si>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</si>
  <si>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</si>
  <si>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</si>
  <si>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</si>
  <si>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</si>
  <si>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</si>
  <si>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</si>
  <si>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</si>
  <si>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</si>
  <si>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</si>
  <si>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</si>
  <si>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</si>
  <si>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</si>
  <si>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</si>
  <si>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Lab16u_15</t>
  </si>
  <si>
    <t>Lab16u_16</t>
  </si>
  <si>
    <t>Lab20u_15</t>
  </si>
  <si>
    <t>Lab20u_16</t>
  </si>
  <si>
    <t>Lab24u_15</t>
  </si>
  <si>
    <t>Lab24u_16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</si>
  <si>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</si>
  <si>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</si>
  <si>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</si>
  <si>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</si>
  <si>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</si>
  <si>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</si>
  <si>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</si>
  <si>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</si>
  <si>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</si>
  <si>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</si>
  <si>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</si>
  <si>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</si>
  <si>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</si>
  <si>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InstMedIVStand_4</t>
  </si>
  <si>
    <t>alprostadil</t>
  </si>
  <si>
    <t>=ber_Med_disc!$P$3</t>
  </si>
  <si>
    <t>=ber_Med_disc!$P$21</t>
  </si>
  <si>
    <t>=ber_Med_disc!$P$4</t>
  </si>
  <si>
    <t>=ber_Med_disc!$P$5</t>
  </si>
  <si>
    <t>=ber_Med_disc!$P$6</t>
  </si>
  <si>
    <t>=ber_Med_disc!$P$7</t>
  </si>
  <si>
    <t>=ber_Med_disc!$P$8</t>
  </si>
  <si>
    <t>=ber_Med_disc!$P$9</t>
  </si>
  <si>
    <t>=ber_Med_disc!$P$10</t>
  </si>
  <si>
    <t>=ber_IVmed!$B$26</t>
  </si>
  <si>
    <t>=ber_IVmed!$B$35</t>
  </si>
  <si>
    <t>=ber_IVmed!$B$36</t>
  </si>
  <si>
    <t>=ber_IVmed!$B$37</t>
  </si>
  <si>
    <t>=ber_IVmed!$B$38</t>
  </si>
  <si>
    <t>=ber_IVmed!$B$39</t>
  </si>
  <si>
    <t>=ber_IVmed!$B$40</t>
  </si>
  <si>
    <t>=ber_IVmed!$B$27</t>
  </si>
  <si>
    <t>=ber_IVmed!$B$28</t>
  </si>
  <si>
    <t>=ber_IVmed!$B$29</t>
  </si>
  <si>
    <t>=ber_IVmed!$B$30</t>
  </si>
  <si>
    <t>=ber_IVmed!$B$31</t>
  </si>
  <si>
    <t>=ber_IVmed!$B$32</t>
  </si>
  <si>
    <t>=ber_IVmed!$B$33</t>
  </si>
  <si>
    <t>=ber_IVmed!$B$34</t>
  </si>
  <si>
    <t>=ber_IVmed!$C$36</t>
  </si>
  <si>
    <t>=ber_IVmed!$C$37</t>
  </si>
  <si>
    <t>=ber_IVmed!$C$38</t>
  </si>
  <si>
    <t>=ber_IVmed!$C$39</t>
  </si>
  <si>
    <t>=ber_IVmed!$C$40</t>
  </si>
  <si>
    <t>opmMedDisc__1</t>
  </si>
  <si>
    <t>opmMedDisc__10</t>
  </si>
  <si>
    <t>Lab06u_10</t>
  </si>
  <si>
    <t>Lab06u_11</t>
  </si>
  <si>
    <t>Oplossing</t>
  </si>
  <si>
    <t>mmol/mg</t>
  </si>
  <si>
    <t>=ber_lab!$G$4</t>
  </si>
  <si>
    <t>=ber_lab!$G$11</t>
  </si>
  <si>
    <t>=ber_lab!$G$3</t>
  </si>
  <si>
    <t>=dbBead!$AM$2</t>
  </si>
  <si>
    <t>=ber_Med_disc!$F$2</t>
  </si>
  <si>
    <t>=ber_Med_disc!$F$11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</si>
  <si>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</si>
  <si>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</si>
  <si>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</si>
  <si>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</si>
  <si>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</si>
  <si>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</si>
  <si>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</si>
  <si>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</si>
  <si>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</si>
  <si>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</si>
  <si>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</si>
  <si>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</si>
  <si>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</si>
  <si>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</si>
  <si>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</si>
  <si>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</si>
  <si>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</si>
  <si>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</si>
  <si>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=ber_Med_disc!$F$18</t>
  </si>
  <si>
    <t>=ber_Med_disc!$F$19</t>
  </si>
  <si>
    <t>=ber_Med_disc!$F$20</t>
  </si>
  <si>
    <t>=ber_Med_disc!$F$3</t>
  </si>
  <si>
    <t>=ber_Med_disc!$F$21</t>
  </si>
  <si>
    <t>=ber_Med_disc!$F$4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</si>
  <si>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</si>
  <si>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</si>
  <si>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</si>
  <si>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</si>
  <si>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</si>
  <si>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</si>
  <si>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</si>
  <si>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</si>
  <si>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Lab24u_13</t>
  </si>
  <si>
    <t>Lab24u_14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</si>
  <si>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</si>
  <si>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</si>
  <si>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</si>
  <si>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</si>
  <si>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</si>
  <si>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</si>
  <si>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</si>
  <si>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</si>
  <si>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</si>
  <si>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</si>
  <si>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</si>
  <si>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</si>
  <si>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</si>
  <si>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</si>
  <si>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</si>
  <si>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</si>
  <si>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=ber_lab!$G$5</t>
  </si>
  <si>
    <t>=ber_lab!$G$6</t>
  </si>
  <si>
    <t>=ber_lab!$G$7</t>
  </si>
  <si>
    <t>=ber_lab!$G$8</t>
  </si>
  <si>
    <t>=ber_Med_disc!$F$16</t>
  </si>
  <si>
    <t>=ber_Med_disc!$F$17</t>
  </si>
  <si>
    <t>MedStart_8</t>
  </si>
  <si>
    <t>MedStart_9</t>
  </si>
  <si>
    <t>=ber_Med_disc!$E$10</t>
  </si>
  <si>
    <t>=dbBead!$S$2</t>
  </si>
  <si>
    <t>=dbBead!$V$2</t>
  </si>
  <si>
    <t>=dbBead!$AE$2</t>
  </si>
  <si>
    <t>=dbBead!$AJ$2</t>
  </si>
  <si>
    <t>=ber_PO!$L$22</t>
  </si>
  <si>
    <t>=ber_PO!$L$23</t>
  </si>
  <si>
    <t>=ber_PO!$L$24</t>
  </si>
  <si>
    <t>=ber_PO!$L$25</t>
  </si>
  <si>
    <t>=dbBead!$F$2</t>
  </si>
  <si>
    <t>=dbBead!$G$2</t>
  </si>
  <si>
    <t>=dbBead!$P$2</t>
  </si>
  <si>
    <t>=ber_Infusen!$E$2</t>
  </si>
  <si>
    <t>=ber_lab!$G$12</t>
  </si>
  <si>
    <t>=ber_lab!$C$2</t>
  </si>
  <si>
    <t>=ber_lab!$C$13</t>
  </si>
  <si>
    <t>=ber_lab!$C$14</t>
  </si>
  <si>
    <t>=ber_lab!$C$15</t>
  </si>
  <si>
    <t>=ber_lab!$C$16</t>
  </si>
  <si>
    <t>=ber_lab!$C$17</t>
  </si>
  <si>
    <t>=ber_lab!$C$4</t>
  </si>
  <si>
    <t>MM</t>
  </si>
  <si>
    <t>Nutramigen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</si>
  <si>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</si>
  <si>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</si>
  <si>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</si>
  <si>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</si>
  <si>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</si>
  <si>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</si>
  <si>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</si>
  <si>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</si>
  <si>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</si>
  <si>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</si>
  <si>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</si>
  <si>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</si>
  <si>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</si>
  <si>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</si>
  <si>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</si>
  <si>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</si>
  <si>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</si>
  <si>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</si>
  <si>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</si>
  <si>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</si>
  <si>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</si>
  <si>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</si>
  <si>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</si>
  <si>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</si>
  <si>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=ber_Med_disc!$F$8</t>
  </si>
  <si>
    <t>=ber_Med_disc!$F$9</t>
  </si>
  <si>
    <t>=ber_Med_disc!$F$10</t>
  </si>
  <si>
    <t>=dbBead!$AD$2</t>
  </si>
  <si>
    <t>=dbBead!$AL$2</t>
  </si>
  <si>
    <t>=dbBead!$L$2</t>
  </si>
  <si>
    <t>=ber_Med_disc!$E$2</t>
  </si>
  <si>
    <t>=ber_Med_disc!$E$11</t>
  </si>
  <si>
    <t>=ber_Med_disc!$E$12</t>
  </si>
  <si>
    <t>=ber_Med_disc!$E$13</t>
  </si>
  <si>
    <t>=ber_Med_disc!$E$14</t>
  </si>
  <si>
    <t>=ber_Med_disc!$E$15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</si>
  <si>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</si>
  <si>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</si>
  <si>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</si>
  <si>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</si>
  <si>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</si>
  <si>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</si>
  <si>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</si>
  <si>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</si>
  <si>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</si>
  <si>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</si>
  <si>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</si>
  <si>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</si>
  <si>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</si>
  <si>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</si>
  <si>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</si>
  <si>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</si>
  <si>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</si>
  <si>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</si>
  <si>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</si>
  <si>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</si>
  <si>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Vernevelaar</t>
  </si>
  <si>
    <t>Neusbril</t>
  </si>
  <si>
    <t>=ber_Med_disc!$C$20</t>
  </si>
  <si>
    <t>=ber_Med_disc!$C$3</t>
  </si>
  <si>
    <t>=ber_Med_disc!$C$21</t>
  </si>
  <si>
    <t>=ber_Med_disc!$C$4</t>
  </si>
  <si>
    <t>=ber_Med_disc!$C$5</t>
  </si>
  <si>
    <t>=ber_Med_disc!$C$6</t>
  </si>
  <si>
    <t>=ber_Med_disc!$C$7</t>
  </si>
  <si>
    <t>=ber_Med_disc!$C$8</t>
  </si>
  <si>
    <t>=ber_Med_disc!$C$9</t>
  </si>
  <si>
    <t>=ber_Med_disc!$H$11</t>
  </si>
  <si>
    <t>=ber_Med_disc!$H$12</t>
  </si>
  <si>
    <t>CVL lijn lumen II: medicatie</t>
  </si>
  <si>
    <t>MedToed_11</t>
  </si>
  <si>
    <t>sterkte bij 1 ml/uur</t>
  </si>
  <si>
    <t>eenheid</t>
  </si>
  <si>
    <t>stand</t>
  </si>
  <si>
    <t>volume</t>
  </si>
  <si>
    <t>IE</t>
  </si>
  <si>
    <t>heparine</t>
  </si>
  <si>
    <t>IE/kg/uur</t>
  </si>
  <si>
    <t>15-20 IE/kg/uur</t>
  </si>
  <si>
    <t>0,25-2 mcg/kg/uur</t>
  </si>
  <si>
    <t>afronding</t>
  </si>
  <si>
    <t>oplossing</t>
  </si>
  <si>
    <t>mcg/kg/uur</t>
  </si>
  <si>
    <t>Arterielijn: (&lt; 5 kg) flush 5E heparine/ml FZ: 0,5 ml/uur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</si>
  <si>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</si>
  <si>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</si>
  <si>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</si>
  <si>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</si>
  <si>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</si>
  <si>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</si>
  <si>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</si>
  <si>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</si>
  <si>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</si>
  <si>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</si>
  <si>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</si>
  <si>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</si>
  <si>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</si>
  <si>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</si>
  <si>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</si>
  <si>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</si>
  <si>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</si>
  <si>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</si>
  <si>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</si>
  <si>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HFO:</t>
  </si>
  <si>
    <t>Sensor medics HFO</t>
  </si>
  <si>
    <t>CDP</t>
  </si>
  <si>
    <t>Freq</t>
  </si>
  <si>
    <t>Te:</t>
  </si>
  <si>
    <t>Sonde</t>
  </si>
  <si>
    <t>=ber_PO!$AB$19</t>
  </si>
  <si>
    <t>=ber_PO!$AB$20</t>
  </si>
  <si>
    <t>Sondevoeding</t>
  </si>
  <si>
    <t>AfspraakDatum</t>
  </si>
  <si>
    <t>OpnDatum</t>
  </si>
  <si>
    <t>AchterNaam</t>
  </si>
  <si>
    <t>VoorNaam</t>
  </si>
  <si>
    <t>GebDatum</t>
  </si>
  <si>
    <t>TubeMaat</t>
  </si>
  <si>
    <t>Apparaat</t>
  </si>
  <si>
    <t>Borrelpot</t>
  </si>
  <si>
    <t>Servo 300</t>
  </si>
  <si>
    <t>opmAfsprBlad__6</t>
  </si>
  <si>
    <t>InstMedIVDos_9</t>
  </si>
  <si>
    <t>VolPO_4</t>
  </si>
  <si>
    <t>adrenaline</t>
  </si>
  <si>
    <t>0,5-1 mg/kg/uur</t>
  </si>
  <si>
    <t>max conc</t>
  </si>
  <si>
    <t>1-2 gram/kg/dag</t>
  </si>
  <si>
    <t>2-4 mmol/kg/dag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</si>
  <si>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</si>
  <si>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</si>
  <si>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</si>
  <si>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</si>
  <si>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</si>
  <si>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</si>
  <si>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</si>
  <si>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</si>
  <si>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</si>
  <si>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</si>
  <si>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InstMedIVStand_5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</si>
  <si>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</si>
  <si>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</si>
  <si>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</si>
  <si>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</si>
  <si>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</si>
  <si>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</si>
  <si>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</si>
  <si>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</si>
  <si>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</si>
  <si>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</si>
  <si>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</si>
  <si>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</si>
  <si>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</si>
  <si>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</si>
  <si>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</si>
  <si>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</si>
  <si>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</si>
  <si>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</si>
  <si>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</si>
  <si>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=ber_Infusen!$E$3</t>
  </si>
  <si>
    <t>=ber_Infusen!$E$4</t>
  </si>
  <si>
    <t>=ber_Infusen!$E$5</t>
  </si>
  <si>
    <t>=ber_Infusen!$E$6</t>
  </si>
  <si>
    <t>=ber_Infusen!$E$7</t>
  </si>
  <si>
    <t>=dbBead!$AK$2</t>
  </si>
  <si>
    <t>=ber_Med_disc!$M$14</t>
  </si>
  <si>
    <t>=ber_Med_disc!$M$15</t>
  </si>
  <si>
    <t>=ber_Med_disc!$M$16</t>
  </si>
  <si>
    <t>=ber_Med_disc!$M$17</t>
  </si>
  <si>
    <t>=ber_Med_disc!$M$18</t>
  </si>
  <si>
    <t>=ber_Med_disc!$M$19</t>
  </si>
  <si>
    <t>=ber_Med_disc!$M$20</t>
  </si>
  <si>
    <t>=ber_Med_disc!$M$3</t>
  </si>
  <si>
    <t>=ber_Med_disc!$M$21</t>
  </si>
  <si>
    <t>=ber_Med_disc!$M$4</t>
  </si>
  <si>
    <t>=ber_Med_disc!$M$5</t>
  </si>
  <si>
    <t>=ber_Med_disc!$M$6</t>
  </si>
  <si>
    <t>Eenheid_7</t>
  </si>
  <si>
    <t>Eenheid_8</t>
  </si>
  <si>
    <t>MedInloop_19</t>
  </si>
  <si>
    <t>MedInloop_2</t>
  </si>
  <si>
    <t>MedInloop_20</t>
  </si>
  <si>
    <t>RecNo_20</t>
  </si>
  <si>
    <t>=ber_Med_disc!$T$21</t>
  </si>
  <si>
    <t>RecNo_3</t>
  </si>
  <si>
    <t>=ber_Med_disc!$T$4</t>
  </si>
  <si>
    <t>RecNo_4</t>
  </si>
  <si>
    <t>=ber_Med_disc!$T$5</t>
  </si>
  <si>
    <t>RecNo_5</t>
  </si>
  <si>
    <t>=ber_Med_disc!$T$6</t>
  </si>
  <si>
    <t>RecNo_6</t>
  </si>
  <si>
    <t>=ber_Med_disc!$T$7</t>
  </si>
  <si>
    <t>RecNo_7</t>
  </si>
  <si>
    <t>=ber_Med_disc!$T$8</t>
  </si>
  <si>
    <t>RecNo_8</t>
  </si>
  <si>
    <t>=ber_Med_disc!$T$9</t>
  </si>
  <si>
    <t>RecNo_9</t>
  </si>
  <si>
    <t>=ber_Med_disc!$T$10</t>
  </si>
  <si>
    <t>reservePat</t>
  </si>
  <si>
    <t>=Patienten!$C$2:$C$411</t>
  </si>
  <si>
    <t>=dbBead!$Z$2</t>
  </si>
  <si>
    <t>=ber_TPN!$C$15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</si>
  <si>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</si>
  <si>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</si>
  <si>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</si>
  <si>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</si>
  <si>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</si>
  <si>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</si>
  <si>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</si>
  <si>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</si>
  <si>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</si>
  <si>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MedIVMlOpl_16</t>
  </si>
  <si>
    <t>MedIVMlSpuit_1</t>
  </si>
  <si>
    <t>MedIVMlSpuit_10</t>
  </si>
  <si>
    <t>Eenheid_9</t>
  </si>
  <si>
    <t>Glucose/KH</t>
  </si>
  <si>
    <t/>
  </si>
  <si>
    <t>FiO2</t>
  </si>
  <si>
    <t>Peep</t>
  </si>
  <si>
    <t>Tp</t>
  </si>
  <si>
    <t>Risetime</t>
  </si>
  <si>
    <t>Trigger</t>
  </si>
  <si>
    <t>Oraal of per sonde</t>
  </si>
  <si>
    <t>Infuus no</t>
  </si>
  <si>
    <t>Keuze</t>
  </si>
  <si>
    <t>oplvlst</t>
  </si>
  <si>
    <t>flush</t>
  </si>
  <si>
    <t>RecNo_17</t>
  </si>
  <si>
    <t>=ber_Med_disc!$T$18</t>
  </si>
  <si>
    <t>Datum/Tijd</t>
  </si>
  <si>
    <t>MedIVMlSpuit_11</t>
  </si>
  <si>
    <t>=ber_IVmed!$E$27</t>
  </si>
  <si>
    <t>=ber_IVmed!$E$28</t>
  </si>
  <si>
    <t>=ber_IVmed!$E$29</t>
  </si>
  <si>
    <t>=ber_IVmed!$E$30</t>
  </si>
  <si>
    <t>=ber_IVmed!$E$31</t>
  </si>
  <si>
    <t>=ber_IVmed!$E$32</t>
  </si>
  <si>
    <t>=ber_IVmed!$E$33</t>
  </si>
  <si>
    <t>=ber_IVmed!$E$34</t>
  </si>
  <si>
    <t>=ber_IVmed!$N$36</t>
  </si>
  <si>
    <t>=ber_IVmed!$N$37</t>
  </si>
  <si>
    <t>=ber_IVmed!$N$38</t>
  </si>
  <si>
    <t>=ber_IVmed!$N$39</t>
  </si>
  <si>
    <t>=ber_IVmed!$N$40</t>
  </si>
  <si>
    <t>MedKeuze_0</t>
  </si>
  <si>
    <t>=ber_Med_disc!$B$25</t>
  </si>
  <si>
    <t>LabDag2_27</t>
  </si>
  <si>
    <t>LabDag3_19</t>
  </si>
  <si>
    <t>LabDag3_20</t>
  </si>
  <si>
    <t>LabDag3_21</t>
  </si>
  <si>
    <t>LabDag3_22</t>
  </si>
  <si>
    <t>LabDag3_23</t>
  </si>
  <si>
    <t>LabDag3_24</t>
  </si>
  <si>
    <t>LabDag3_25</t>
  </si>
  <si>
    <t>LabDag3_26</t>
  </si>
  <si>
    <t>LabDag3_27</t>
  </si>
  <si>
    <t>Lab16u_1</t>
  </si>
  <si>
    <t>Lab16u_10</t>
  </si>
  <si>
    <t>Lab16u_11</t>
  </si>
  <si>
    <t>Max waarde</t>
  </si>
  <si>
    <t xml:space="preserve">Min waarde 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</si>
  <si>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</si>
  <si>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</si>
  <si>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</si>
  <si>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</si>
  <si>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</si>
  <si>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</si>
  <si>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</si>
  <si>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</si>
  <si>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</si>
  <si>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</si>
  <si>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</si>
  <si>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</si>
  <si>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</si>
  <si>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</si>
  <si>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</si>
  <si>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</si>
  <si>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</si>
  <si>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</si>
  <si>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MedStart_16</t>
  </si>
  <si>
    <t>MedToed_12</t>
  </si>
  <si>
    <t>MedToed_13</t>
  </si>
  <si>
    <t>MedToed_14</t>
  </si>
  <si>
    <t>MedToed_15</t>
  </si>
  <si>
    <t>MedToed_16</t>
  </si>
  <si>
    <t>MedToed_17</t>
  </si>
  <si>
    <t>=ber_lab!$F$10</t>
  </si>
  <si>
    <t>MedStart_4</t>
  </si>
  <si>
    <t>MedStart_17</t>
  </si>
  <si>
    <t>MedStart_18</t>
  </si>
  <si>
    <t>MedStart_19</t>
  </si>
  <si>
    <t>MedStart_2</t>
  </si>
  <si>
    <t>MedStart_20</t>
  </si>
  <si>
    <t>MedStart_3</t>
  </si>
  <si>
    <t>MedIVMlSpuit_6</t>
  </si>
  <si>
    <t>MedIVMlSpuit_7</t>
  </si>
  <si>
    <t>MedIVMlSpuit_8</t>
  </si>
  <si>
    <t>=ber_Med_disc!$N$6</t>
  </si>
  <si>
    <t>=ber_Med_disc!$N$7</t>
  </si>
  <si>
    <t>=ber_Med_disc!$N$8</t>
  </si>
  <si>
    <t>=ber_Med_disc!$N$9</t>
  </si>
  <si>
    <t>Beademingswijziging</t>
  </si>
  <si>
    <t>=ber_lab!$F$7</t>
  </si>
  <si>
    <t>=ber_lab!$F$8</t>
  </si>
  <si>
    <t>=ber_lab!$F$9</t>
  </si>
  <si>
    <t>=ber_IVmed!$F$3</t>
  </si>
  <si>
    <t>=ber_IVmed!$F$12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</si>
  <si>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</si>
  <si>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</si>
  <si>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</si>
  <si>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</si>
  <si>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</si>
  <si>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</si>
  <si>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</si>
  <si>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</si>
  <si>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</si>
  <si>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</si>
  <si>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</si>
  <si>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</si>
  <si>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</si>
  <si>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</si>
  <si>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</si>
  <si>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</si>
  <si>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</si>
  <si>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</si>
  <si>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</si>
  <si>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=dbBead!$T$2</t>
  </si>
  <si>
    <t>=dbBead!$AC$2</t>
  </si>
  <si>
    <t>=dbBead!$AB$2</t>
  </si>
  <si>
    <t>RecNo_0</t>
  </si>
  <si>
    <t>=ber_Med_disc!$E$25</t>
  </si>
  <si>
    <t>RecNo_1</t>
  </si>
  <si>
    <t>=ber_Med_disc!$T$2</t>
  </si>
  <si>
    <t>RecNo_10</t>
  </si>
  <si>
    <t>=ber_Med_disc!$T$11</t>
  </si>
  <si>
    <t>RecNo_11</t>
  </si>
  <si>
    <t>=ber_Med_disc!$T$12</t>
  </si>
  <si>
    <t>RecNo_12</t>
  </si>
  <si>
    <t>Lab12__6</t>
  </si>
  <si>
    <t>Lab12__7</t>
  </si>
  <si>
    <t>Lab12__8</t>
  </si>
  <si>
    <t>Lab12__9</t>
  </si>
  <si>
    <t>Lab12__10</t>
  </si>
  <si>
    <t>Lab12__11</t>
  </si>
  <si>
    <t>Lab12__12</t>
  </si>
  <si>
    <t>Lab12__13</t>
  </si>
  <si>
    <t>Lab12__14</t>
  </si>
  <si>
    <t>Lab12__15</t>
  </si>
  <si>
    <t>Lab12__16</t>
  </si>
  <si>
    <t>Lab12__17</t>
  </si>
  <si>
    <t>Lab12__18</t>
  </si>
  <si>
    <t>Lab12__19</t>
  </si>
  <si>
    <t>Lab12__20</t>
  </si>
  <si>
    <t>Lab12__21</t>
  </si>
  <si>
    <t>Lab12__22</t>
  </si>
  <si>
    <t>Lab12__23</t>
  </si>
  <si>
    <t>Lab12__24</t>
  </si>
  <si>
    <t>Lab12__25</t>
  </si>
  <si>
    <t>Lab12__26</t>
  </si>
  <si>
    <t>Lab12__27</t>
  </si>
  <si>
    <t>Lab16__1</t>
  </si>
  <si>
    <t>Lab16__2</t>
  </si>
  <si>
    <t>Lab16__3</t>
  </si>
  <si>
    <t>Lab16__4</t>
  </si>
  <si>
    <t>Lab16__5</t>
  </si>
  <si>
    <t>Lab16__6</t>
  </si>
  <si>
    <t>Lab16__7</t>
  </si>
  <si>
    <t>Lab16__8</t>
  </si>
  <si>
    <t>Lab16__9</t>
  </si>
  <si>
    <t>Lab16__10</t>
  </si>
  <si>
    <t>Lab16__11</t>
  </si>
  <si>
    <t>Lab16__12</t>
  </si>
  <si>
    <t>Lab16__13</t>
  </si>
  <si>
    <t>Lab16__14</t>
  </si>
  <si>
    <t>Lab16__15</t>
  </si>
  <si>
    <t>Lab16__16</t>
  </si>
  <si>
    <t>Lab16__17</t>
  </si>
  <si>
    <t>Lab16__18</t>
  </si>
  <si>
    <t>Lab16__19</t>
  </si>
  <si>
    <t>Lab16__20</t>
  </si>
  <si>
    <t>Lab16__21</t>
  </si>
  <si>
    <t>Lab16__22</t>
  </si>
  <si>
    <t>Lab16__23</t>
  </si>
  <si>
    <t>Lab16__24</t>
  </si>
  <si>
    <t>Lab16__25</t>
  </si>
  <si>
    <t>Lab16__26</t>
  </si>
  <si>
    <t>Lab16__27</t>
  </si>
  <si>
    <t>Lab20__1</t>
  </si>
  <si>
    <t>Lab20__2</t>
  </si>
  <si>
    <t>Lab20__3</t>
  </si>
  <si>
    <t>Lab20__4</t>
  </si>
  <si>
    <t>Lab20__5</t>
  </si>
  <si>
    <t>Lab20__6</t>
  </si>
  <si>
    <t>Lab20__7</t>
  </si>
  <si>
    <t>Lab20__8</t>
  </si>
  <si>
    <t>Lab20__9</t>
  </si>
  <si>
    <t>Lab20__10</t>
  </si>
  <si>
    <t>Lab20__11</t>
  </si>
  <si>
    <t>Lab20__12</t>
  </si>
  <si>
    <t>Lab20__13</t>
  </si>
  <si>
    <t>Lab20__14</t>
  </si>
  <si>
    <t>Lab20__15</t>
  </si>
  <si>
    <t>Lab20__16</t>
  </si>
  <si>
    <t>Lab20__17</t>
  </si>
  <si>
    <t>Lab20__18</t>
  </si>
  <si>
    <t>InstMedIVStand_16</t>
  </si>
  <si>
    <t>InstMedIVDos_14</t>
  </si>
  <si>
    <t>InstMedIVDos_15</t>
  </si>
  <si>
    <t>InstMedIVDos_16</t>
  </si>
  <si>
    <t>Lab16u_3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</si>
  <si>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</si>
  <si>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</si>
  <si>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</si>
  <si>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</si>
  <si>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</si>
  <si>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</si>
  <si>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</si>
  <si>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</si>
  <si>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</si>
  <si>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</si>
  <si>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WisseLligging</t>
  </si>
  <si>
    <t>HoudingsDrainage</t>
  </si>
  <si>
    <t>ApparaatCV</t>
  </si>
  <si>
    <t>ModeCV</t>
  </si>
  <si>
    <t>=ber_Med_disc!$F$12</t>
  </si>
  <si>
    <t>=ber_Med_disc!$F$13</t>
  </si>
  <si>
    <t>=ber_Med_disc!$F$14</t>
  </si>
  <si>
    <t>Sedatie volgens Comfort Scale?</t>
  </si>
  <si>
    <t>Comfort</t>
  </si>
  <si>
    <t>Midazolam</t>
  </si>
  <si>
    <t xml:space="preserve">fenytoïne </t>
  </si>
  <si>
    <t>MedIVMlSpuit_2</t>
  </si>
  <si>
    <t>MedIVMlSpuit_3</t>
  </si>
  <si>
    <t>MedIVMlSpuit_4</t>
  </si>
  <si>
    <t>=ber_TPN!$E$15</t>
  </si>
  <si>
    <t>=ber_PO!$A$1</t>
  </si>
  <si>
    <t>=ber_PO!$AB$12</t>
  </si>
  <si>
    <t>=ber_PO!$AB$13</t>
  </si>
  <si>
    <t>=ber_PO!$AB$14</t>
  </si>
  <si>
    <t>=ber_PO!$AB$15</t>
  </si>
  <si>
    <t>=ber_PO!$AB$16</t>
  </si>
  <si>
    <t>=ber_PO!$AB$17</t>
  </si>
  <si>
    <t>=ber_PO!$AB$18</t>
  </si>
  <si>
    <t>rocuronium</t>
  </si>
  <si>
    <t>0,01-1,5 mcg/kg/min</t>
  </si>
  <si>
    <t>25-100 nanogram/kg/min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</si>
  <si>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</si>
  <si>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</si>
  <si>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</si>
  <si>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</si>
  <si>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</si>
  <si>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</si>
  <si>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</si>
  <si>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</si>
  <si>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</si>
  <si>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</si>
  <si>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gluc10%</t>
  </si>
  <si>
    <t>Voeding</t>
  </si>
  <si>
    <t>Infuus</t>
  </si>
  <si>
    <t>=ber_Med_disc!$D$8</t>
  </si>
  <si>
    <t>=ber_Med_disc!$D$9</t>
  </si>
  <si>
    <t>=ber_Med_disc!$D$10</t>
  </si>
  <si>
    <t>tblAanvAfspr</t>
  </si>
  <si>
    <t>=ber_Infusen!$J$1:$J$14</t>
  </si>
  <si>
    <t>tblAdvies</t>
  </si>
  <si>
    <t>=dbForm!$H$2:$H$1016</t>
  </si>
  <si>
    <t>tblApparaat</t>
  </si>
  <si>
    <t>=ber_bead!$D$2:$D$5</t>
  </si>
  <si>
    <t>tblBerPO</t>
  </si>
  <si>
    <t>=ber_PO!$B$2:$AB$10</t>
  </si>
  <si>
    <t>tblBerPoeder</t>
  </si>
  <si>
    <t>=ber_PO!$AD$2:$AN$10</t>
  </si>
  <si>
    <t>tblBijz</t>
  </si>
  <si>
    <t>=dbForm!$I$2:$I$1016</t>
  </si>
  <si>
    <t>tblDBFormularium</t>
  </si>
  <si>
    <t>=dbForm!$A$2:$P$2033</t>
  </si>
  <si>
    <t>tblDosEenh</t>
  </si>
  <si>
    <t>1.</t>
  </si>
  <si>
    <t>2.</t>
  </si>
  <si>
    <t>3.</t>
  </si>
  <si>
    <t>4.</t>
  </si>
  <si>
    <t>5.</t>
  </si>
  <si>
    <t>=ber_IVmed!$E$13</t>
  </si>
  <si>
    <t>=ber_IVmed!$E$14</t>
  </si>
  <si>
    <t>=ber_IVmed!$E$20</t>
  </si>
  <si>
    <t>=ber_IVmed!$E$4</t>
  </si>
  <si>
    <t>=ber_IVmed!$E$5</t>
  </si>
  <si>
    <t>=ber_IVmed!$E$6</t>
  </si>
  <si>
    <t>=ber_IVmed!$E$7</t>
  </si>
  <si>
    <t>=ber_IVmed!$E$8</t>
  </si>
  <si>
    <t>=ber_IVmed!$E$9</t>
  </si>
  <si>
    <t>=ber_IVmed!$E$10</t>
  </si>
  <si>
    <t>=ber_IVmed!$E$11</t>
  </si>
  <si>
    <t>=ber_TPN!$C$8</t>
  </si>
  <si>
    <t>=ber_TPN!$C$20</t>
  </si>
  <si>
    <t>=ber_TPN!$E$8</t>
  </si>
  <si>
    <t>=ber_TPN!$E$20</t>
  </si>
  <si>
    <t>=ber_PO!$P$22</t>
  </si>
  <si>
    <t>Pupillen om de</t>
  </si>
  <si>
    <t>Temperatuur om de</t>
  </si>
  <si>
    <t>RR bloedig om de</t>
  </si>
  <si>
    <t>Maaghevel om de</t>
  </si>
  <si>
    <t>CVD om de</t>
  </si>
  <si>
    <t>GCS om de</t>
  </si>
  <si>
    <t>Urine produktie om de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</si>
  <si>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</si>
  <si>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</si>
  <si>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</si>
  <si>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</si>
  <si>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</si>
  <si>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</si>
  <si>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</si>
  <si>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</si>
  <si>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Lab16u_14</t>
  </si>
  <si>
    <t>Lab16u_2</t>
  </si>
  <si>
    <t>=dbBead!$Q$2</t>
  </si>
  <si>
    <t>BedNummer</t>
  </si>
  <si>
    <t>=Patienten!$T$1</t>
  </si>
  <si>
    <t>=ber_TPN!$C$9</t>
  </si>
  <si>
    <t>=ber_lab!$C$8</t>
  </si>
  <si>
    <t>Opmerking:</t>
  </si>
  <si>
    <t>Medicatie continu intraveneus</t>
  </si>
  <si>
    <t>Geen sonde</t>
  </si>
  <si>
    <t>Infuussnelheid</t>
  </si>
  <si>
    <t>SSTglucose</t>
  </si>
  <si>
    <t>MedDosHoev_8</t>
  </si>
  <si>
    <t>MedDosHoev_9</t>
  </si>
  <si>
    <t>PLV</t>
  </si>
  <si>
    <t>Mode:</t>
  </si>
  <si>
    <t>Frequentie:</t>
  </si>
  <si>
    <t>Ti:</t>
  </si>
  <si>
    <t>=dbForm!$A$2:$A$1016</t>
  </si>
  <si>
    <t>tblRecNoPrep</t>
  </si>
  <si>
    <t>=dbForm!$X$2:$X$1018</t>
  </si>
  <si>
    <t>tblSonde</t>
  </si>
  <si>
    <t>=ber_bead!$H$2:$H$5</t>
  </si>
  <si>
    <t>tblSSTGlucose</t>
  </si>
  <si>
    <t>=ber_TPN!$K$25:$K$39</t>
  </si>
  <si>
    <t>MedOplVol_8</t>
  </si>
  <si>
    <t>LabOpn_8</t>
  </si>
  <si>
    <t>LabOpn_9</t>
  </si>
  <si>
    <t>=ber_Med_disc!$H$14</t>
  </si>
  <si>
    <t>Patient</t>
  </si>
  <si>
    <t>=dbBead!$AF$2</t>
  </si>
  <si>
    <t>=dbBead!$AN$2</t>
  </si>
  <si>
    <t>=dbBead!$I$2</t>
  </si>
  <si>
    <t>=ber_Med_disc!$D$11</t>
  </si>
  <si>
    <t>=ber_Med_disc!$D$12</t>
  </si>
  <si>
    <t>=ber_Med_disc!$D$13</t>
  </si>
  <si>
    <t>=ber_Med_disc!$D$14</t>
  </si>
  <si>
    <t>=ber_Med_disc!$D$15</t>
  </si>
  <si>
    <t>=ber_Med_disc!$D$16</t>
  </si>
  <si>
    <t>=ber_Med_disc!$D$17</t>
  </si>
  <si>
    <t>=ber_Med_disc!$D$18</t>
  </si>
  <si>
    <t>=ber_Med_disc!$D$19</t>
  </si>
  <si>
    <t>opmMedDisc__13</t>
  </si>
  <si>
    <t>opmMedDisc__14</t>
  </si>
  <si>
    <t>opmMedDisc__15</t>
  </si>
  <si>
    <t>MedOpl_16</t>
  </si>
  <si>
    <t>MedOpl_17</t>
  </si>
  <si>
    <t>WisselLigging</t>
  </si>
  <si>
    <t>Lab06u_1</t>
  </si>
  <si>
    <t>opmAfsprBlad__11</t>
  </si>
  <si>
    <t>opmAfsprBlad__12</t>
  </si>
  <si>
    <t>opmAfsprBlad__13</t>
  </si>
  <si>
    <t>PRVC</t>
  </si>
  <si>
    <t>PC</t>
  </si>
  <si>
    <t>VC</t>
  </si>
  <si>
    <t>PS</t>
  </si>
  <si>
    <t>VS</t>
  </si>
  <si>
    <t>medicament</t>
  </si>
  <si>
    <t>ml spuit</t>
  </si>
  <si>
    <t>infuussnelheid</t>
  </si>
  <si>
    <t>dosering</t>
  </si>
  <si>
    <t>dopamine</t>
  </si>
  <si>
    <t>Glucose 5%</t>
  </si>
  <si>
    <t>Glucose 10%</t>
  </si>
  <si>
    <t>opmMedDisc__8</t>
  </si>
  <si>
    <t>Lab06u_14</t>
  </si>
  <si>
    <t>Lab06u_2</t>
  </si>
  <si>
    <t>Lab06u_3</t>
  </si>
  <si>
    <t>Lab06u_4</t>
  </si>
  <si>
    <t>Lab06u_5</t>
  </si>
  <si>
    <t>Lab06u_6</t>
  </si>
  <si>
    <t>Datum:</t>
  </si>
  <si>
    <t>Opnamedatum:</t>
  </si>
  <si>
    <t>PresCon</t>
  </si>
  <si>
    <t>Nutrison Standard</t>
  </si>
  <si>
    <t>Nutrison Energy</t>
  </si>
  <si>
    <t>Perifeer infuus 1: SST 2</t>
  </si>
  <si>
    <t>Paraaf verpleegkundige:</t>
  </si>
  <si>
    <t>sc</t>
  </si>
  <si>
    <t>Lab12u_9</t>
  </si>
  <si>
    <t>Formule</t>
  </si>
  <si>
    <t>=ber_lab!$B$11</t>
  </si>
  <si>
    <t>=ber_lab!$B$12</t>
  </si>
  <si>
    <t>=ber_lab!$B$13</t>
  </si>
  <si>
    <t>Pomp-snelh.</t>
  </si>
  <si>
    <t>SST2Stand</t>
  </si>
  <si>
    <t>NaCl 0,9%</t>
  </si>
  <si>
    <t>=ber_lab!$F$15</t>
  </si>
  <si>
    <t>=ber_lab!$F$16</t>
  </si>
  <si>
    <t>=ber_lab!$F$17</t>
  </si>
  <si>
    <t>=ber_lab!$F$4</t>
  </si>
  <si>
    <t>=ber_lab!$F$11</t>
  </si>
  <si>
    <t>=ber_lab!$F$3</t>
  </si>
  <si>
    <t>=ber_lab!$F$5</t>
  </si>
  <si>
    <t>=ber_lab!$F$6</t>
  </si>
  <si>
    <t>Peditrace</t>
  </si>
  <si>
    <t>nasotracheaal tube</t>
  </si>
  <si>
    <t>=ber_Med_disc!$C$2</t>
  </si>
  <si>
    <t>=ber_Med_disc!$C$11</t>
  </si>
  <si>
    <t>=ber_Med_disc!$C$12</t>
  </si>
  <si>
    <t>=ber_Med_disc!$C$13</t>
  </si>
  <si>
    <t>=ber_Med_disc!$C$14</t>
  </si>
  <si>
    <t>=ber_Med_disc!$C$15</t>
  </si>
  <si>
    <t>=ber_Med_disc!$C$16</t>
  </si>
  <si>
    <t>=ber_Med_disc!$C$17</t>
  </si>
  <si>
    <t>=ber_Med_disc!$C$18</t>
  </si>
  <si>
    <t>=ber_Med_disc!$C$19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</si>
  <si>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</si>
  <si>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</si>
  <si>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</si>
  <si>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</si>
  <si>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</si>
  <si>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</si>
  <si>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</si>
  <si>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</si>
  <si>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</si>
  <si>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MedStart_1</t>
  </si>
  <si>
    <t>MedStart_10</t>
  </si>
  <si>
    <t>MedStart_11</t>
  </si>
  <si>
    <t>calciumchloride 10%</t>
  </si>
  <si>
    <t>Acuut</t>
  </si>
  <si>
    <t>0,5-5 mcg/kg/min</t>
  </si>
  <si>
    <t>0,2-2 mcg/kg/min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</si>
  <si>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</si>
  <si>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</si>
  <si>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</si>
  <si>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</si>
  <si>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</si>
  <si>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</si>
  <si>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Lab06u_7</t>
  </si>
  <si>
    <t>Lab06u_8</t>
  </si>
  <si>
    <t>Lab06u_9</t>
  </si>
  <si>
    <t>Lab12u_1</t>
  </si>
  <si>
    <t>Lab12u_10</t>
  </si>
  <si>
    <t>Lab12u_11</t>
  </si>
  <si>
    <t>Lab12u_12</t>
  </si>
  <si>
    <t>Lab12u_13</t>
  </si>
  <si>
    <t>Lab12u_14</t>
  </si>
  <si>
    <t>Lab12u_2</t>
  </si>
  <si>
    <t>Lab12u_3</t>
  </si>
  <si>
    <t>Lab12u_4</t>
  </si>
  <si>
    <t>Lab12u_5</t>
  </si>
  <si>
    <t>Lab12u_6</t>
  </si>
  <si>
    <t>Lab12u_7</t>
  </si>
  <si>
    <t>Lab12u_8</t>
  </si>
  <si>
    <t>=ber_IVmed!$F$13</t>
  </si>
  <si>
    <t>=ber_IVmed!$F$14</t>
  </si>
  <si>
    <t>Arts</t>
  </si>
  <si>
    <t>ml/24uur</t>
  </si>
  <si>
    <t>EEG</t>
  </si>
  <si>
    <t>Maaghevel terug geven als Ringers om de 4 uur</t>
  </si>
  <si>
    <t>milrinon</t>
  </si>
  <si>
    <t>MedOplVol_5</t>
  </si>
  <si>
    <t>MedOplVol_6</t>
  </si>
  <si>
    <t>MedOplVol_7</t>
  </si>
  <si>
    <t>Neussonde</t>
  </si>
  <si>
    <t>Koepel</t>
  </si>
  <si>
    <t>Geen</t>
  </si>
  <si>
    <t>geen</t>
  </si>
  <si>
    <t>O2:</t>
  </si>
  <si>
    <t>O2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</si>
  <si>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</si>
  <si>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</si>
  <si>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</si>
  <si>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</si>
  <si>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</si>
  <si>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</si>
  <si>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</si>
  <si>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</si>
  <si>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</si>
  <si>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</si>
  <si>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MedIVMlSpuit_16</t>
  </si>
  <si>
    <t>InstMedIVStand_14</t>
  </si>
  <si>
    <t>InstMedIVStand_15</t>
  </si>
  <si>
    <t>Lab16u_4</t>
  </si>
  <si>
    <t>Lab16u_5</t>
  </si>
  <si>
    <t>InstMedIVStand_6</t>
  </si>
  <si>
    <t>InstMedIVStand_7</t>
  </si>
  <si>
    <t>=ber_Med_disc!$C$10</t>
  </si>
  <si>
    <t>=ber_Med_disc!$N$2</t>
  </si>
  <si>
    <t>=ber_Med_disc!$N$11</t>
  </si>
  <si>
    <t>0,6-1,2 mg/kg/uur</t>
  </si>
  <si>
    <t>oplossing ml</t>
  </si>
  <si>
    <t>Adviesdosering</t>
  </si>
  <si>
    <t>advies dosering</t>
  </si>
  <si>
    <t>=ber_Med_disc!$N$12</t>
  </si>
  <si>
    <t>=ber_Med_disc!$N$13</t>
  </si>
  <si>
    <t>=ber_Med_disc!$N$14</t>
  </si>
  <si>
    <t>=ber_Med_disc!$N$15</t>
  </si>
  <si>
    <t>=ber_Med_disc!$N$16</t>
  </si>
  <si>
    <t>=ber_Med_disc!$N$17</t>
  </si>
  <si>
    <t>=ber_Med_disc!$N$18</t>
  </si>
  <si>
    <t>=ber_Med_disc!$N$19</t>
  </si>
  <si>
    <t>=ber_Med_disc!$N$20</t>
  </si>
  <si>
    <t>=ber_Med_disc!$N$3</t>
  </si>
  <si>
    <t>=ber_Med_disc!$N$21</t>
  </si>
  <si>
    <t>=ber_Med_disc!$N$4</t>
  </si>
  <si>
    <t>=ber_Med_disc!$N$5</t>
  </si>
  <si>
    <t>=ber_lab!$C$12</t>
  </si>
  <si>
    <t>=ber_lab!$D$2</t>
  </si>
  <si>
    <t>=ber_lab!$D$13</t>
  </si>
  <si>
    <t>=ber_lab!$D$14</t>
  </si>
  <si>
    <t>=ber_lab!$D$15</t>
  </si>
  <si>
    <t>=Patienten!$S$1</t>
  </si>
  <si>
    <t>MedIVOplVlst_5</t>
  </si>
  <si>
    <t>MedIVOplVlst_6</t>
  </si>
  <si>
    <t>MedIVOplVlst_7</t>
  </si>
  <si>
    <t>tblEenh</t>
  </si>
  <si>
    <t>MedIVOplVlst_3</t>
  </si>
  <si>
    <t>MedIVOplVlst_4</t>
  </si>
  <si>
    <t>MedIVOplVlst_12</t>
  </si>
  <si>
    <t>=ber_lab!$C$9</t>
  </si>
  <si>
    <t>=ber_lab!$C$10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</si>
  <si>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</si>
  <si>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</si>
  <si>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</si>
  <si>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</si>
  <si>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</si>
  <si>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</si>
  <si>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</si>
  <si>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</si>
  <si>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</si>
  <si>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</si>
  <si>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</si>
  <si>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</si>
  <si>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</si>
  <si>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</si>
  <si>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</si>
  <si>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</si>
  <si>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</si>
  <si>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</si>
  <si>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</si>
  <si>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</si>
  <si>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</si>
  <si>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</si>
  <si>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</si>
  <si>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=ber_lab!$F$12</t>
  </si>
  <si>
    <t>=ber_lab!$B$2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</si>
  <si>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</si>
  <si>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</si>
  <si>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</si>
  <si>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</si>
  <si>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</si>
  <si>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</si>
  <si>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</si>
  <si>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</si>
  <si>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=ber_TPN!$D$17</t>
  </si>
  <si>
    <t>=ber_TPN!$B$6</t>
  </si>
  <si>
    <t>=ber_TPN!$B$18</t>
  </si>
  <si>
    <t>=ber_TPN!$D$3</t>
  </si>
  <si>
    <t>=ber_Med_disc!$D$2</t>
  </si>
  <si>
    <t>Overige_2</t>
  </si>
  <si>
    <t>=ber_Infusen!$M$2</t>
  </si>
  <si>
    <t>Overige_3</t>
  </si>
  <si>
    <t>=ber_Infusen!$M$3</t>
  </si>
  <si>
    <t>Overige_4</t>
  </si>
  <si>
    <t>=ber_Infusen!$M$4</t>
  </si>
  <si>
    <t>Overige_5</t>
  </si>
  <si>
    <t>=ber_Infusen!$M$5</t>
  </si>
  <si>
    <t>Overige_6</t>
  </si>
  <si>
    <t>=ber_Infusen!$M$6</t>
  </si>
  <si>
    <t>=dbBead!$A$2</t>
  </si>
  <si>
    <t>patRec</t>
  </si>
  <si>
    <t>VolPO_2</t>
  </si>
  <si>
    <t>VolPO_3</t>
  </si>
  <si>
    <t>DosHoev_15</t>
  </si>
  <si>
    <t>DosHoev_16</t>
  </si>
  <si>
    <t>DosHoev_17</t>
  </si>
  <si>
    <t>DosHoev_18</t>
  </si>
  <si>
    <t>tblStandDos</t>
  </si>
  <si>
    <t>=dbForm!$V$2:$V$1018</t>
  </si>
  <si>
    <t>tblSterkte</t>
  </si>
  <si>
    <t>=dbForm!$K$2:$K$1016</t>
  </si>
  <si>
    <t>tblSterkteEenh</t>
  </si>
  <si>
    <t>=dbForm!$L$2:$L$1016</t>
  </si>
  <si>
    <t>tblStof</t>
  </si>
  <si>
    <t>=dbForm!$D$2:$D$1016</t>
  </si>
  <si>
    <t>tblToediening</t>
  </si>
  <si>
    <t>=dbForm!$G$2:$G$1016</t>
  </si>
  <si>
    <t>tblToegang</t>
  </si>
  <si>
    <t>=ber_bead!$A$2:$A$6</t>
  </si>
  <si>
    <t>tblTPN</t>
  </si>
  <si>
    <t>=ber_TPN!$A$25:$I$28</t>
  </si>
  <si>
    <t>tblVoedingPO</t>
  </si>
  <si>
    <t>=ber_PO!$A$22:$A$49</t>
  </si>
  <si>
    <t>tblZuurstof</t>
  </si>
  <si>
    <t>=ber_bead!$B$2:$B$6</t>
  </si>
  <si>
    <t>=dbBead!$AO$2</t>
  </si>
  <si>
    <t>=dbBead!$X$2</t>
  </si>
  <si>
    <t>=dbBead!$W$2</t>
  </si>
  <si>
    <t>=dbBead!$AI$2</t>
  </si>
  <si>
    <t>=ber_Med_disc!$E$16</t>
  </si>
  <si>
    <t>=ber_Med_disc!$E$17</t>
  </si>
  <si>
    <t>=ber_Med_disc!$E$18</t>
  </si>
  <si>
    <t>=ber_Med_disc!$E$19</t>
  </si>
  <si>
    <t>=ber_Med_disc!$E$20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</si>
  <si>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</si>
  <si>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</si>
  <si>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</si>
  <si>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</si>
  <si>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</si>
  <si>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</si>
  <si>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</si>
  <si>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</si>
  <si>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</si>
  <si>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</si>
  <si>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</si>
  <si>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</si>
  <si>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thorax drain, -15 cmH2O</t>
  </si>
  <si>
    <t>urine kweek</t>
  </si>
  <si>
    <t>urine sediment</t>
  </si>
  <si>
    <t>rine sediment en kweek</t>
  </si>
  <si>
    <t>urine sediment ma-wo-vr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</si>
  <si>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</si>
  <si>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</si>
  <si>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</si>
  <si>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</si>
  <si>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</si>
  <si>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</si>
  <si>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</si>
  <si>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</si>
  <si>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</si>
  <si>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CMV</t>
  </si>
  <si>
    <t>HFOBF</t>
  </si>
  <si>
    <t>=ber_PO!$P$23</t>
  </si>
  <si>
    <t>=ber_Med_disc!$K$11</t>
  </si>
  <si>
    <t>=ber_Med_disc!$K$12</t>
  </si>
  <si>
    <t>=ber_Med_disc!$K$13</t>
  </si>
  <si>
    <t>=ber_Med_disc!$K$14</t>
  </si>
  <si>
    <t>neus masker</t>
  </si>
  <si>
    <t>Controle_10</t>
  </si>
  <si>
    <t>=ber_Infusen!$H$10</t>
  </si>
  <si>
    <t>Controle_2</t>
  </si>
  <si>
    <t>=ber_Infusen!$H$2</t>
  </si>
  <si>
    <t>Controle_3</t>
  </si>
  <si>
    <t>=ber_Infusen!$H$3</t>
  </si>
  <si>
    <t>Controle_4</t>
  </si>
  <si>
    <t>Intake</t>
  </si>
  <si>
    <t>opmMedDisc__9</t>
  </si>
  <si>
    <t>Lab20u_8</t>
  </si>
  <si>
    <t>Lab20u_9</t>
  </si>
  <si>
    <t>midazolam</t>
  </si>
  <si>
    <t>MedToed_18</t>
  </si>
  <si>
    <t>Stof</t>
  </si>
  <si>
    <t>Arterielijn: (&gt; 5 kg) flush 1E heparine/ml FZ: 3 ml/uur</t>
  </si>
  <si>
    <t xml:space="preserve">Arterielijn: (&lt; 5 kg) flush 5E heparine/ml FZ met NaBic 8,4% 5 ml/500ml: 0,5 ml/uur 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</si>
  <si>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</si>
  <si>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</si>
  <si>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</si>
  <si>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</si>
  <si>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</si>
  <si>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</si>
  <si>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=ber_IVmed!$F$6</t>
  </si>
  <si>
    <t>=ber_IVmed!$F$7</t>
  </si>
  <si>
    <t>=ber_IVmed!$F$8</t>
  </si>
  <si>
    <t>=ber_IVmed!$F$9</t>
  </si>
  <si>
    <t>=ber_IVmed!$F$10</t>
  </si>
  <si>
    <t>=ber_Med_disc!$N$10</t>
  </si>
  <si>
    <t>KCl_2</t>
  </si>
  <si>
    <t>KClVol_2</t>
  </si>
  <si>
    <t>Lab06u_15</t>
  </si>
  <si>
    <t>Lab06u_16</t>
  </si>
  <si>
    <t>Lab12u_15</t>
  </si>
  <si>
    <t>Lab12u_16</t>
  </si>
  <si>
    <t>mg/ml</t>
  </si>
  <si>
    <t>Lab06u_12</t>
  </si>
  <si>
    <t>Lab06u_13</t>
  </si>
  <si>
    <t>=ber_lab!$G$9</t>
  </si>
  <si>
    <t>=ber_lab!$G$10</t>
  </si>
  <si>
    <t>Toegang</t>
  </si>
  <si>
    <t>orotracheaal tube</t>
  </si>
  <si>
    <t>MedIVOplVlst_13</t>
  </si>
  <si>
    <t>MedIVOplVlst_14</t>
  </si>
  <si>
    <t>MedIVOplVlst_15</t>
  </si>
  <si>
    <t>MedIVOplVlst_2</t>
  </si>
  <si>
    <t>=ber_Infusen!$H$4</t>
  </si>
  <si>
    <t>Controle_5</t>
  </si>
  <si>
    <t>=ber_Infusen!$H$5</t>
  </si>
  <si>
    <t>Controle_6</t>
  </si>
  <si>
    <t>=ber_Infusen!$H$6</t>
  </si>
  <si>
    <t>DrukCV</t>
  </si>
  <si>
    <t>FreqHFO</t>
  </si>
  <si>
    <t>TiHFO</t>
  </si>
  <si>
    <t>DeltaP</t>
  </si>
  <si>
    <t>TidalVolPLV</t>
  </si>
  <si>
    <t>FreqPLV</t>
  </si>
  <si>
    <t>InspFlow</t>
  </si>
  <si>
    <t>DrukPLV</t>
  </si>
  <si>
    <t>DiscAlarm</t>
  </si>
  <si>
    <t>TiPLV</t>
  </si>
  <si>
    <t>TePLV</t>
  </si>
  <si>
    <t>TubeLengte</t>
  </si>
  <si>
    <t>Intern</t>
  </si>
  <si>
    <t>FreqCV</t>
  </si>
  <si>
    <t>TidalVolCV</t>
  </si>
  <si>
    <t>TiCV</t>
  </si>
  <si>
    <t>PresSup</t>
  </si>
  <si>
    <t>MedTijden_7</t>
  </si>
  <si>
    <t>MedTijden_8</t>
  </si>
  <si>
    <t>MedTijden_9</t>
  </si>
  <si>
    <t>MedToed_1</t>
  </si>
  <si>
    <t>MedToed_10</t>
  </si>
  <si>
    <t>tblToed</t>
  </si>
  <si>
    <t>trach</t>
  </si>
  <si>
    <t>epid</t>
  </si>
  <si>
    <t>nasaal</t>
  </si>
  <si>
    <t>Opl</t>
  </si>
  <si>
    <t>OplVl</t>
  </si>
  <si>
    <t>tblOplVl</t>
  </si>
  <si>
    <t>TotOpl</t>
  </si>
  <si>
    <t>Controle_7</t>
  </si>
  <si>
    <t>=ber_Infusen!$H$7</t>
  </si>
  <si>
    <t>Controle_8</t>
  </si>
  <si>
    <t>=ber_Infusen!$H$8</t>
  </si>
  <si>
    <t>Controle_9</t>
  </si>
  <si>
    <t>=ber_Infusen!$H$9</t>
  </si>
  <si>
    <t>dbPatientSave</t>
  </si>
  <si>
    <t>=Patienten!$A$1:$B$574</t>
  </si>
  <si>
    <t>=dbBead!$AG$2</t>
  </si>
  <si>
    <t>=ber_Med_disc!$K$15</t>
  </si>
  <si>
    <t>=ber_Med_disc!$K$16</t>
  </si>
  <si>
    <t>=ber_Med_disc!$K$17</t>
  </si>
  <si>
    <t>=ber_Med_disc!$K$18</t>
  </si>
  <si>
    <t>=ber_Med_disc!$K$19</t>
  </si>
  <si>
    <t>=ber_Med_disc!$K$20</t>
  </si>
  <si>
    <t>=ber_Med_disc!$K$3</t>
  </si>
  <si>
    <t>=ber_Med_disc!$K$21</t>
  </si>
  <si>
    <t>=ber_Med_disc!$K$4</t>
  </si>
  <si>
    <t>=ber_Med_disc!$K$5</t>
  </si>
  <si>
    <t>=ber_Med_disc!$K$6</t>
  </si>
  <si>
    <t>=ber_Med_disc!$K$7</t>
  </si>
  <si>
    <t>=ber_lab!$E$9</t>
  </si>
  <si>
    <t>=ber_lab!$E$10</t>
  </si>
  <si>
    <t>=ber_lab!$E$12</t>
  </si>
  <si>
    <t>=ber_lab!$F$2</t>
  </si>
  <si>
    <t>=ber_lab!$F$13</t>
  </si>
  <si>
    <t>=ber_lab!$F$14</t>
  </si>
  <si>
    <t>CaGluc</t>
  </si>
  <si>
    <t>CaGlucVol</t>
  </si>
  <si>
    <t>MedIVMlSpuit_9</t>
  </si>
  <si>
    <t>MedIVOplVlst_1</t>
  </si>
  <si>
    <t>MedIVOplVlst_10</t>
  </si>
  <si>
    <t>MedIVOplVlst_11</t>
  </si>
  <si>
    <t>=ber_Med_disc!$M$7</t>
  </si>
  <si>
    <t>=ber_Med_disc!$M$8</t>
  </si>
  <si>
    <t>=ber_Med_disc!$M$9</t>
  </si>
  <si>
    <t>=ber_Med_disc!$M$10</t>
  </si>
  <si>
    <t>=ber_Med_disc!$B$2</t>
  </si>
  <si>
    <t>=ber_IVmed!$D$8</t>
  </si>
  <si>
    <t>=ber_IVmed!$D$9</t>
  </si>
  <si>
    <t>=ber_IVmed!$D$10</t>
  </si>
  <si>
    <t>=ber_IVmed!$D$11</t>
  </si>
  <si>
    <t>=ber_IVmed!$D$26</t>
  </si>
  <si>
    <t>=ber_IVmed!$D$35</t>
  </si>
  <si>
    <t>=ber_IVmed!$D$36</t>
  </si>
  <si>
    <t>=ber_IVmed!$D$37</t>
  </si>
  <si>
    <t>=ber_IVmed!$D$38</t>
  </si>
  <si>
    <t>=ber_IVmed!$D$39</t>
  </si>
  <si>
    <t>=ber_IVmed!$D$40</t>
  </si>
  <si>
    <t>=ber_IVmed!$D$27</t>
  </si>
  <si>
    <t>=ber_IVmed!$D$28</t>
  </si>
  <si>
    <t>=ber_IVmed!$D$29</t>
  </si>
  <si>
    <t>=ber_IVmed!$D$30</t>
  </si>
  <si>
    <t>=ber_Med_disc!$P$12</t>
  </si>
  <si>
    <t>=ber_Med_disc!$P$13</t>
  </si>
  <si>
    <t>=ber_Med_disc!$P$14</t>
  </si>
  <si>
    <t>=ber_Med_disc!$P$15</t>
  </si>
  <si>
    <t>=ber_Med_disc!$P$16</t>
  </si>
  <si>
    <t>=ber_Med_disc!$P$17</t>
  </si>
  <si>
    <t>=ber_Med_disc!$P$18</t>
  </si>
  <si>
    <t>=ber_Med_disc!$P$19</t>
  </si>
  <si>
    <t>1 ml/kg;    max 10 ml</t>
  </si>
  <si>
    <t>Delta P</t>
  </si>
  <si>
    <t>TV:</t>
  </si>
  <si>
    <t>Freqentie:</t>
  </si>
  <si>
    <t>Inspir. Flow:</t>
  </si>
  <si>
    <t>Discontinu alarm:</t>
  </si>
  <si>
    <t>=ber_lab!$E$13</t>
  </si>
  <si>
    <t>=ber_lab!$E$14</t>
  </si>
  <si>
    <t>Infuus_6</t>
  </si>
  <si>
    <t>InstMedIVDos_1</t>
  </si>
  <si>
    <t>InstMedIVDos_10</t>
  </si>
  <si>
    <t>InstMedIVDos_11</t>
  </si>
  <si>
    <t>InstMedIVDos_12</t>
  </si>
  <si>
    <t>InstMedIVDos_13</t>
  </si>
  <si>
    <t>InstMedIVDos_2</t>
  </si>
  <si>
    <t>InstMedIVDos_3</t>
  </si>
  <si>
    <t>InstMedIVDos_4</t>
  </si>
  <si>
    <t>InstMedIVDos_5</t>
  </si>
  <si>
    <t>InstMedIVDos_6</t>
  </si>
  <si>
    <t>InstMedIVDos_7</t>
  </si>
  <si>
    <t>InstMedIVDos_8</t>
  </si>
  <si>
    <t>Gluc5</t>
  </si>
  <si>
    <t>Gluc10</t>
  </si>
  <si>
    <t>1 X</t>
  </si>
  <si>
    <t>an</t>
  </si>
  <si>
    <t>tblTijden</t>
  </si>
  <si>
    <t>Tijden</t>
  </si>
  <si>
    <t>Inloop</t>
  </si>
  <si>
    <t>PatNummer</t>
  </si>
  <si>
    <t>Opname:</t>
  </si>
  <si>
    <t>Opname</t>
  </si>
  <si>
    <t>: Pelikaan</t>
  </si>
  <si>
    <t>Intubatie</t>
  </si>
  <si>
    <t>Afrond_15</t>
  </si>
  <si>
    <t>Afrond_2</t>
  </si>
  <si>
    <t>Afrond_3</t>
  </si>
  <si>
    <t>Afrond_4</t>
  </si>
  <si>
    <t>Afrond_5</t>
  </si>
  <si>
    <t>Afrond_6</t>
  </si>
  <si>
    <t>Afrond_7</t>
  </si>
  <si>
    <t>Afrond_8</t>
  </si>
  <si>
    <t>Afrond_9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</si>
  <si>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</si>
  <si>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</si>
  <si>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</si>
  <si>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</si>
  <si>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</si>
  <si>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</si>
  <si>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</si>
  <si>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</si>
  <si>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</si>
  <si>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</si>
  <si>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mmol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</si>
  <si>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</si>
  <si>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</si>
  <si>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</si>
  <si>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</si>
  <si>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</si>
  <si>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</si>
  <si>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</si>
  <si>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</si>
  <si>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</si>
  <si>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</si>
  <si>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=ber_Med_disc!$T$19</t>
  </si>
  <si>
    <t>RecNo_19</t>
  </si>
  <si>
    <t>=ber_Med_disc!$T$20</t>
  </si>
  <si>
    <t>RecNo_2</t>
  </si>
  <si>
    <t>=ber_Med_disc!$T$3</t>
  </si>
  <si>
    <t>MedOpl_18</t>
  </si>
  <si>
    <t>PLV beademing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</si>
  <si>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</si>
  <si>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</si>
  <si>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</si>
  <si>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</si>
  <si>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</si>
  <si>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</si>
  <si>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</si>
  <si>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</si>
  <si>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</si>
  <si>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</si>
  <si>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=ber_TPN!$E$9</t>
  </si>
  <si>
    <t>=dbBead!$AH$2</t>
  </si>
  <si>
    <t>Controle_1</t>
  </si>
  <si>
    <t>=ber_Infusen!$H$1</t>
  </si>
  <si>
    <t>boven 50 kg</t>
  </si>
  <si>
    <t>=ber_IVmed!$D$31</t>
  </si>
  <si>
    <t>=ber_IVmed!$D$32</t>
  </si>
  <si>
    <t>=ber_IVmed!$D$33</t>
  </si>
  <si>
    <t>=ber_IVmed!$D$34</t>
  </si>
  <si>
    <t>=ber_IVmed!$E$26</t>
  </si>
  <si>
    <t>=ber_IVmed!$E$35</t>
  </si>
  <si>
    <t>=ber_IVmed!$E$36</t>
  </si>
  <si>
    <t>=ber_IVmed!$E$37</t>
  </si>
  <si>
    <t>=ber_IVmed!$E$38</t>
  </si>
  <si>
    <t>=ber_IVmed!$E$39</t>
  </si>
  <si>
    <t>=ber_IVmed!$E$40</t>
  </si>
  <si>
    <t>MedTijden_13</t>
  </si>
  <si>
    <t>MedTijden_14</t>
  </si>
  <si>
    <t>MedTijden_15</t>
  </si>
  <si>
    <t>MedTijden_16</t>
  </si>
  <si>
    <t>MedTijden_17</t>
  </si>
  <si>
    <t>=ber_Med_disc!$H$13</t>
  </si>
  <si>
    <t>=ber_IVmed!$K$9</t>
  </si>
  <si>
    <t>=ber_IVmed!$K$10</t>
  </si>
  <si>
    <t>=ber_IVmed!$K$11</t>
  </si>
  <si>
    <t>=dbBead!$B$2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</si>
  <si>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</si>
  <si>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</si>
  <si>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</si>
  <si>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</si>
  <si>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</si>
  <si>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</si>
  <si>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</si>
  <si>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</si>
  <si>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</si>
  <si>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</si>
  <si>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</si>
  <si>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</si>
  <si>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</si>
  <si>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</si>
  <si>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</si>
  <si>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</si>
  <si>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</si>
  <si>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</si>
  <si>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</si>
  <si>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</si>
  <si>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</si>
  <si>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</si>
  <si>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</si>
  <si>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</si>
  <si>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Lab20u_10</t>
  </si>
  <si>
    <t>2,5-20 mcg/kg/min</t>
  </si>
  <si>
    <t>0,05-0,1 mcg/kg/min</t>
  </si>
  <si>
    <t>0,15-0,7 mcg/kg/min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</si>
  <si>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</si>
  <si>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</si>
  <si>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</si>
  <si>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</si>
  <si>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</si>
  <si>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</si>
  <si>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</si>
  <si>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</si>
  <si>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</si>
  <si>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</si>
  <si>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</si>
  <si>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=ber_PO!$P$24</t>
  </si>
  <si>
    <t>=ber_PO!$P$25</t>
  </si>
  <si>
    <t>=ber_TPN!$C$11</t>
  </si>
  <si>
    <t>=ber_TPN!$E$11</t>
  </si>
  <si>
    <t>=ber_lab!$G$2</t>
  </si>
  <si>
    <t>=ber_lab!$G$13</t>
  </si>
  <si>
    <t>=ber_lab!$G$14</t>
  </si>
  <si>
    <t>=ber_lab!$G$15</t>
  </si>
  <si>
    <t>=ber_lab!$G$16</t>
  </si>
  <si>
    <t>=ber_lab!$G$17</t>
  </si>
  <si>
    <t>isoprenaline</t>
  </si>
  <si>
    <t>=ber_Med_disc!$K$2</t>
  </si>
  <si>
    <t>MedToed_5</t>
  </si>
  <si>
    <t>MedToed_6</t>
  </si>
  <si>
    <t>MedToed_7</t>
  </si>
  <si>
    <t>MedToed_8</t>
  </si>
  <si>
    <t>InstMedIVStand_1</t>
  </si>
  <si>
    <t>InstMedIVStand_10</t>
  </si>
  <si>
    <t>InstMedIVStand_11</t>
  </si>
  <si>
    <t>InstMedIVStand_12</t>
  </si>
  <si>
    <t>InstMedIVStand_13</t>
  </si>
  <si>
    <t>InstMedIVStand_2</t>
  </si>
  <si>
    <t>InstMedIVStand_3</t>
  </si>
  <si>
    <t>Tabel medicijn verdeelsysteem</t>
  </si>
  <si>
    <t>1 dd</t>
  </si>
  <si>
    <t>2 dd</t>
  </si>
  <si>
    <t>3 dd</t>
  </si>
  <si>
    <t>4 dd</t>
  </si>
  <si>
    <t>gastrostoma</t>
  </si>
  <si>
    <t>echo buik</t>
  </si>
  <si>
    <t>echo hart</t>
  </si>
  <si>
    <t>opname kweken</t>
  </si>
  <si>
    <t>RS-diagnostiek</t>
  </si>
  <si>
    <t>cuff bloeddruk alle ledematen, eenmalig</t>
  </si>
  <si>
    <t>peritoneaal drain</t>
  </si>
  <si>
    <t>pacemakerdraden</t>
  </si>
  <si>
    <t>CT scan</t>
  </si>
  <si>
    <t>MRI</t>
  </si>
  <si>
    <t>faeceskweek</t>
  </si>
  <si>
    <t>faeces rota/adeno</t>
  </si>
  <si>
    <t>keelkweek</t>
  </si>
  <si>
    <t>uitzuigkweek</t>
  </si>
  <si>
    <t>urine natrium/kalium</t>
  </si>
  <si>
    <t>pupilcontroles:</t>
  </si>
  <si>
    <t>GCS:</t>
  </si>
  <si>
    <t>cuff bloeddruk:</t>
  </si>
  <si>
    <t>maagretentie:</t>
  </si>
  <si>
    <t>redon drain</t>
  </si>
  <si>
    <t>maagsonde open en hoog</t>
  </si>
  <si>
    <t>bloed kweek</t>
  </si>
  <si>
    <t>catheter a demeure</t>
  </si>
  <si>
    <t>thorax drain, -10 cmH2O</t>
  </si>
  <si>
    <t>prednisolon</t>
  </si>
  <si>
    <t>SSTGlucose_2</t>
  </si>
  <si>
    <t>tblGroep</t>
  </si>
  <si>
    <t>=dbForm!$B$2:$B$1016</t>
  </si>
  <si>
    <t>tblHFO</t>
  </si>
  <si>
    <t>=ber_Med_disc!$T$13</t>
  </si>
  <si>
    <t>RecNo_13</t>
  </si>
  <si>
    <t>=ber_Med_disc!$T$14</t>
  </si>
  <si>
    <t>RecNo_14</t>
  </si>
  <si>
    <t>=ber_Med_disc!$T$15</t>
  </si>
  <si>
    <t>RecNo_15</t>
  </si>
  <si>
    <t>=ber_Med_disc!$T$16</t>
  </si>
  <si>
    <t>RecNo_16</t>
  </si>
  <si>
    <t>=ber_Med_disc!$T$17</t>
  </si>
  <si>
    <t>=ber_Med_disc!$E$3</t>
  </si>
  <si>
    <t>=ber_Med_disc!$E$21</t>
  </si>
  <si>
    <t>=ber_Med_disc!$E$4</t>
  </si>
  <si>
    <t>=ber_Med_disc!$E$5</t>
  </si>
  <si>
    <t>=ber_Med_disc!$E$6</t>
  </si>
  <si>
    <t>=ber_Med_disc!$E$7</t>
  </si>
  <si>
    <t>=ber_Med_disc!$E$8</t>
  </si>
  <si>
    <t>=ber_Med_disc!$E$9</t>
  </si>
  <si>
    <t>=ber_Med_disc!$F$5</t>
  </si>
  <si>
    <t>=ber_Med_disc!$F$6</t>
  </si>
  <si>
    <t>=ber_Med_disc!$F$7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</si>
  <si>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</si>
  <si>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</si>
  <si>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</si>
  <si>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</si>
  <si>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</si>
  <si>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</si>
  <si>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</si>
  <si>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</si>
  <si>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</si>
  <si>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</si>
  <si>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</si>
  <si>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</si>
  <si>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</si>
  <si>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</si>
  <si>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</si>
  <si>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</si>
  <si>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</si>
  <si>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MedIVMlSpuit_5</t>
  </si>
  <si>
    <t>MedOpl_8</t>
  </si>
  <si>
    <t>MedOpl_9</t>
  </si>
  <si>
    <t>MedOplVol_1</t>
  </si>
  <si>
    <t>MedOplVol_10</t>
  </si>
  <si>
    <t>MedOplVol_11</t>
  </si>
  <si>
    <t>MedOplVol_12</t>
  </si>
  <si>
    <t>MedIVMlSpuit_12</t>
  </si>
  <si>
    <t>MedIVMlSpuit_13</t>
  </si>
  <si>
    <t>risetime 5%</t>
  </si>
  <si>
    <t>drukbegrenzing 30 cmH2O</t>
  </si>
  <si>
    <t>mcg/kg/min</t>
  </si>
  <si>
    <t>nanog/kg/min</t>
  </si>
  <si>
    <t>Start datum</t>
  </si>
  <si>
    <t>Jaren</t>
  </si>
  <si>
    <t>Maanden</t>
  </si>
  <si>
    <t>MedInloop_3</t>
  </si>
  <si>
    <t>Diurese compenseren om de 1 uur met FZ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</si>
  <si>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</si>
  <si>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</si>
  <si>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</si>
  <si>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</si>
  <si>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Zuurstof</t>
  </si>
  <si>
    <t>O2_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</si>
  <si>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</si>
  <si>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</si>
  <si>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</si>
  <si>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</si>
  <si>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</si>
  <si>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TrigTimeOut</t>
  </si>
  <si>
    <t>Afrond_17</t>
  </si>
  <si>
    <t>Afrond_18</t>
  </si>
  <si>
    <t>Afrond_19</t>
  </si>
  <si>
    <t>Afrond_20</t>
  </si>
  <si>
    <t>Afrond_21</t>
  </si>
  <si>
    <t>Afrond_22</t>
  </si>
  <si>
    <t>Afrond_23</t>
  </si>
  <si>
    <t>Afrond_16</t>
  </si>
  <si>
    <t>InstMedIVDos_20</t>
  </si>
  <si>
    <t>InstMedIVDos_21</t>
  </si>
  <si>
    <t>met NaCl 0,9%</t>
  </si>
  <si>
    <t>met NaCl 0,9% en Mistabron 5%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</si>
  <si>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</si>
  <si>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</si>
  <si>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</si>
  <si>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</si>
  <si>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</si>
  <si>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</si>
  <si>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</si>
  <si>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</si>
  <si>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</si>
  <si>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</si>
  <si>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</si>
  <si>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</si>
  <si>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 xml:space="preserve">Perifeer infuus 1: lock 4 dd 3 ml FZ  </t>
  </si>
  <si>
    <t>Perifeer infuus 2: lock 4 dd 3 ml FZ</t>
  </si>
  <si>
    <t>Servo I</t>
  </si>
  <si>
    <t>AutoMode</t>
  </si>
  <si>
    <t>EndInspCycl</t>
  </si>
  <si>
    <t>Op geleide van spiegels</t>
  </si>
  <si>
    <t>5 dd</t>
  </si>
  <si>
    <t>zn</t>
  </si>
  <si>
    <t>1-3 mg/kg/uur</t>
  </si>
  <si>
    <t>Epiduraal WKZ</t>
  </si>
  <si>
    <t>ml/u</t>
  </si>
  <si>
    <t>AfsprakenVersie</t>
  </si>
  <si>
    <t>Frequentie</t>
  </si>
  <si>
    <t>Route</t>
  </si>
  <si>
    <t>Opm</t>
  </si>
  <si>
    <t>InstMedIVDos_22</t>
  </si>
  <si>
    <t>InstMedIVDos_23</t>
  </si>
  <si>
    <t>InstMedIVDos_17</t>
  </si>
  <si>
    <t>InstMedIVDos_18</t>
  </si>
  <si>
    <t>InstMedIVDos_19</t>
  </si>
  <si>
    <t>InstMedIVStand_20</t>
  </si>
  <si>
    <t>InstMedIVStand_21</t>
  </si>
  <si>
    <t>InstMedIVStand_22</t>
  </si>
  <si>
    <t>InstMedIVStand_23</t>
  </si>
  <si>
    <t>InstMedIVStand_17</t>
  </si>
  <si>
    <t>InstMedIVStand_18</t>
  </si>
  <si>
    <t>InstMedIVStand_19</t>
  </si>
  <si>
    <t>Paraaf gezien door verpleegkundige:</t>
  </si>
  <si>
    <t>N.B. De roodomlijnde labbepalingen alleen op stricte indicatie aanvragen (kunnen niet via de POC)</t>
  </si>
  <si>
    <t>14:00 uur</t>
  </si>
  <si>
    <t>19:00 uur</t>
  </si>
  <si>
    <t>MedicatieContinu</t>
  </si>
  <si>
    <t>MedicatieDiscontinu</t>
  </si>
  <si>
    <t>TakenEnControles</t>
  </si>
  <si>
    <t>IntravasaleToegang</t>
  </si>
  <si>
    <t>VoedingEnTPN</t>
  </si>
  <si>
    <t>N.B. bereiden en voorschrijven volgens protocol en/of voorschrift anesthesist!</t>
  </si>
  <si>
    <t>Glucose 5% + NaCl 0,45%</t>
  </si>
  <si>
    <t>Glucose 5% + NaCl 0,9%</t>
  </si>
  <si>
    <t>Ringer lactaat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</si>
</sst>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d\ mmmm\ \y\y\y\y"/>
    <numFmt numFmtId="165" formatCode="0\.0"/>
    <numFmt numFmtId="166" formatCode="dd\/mm\/\y\y"/>
    <numFmt numFmtId="167" formatCode="d/mmm/yyyy"/>
    <numFmt numFmtId="168" formatCode="d\ mmmm\ yyyy"/>
    <numFmt numFmtId="169" formatCode="0.0"/>
    <numFmt numFmtId="170" formatCode="0.000"/>
  </numFmts>
  <fonts count="55" x14ac:knownFonts="1">
    <font>
      <sz val="10"/>
      <name val="Arial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u/>
      <sz val="9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9"/>
      <color indexed="9"/>
      <name val="Times New Roman"/>
      <family val="1"/>
    </font>
    <font>
      <sz val="9"/>
      <color indexed="10"/>
      <name val="Times New Roman"/>
      <family val="1"/>
    </font>
    <font>
      <sz val="10"/>
      <name val="Times New Roman"/>
      <family val="1"/>
    </font>
    <font>
      <i/>
      <sz val="10"/>
      <name val="Times New Roman"/>
      <family val="1"/>
    </font>
    <font>
      <b/>
      <sz val="9"/>
      <name val="Times New Roman"/>
      <family val="1"/>
    </font>
    <font>
      <sz val="8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42"/>
      <name val="Arial"/>
      <family val="2"/>
    </font>
    <font>
      <sz val="10"/>
      <color indexed="10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</fills>
  <borders count="5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40"/>
      </bottom>
      <diagonal/>
    </border>
    <border>
      <left style="thin">
        <color indexed="9"/>
      </left>
      <right style="thin">
        <color indexed="9"/>
      </right>
      <top style="thin">
        <color indexed="40"/>
      </top>
      <bottom style="thin">
        <color indexed="40"/>
      </bottom>
      <diagonal/>
    </border>
    <border>
      <left style="thin">
        <color indexed="9"/>
      </left>
      <right style="thin">
        <color indexed="9"/>
      </right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15"/>
      </top>
      <bottom style="thin">
        <color indexed="15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37" fillId="3" borderId="0" applyNumberFormat="0" applyBorder="0" applyAlignment="0" applyProtection="0"/>
    <xf numFmtId="0" fontId="38" fillId="20" borderId="1" applyNumberFormat="0" applyAlignment="0" applyProtection="0"/>
    <xf numFmtId="0" fontId="39" fillId="21" borderId="2" applyNumberFormat="0" applyAlignment="0" applyProtection="0"/>
    <xf numFmtId="0" fontId="40" fillId="0" borderId="0" applyNumberFormat="0" applyFill="0" applyBorder="0" applyAlignment="0" applyProtection="0"/>
    <xf numFmtId="0" fontId="41" fillId="4" borderId="0" applyNumberFormat="0" applyBorder="0" applyAlignment="0" applyProtection="0"/>
    <xf numFmtId="0" fontId="42" fillId="0" borderId="3" applyNumberFormat="0" applyFill="0" applyAlignment="0" applyProtection="0"/>
    <xf numFmtId="0" fontId="43" fillId="0" borderId="4" applyNumberFormat="0" applyFill="0" applyAlignment="0" applyProtection="0"/>
    <xf numFmtId="0" fontId="44" fillId="0" borderId="5" applyNumberFormat="0" applyFill="0" applyAlignment="0" applyProtection="0"/>
    <xf numFmtId="0" fontId="44" fillId="0" borderId="0" applyNumberFormat="0" applyFill="0" applyBorder="0" applyAlignment="0" applyProtection="0"/>
    <xf numFmtId="0" fontId="45" fillId="7" borderId="1" applyNumberFormat="0" applyAlignment="0" applyProtection="0"/>
    <xf numFmtId="0" fontId="46" fillId="0" borderId="6" applyNumberFormat="0" applyFill="0" applyAlignment="0" applyProtection="0"/>
    <xf numFmtId="0" fontId="47" fillId="22" borderId="0" applyNumberFormat="0" applyBorder="0" applyAlignment="0" applyProtection="0"/>
    <xf numFmtId="0" fontId="1" fillId="23" borderId="7" applyNumberFormat="0" applyFont="0" applyAlignment="0" applyProtection="0"/>
    <xf numFmtId="0" fontId="48" fillId="20" borderId="8" applyNumberFormat="0" applyAlignment="0" applyProtection="0"/>
    <xf numFmtId="0" fontId="49" fillId="0" borderId="0" applyNumberFormat="0" applyFill="0" applyBorder="0" applyAlignment="0" applyProtection="0"/>
    <xf numFmtId="0" fontId="50" fillId="0" borderId="9" applyNumberFormat="0" applyFill="0" applyAlignment="0" applyProtection="0"/>
    <xf numFmtId="0" fontId="51" fillId="0" borderId="0" applyNumberFormat="0" applyFill="0" applyBorder="0" applyAlignment="0" applyProtection="0"/>
  </cellStyleXfs>
  <cellXfs count="435">
    <xf numFmtId="0" fontId="0" fillId="0" borderId="0" xfId="0"/>
    <xf numFmtId="0" fontId="0" fillId="0" borderId="0" xfId="0" applyAlignment="1">
      <alignment horizontal="left"/>
    </xf>
    <xf numFmtId="0" fontId="2" fillId="24" borderId="0" xfId="0" applyFont="1" applyFill="1"/>
    <xf numFmtId="0" fontId="4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6" fontId="0" fillId="0" borderId="0" xfId="0" applyNumberFormat="1"/>
    <xf numFmtId="0" fontId="5" fillId="0" borderId="0" xfId="0" applyFont="1" applyFill="1"/>
    <xf numFmtId="0" fontId="5" fillId="0" borderId="0" xfId="0" applyFont="1" applyFill="1" applyBorder="1"/>
    <xf numFmtId="0" fontId="4" fillId="0" borderId="0" xfId="0" applyFont="1" applyAlignment="1">
      <alignment horizontal="center"/>
    </xf>
    <xf numFmtId="0" fontId="13" fillId="0" borderId="0" xfId="0" applyFont="1"/>
    <xf numFmtId="0" fontId="4" fillId="0" borderId="10" xfId="0" applyFont="1" applyBorder="1"/>
    <xf numFmtId="0" fontId="0" fillId="0" borderId="11" xfId="0" applyBorder="1"/>
    <xf numFmtId="0" fontId="0" fillId="0" borderId="12" xfId="0" applyBorder="1"/>
    <xf numFmtId="0" fontId="4" fillId="0" borderId="10" xfId="0" applyFont="1" applyBorder="1" applyAlignment="1">
      <alignment horizontal="left"/>
    </xf>
    <xf numFmtId="0" fontId="15" fillId="0" borderId="7" xfId="0" quotePrefix="1" applyNumberFormat="1" applyFont="1" applyBorder="1"/>
    <xf numFmtId="0" fontId="12" fillId="0" borderId="7" xfId="0" applyFont="1" applyBorder="1"/>
    <xf numFmtId="0" fontId="12" fillId="0" borderId="0" xfId="0" applyFont="1"/>
    <xf numFmtId="0" fontId="0" fillId="0" borderId="7" xfId="0" applyBorder="1"/>
    <xf numFmtId="0" fontId="2" fillId="24" borderId="0" xfId="0" applyFont="1" applyFill="1" applyProtection="1"/>
    <xf numFmtId="0" fontId="8" fillId="24" borderId="0" xfId="0" applyFont="1" applyFill="1" applyBorder="1" applyProtection="1"/>
    <xf numFmtId="0" fontId="8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13" fillId="0" borderId="0" xfId="0" applyFont="1" applyFill="1"/>
    <xf numFmtId="0" fontId="13" fillId="0" borderId="13" xfId="0" applyFont="1" applyFill="1" applyBorder="1" applyAlignment="1">
      <alignment wrapText="1"/>
    </xf>
    <xf numFmtId="0" fontId="13" fillId="0" borderId="13" xfId="0" applyFont="1" applyFill="1" applyBorder="1" applyAlignment="1">
      <alignment horizontal="left" wrapText="1"/>
    </xf>
    <xf numFmtId="0" fontId="13" fillId="0" borderId="0" xfId="0" applyFont="1" applyFill="1" applyBorder="1"/>
    <xf numFmtId="0" fontId="13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horizontal="left" wrapText="1"/>
    </xf>
    <xf numFmtId="0" fontId="13" fillId="0" borderId="0" xfId="0" applyFont="1" applyFill="1" applyProtection="1">
      <protection locked="0"/>
    </xf>
    <xf numFmtId="0" fontId="13" fillId="0" borderId="0" xfId="0" applyFont="1" applyFill="1" applyAlignment="1" applyProtection="1">
      <alignment horizontal="center"/>
      <protection locked="0"/>
    </xf>
    <xf numFmtId="0" fontId="13" fillId="0" borderId="0" xfId="0" applyFont="1" applyFill="1" applyAlignment="1">
      <alignment wrapText="1"/>
    </xf>
    <xf numFmtId="0" fontId="13" fillId="0" borderId="0" xfId="0" applyFont="1" applyFill="1" applyAlignment="1" applyProtection="1">
      <alignment horizontal="center" wrapText="1"/>
      <protection locked="0"/>
    </xf>
    <xf numFmtId="0" fontId="13" fillId="0" borderId="0" xfId="0" applyFont="1" applyFill="1" applyBorder="1" applyAlignment="1" applyProtection="1">
      <alignment horizontal="center" wrapText="1"/>
      <protection locked="0"/>
    </xf>
    <xf numFmtId="0" fontId="0" fillId="0" borderId="0" xfId="0" applyAlignment="1">
      <alignment wrapText="1"/>
    </xf>
    <xf numFmtId="0" fontId="13" fillId="0" borderId="0" xfId="0" applyFont="1" applyFill="1" applyProtection="1">
      <protection locked="0" hidden="1"/>
    </xf>
    <xf numFmtId="0" fontId="12" fillId="0" borderId="7" xfId="0" quotePrefix="1" applyNumberFormat="1" applyFont="1" applyBorder="1"/>
    <xf numFmtId="0" fontId="12" fillId="0" borderId="0" xfId="0" quotePrefix="1" applyNumberFormat="1" applyFont="1" applyBorder="1"/>
    <xf numFmtId="0" fontId="12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13" fillId="0" borderId="14" xfId="0" applyFont="1" applyBorder="1" applyAlignment="1">
      <alignment vertical="top" wrapText="1"/>
    </xf>
    <xf numFmtId="0" fontId="13" fillId="0" borderId="1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17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0" xfId="0" applyFont="1" applyAlignment="1">
      <alignment vertical="top" wrapText="1"/>
    </xf>
    <xf numFmtId="0" fontId="13" fillId="0" borderId="18" xfId="0" applyFont="1" applyBorder="1" applyAlignment="1">
      <alignment vertical="top" wrapText="1"/>
    </xf>
    <xf numFmtId="0" fontId="13" fillId="0" borderId="19" xfId="0" applyFont="1" applyBorder="1" applyAlignment="1">
      <alignment vertical="top" wrapText="1"/>
    </xf>
    <xf numFmtId="0" fontId="13" fillId="0" borderId="20" xfId="0" applyFont="1" applyBorder="1" applyAlignment="1">
      <alignment vertical="top" wrapText="1"/>
    </xf>
    <xf numFmtId="0" fontId="13" fillId="0" borderId="21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168" fontId="13" fillId="0" borderId="0" xfId="0" applyNumberFormat="1" applyFont="1" applyAlignment="1">
      <alignment horizontal="left"/>
    </xf>
    <xf numFmtId="15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/>
    <xf numFmtId="1" fontId="6" fillId="0" borderId="0" xfId="0" applyNumberFormat="1" applyFont="1" applyFill="1" applyBorder="1" applyAlignment="1">
      <alignment horizontal="left"/>
    </xf>
    <xf numFmtId="167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6" fillId="0" borderId="0" xfId="0" applyFont="1" applyFill="1" applyBorder="1" applyAlignment="1" applyProtection="1">
      <alignment horizontal="left"/>
      <protection locked="0"/>
    </xf>
    <xf numFmtId="0" fontId="17" fillId="0" borderId="0" xfId="0" applyFont="1" applyFill="1" applyBorder="1" applyAlignment="1"/>
    <xf numFmtId="0" fontId="6" fillId="0" borderId="0" xfId="0" quotePrefix="1" applyFont="1" applyFill="1" applyBorder="1"/>
    <xf numFmtId="0" fontId="6" fillId="0" borderId="23" xfId="0" applyFont="1" applyFill="1" applyBorder="1"/>
    <xf numFmtId="0" fontId="6" fillId="0" borderId="11" xfId="0" applyFont="1" applyFill="1" applyBorder="1"/>
    <xf numFmtId="0" fontId="16" fillId="0" borderId="23" xfId="0" applyFont="1" applyFill="1" applyBorder="1"/>
    <xf numFmtId="0" fontId="17" fillId="0" borderId="23" xfId="0" applyFont="1" applyFill="1" applyBorder="1"/>
    <xf numFmtId="0" fontId="6" fillId="0" borderId="0" xfId="0" applyFont="1" applyFill="1" applyBorder="1" applyAlignment="1">
      <alignment horizontal="right"/>
    </xf>
    <xf numFmtId="0" fontId="18" fillId="0" borderId="23" xfId="0" applyFont="1" applyFill="1" applyBorder="1"/>
    <xf numFmtId="0" fontId="6" fillId="0" borderId="23" xfId="0" applyFont="1" applyFill="1" applyBorder="1" applyAlignment="1">
      <alignment horizontal="left"/>
    </xf>
    <xf numFmtId="0" fontId="0" fillId="0" borderId="24" xfId="0" applyNumberFormat="1" applyBorder="1"/>
    <xf numFmtId="0" fontId="0" fillId="0" borderId="0" xfId="0" applyNumberFormat="1" applyBorder="1"/>
    <xf numFmtId="0" fontId="1" fillId="0" borderId="0" xfId="0" applyFont="1" applyFill="1" applyBorder="1"/>
    <xf numFmtId="0" fontId="1" fillId="0" borderId="23" xfId="0" applyFont="1" applyFill="1" applyBorder="1"/>
    <xf numFmtId="0" fontId="1" fillId="0" borderId="0" xfId="0" applyFont="1" applyFill="1" applyBorder="1" applyAlignme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3" fillId="0" borderId="0" xfId="0" applyFont="1" applyFill="1" applyProtection="1"/>
    <xf numFmtId="0" fontId="13" fillId="0" borderId="0" xfId="0" applyFont="1" applyFill="1" applyBorder="1" applyProtection="1"/>
    <xf numFmtId="0" fontId="4" fillId="0" borderId="0" xfId="0" applyFont="1" applyFill="1" applyBorder="1" applyProtection="1"/>
    <xf numFmtId="0" fontId="13" fillId="0" borderId="23" xfId="0" applyFont="1" applyFill="1" applyBorder="1" applyProtection="1"/>
    <xf numFmtId="0" fontId="13" fillId="25" borderId="0" xfId="0" applyFont="1" applyFill="1" applyBorder="1" applyProtection="1"/>
    <xf numFmtId="0" fontId="13" fillId="0" borderId="23" xfId="0" applyFont="1" applyBorder="1"/>
    <xf numFmtId="0" fontId="6" fillId="26" borderId="0" xfId="0" applyFont="1" applyFill="1" applyBorder="1" applyAlignment="1">
      <alignment horizontal="center"/>
    </xf>
    <xf numFmtId="0" fontId="6" fillId="26" borderId="0" xfId="0" applyFont="1" applyFill="1" applyBorder="1" applyAlignment="1">
      <alignment horizontal="right"/>
    </xf>
    <xf numFmtId="0" fontId="6" fillId="26" borderId="0" xfId="0" applyFont="1" applyFill="1" applyBorder="1"/>
    <xf numFmtId="0" fontId="6" fillId="26" borderId="23" xfId="0" applyFont="1" applyFill="1" applyBorder="1" applyAlignment="1">
      <alignment horizontal="center"/>
    </xf>
    <xf numFmtId="0" fontId="6" fillId="26" borderId="23" xfId="0" applyFont="1" applyFill="1" applyBorder="1"/>
    <xf numFmtId="0" fontId="6" fillId="26" borderId="23" xfId="0" applyFont="1" applyFill="1" applyBorder="1" applyAlignment="1">
      <alignment horizontal="right"/>
    </xf>
    <xf numFmtId="0" fontId="6" fillId="26" borderId="23" xfId="0" applyFont="1" applyFill="1" applyBorder="1" applyAlignment="1">
      <alignment horizontal="left" vertical="top"/>
    </xf>
    <xf numFmtId="0" fontId="6" fillId="26" borderId="0" xfId="0" applyFont="1" applyFill="1" applyBorder="1" applyAlignment="1">
      <alignment horizontal="left" vertical="top"/>
    </xf>
    <xf numFmtId="0" fontId="13" fillId="0" borderId="25" xfId="0" applyFont="1" applyBorder="1"/>
    <xf numFmtId="0" fontId="13" fillId="0" borderId="22" xfId="0" applyFont="1" applyBorder="1"/>
    <xf numFmtId="0" fontId="13" fillId="0" borderId="18" xfId="0" applyFont="1" applyBorder="1"/>
    <xf numFmtId="0" fontId="13" fillId="0" borderId="14" xfId="0" applyFont="1" applyBorder="1"/>
    <xf numFmtId="0" fontId="13" fillId="0" borderId="0" xfId="0" applyFont="1" applyBorder="1"/>
    <xf numFmtId="0" fontId="13" fillId="0" borderId="15" xfId="0" applyFont="1" applyBorder="1"/>
    <xf numFmtId="15" fontId="13" fillId="0" borderId="14" xfId="0" applyNumberFormat="1" applyFont="1" applyBorder="1"/>
    <xf numFmtId="0" fontId="13" fillId="0" borderId="16" xfId="0" applyFont="1" applyBorder="1"/>
    <xf numFmtId="0" fontId="13" fillId="0" borderId="17" xfId="0" applyFont="1" applyBorder="1"/>
    <xf numFmtId="0" fontId="13" fillId="0" borderId="26" xfId="0" applyFont="1" applyBorder="1" applyAlignment="1">
      <alignment vertical="top" wrapText="1"/>
    </xf>
    <xf numFmtId="0" fontId="20" fillId="0" borderId="0" xfId="0" applyFont="1" applyFill="1" applyBorder="1"/>
    <xf numFmtId="0" fontId="21" fillId="0" borderId="0" xfId="0" applyFont="1" applyFill="1" applyBorder="1"/>
    <xf numFmtId="0" fontId="0" fillId="0" borderId="0" xfId="0" applyNumberFormat="1" applyAlignment="1">
      <alignment wrapText="1"/>
    </xf>
    <xf numFmtId="0" fontId="0" fillId="0" borderId="24" xfId="0" applyBorder="1" applyAlignment="1">
      <alignment horizontal="center"/>
    </xf>
    <xf numFmtId="0" fontId="13" fillId="0" borderId="14" xfId="0" applyFont="1" applyBorder="1" applyAlignment="1">
      <alignment horizontal="center" vertical="top" wrapText="1"/>
    </xf>
    <xf numFmtId="0" fontId="13" fillId="0" borderId="0" xfId="0" applyFont="1" applyFill="1" applyBorder="1" applyAlignment="1"/>
    <xf numFmtId="0" fontId="22" fillId="0" borderId="0" xfId="0" applyFont="1" applyAlignment="1">
      <alignment vertical="top" wrapText="1"/>
    </xf>
    <xf numFmtId="0" fontId="13" fillId="0" borderId="15" xfId="0" applyFont="1" applyBorder="1" applyAlignment="1">
      <alignment horizontal="left" vertical="top" wrapText="1"/>
    </xf>
    <xf numFmtId="0" fontId="13" fillId="0" borderId="15" xfId="0" applyFont="1" applyBorder="1" applyAlignment="1">
      <alignment horizontal="center" vertical="top" wrapText="1"/>
    </xf>
    <xf numFmtId="0" fontId="13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 wrapText="1"/>
    </xf>
    <xf numFmtId="0" fontId="22" fillId="0" borderId="22" xfId="0" applyFont="1" applyBorder="1" applyAlignment="1">
      <alignment vertical="top" wrapText="1"/>
    </xf>
    <xf numFmtId="0" fontId="16" fillId="0" borderId="0" xfId="0" applyFont="1" applyFill="1" applyBorder="1"/>
    <xf numFmtId="0" fontId="24" fillId="26" borderId="11" xfId="0" applyFont="1" applyFill="1" applyBorder="1"/>
    <xf numFmtId="0" fontId="24" fillId="26" borderId="23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left"/>
    </xf>
    <xf numFmtId="0" fontId="6" fillId="0" borderId="23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left"/>
    </xf>
    <xf numFmtId="0" fontId="2" fillId="0" borderId="0" xfId="0" applyFont="1" applyFill="1"/>
    <xf numFmtId="0" fontId="6" fillId="26" borderId="22" xfId="0" applyFont="1" applyFill="1" applyBorder="1"/>
    <xf numFmtId="0" fontId="24" fillId="26" borderId="23" xfId="0" applyFont="1" applyFill="1" applyBorder="1"/>
    <xf numFmtId="0" fontId="22" fillId="0" borderId="10" xfId="0" applyFont="1" applyBorder="1" applyAlignment="1">
      <alignment vertical="center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3" fillId="0" borderId="12" xfId="0" applyFont="1" applyBorder="1" applyAlignment="1">
      <alignment horizontal="center" vertical="center" wrapText="1"/>
    </xf>
    <xf numFmtId="0" fontId="22" fillId="0" borderId="16" xfId="0" applyFont="1" applyBorder="1" applyAlignment="1">
      <alignment vertical="center" wrapText="1"/>
    </xf>
    <xf numFmtId="0" fontId="22" fillId="0" borderId="23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center" wrapText="1"/>
    </xf>
    <xf numFmtId="0" fontId="22" fillId="0" borderId="14" xfId="0" applyFont="1" applyBorder="1" applyAlignment="1">
      <alignment vertical="center" wrapText="1"/>
    </xf>
    <xf numFmtId="0" fontId="22" fillId="0" borderId="0" xfId="0" applyFont="1" applyAlignment="1">
      <alignment vertical="center" wrapText="1"/>
    </xf>
    <xf numFmtId="0" fontId="22" fillId="0" borderId="15" xfId="0" applyFont="1" applyBorder="1" applyAlignment="1">
      <alignment vertical="center" wrapText="1"/>
    </xf>
    <xf numFmtId="0" fontId="22" fillId="0" borderId="10" xfId="0" applyFont="1" applyBorder="1" applyAlignment="1">
      <alignment vertical="center"/>
    </xf>
    <xf numFmtId="0" fontId="22" fillId="0" borderId="16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22" fillId="0" borderId="23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23" fillId="0" borderId="17" xfId="0" applyFont="1" applyBorder="1" applyAlignment="1">
      <alignment vertical="center"/>
    </xf>
    <xf numFmtId="0" fontId="13" fillId="0" borderId="17" xfId="0" applyFont="1" applyBorder="1" applyAlignment="1">
      <alignment horizontal="center" vertical="center"/>
    </xf>
    <xf numFmtId="0" fontId="6" fillId="0" borderId="27" xfId="0" applyFont="1" applyFill="1" applyBorder="1"/>
    <xf numFmtId="0" fontId="6" fillId="0" borderId="28" xfId="0" applyFont="1" applyFill="1" applyBorder="1"/>
    <xf numFmtId="0" fontId="6" fillId="0" borderId="29" xfId="0" applyFont="1" applyFill="1" applyBorder="1"/>
    <xf numFmtId="0" fontId="6" fillId="0" borderId="27" xfId="0" applyFont="1" applyFill="1" applyBorder="1" applyAlignment="1">
      <alignment horizontal="center"/>
    </xf>
    <xf numFmtId="0" fontId="22" fillId="0" borderId="28" xfId="0" applyFont="1" applyFill="1" applyBorder="1"/>
    <xf numFmtId="0" fontId="22" fillId="0" borderId="29" xfId="0" applyFont="1" applyFill="1" applyBorder="1"/>
    <xf numFmtId="0" fontId="17" fillId="0" borderId="28" xfId="0" applyFont="1" applyFill="1" applyBorder="1"/>
    <xf numFmtId="0" fontId="17" fillId="0" borderId="29" xfId="0" applyFont="1" applyFill="1" applyBorder="1"/>
    <xf numFmtId="0" fontId="22" fillId="0" borderId="27" xfId="0" applyFont="1" applyFill="1" applyBorder="1"/>
    <xf numFmtId="0" fontId="17" fillId="0" borderId="27" xfId="0" applyFont="1" applyFill="1" applyBorder="1"/>
    <xf numFmtId="0" fontId="6" fillId="0" borderId="0" xfId="0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13" fillId="0" borderId="23" xfId="0" applyFont="1" applyBorder="1" applyAlignment="1">
      <alignment horizontal="center" vertical="center" wrapText="1"/>
    </xf>
    <xf numFmtId="0" fontId="22" fillId="0" borderId="22" xfId="0" applyFont="1" applyBorder="1" applyAlignment="1">
      <alignment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left"/>
    </xf>
    <xf numFmtId="0" fontId="26" fillId="0" borderId="0" xfId="0" applyFont="1" applyAlignment="1">
      <alignment horizontal="left"/>
    </xf>
    <xf numFmtId="0" fontId="10" fillId="26" borderId="7" xfId="0" applyFont="1" applyFill="1" applyBorder="1" applyAlignment="1">
      <alignment wrapText="1"/>
    </xf>
    <xf numFmtId="0" fontId="10" fillId="26" borderId="32" xfId="0" applyFont="1" applyFill="1" applyBorder="1"/>
    <xf numFmtId="0" fontId="10" fillId="26" borderId="33" xfId="0" applyFont="1" applyFill="1" applyBorder="1"/>
    <xf numFmtId="0" fontId="10" fillId="26" borderId="34" xfId="0" applyFont="1" applyFill="1" applyBorder="1"/>
    <xf numFmtId="0" fontId="15" fillId="26" borderId="7" xfId="0" quotePrefix="1" applyNumberFormat="1" applyFont="1" applyFill="1" applyBorder="1"/>
    <xf numFmtId="0" fontId="15" fillId="26" borderId="35" xfId="0" quotePrefix="1" applyNumberFormat="1" applyFont="1" applyFill="1" applyBorder="1"/>
    <xf numFmtId="0" fontId="0" fillId="26" borderId="7" xfId="0" applyFill="1" applyBorder="1"/>
    <xf numFmtId="0" fontId="12" fillId="26" borderId="7" xfId="0" applyFont="1" applyFill="1" applyBorder="1"/>
    <xf numFmtId="16" fontId="12" fillId="26" borderId="7" xfId="0" applyNumberFormat="1" applyFont="1" applyFill="1" applyBorder="1" applyAlignment="1">
      <alignment horizontal="center" vertical="center" wrapText="1"/>
    </xf>
    <xf numFmtId="0" fontId="5" fillId="26" borderId="0" xfId="0" applyFont="1" applyFill="1"/>
    <xf numFmtId="0" fontId="5" fillId="26" borderId="0" xfId="0" applyFont="1" applyFill="1" applyBorder="1" applyAlignment="1">
      <alignment horizontal="left"/>
    </xf>
    <xf numFmtId="15" fontId="11" fillId="26" borderId="0" xfId="0" applyNumberFormat="1" applyFont="1" applyFill="1" applyBorder="1" applyAlignment="1">
      <alignment horizontal="left"/>
    </xf>
    <xf numFmtId="0" fontId="5" fillId="26" borderId="0" xfId="0" applyFont="1" applyFill="1" applyBorder="1" applyAlignment="1"/>
    <xf numFmtId="15" fontId="11" fillId="26" borderId="0" xfId="0" applyNumberFormat="1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>
      <alignment horizontal="left"/>
    </xf>
    <xf numFmtId="0" fontId="5" fillId="26" borderId="0" xfId="0" applyFont="1" applyFill="1" applyBorder="1"/>
    <xf numFmtId="1" fontId="11" fillId="26" borderId="0" xfId="0" applyNumberFormat="1" applyFont="1" applyFill="1" applyBorder="1" applyAlignment="1">
      <alignment horizontal="left"/>
    </xf>
    <xf numFmtId="0" fontId="5" fillId="27" borderId="0" xfId="0" applyFont="1" applyFill="1"/>
    <xf numFmtId="0" fontId="5" fillId="27" borderId="0" xfId="0" applyFont="1" applyFill="1" applyBorder="1"/>
    <xf numFmtId="0" fontId="5" fillId="27" borderId="0" xfId="0" applyFont="1" applyFill="1" applyAlignment="1">
      <alignment horizontal="left"/>
    </xf>
    <xf numFmtId="14" fontId="27" fillId="27" borderId="0" xfId="0" applyNumberFormat="1" applyFont="1" applyFill="1" applyAlignment="1">
      <alignment horizontal="left" vertical="center"/>
    </xf>
    <xf numFmtId="0" fontId="11" fillId="27" borderId="0" xfId="0" applyFont="1" applyFill="1" applyAlignment="1">
      <alignment horizontal="left"/>
    </xf>
    <xf numFmtId="0" fontId="11" fillId="27" borderId="0" xfId="0" applyNumberFormat="1" applyFont="1" applyFill="1"/>
    <xf numFmtId="0" fontId="11" fillId="27" borderId="0" xfId="0" applyFont="1" applyFill="1" applyAlignment="1">
      <alignment horizontal="center"/>
    </xf>
    <xf numFmtId="0" fontId="11" fillId="27" borderId="0" xfId="0" applyFont="1" applyFill="1"/>
    <xf numFmtId="0" fontId="5" fillId="27" borderId="36" xfId="0" applyFont="1" applyFill="1" applyBorder="1" applyAlignment="1">
      <alignment horizontal="left"/>
    </xf>
    <xf numFmtId="0" fontId="5" fillId="27" borderId="36" xfId="0" applyFont="1" applyFill="1" applyBorder="1"/>
    <xf numFmtId="0" fontId="5" fillId="27" borderId="36" xfId="0" applyFont="1" applyFill="1" applyBorder="1" applyAlignment="1"/>
    <xf numFmtId="0" fontId="5" fillId="27" borderId="36" xfId="0" applyNumberFormat="1" applyFont="1" applyFill="1" applyBorder="1"/>
    <xf numFmtId="0" fontId="5" fillId="27" borderId="0" xfId="0" applyFont="1" applyFill="1" applyAlignment="1">
      <alignment wrapText="1"/>
    </xf>
    <xf numFmtId="14" fontId="5" fillId="27" borderId="0" xfId="0" applyNumberFormat="1" applyFont="1" applyFill="1" applyAlignment="1">
      <alignment horizontal="left"/>
    </xf>
    <xf numFmtId="0" fontId="2" fillId="0" borderId="0" xfId="0" applyFont="1" applyFill="1" applyProtection="1"/>
    <xf numFmtId="0" fontId="13" fillId="26" borderId="0" xfId="0" applyFont="1" applyFill="1" applyProtection="1"/>
    <xf numFmtId="0" fontId="4" fillId="27" borderId="0" xfId="0" applyFont="1" applyFill="1"/>
    <xf numFmtId="0" fontId="13" fillId="27" borderId="0" xfId="0" applyFont="1" applyFill="1"/>
    <xf numFmtId="0" fontId="13" fillId="26" borderId="37" xfId="0" applyFont="1" applyFill="1" applyBorder="1"/>
    <xf numFmtId="0" fontId="13" fillId="27" borderId="38" xfId="0" applyFont="1" applyFill="1" applyBorder="1" applyAlignment="1" applyProtection="1">
      <alignment horizontal="left"/>
      <protection locked="0"/>
    </xf>
    <xf numFmtId="165" fontId="13" fillId="27" borderId="39" xfId="0" applyNumberFormat="1" applyFont="1" applyFill="1" applyBorder="1" applyAlignment="1" applyProtection="1">
      <alignment horizontal="left"/>
      <protection locked="0"/>
    </xf>
    <xf numFmtId="2" fontId="13" fillId="27" borderId="39" xfId="0" applyNumberFormat="1" applyFont="1" applyFill="1" applyBorder="1"/>
    <xf numFmtId="0" fontId="13" fillId="27" borderId="39" xfId="0" applyFont="1" applyFill="1" applyBorder="1"/>
    <xf numFmtId="0" fontId="13" fillId="27" borderId="39" xfId="0" applyFont="1" applyFill="1" applyBorder="1" applyAlignment="1">
      <alignment horizontal="center"/>
    </xf>
    <xf numFmtId="0" fontId="13" fillId="27" borderId="40" xfId="0" applyFont="1" applyFill="1" applyBorder="1" applyAlignment="1" applyProtection="1">
      <alignment horizontal="left"/>
      <protection locked="0"/>
    </xf>
    <xf numFmtId="165" fontId="13" fillId="27" borderId="40" xfId="0" applyNumberFormat="1" applyFont="1" applyFill="1" applyBorder="1" applyAlignment="1" applyProtection="1">
      <alignment horizontal="left"/>
      <protection locked="0"/>
    </xf>
    <xf numFmtId="2" fontId="13" fillId="27" borderId="40" xfId="0" applyNumberFormat="1" applyFont="1" applyFill="1" applyBorder="1"/>
    <xf numFmtId="0" fontId="13" fillId="27" borderId="40" xfId="0" applyFont="1" applyFill="1" applyBorder="1"/>
    <xf numFmtId="0" fontId="13" fillId="27" borderId="40" xfId="0" applyFont="1" applyFill="1" applyBorder="1" applyAlignment="1">
      <alignment horizontal="center"/>
    </xf>
    <xf numFmtId="0" fontId="13" fillId="27" borderId="0" xfId="0" applyFont="1" applyFill="1" applyBorder="1"/>
    <xf numFmtId="0" fontId="13" fillId="26" borderId="0" xfId="0" applyFont="1" applyFill="1"/>
    <xf numFmtId="0" fontId="13" fillId="26" borderId="0" xfId="0" applyFont="1" applyFill="1" applyBorder="1" applyAlignment="1">
      <alignment horizontal="left"/>
    </xf>
    <xf numFmtId="15" fontId="4" fillId="26" borderId="0" xfId="0" applyNumberFormat="1" applyFont="1" applyFill="1" applyBorder="1" applyAlignment="1">
      <alignment horizontal="left"/>
    </xf>
    <xf numFmtId="0" fontId="13" fillId="26" borderId="0" xfId="0" applyFont="1" applyFill="1" applyBorder="1" applyAlignment="1"/>
    <xf numFmtId="15" fontId="4" fillId="26" borderId="0" xfId="0" applyNumberFormat="1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>
      <alignment horizontal="left"/>
    </xf>
    <xf numFmtId="0" fontId="13" fillId="26" borderId="0" xfId="0" applyFont="1" applyFill="1" applyBorder="1" applyProtection="1"/>
    <xf numFmtId="1" fontId="4" fillId="26" borderId="0" xfId="0" applyNumberFormat="1" applyFont="1" applyFill="1" applyBorder="1" applyAlignment="1">
      <alignment horizontal="left"/>
    </xf>
    <xf numFmtId="0" fontId="3" fillId="0" borderId="0" xfId="0" applyFont="1" applyFill="1" applyBorder="1" applyProtection="1"/>
    <xf numFmtId="0" fontId="9" fillId="0" borderId="0" xfId="0" applyFont="1" applyFill="1" applyBorder="1" applyProtection="1"/>
    <xf numFmtId="0" fontId="13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1" fontId="4" fillId="0" borderId="0" xfId="0" applyNumberFormat="1" applyFont="1" applyFill="1" applyBorder="1" applyAlignment="1">
      <alignment horizontal="left"/>
    </xf>
    <xf numFmtId="0" fontId="4" fillId="0" borderId="0" xfId="0" applyFont="1" applyFill="1" applyBorder="1" applyAlignment="1" applyProtection="1">
      <alignment horizontal="center"/>
    </xf>
    <xf numFmtId="0" fontId="13" fillId="0" borderId="0" xfId="0" applyFont="1" applyFill="1" applyAlignment="1"/>
    <xf numFmtId="0" fontId="4" fillId="0" borderId="36" xfId="0" applyFont="1" applyFill="1" applyBorder="1" applyProtection="1"/>
    <xf numFmtId="0" fontId="13" fillId="0" borderId="36" xfId="0" applyFont="1" applyFill="1" applyBorder="1" applyProtection="1"/>
    <xf numFmtId="0" fontId="4" fillId="0" borderId="41" xfId="0" applyFont="1" applyFill="1" applyBorder="1" applyProtection="1"/>
    <xf numFmtId="0" fontId="13" fillId="0" borderId="41" xfId="0" applyFont="1" applyFill="1" applyBorder="1" applyProtection="1"/>
    <xf numFmtId="0" fontId="4" fillId="0" borderId="36" xfId="0" applyFont="1" applyFill="1" applyBorder="1" applyAlignment="1" applyProtection="1">
      <alignment horizontal="center"/>
      <protection locked="0"/>
    </xf>
    <xf numFmtId="0" fontId="4" fillId="0" borderId="42" xfId="0" applyFont="1" applyFill="1" applyBorder="1" applyAlignment="1" applyProtection="1">
      <alignment horizontal="center"/>
      <protection locked="0"/>
    </xf>
    <xf numFmtId="0" fontId="4" fillId="0" borderId="42" xfId="0" applyFont="1" applyFill="1" applyBorder="1" applyProtection="1"/>
    <xf numFmtId="0" fontId="13" fillId="0" borderId="42" xfId="0" applyFont="1" applyFill="1" applyBorder="1" applyProtection="1"/>
    <xf numFmtId="0" fontId="4" fillId="0" borderId="41" xfId="0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horizontal="left"/>
    </xf>
    <xf numFmtId="0" fontId="7" fillId="0" borderId="0" xfId="0" applyFont="1" applyFill="1" applyBorder="1" applyProtection="1"/>
    <xf numFmtId="0" fontId="7" fillId="27" borderId="0" xfId="0" applyFont="1" applyFill="1" applyProtection="1"/>
    <xf numFmtId="0" fontId="4" fillId="0" borderId="36" xfId="0" applyFont="1" applyFill="1" applyBorder="1" applyAlignment="1" applyProtection="1">
      <alignment horizontal="left"/>
    </xf>
    <xf numFmtId="0" fontId="9" fillId="26" borderId="0" xfId="0" applyFont="1" applyFill="1" applyBorder="1" applyAlignment="1">
      <alignment wrapText="1"/>
    </xf>
    <xf numFmtId="0" fontId="9" fillId="26" borderId="0" xfId="0" applyFont="1" applyFill="1" applyBorder="1" applyAlignment="1">
      <alignment horizontal="left" wrapText="1"/>
    </xf>
    <xf numFmtId="0" fontId="9" fillId="26" borderId="0" xfId="0" applyFont="1" applyFill="1" applyBorder="1"/>
    <xf numFmtId="0" fontId="9" fillId="26" borderId="0" xfId="0" applyFont="1" applyFill="1"/>
    <xf numFmtId="4" fontId="13" fillId="27" borderId="40" xfId="0" applyNumberFormat="1" applyFont="1" applyFill="1" applyBorder="1" applyAlignment="1" applyProtection="1">
      <alignment horizontal="left"/>
    </xf>
    <xf numFmtId="4" fontId="13" fillId="27" borderId="39" xfId="0" applyNumberFormat="1" applyFont="1" applyFill="1" applyBorder="1" applyAlignment="1" applyProtection="1">
      <alignment horizontal="left"/>
    </xf>
    <xf numFmtId="0" fontId="9" fillId="25" borderId="0" xfId="0" applyFont="1" applyFill="1" applyBorder="1" applyProtection="1"/>
    <xf numFmtId="0" fontId="13" fillId="26" borderId="0" xfId="0" applyFont="1" applyFill="1" applyBorder="1"/>
    <xf numFmtId="0" fontId="7" fillId="28" borderId="0" xfId="0" applyFont="1" applyFill="1" applyBorder="1" applyProtection="1"/>
    <xf numFmtId="0" fontId="9" fillId="28" borderId="0" xfId="0" applyFont="1" applyFill="1" applyBorder="1" applyProtection="1"/>
    <xf numFmtId="0" fontId="7" fillId="28" borderId="0" xfId="0" applyFont="1" applyFill="1" applyProtection="1"/>
    <xf numFmtId="0" fontId="29" fillId="0" borderId="36" xfId="0" applyFont="1" applyFill="1" applyBorder="1" applyProtection="1"/>
    <xf numFmtId="0" fontId="29" fillId="0" borderId="41" xfId="0" applyFont="1" applyFill="1" applyBorder="1" applyProtection="1"/>
    <xf numFmtId="0" fontId="29" fillId="0" borderId="0" xfId="0" applyFont="1" applyFill="1" applyBorder="1" applyProtection="1"/>
    <xf numFmtId="168" fontId="13" fillId="26" borderId="0" xfId="0" applyNumberFormat="1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center" vertical="center"/>
    </xf>
    <xf numFmtId="0" fontId="9" fillId="26" borderId="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left" vertical="center" wrapText="1"/>
    </xf>
    <xf numFmtId="0" fontId="30" fillId="26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0" fontId="5" fillId="26" borderId="0" xfId="0" applyFont="1" applyFill="1" applyBorder="1" applyProtection="1"/>
    <xf numFmtId="0" fontId="28" fillId="26" borderId="0" xfId="0" applyFont="1" applyFill="1" applyBorder="1" applyProtection="1"/>
    <xf numFmtId="0" fontId="9" fillId="25" borderId="43" xfId="0" applyFont="1" applyFill="1" applyBorder="1" applyProtection="1"/>
    <xf numFmtId="0" fontId="4" fillId="0" borderId="43" xfId="0" applyFont="1" applyFill="1" applyBorder="1" applyProtection="1"/>
    <xf numFmtId="0" fontId="13" fillId="0" borderId="43" xfId="0" applyFont="1" applyFill="1" applyBorder="1" applyProtection="1"/>
    <xf numFmtId="0" fontId="9" fillId="25" borderId="44" xfId="0" applyFont="1" applyFill="1" applyBorder="1" applyProtection="1"/>
    <xf numFmtId="0" fontId="4" fillId="0" borderId="44" xfId="0" applyFont="1" applyFill="1" applyBorder="1" applyProtection="1"/>
    <xf numFmtId="0" fontId="13" fillId="0" borderId="44" xfId="0" applyFont="1" applyFill="1" applyBorder="1" applyProtection="1"/>
    <xf numFmtId="0" fontId="13" fillId="25" borderId="44" xfId="0" applyFont="1" applyFill="1" applyBorder="1" applyProtection="1"/>
    <xf numFmtId="0" fontId="5" fillId="0" borderId="0" xfId="0" applyFont="1" applyFill="1" applyProtection="1"/>
    <xf numFmtId="0" fontId="11" fillId="0" borderId="0" xfId="0" applyFont="1" applyFill="1" applyProtection="1"/>
    <xf numFmtId="0" fontId="5" fillId="0" borderId="0" xfId="0" applyFont="1" applyFill="1" applyAlignment="1" applyProtection="1">
      <alignment horizontal="center" vertical="center"/>
    </xf>
    <xf numFmtId="170" fontId="0" fillId="0" borderId="0" xfId="0" applyNumberFormat="1"/>
    <xf numFmtId="169" fontId="0" fillId="0" borderId="0" xfId="0" applyNumberFormat="1"/>
    <xf numFmtId="167" fontId="13" fillId="26" borderId="0" xfId="0" applyNumberFormat="1" applyFont="1" applyFill="1" applyBorder="1" applyAlignment="1" applyProtection="1">
      <alignment horizontal="left"/>
    </xf>
    <xf numFmtId="0" fontId="13" fillId="26" borderId="0" xfId="0" applyFont="1" applyFill="1" applyBorder="1" applyAlignment="1">
      <alignment horizontal="right"/>
    </xf>
    <xf numFmtId="0" fontId="13" fillId="26" borderId="45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13" fillId="0" borderId="0" xfId="0" applyNumberFormat="1" applyFont="1" applyFill="1" applyAlignment="1"/>
    <xf numFmtId="0" fontId="13" fillId="0" borderId="0" xfId="0" applyFont="1" applyFill="1" applyAlignment="1">
      <alignment horizontal="right"/>
    </xf>
    <xf numFmtId="0" fontId="13" fillId="0" borderId="46" xfId="0" applyFont="1" applyFill="1" applyBorder="1"/>
    <xf numFmtId="0" fontId="13" fillId="0" borderId="47" xfId="0" applyFont="1" applyFill="1" applyBorder="1"/>
    <xf numFmtId="49" fontId="13" fillId="0" borderId="0" xfId="0" applyNumberFormat="1" applyFont="1" applyFill="1" applyBorder="1" applyAlignment="1">
      <alignment horizontal="left" vertical="top" wrapText="1"/>
    </xf>
    <xf numFmtId="49" fontId="13" fillId="0" borderId="0" xfId="0" applyNumberFormat="1" applyFont="1" applyFill="1" applyAlignment="1">
      <alignment horizontal="left" vertical="top" wrapText="1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9" fillId="0" borderId="0" xfId="0" applyFont="1" applyFill="1"/>
    <xf numFmtId="0" fontId="31" fillId="0" borderId="0" xfId="0" applyFont="1" applyFill="1" applyBorder="1"/>
    <xf numFmtId="0" fontId="13" fillId="0" borderId="46" xfId="0" applyFont="1" applyFill="1" applyBorder="1" applyAlignment="1">
      <alignment horizontal="center"/>
    </xf>
    <xf numFmtId="0" fontId="13" fillId="0" borderId="46" xfId="0" applyFont="1" applyFill="1" applyBorder="1" applyAlignment="1">
      <alignment horizontal="left"/>
    </xf>
    <xf numFmtId="0" fontId="4" fillId="0" borderId="46" xfId="0" applyFont="1" applyFill="1" applyBorder="1"/>
    <xf numFmtId="0" fontId="4" fillId="0" borderId="48" xfId="0" applyFont="1" applyFill="1" applyBorder="1"/>
    <xf numFmtId="0" fontId="13" fillId="0" borderId="48" xfId="0" applyFont="1" applyFill="1" applyBorder="1"/>
    <xf numFmtId="0" fontId="4" fillId="0" borderId="49" xfId="0" applyFont="1" applyFill="1" applyBorder="1"/>
    <xf numFmtId="0" fontId="13" fillId="0" borderId="0" xfId="0" applyFont="1" applyFill="1" applyBorder="1" applyProtection="1">
      <protection locked="0" hidden="1"/>
    </xf>
    <xf numFmtId="0" fontId="13" fillId="0" borderId="49" xfId="0" applyFont="1" applyFill="1" applyBorder="1" applyProtection="1">
      <protection locked="0" hidden="1"/>
    </xf>
    <xf numFmtId="0" fontId="13" fillId="0" borderId="50" xfId="0" applyFont="1" applyFill="1" applyBorder="1"/>
    <xf numFmtId="0" fontId="13" fillId="0" borderId="49" xfId="0" applyFont="1" applyFill="1" applyBorder="1"/>
    <xf numFmtId="0" fontId="13" fillId="0" borderId="51" xfId="0" applyFont="1" applyFill="1" applyBorder="1"/>
    <xf numFmtId="0" fontId="9" fillId="0" borderId="0" xfId="0" applyFont="1" applyFill="1" applyBorder="1"/>
    <xf numFmtId="0" fontId="13" fillId="26" borderId="46" xfId="0" applyFont="1" applyFill="1" applyBorder="1"/>
    <xf numFmtId="0" fontId="13" fillId="26" borderId="48" xfId="0" applyFont="1" applyFill="1" applyBorder="1"/>
    <xf numFmtId="0" fontId="13" fillId="26" borderId="0" xfId="0" applyFont="1" applyFill="1" applyBorder="1" applyAlignment="1">
      <alignment horizontal="center"/>
    </xf>
    <xf numFmtId="0" fontId="13" fillId="26" borderId="0" xfId="0" applyFont="1" applyFill="1" applyAlignment="1" applyProtection="1">
      <alignment horizontal="right"/>
      <protection locked="0" hidden="1"/>
    </xf>
    <xf numFmtId="0" fontId="13" fillId="26" borderId="0" xfId="0" applyFont="1" applyFill="1" applyProtection="1">
      <protection locked="0" hidden="1"/>
    </xf>
    <xf numFmtId="0" fontId="13" fillId="26" borderId="0" xfId="0" applyFont="1" applyFill="1" applyAlignment="1">
      <alignment horizontal="right"/>
    </xf>
    <xf numFmtId="0" fontId="7" fillId="28" borderId="0" xfId="0" applyFont="1" applyFill="1" applyBorder="1"/>
    <xf numFmtId="0" fontId="9" fillId="28" borderId="0" xfId="0" applyFont="1" applyFill="1" applyBorder="1"/>
    <xf numFmtId="0" fontId="13" fillId="26" borderId="45" xfId="0" applyFont="1" applyFill="1" applyBorder="1"/>
    <xf numFmtId="0" fontId="13" fillId="0" borderId="45" xfId="0" applyFont="1" applyFill="1" applyBorder="1" applyAlignment="1">
      <alignment horizontal="left"/>
    </xf>
    <xf numFmtId="0" fontId="13" fillId="0" borderId="45" xfId="0" applyFont="1" applyFill="1" applyBorder="1"/>
    <xf numFmtId="0" fontId="13" fillId="0" borderId="45" xfId="0" applyFont="1" applyFill="1" applyBorder="1" applyProtection="1">
      <protection locked="0" hidden="1"/>
    </xf>
    <xf numFmtId="0" fontId="4" fillId="26" borderId="0" xfId="0" applyFont="1" applyFill="1" applyBorder="1"/>
    <xf numFmtId="0" fontId="13" fillId="0" borderId="52" xfId="0" applyFont="1" applyFill="1" applyBorder="1"/>
    <xf numFmtId="0" fontId="13" fillId="0" borderId="45" xfId="0" applyFont="1" applyFill="1" applyBorder="1" applyAlignment="1">
      <alignment horizontal="center"/>
    </xf>
    <xf numFmtId="49" fontId="13" fillId="0" borderId="45" xfId="0" applyNumberFormat="1" applyFont="1" applyFill="1" applyBorder="1" applyAlignment="1">
      <alignment horizontal="left" vertical="top" wrapText="1"/>
    </xf>
    <xf numFmtId="0" fontId="13" fillId="0" borderId="45" xfId="0" applyNumberFormat="1" applyFont="1" applyFill="1" applyBorder="1" applyAlignment="1"/>
    <xf numFmtId="0" fontId="13" fillId="0" borderId="45" xfId="0" applyFont="1" applyFill="1" applyBorder="1" applyAlignment="1" applyProtection="1">
      <alignment horizontal="left"/>
      <protection locked="0"/>
    </xf>
    <xf numFmtId="0" fontId="13" fillId="0" borderId="45" xfId="0" applyFont="1" applyFill="1" applyBorder="1" applyAlignment="1">
      <alignment shrinkToFit="1"/>
    </xf>
    <xf numFmtId="0" fontId="2" fillId="0" borderId="45" xfId="0" applyFont="1" applyFill="1" applyBorder="1" applyAlignment="1">
      <alignment shrinkToFit="1"/>
    </xf>
    <xf numFmtId="0" fontId="24" fillId="0" borderId="0" xfId="0" applyFont="1" applyFill="1" applyBorder="1"/>
    <xf numFmtId="164" fontId="13" fillId="0" borderId="0" xfId="0" applyNumberFormat="1" applyFont="1" applyFill="1" applyBorder="1" applyAlignment="1">
      <alignment horizontal="left"/>
    </xf>
    <xf numFmtId="0" fontId="6" fillId="0" borderId="29" xfId="0" applyFont="1" applyFill="1" applyBorder="1" applyAlignment="1">
      <alignment horizontal="center"/>
    </xf>
    <xf numFmtId="0" fontId="6" fillId="0" borderId="53" xfId="0" applyFont="1" applyFill="1" applyBorder="1"/>
    <xf numFmtId="0" fontId="6" fillId="0" borderId="53" xfId="0" applyFont="1" applyFill="1" applyBorder="1" applyAlignment="1">
      <alignment horizontal="center"/>
    </xf>
    <xf numFmtId="0" fontId="17" fillId="0" borderId="53" xfId="0" applyFont="1" applyFill="1" applyBorder="1"/>
    <xf numFmtId="0" fontId="22" fillId="0" borderId="53" xfId="0" applyFont="1" applyFill="1" applyBorder="1"/>
    <xf numFmtId="0" fontId="9" fillId="0" borderId="0" xfId="0" applyFont="1" applyFill="1" applyAlignment="1">
      <alignment horizontal="center"/>
    </xf>
    <xf numFmtId="0" fontId="3" fillId="0" borderId="42" xfId="0" applyFont="1" applyFill="1" applyBorder="1" applyProtection="1"/>
    <xf numFmtId="0" fontId="3" fillId="0" borderId="41" xfId="0" applyFont="1" applyFill="1" applyBorder="1" applyProtection="1"/>
    <xf numFmtId="49" fontId="0" fillId="0" borderId="0" xfId="0" applyNumberFormat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/>
    </xf>
    <xf numFmtId="0" fontId="33" fillId="26" borderId="0" xfId="0" applyFont="1" applyFill="1" applyBorder="1"/>
    <xf numFmtId="0" fontId="0" fillId="26" borderId="0" xfId="0" applyFill="1"/>
    <xf numFmtId="164" fontId="34" fillId="0" borderId="0" xfId="0" applyNumberFormat="1" applyFont="1" applyFill="1" applyBorder="1" applyAlignment="1">
      <alignment horizontal="left"/>
    </xf>
    <xf numFmtId="0" fontId="13" fillId="28" borderId="0" xfId="0" applyFont="1" applyFill="1" applyBorder="1"/>
    <xf numFmtId="0" fontId="13" fillId="28" borderId="0" xfId="0" applyFont="1" applyFill="1"/>
    <xf numFmtId="0" fontId="19" fillId="0" borderId="33" xfId="0" applyFont="1" applyBorder="1" applyAlignment="1">
      <alignment vertical="top" wrapText="1"/>
    </xf>
    <xf numFmtId="0" fontId="12" fillId="0" borderId="33" xfId="0" applyFont="1" applyBorder="1" applyAlignment="1">
      <alignment horizontal="right" vertical="top" wrapText="1"/>
    </xf>
    <xf numFmtId="0" fontId="12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9" fillId="25" borderId="43" xfId="0" applyFont="1" applyFill="1" applyBorder="1" applyAlignment="1" applyProtection="1">
      <alignment horizontal="right"/>
    </xf>
    <xf numFmtId="0" fontId="52" fillId="0" borderId="43" xfId="0" applyFont="1" applyFill="1" applyBorder="1" applyProtection="1"/>
    <xf numFmtId="0" fontId="52" fillId="0" borderId="0" xfId="0" applyFont="1" applyFill="1" applyBorder="1" applyProtection="1"/>
    <xf numFmtId="0" fontId="52" fillId="0" borderId="44" xfId="0" applyFont="1" applyFill="1" applyBorder="1" applyProtection="1"/>
    <xf numFmtId="0" fontId="52" fillId="0" borderId="0" xfId="0" applyFont="1" applyBorder="1" applyAlignment="1"/>
    <xf numFmtId="0" fontId="52" fillId="0" borderId="44" xfId="0" applyFont="1" applyBorder="1" applyAlignment="1"/>
    <xf numFmtId="0" fontId="52" fillId="0" borderId="0" xfId="0" applyFont="1" applyFill="1" applyProtection="1"/>
    <xf numFmtId="0" fontId="12" fillId="0" borderId="0" xfId="0" applyFont="1" applyFill="1" applyBorder="1" applyProtection="1"/>
    <xf numFmtId="0" fontId="2" fillId="27" borderId="0" xfId="0" applyFont="1" applyFill="1"/>
    <xf numFmtId="0" fontId="2" fillId="27" borderId="0" xfId="0" applyFont="1" applyFill="1" applyAlignment="1">
      <alignment wrapText="1"/>
    </xf>
    <xf numFmtId="0" fontId="13" fillId="26" borderId="0" xfId="0" applyFont="1" applyFill="1" applyBorder="1" applyAlignment="1">
      <alignment vertical="top" wrapText="1"/>
    </xf>
    <xf numFmtId="0" fontId="13" fillId="26" borderId="0" xfId="0" applyFont="1" applyFill="1" applyBorder="1" applyAlignment="1">
      <alignment horizontal="left" vertical="top" wrapText="1"/>
    </xf>
    <xf numFmtId="0" fontId="13" fillId="26" borderId="0" xfId="0" applyFont="1" applyFill="1" applyBorder="1" applyAlignment="1">
      <alignment wrapText="1"/>
    </xf>
    <xf numFmtId="0" fontId="13" fillId="0" borderId="0" xfId="0" applyFont="1" applyFill="1" applyBorder="1" applyAlignment="1" applyProtection="1">
      <alignment horizontal="left" vertical="center" wrapText="1"/>
    </xf>
    <xf numFmtId="0" fontId="13" fillId="0" borderId="44" xfId="0" applyFont="1" applyFill="1" applyBorder="1" applyAlignment="1" applyProtection="1">
      <alignment horizontal="left" vertical="center" wrapText="1"/>
    </xf>
    <xf numFmtId="0" fontId="6" fillId="0" borderId="28" xfId="0" applyFont="1" applyFill="1" applyBorder="1" applyAlignment="1">
      <alignment horizontal="left" wrapText="1"/>
    </xf>
    <xf numFmtId="0" fontId="6" fillId="0" borderId="29" xfId="0" applyFont="1" applyFill="1" applyBorder="1" applyAlignment="1">
      <alignment horizontal="left" wrapText="1"/>
    </xf>
    <xf numFmtId="0" fontId="6" fillId="0" borderId="0" xfId="0" applyFont="1" applyFill="1" applyBorder="1" applyAlignment="1">
      <alignment horizontal="left"/>
    </xf>
    <xf numFmtId="0" fontId="6" fillId="0" borderId="23" xfId="0" applyFont="1" applyFill="1" applyBorder="1" applyAlignment="1" applyProtection="1">
      <alignment horizontal="left" shrinkToFit="1"/>
      <protection locked="0"/>
    </xf>
    <xf numFmtId="0" fontId="0" fillId="0" borderId="23" xfId="0" applyBorder="1" applyAlignment="1">
      <alignment shrinkToFit="1"/>
    </xf>
    <xf numFmtId="0" fontId="6" fillId="0" borderId="0" xfId="0" applyFont="1" applyFill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0" borderId="0" xfId="0" applyFont="1" applyFill="1" applyBorder="1" applyAlignment="1">
      <alignment wrapText="1"/>
    </xf>
    <xf numFmtId="0" fontId="32" fillId="0" borderId="0" xfId="0" applyFont="1" applyFill="1" applyBorder="1" applyAlignment="1">
      <alignment horizontal="left" vertical="top" shrinkToFit="1"/>
    </xf>
    <xf numFmtId="0" fontId="13" fillId="0" borderId="0" xfId="0" applyFont="1" applyBorder="1" applyAlignment="1">
      <alignment shrinkToFit="1"/>
    </xf>
    <xf numFmtId="49" fontId="6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 wrapText="1"/>
    </xf>
    <xf numFmtId="0" fontId="6" fillId="0" borderId="0" xfId="0" applyFont="1" applyFill="1" applyBorder="1" applyAlignment="1">
      <alignment vertical="top" shrinkToFit="1"/>
    </xf>
    <xf numFmtId="0" fontId="0" fillId="0" borderId="0" xfId="0" applyBorder="1" applyAlignment="1">
      <alignment vertical="top" shrinkToFit="1"/>
    </xf>
    <xf numFmtId="0" fontId="32" fillId="0" borderId="22" xfId="0" applyFont="1" applyFill="1" applyBorder="1" applyAlignment="1">
      <alignment horizontal="left" vertical="top" shrinkToFit="1"/>
    </xf>
    <xf numFmtId="0" fontId="13" fillId="0" borderId="22" xfId="0" applyFont="1" applyBorder="1" applyAlignment="1">
      <alignment shrinkToFit="1"/>
    </xf>
    <xf numFmtId="0" fontId="13" fillId="0" borderId="0" xfId="0" applyFont="1" applyAlignment="1">
      <alignment shrinkToFit="1"/>
    </xf>
    <xf numFmtId="0" fontId="13" fillId="0" borderId="0" xfId="0" applyFont="1" applyBorder="1" applyAlignment="1">
      <alignment horizontal="left" vertical="top" shrinkToFit="1"/>
    </xf>
    <xf numFmtId="0" fontId="6" fillId="0" borderId="0" xfId="0" applyFont="1" applyFill="1" applyBorder="1" applyAlignment="1">
      <alignment horizontal="left" vertical="top" shrinkToFit="1"/>
    </xf>
    <xf numFmtId="0" fontId="0" fillId="0" borderId="0" xfId="0" applyAlignment="1">
      <alignment shrinkToFit="1"/>
    </xf>
    <xf numFmtId="0" fontId="6" fillId="0" borderId="22" xfId="0" applyFont="1" applyFill="1" applyBorder="1" applyAlignment="1">
      <alignment horizontal="left" vertical="top" shrinkToFit="1"/>
    </xf>
    <xf numFmtId="0" fontId="0" fillId="0" borderId="22" xfId="0" applyBorder="1" applyAlignment="1">
      <alignment shrinkToFit="1"/>
    </xf>
    <xf numFmtId="0" fontId="0" fillId="0" borderId="0" xfId="0" applyBorder="1" applyAlignment="1">
      <alignment shrinkToFit="1"/>
    </xf>
    <xf numFmtId="0" fontId="0" fillId="0" borderId="0" xfId="0" applyBorder="1" applyAlignment="1">
      <alignment horizontal="left" vertical="top" shrinkToFit="1"/>
    </xf>
    <xf numFmtId="0" fontId="13" fillId="0" borderId="0" xfId="0" applyFont="1" applyFill="1" applyBorder="1" applyAlignment="1">
      <alignment horizontal="left" vertical="top" wrapText="1"/>
    </xf>
    <xf numFmtId="0" fontId="13" fillId="0" borderId="0" xfId="0" applyFont="1" applyFill="1" applyAlignment="1"/>
    <xf numFmtId="0" fontId="5" fillId="27" borderId="0" xfId="0" applyFont="1" applyFill="1" applyBorder="1" applyAlignment="1"/>
    <xf numFmtId="0" fontId="13" fillId="0" borderId="13" xfId="0" applyFont="1" applyBorder="1" applyAlignment="1"/>
    <xf numFmtId="15" fontId="0" fillId="0" borderId="54" xfId="0" applyNumberFormat="1" applyBorder="1" applyAlignment="1"/>
    <xf numFmtId="15" fontId="0" fillId="0" borderId="54" xfId="0" applyNumberFormat="1" applyBorder="1" applyAlignment="1">
      <alignment horizontal="left"/>
    </xf>
    <xf numFmtId="0" fontId="13" fillId="0" borderId="0" xfId="0" applyNumberFormat="1" applyFont="1" applyFill="1" applyBorder="1" applyAlignment="1">
      <alignment horizontal="left" wrapText="1"/>
    </xf>
    <xf numFmtId="0" fontId="32" fillId="0" borderId="0" xfId="0" applyFont="1" applyFill="1" applyBorder="1" applyAlignment="1">
      <alignment horizontal="center" vertical="top"/>
    </xf>
    <xf numFmtId="0" fontId="13" fillId="0" borderId="56" xfId="0" applyFont="1" applyBorder="1" applyAlignment="1">
      <alignment horizontal="center" vertical="top" wrapText="1"/>
    </xf>
    <xf numFmtId="0" fontId="13" fillId="0" borderId="57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2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4" fillId="0" borderId="22" xfId="0" applyFont="1" applyBorder="1" applyAlignment="1">
      <alignment vertical="top" wrapText="1"/>
    </xf>
    <xf numFmtId="0" fontId="4" fillId="0" borderId="23" xfId="0" applyFont="1" applyBorder="1" applyAlignment="1">
      <alignment vertical="top" wrapText="1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13" fillId="0" borderId="30" xfId="0" applyFont="1" applyBorder="1" applyAlignment="1">
      <alignment horizontal="center" vertical="top" wrapText="1"/>
    </xf>
    <xf numFmtId="0" fontId="13" fillId="0" borderId="31" xfId="0" applyFont="1" applyBorder="1" applyAlignment="1">
      <alignment horizontal="center" vertical="top" wrapText="1"/>
    </xf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22" fillId="0" borderId="55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right" vertical="top" wrapText="1"/>
    </xf>
    <xf numFmtId="0" fontId="22" fillId="0" borderId="11" xfId="0" applyFont="1" applyBorder="1" applyAlignment="1">
      <alignment horizontal="left"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22" xfId="0" applyFont="1" applyBorder="1" applyAlignment="1">
      <alignment horizontal="right" vertical="top" wrapText="1"/>
    </xf>
    <xf numFmtId="0" fontId="22" fillId="0" borderId="56" xfId="0" applyFont="1" applyBorder="1" applyAlignment="1">
      <alignment vertical="top" wrapText="1"/>
    </xf>
    <xf numFmtId="0" fontId="22" fillId="0" borderId="57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14" fillId="0" borderId="56" xfId="0" applyFont="1" applyBorder="1" applyAlignment="1">
      <alignment vertical="top" wrapText="1"/>
    </xf>
    <xf numFmtId="0" fontId="14" fillId="0" borderId="57" xfId="0" applyFont="1" applyBorder="1" applyAlignment="1">
      <alignment vertical="top" wrapText="1"/>
    </xf>
    <xf numFmtId="0" fontId="14" fillId="0" borderId="20" xfId="0" applyFont="1" applyBorder="1" applyAlignment="1">
      <alignment vertical="top" wrapText="1"/>
    </xf>
    <xf numFmtId="0" fontId="14" fillId="0" borderId="10" xfId="0" applyFont="1" applyBorder="1" applyAlignment="1">
      <alignment vertical="top" wrapText="1"/>
    </xf>
    <xf numFmtId="0" fontId="14" fillId="0" borderId="11" xfId="0" applyFont="1" applyBorder="1" applyAlignment="1">
      <alignment vertical="top" wrapText="1"/>
    </xf>
    <xf numFmtId="0" fontId="14" fillId="0" borderId="12" xfId="0" applyFont="1" applyBorder="1" applyAlignment="1">
      <alignment vertical="top" wrapText="1"/>
    </xf>
    <xf numFmtId="0" fontId="22" fillId="0" borderId="10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13" fillId="0" borderId="55" xfId="0" applyFont="1" applyBorder="1" applyAlignment="1">
      <alignment horizontal="center" vertical="top" wrapText="1"/>
    </xf>
    <xf numFmtId="0" fontId="13" fillId="0" borderId="26" xfId="0" applyFont="1" applyBorder="1" applyAlignment="1">
      <alignment horizontal="center" vertical="top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te" xfId="37"/>
    <cellStyle name="Output" xfId="38"/>
    <cellStyle name="Title" xfId="39"/>
    <cellStyle name="Total" xfId="40"/>
    <cellStyle name="Warning Text" xfId="41"/>
  </cellStyles>
  <dxfs count="2">
    <dxf>
      <font>
        <b/>
        <i val="0"/>
        <condense val="0"/>
        <extend val="0"/>
      </font>
    </dxf>
    <dxf>
      <font>
        <condense val="0"/>
        <extend val="0"/>
        <color indexed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1.xml"/><Relationship Id="rId18" Type="http://schemas.openxmlformats.org/officeDocument/2006/relationships/worksheet" Target="worksheets/sheet16.xml"/><Relationship Id="rId26" Type="http://schemas.openxmlformats.org/officeDocument/2006/relationships/worksheet" Target="worksheets/sheet24.xml"/><Relationship Id="rId39" Type="http://schemas.openxmlformats.org/officeDocument/2006/relationships/worksheet" Target="worksheets/sheet37.xml"/><Relationship Id="rId21" Type="http://schemas.openxmlformats.org/officeDocument/2006/relationships/worksheet" Target="worksheets/sheet19.xml"/><Relationship Id="rId34" Type="http://schemas.openxmlformats.org/officeDocument/2006/relationships/worksheet" Target="worksheets/sheet32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5.xml"/><Relationship Id="rId2" Type="http://schemas.openxmlformats.org/officeDocument/2006/relationships/chartsheet" Target="chartsheets/sheet1.xml"/><Relationship Id="rId16" Type="http://schemas.openxmlformats.org/officeDocument/2006/relationships/worksheet" Target="worksheets/sheet14.xml"/><Relationship Id="rId29" Type="http://schemas.openxmlformats.org/officeDocument/2006/relationships/worksheet" Target="worksheets/sheet2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worksheet" Target="worksheets/sheet9.xml"/><Relationship Id="rId24" Type="http://schemas.openxmlformats.org/officeDocument/2006/relationships/worksheet" Target="worksheets/sheet22.xml"/><Relationship Id="rId32" Type="http://schemas.openxmlformats.org/officeDocument/2006/relationships/worksheet" Target="worksheets/sheet30.xml"/><Relationship Id="rId37" Type="http://schemas.openxmlformats.org/officeDocument/2006/relationships/worksheet" Target="worksheets/sheet35.xml"/><Relationship Id="rId40" Type="http://schemas.openxmlformats.org/officeDocument/2006/relationships/theme" Target="theme/theme1.xml"/><Relationship Id="rId45" Type="http://schemas.microsoft.com/office/2006/relationships/attachedToolbars" Target="attachedToolbars.bin"/><Relationship Id="rId5" Type="http://schemas.openxmlformats.org/officeDocument/2006/relationships/worksheet" Target="worksheets/sheet3.xml"/><Relationship Id="rId15" Type="http://schemas.openxmlformats.org/officeDocument/2006/relationships/worksheet" Target="worksheets/sheet13.xml"/><Relationship Id="rId23" Type="http://schemas.openxmlformats.org/officeDocument/2006/relationships/worksheet" Target="worksheets/sheet21.xml"/><Relationship Id="rId28" Type="http://schemas.openxmlformats.org/officeDocument/2006/relationships/worksheet" Target="worksheets/sheet26.xml"/><Relationship Id="rId36" Type="http://schemas.openxmlformats.org/officeDocument/2006/relationships/worksheet" Target="worksheets/sheet34.xml"/><Relationship Id="rId10" Type="http://schemas.openxmlformats.org/officeDocument/2006/relationships/worksheet" Target="worksheets/sheet8.xml"/><Relationship Id="rId19" Type="http://schemas.openxmlformats.org/officeDocument/2006/relationships/worksheet" Target="worksheets/sheet17.xml"/><Relationship Id="rId31" Type="http://schemas.openxmlformats.org/officeDocument/2006/relationships/worksheet" Target="worksheets/sheet29.xml"/><Relationship Id="rId44" Type="http://schemas.microsoft.com/office/2006/relationships/vbaProject" Target="vbaProject.bin"/><Relationship Id="rId4" Type="http://schemas.openxmlformats.org/officeDocument/2006/relationships/worksheet" Target="worksheets/sheet2.xml"/><Relationship Id="rId9" Type="http://schemas.openxmlformats.org/officeDocument/2006/relationships/worksheet" Target="worksheets/sheet7.xml"/><Relationship Id="rId14" Type="http://schemas.openxmlformats.org/officeDocument/2006/relationships/worksheet" Target="worksheets/sheet12.xml"/><Relationship Id="rId22" Type="http://schemas.openxmlformats.org/officeDocument/2006/relationships/worksheet" Target="worksheets/sheet20.xml"/><Relationship Id="rId27" Type="http://schemas.openxmlformats.org/officeDocument/2006/relationships/worksheet" Target="worksheets/sheet25.xml"/><Relationship Id="rId30" Type="http://schemas.openxmlformats.org/officeDocument/2006/relationships/worksheet" Target="worksheets/sheet28.xml"/><Relationship Id="rId35" Type="http://schemas.openxmlformats.org/officeDocument/2006/relationships/worksheet" Target="worksheets/sheet33.xml"/><Relationship Id="rId43" Type="http://schemas.openxmlformats.org/officeDocument/2006/relationships/calcChain" Target="calcChain.xml"/><Relationship Id="rId8" Type="http://schemas.openxmlformats.org/officeDocument/2006/relationships/worksheet" Target="worksheets/sheet6.xml"/><Relationship Id="rId3" Type="http://schemas.openxmlformats.org/officeDocument/2006/relationships/chartsheet" Target="chartsheets/sheet2.xml"/><Relationship Id="rId12" Type="http://schemas.openxmlformats.org/officeDocument/2006/relationships/worksheet" Target="worksheets/sheet10.xml"/><Relationship Id="rId17" Type="http://schemas.openxmlformats.org/officeDocument/2006/relationships/worksheet" Target="worksheets/sheet15.xml"/><Relationship Id="rId25" Type="http://schemas.openxmlformats.org/officeDocument/2006/relationships/worksheet" Target="worksheets/sheet23.xml"/><Relationship Id="rId33" Type="http://schemas.openxmlformats.org/officeDocument/2006/relationships/worksheet" Target="worksheets/sheet31.xml"/><Relationship Id="rId38" Type="http://schemas.openxmlformats.org/officeDocument/2006/relationships/worksheet" Target="worksheets/sheet36.xml"/><Relationship Id="rId20" Type="http://schemas.openxmlformats.org/officeDocument/2006/relationships/worksheet" Target="worksheets/sheet18.xml"/><Relationship Id="rId41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Groeicurve meisje</a:t>
            </a:r>
          </a:p>
        </c:rich>
      </c:tx>
      <c:layout>
        <c:manualLayout>
          <c:xMode val="edge"/>
          <c:yMode val="edge"/>
          <c:x val="0.42605997931747674"/>
          <c:y val="2.0338983050847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2047569803516028E-2"/>
          <c:y val="0.12542372881355932"/>
          <c:w val="0.91520165460186143"/>
          <c:h val="0.764406779661017"/>
        </c:manualLayout>
      </c:layout>
      <c:scatterChart>
        <c:scatterStyle val="smoothMarker"/>
        <c:varyColors val="0"/>
        <c:ser>
          <c:idx val="1"/>
          <c:order val="0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GewMeisje!$E$2:$E$49</c:f>
              <c:numCache>
                <c:formatCode>General</c:formatCode>
                <c:ptCount val="48"/>
                <c:pt idx="0">
                  <c:v>3.04</c:v>
                </c:pt>
                <c:pt idx="1">
                  <c:v>3.04</c:v>
                </c:pt>
                <c:pt idx="2">
                  <c:v>3.54</c:v>
                </c:pt>
                <c:pt idx="3">
                  <c:v>3.99</c:v>
                </c:pt>
                <c:pt idx="4">
                  <c:v>4.4000000000000004</c:v>
                </c:pt>
                <c:pt idx="5">
                  <c:v>5.0999999999999996</c:v>
                </c:pt>
                <c:pt idx="6">
                  <c:v>5.82</c:v>
                </c:pt>
                <c:pt idx="7">
                  <c:v>6.34</c:v>
                </c:pt>
                <c:pt idx="8">
                  <c:v>6.92</c:v>
                </c:pt>
                <c:pt idx="9">
                  <c:v>7.48</c:v>
                </c:pt>
                <c:pt idx="10">
                  <c:v>7.8</c:v>
                </c:pt>
                <c:pt idx="11">
                  <c:v>9.1999999999999993</c:v>
                </c:pt>
                <c:pt idx="12">
                  <c:v>10.3</c:v>
                </c:pt>
                <c:pt idx="13">
                  <c:v>11.2</c:v>
                </c:pt>
                <c:pt idx="14">
                  <c:v>12</c:v>
                </c:pt>
                <c:pt idx="15">
                  <c:v>12.8</c:v>
                </c:pt>
                <c:pt idx="16">
                  <c:v>13.6</c:v>
                </c:pt>
                <c:pt idx="17">
                  <c:v>14.4</c:v>
                </c:pt>
                <c:pt idx="18">
                  <c:v>15.2</c:v>
                </c:pt>
                <c:pt idx="19">
                  <c:v>15.9</c:v>
                </c:pt>
                <c:pt idx="20">
                  <c:v>16.7</c:v>
                </c:pt>
                <c:pt idx="21">
                  <c:v>17.600000000000001</c:v>
                </c:pt>
                <c:pt idx="22">
                  <c:v>18.600000000000001</c:v>
                </c:pt>
                <c:pt idx="23">
                  <c:v>19.600000000000001</c:v>
                </c:pt>
                <c:pt idx="24">
                  <c:v>20.7</c:v>
                </c:pt>
                <c:pt idx="25">
                  <c:v>21.7</c:v>
                </c:pt>
                <c:pt idx="26">
                  <c:v>22.8</c:v>
                </c:pt>
                <c:pt idx="27">
                  <c:v>23.8</c:v>
                </c:pt>
                <c:pt idx="28">
                  <c:v>24.8</c:v>
                </c:pt>
                <c:pt idx="29">
                  <c:v>25.9</c:v>
                </c:pt>
                <c:pt idx="30">
                  <c:v>27.1</c:v>
                </c:pt>
                <c:pt idx="31">
                  <c:v>28.5</c:v>
                </c:pt>
                <c:pt idx="32">
                  <c:v>30.2</c:v>
                </c:pt>
                <c:pt idx="33">
                  <c:v>31.9</c:v>
                </c:pt>
                <c:pt idx="34">
                  <c:v>33.700000000000003</c:v>
                </c:pt>
                <c:pt idx="35">
                  <c:v>35.5</c:v>
                </c:pt>
                <c:pt idx="36">
                  <c:v>37.299999999999997</c:v>
                </c:pt>
                <c:pt idx="37">
                  <c:v>39.299999999999997</c:v>
                </c:pt>
                <c:pt idx="38">
                  <c:v>41.3</c:v>
                </c:pt>
                <c:pt idx="39">
                  <c:v>43</c:v>
                </c:pt>
                <c:pt idx="40">
                  <c:v>44.4</c:v>
                </c:pt>
                <c:pt idx="41">
                  <c:v>45.6</c:v>
                </c:pt>
                <c:pt idx="42">
                  <c:v>46.3</c:v>
                </c:pt>
                <c:pt idx="43">
                  <c:v>46.8</c:v>
                </c:pt>
                <c:pt idx="44">
                  <c:v>47</c:v>
                </c:pt>
                <c:pt idx="45">
                  <c:v>47.2</c:v>
                </c:pt>
                <c:pt idx="46">
                  <c:v>47.3</c:v>
                </c:pt>
                <c:pt idx="47">
                  <c:v>47.3</c:v>
                </c:pt>
              </c:numCache>
            </c:numRef>
          </c:yVal>
          <c:smooth val="1"/>
        </c:ser>
        <c:ser>
          <c:idx val="2"/>
          <c:order val="1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GewMeisje!$F$2:$F$49</c:f>
              <c:numCache>
                <c:formatCode>General</c:formatCode>
                <c:ptCount val="48"/>
                <c:pt idx="0">
                  <c:v>3.21</c:v>
                </c:pt>
                <c:pt idx="1">
                  <c:v>3.21</c:v>
                </c:pt>
                <c:pt idx="2">
                  <c:v>3.74</c:v>
                </c:pt>
                <c:pt idx="3">
                  <c:v>4.22</c:v>
                </c:pt>
                <c:pt idx="4">
                  <c:v>4.6500000000000004</c:v>
                </c:pt>
                <c:pt idx="5">
                  <c:v>5.47</c:v>
                </c:pt>
                <c:pt idx="6">
                  <c:v>6.31</c:v>
                </c:pt>
                <c:pt idx="7">
                  <c:v>6.83</c:v>
                </c:pt>
                <c:pt idx="8">
                  <c:v>7.45</c:v>
                </c:pt>
                <c:pt idx="9">
                  <c:v>8.01</c:v>
                </c:pt>
                <c:pt idx="10">
                  <c:v>8.3000000000000007</c:v>
                </c:pt>
                <c:pt idx="11">
                  <c:v>9.6999999999999993</c:v>
                </c:pt>
                <c:pt idx="12">
                  <c:v>10.8</c:v>
                </c:pt>
                <c:pt idx="13">
                  <c:v>11.8</c:v>
                </c:pt>
                <c:pt idx="14">
                  <c:v>12.8</c:v>
                </c:pt>
                <c:pt idx="15">
                  <c:v>13.7</c:v>
                </c:pt>
                <c:pt idx="16">
                  <c:v>14.6</c:v>
                </c:pt>
                <c:pt idx="17">
                  <c:v>15.5</c:v>
                </c:pt>
                <c:pt idx="18">
                  <c:v>16.3</c:v>
                </c:pt>
                <c:pt idx="19">
                  <c:v>17.100000000000001</c:v>
                </c:pt>
                <c:pt idx="20">
                  <c:v>17.899999999999999</c:v>
                </c:pt>
                <c:pt idx="21">
                  <c:v>18.8</c:v>
                </c:pt>
                <c:pt idx="22">
                  <c:v>19.899999999999999</c:v>
                </c:pt>
                <c:pt idx="23">
                  <c:v>21.1</c:v>
                </c:pt>
                <c:pt idx="24">
                  <c:v>22.3</c:v>
                </c:pt>
                <c:pt idx="25">
                  <c:v>23.5</c:v>
                </c:pt>
                <c:pt idx="26">
                  <c:v>24.7</c:v>
                </c:pt>
                <c:pt idx="27">
                  <c:v>25.9</c:v>
                </c:pt>
                <c:pt idx="28">
                  <c:v>27.1</c:v>
                </c:pt>
                <c:pt idx="29">
                  <c:v>28.3</c:v>
                </c:pt>
                <c:pt idx="30">
                  <c:v>29.6</c:v>
                </c:pt>
                <c:pt idx="31">
                  <c:v>31.2</c:v>
                </c:pt>
                <c:pt idx="32">
                  <c:v>33.1</c:v>
                </c:pt>
                <c:pt idx="33">
                  <c:v>35.200000000000003</c:v>
                </c:pt>
                <c:pt idx="34">
                  <c:v>37.5</c:v>
                </c:pt>
                <c:pt idx="35">
                  <c:v>39.799999999999997</c:v>
                </c:pt>
                <c:pt idx="36">
                  <c:v>41.9</c:v>
                </c:pt>
                <c:pt idx="37">
                  <c:v>43.7</c:v>
                </c:pt>
                <c:pt idx="38">
                  <c:v>45.3</c:v>
                </c:pt>
                <c:pt idx="39">
                  <c:v>46.9</c:v>
                </c:pt>
                <c:pt idx="40">
                  <c:v>48.2</c:v>
                </c:pt>
                <c:pt idx="41">
                  <c:v>49.2</c:v>
                </c:pt>
                <c:pt idx="42">
                  <c:v>49.9</c:v>
                </c:pt>
                <c:pt idx="43">
                  <c:v>50.2</c:v>
                </c:pt>
                <c:pt idx="44">
                  <c:v>50.5</c:v>
                </c:pt>
                <c:pt idx="45">
                  <c:v>50.7</c:v>
                </c:pt>
                <c:pt idx="46">
                  <c:v>50.8</c:v>
                </c:pt>
                <c:pt idx="47">
                  <c:v>50.8</c:v>
                </c:pt>
              </c:numCache>
            </c:numRef>
          </c:yVal>
          <c:smooth val="1"/>
        </c:ser>
        <c:ser>
          <c:idx val="3"/>
          <c:order val="2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GewMeisje!$G$2:$G$49</c:f>
              <c:numCache>
                <c:formatCode>General</c:formatCode>
                <c:ptCount val="48"/>
                <c:pt idx="0">
                  <c:v>3.41</c:v>
                </c:pt>
                <c:pt idx="1">
                  <c:v>3.41</c:v>
                </c:pt>
                <c:pt idx="2">
                  <c:v>3.97</c:v>
                </c:pt>
                <c:pt idx="3">
                  <c:v>4.49</c:v>
                </c:pt>
                <c:pt idx="4">
                  <c:v>4.99</c:v>
                </c:pt>
                <c:pt idx="5">
                  <c:v>5.84</c:v>
                </c:pt>
                <c:pt idx="6">
                  <c:v>6.68</c:v>
                </c:pt>
                <c:pt idx="7">
                  <c:v>7.25</c:v>
                </c:pt>
                <c:pt idx="8">
                  <c:v>7.95</c:v>
                </c:pt>
                <c:pt idx="9">
                  <c:v>8.52</c:v>
                </c:pt>
                <c:pt idx="10">
                  <c:v>8.8000000000000007</c:v>
                </c:pt>
                <c:pt idx="11">
                  <c:v>10.4</c:v>
                </c:pt>
                <c:pt idx="12">
                  <c:v>11.7</c:v>
                </c:pt>
                <c:pt idx="13">
                  <c:v>12.8</c:v>
                </c:pt>
                <c:pt idx="14">
                  <c:v>13.8</c:v>
                </c:pt>
                <c:pt idx="15">
                  <c:v>14.7</c:v>
                </c:pt>
                <c:pt idx="16">
                  <c:v>15.6</c:v>
                </c:pt>
                <c:pt idx="17">
                  <c:v>16.5</c:v>
                </c:pt>
                <c:pt idx="18">
                  <c:v>17.399999999999999</c:v>
                </c:pt>
                <c:pt idx="19">
                  <c:v>18.399999999999999</c:v>
                </c:pt>
                <c:pt idx="20">
                  <c:v>19.399999999999999</c:v>
                </c:pt>
                <c:pt idx="21">
                  <c:v>20.5</c:v>
                </c:pt>
                <c:pt idx="22">
                  <c:v>21.6</c:v>
                </c:pt>
                <c:pt idx="23">
                  <c:v>22.8</c:v>
                </c:pt>
                <c:pt idx="24">
                  <c:v>24</c:v>
                </c:pt>
                <c:pt idx="25">
                  <c:v>25.2</c:v>
                </c:pt>
                <c:pt idx="26">
                  <c:v>26.5</c:v>
                </c:pt>
                <c:pt idx="27">
                  <c:v>27.8</c:v>
                </c:pt>
                <c:pt idx="28">
                  <c:v>29.1</c:v>
                </c:pt>
                <c:pt idx="29">
                  <c:v>30.5</c:v>
                </c:pt>
                <c:pt idx="30">
                  <c:v>32.5</c:v>
                </c:pt>
                <c:pt idx="31">
                  <c:v>34.5</c:v>
                </c:pt>
                <c:pt idx="32">
                  <c:v>36.9</c:v>
                </c:pt>
                <c:pt idx="33">
                  <c:v>39.299999999999997</c:v>
                </c:pt>
                <c:pt idx="34">
                  <c:v>41.7</c:v>
                </c:pt>
                <c:pt idx="35">
                  <c:v>44.1</c:v>
                </c:pt>
                <c:pt idx="36">
                  <c:v>46.3</c:v>
                </c:pt>
                <c:pt idx="37">
                  <c:v>48.1</c:v>
                </c:pt>
                <c:pt idx="38">
                  <c:v>49.6</c:v>
                </c:pt>
                <c:pt idx="39">
                  <c:v>50.9</c:v>
                </c:pt>
                <c:pt idx="40">
                  <c:v>51.8</c:v>
                </c:pt>
                <c:pt idx="41">
                  <c:v>52.5</c:v>
                </c:pt>
                <c:pt idx="42">
                  <c:v>52.9</c:v>
                </c:pt>
                <c:pt idx="43">
                  <c:v>53.3</c:v>
                </c:pt>
                <c:pt idx="44">
                  <c:v>53.6</c:v>
                </c:pt>
                <c:pt idx="45">
                  <c:v>53.8</c:v>
                </c:pt>
                <c:pt idx="46">
                  <c:v>53.9</c:v>
                </c:pt>
                <c:pt idx="47">
                  <c:v>53.9</c:v>
                </c:pt>
              </c:numCache>
            </c:numRef>
          </c:yVal>
          <c:smooth val="1"/>
        </c:ser>
        <c:ser>
          <c:idx val="4"/>
          <c:order val="3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GewMeisje!$H$2:$H$49</c:f>
              <c:numCache>
                <c:formatCode>General</c:formatCode>
                <c:ptCount val="48"/>
                <c:pt idx="0">
                  <c:v>3.71</c:v>
                </c:pt>
                <c:pt idx="1">
                  <c:v>3.71</c:v>
                </c:pt>
                <c:pt idx="2">
                  <c:v>4.29</c:v>
                </c:pt>
                <c:pt idx="3">
                  <c:v>4.82</c:v>
                </c:pt>
                <c:pt idx="4">
                  <c:v>5.33</c:v>
                </c:pt>
                <c:pt idx="5">
                  <c:v>6.2</c:v>
                </c:pt>
                <c:pt idx="6">
                  <c:v>7.15</c:v>
                </c:pt>
                <c:pt idx="7">
                  <c:v>7.8</c:v>
                </c:pt>
                <c:pt idx="8">
                  <c:v>8.5299999999999994</c:v>
                </c:pt>
                <c:pt idx="9">
                  <c:v>9.16</c:v>
                </c:pt>
                <c:pt idx="10">
                  <c:v>9.5</c:v>
                </c:pt>
                <c:pt idx="11">
                  <c:v>11.3</c:v>
                </c:pt>
                <c:pt idx="12">
                  <c:v>12.6</c:v>
                </c:pt>
                <c:pt idx="13">
                  <c:v>13.8</c:v>
                </c:pt>
                <c:pt idx="14">
                  <c:v>14.9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22.2</c:v>
                </c:pt>
                <c:pt idx="22">
                  <c:v>23.4</c:v>
                </c:pt>
                <c:pt idx="23">
                  <c:v>24.8</c:v>
                </c:pt>
                <c:pt idx="24">
                  <c:v>26.2</c:v>
                </c:pt>
                <c:pt idx="25">
                  <c:v>27.6</c:v>
                </c:pt>
                <c:pt idx="26">
                  <c:v>29</c:v>
                </c:pt>
                <c:pt idx="27">
                  <c:v>30.5</c:v>
                </c:pt>
                <c:pt idx="28">
                  <c:v>32.1</c:v>
                </c:pt>
                <c:pt idx="29">
                  <c:v>33.9</c:v>
                </c:pt>
                <c:pt idx="30">
                  <c:v>36.200000000000003</c:v>
                </c:pt>
                <c:pt idx="31">
                  <c:v>38.799999999999997</c:v>
                </c:pt>
                <c:pt idx="32">
                  <c:v>41.6</c:v>
                </c:pt>
                <c:pt idx="33">
                  <c:v>44.2</c:v>
                </c:pt>
                <c:pt idx="34">
                  <c:v>46.6</c:v>
                </c:pt>
                <c:pt idx="35">
                  <c:v>49</c:v>
                </c:pt>
                <c:pt idx="36">
                  <c:v>51.2</c:v>
                </c:pt>
                <c:pt idx="37">
                  <c:v>53</c:v>
                </c:pt>
                <c:pt idx="38">
                  <c:v>54.5</c:v>
                </c:pt>
                <c:pt idx="39">
                  <c:v>55.8</c:v>
                </c:pt>
                <c:pt idx="40">
                  <c:v>56.6</c:v>
                </c:pt>
                <c:pt idx="41">
                  <c:v>57.3</c:v>
                </c:pt>
                <c:pt idx="42">
                  <c:v>57.7</c:v>
                </c:pt>
                <c:pt idx="43">
                  <c:v>58</c:v>
                </c:pt>
                <c:pt idx="44">
                  <c:v>58.3</c:v>
                </c:pt>
                <c:pt idx="45">
                  <c:v>58.5</c:v>
                </c:pt>
                <c:pt idx="46">
                  <c:v>58.6</c:v>
                </c:pt>
                <c:pt idx="47">
                  <c:v>58.6</c:v>
                </c:pt>
              </c:numCache>
            </c:numRef>
          </c:yVal>
          <c:smooth val="1"/>
        </c:ser>
        <c:ser>
          <c:idx val="5"/>
          <c:order val="4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GewMeisje!$I$2:$I$49</c:f>
              <c:numCache>
                <c:formatCode>General</c:formatCode>
                <c:ptCount val="48"/>
                <c:pt idx="0">
                  <c:v>4</c:v>
                </c:pt>
                <c:pt idx="1">
                  <c:v>4</c:v>
                </c:pt>
                <c:pt idx="2">
                  <c:v>4.63</c:v>
                </c:pt>
                <c:pt idx="3">
                  <c:v>5.19</c:v>
                </c:pt>
                <c:pt idx="4">
                  <c:v>5.75</c:v>
                </c:pt>
                <c:pt idx="5">
                  <c:v>6.68</c:v>
                </c:pt>
                <c:pt idx="6">
                  <c:v>7.64</c:v>
                </c:pt>
                <c:pt idx="7">
                  <c:v>8.3000000000000007</c:v>
                </c:pt>
                <c:pt idx="8">
                  <c:v>9.09</c:v>
                </c:pt>
                <c:pt idx="9">
                  <c:v>9.76</c:v>
                </c:pt>
                <c:pt idx="10">
                  <c:v>10.1</c:v>
                </c:pt>
                <c:pt idx="11">
                  <c:v>12</c:v>
                </c:pt>
                <c:pt idx="12">
                  <c:v>13.5</c:v>
                </c:pt>
                <c:pt idx="13">
                  <c:v>14.7</c:v>
                </c:pt>
                <c:pt idx="14">
                  <c:v>15.9</c:v>
                </c:pt>
                <c:pt idx="15">
                  <c:v>17.100000000000001</c:v>
                </c:pt>
                <c:pt idx="16">
                  <c:v>18.3</c:v>
                </c:pt>
                <c:pt idx="17">
                  <c:v>19.399999999999999</c:v>
                </c:pt>
                <c:pt idx="18">
                  <c:v>20.5</c:v>
                </c:pt>
                <c:pt idx="19">
                  <c:v>21.6</c:v>
                </c:pt>
                <c:pt idx="20">
                  <c:v>22.9</c:v>
                </c:pt>
                <c:pt idx="21">
                  <c:v>24.2</c:v>
                </c:pt>
                <c:pt idx="22">
                  <c:v>25.7</c:v>
                </c:pt>
                <c:pt idx="23">
                  <c:v>27.2</c:v>
                </c:pt>
                <c:pt idx="24">
                  <c:v>28.8</c:v>
                </c:pt>
                <c:pt idx="25">
                  <c:v>30.5</c:v>
                </c:pt>
                <c:pt idx="26">
                  <c:v>32.200000000000003</c:v>
                </c:pt>
                <c:pt idx="27">
                  <c:v>34</c:v>
                </c:pt>
                <c:pt idx="28">
                  <c:v>35.799999999999997</c:v>
                </c:pt>
                <c:pt idx="29">
                  <c:v>37.9</c:v>
                </c:pt>
                <c:pt idx="30">
                  <c:v>40.5</c:v>
                </c:pt>
                <c:pt idx="31">
                  <c:v>43.5</c:v>
                </c:pt>
                <c:pt idx="32">
                  <c:v>46.8</c:v>
                </c:pt>
                <c:pt idx="33">
                  <c:v>50</c:v>
                </c:pt>
                <c:pt idx="34">
                  <c:v>52.7</c:v>
                </c:pt>
                <c:pt idx="35">
                  <c:v>55.2</c:v>
                </c:pt>
                <c:pt idx="36">
                  <c:v>57.4</c:v>
                </c:pt>
                <c:pt idx="37">
                  <c:v>59.1</c:v>
                </c:pt>
                <c:pt idx="38">
                  <c:v>60.5</c:v>
                </c:pt>
                <c:pt idx="39">
                  <c:v>61.6</c:v>
                </c:pt>
                <c:pt idx="40">
                  <c:v>62.2</c:v>
                </c:pt>
                <c:pt idx="41">
                  <c:v>62.6</c:v>
                </c:pt>
                <c:pt idx="42">
                  <c:v>62.9</c:v>
                </c:pt>
                <c:pt idx="43">
                  <c:v>63.1</c:v>
                </c:pt>
                <c:pt idx="44">
                  <c:v>63.3</c:v>
                </c:pt>
                <c:pt idx="45">
                  <c:v>63.5</c:v>
                </c:pt>
                <c:pt idx="46">
                  <c:v>63.7</c:v>
                </c:pt>
                <c:pt idx="47">
                  <c:v>63.7</c:v>
                </c:pt>
              </c:numCache>
            </c:numRef>
          </c:yVal>
          <c:smooth val="1"/>
        </c:ser>
        <c:ser>
          <c:idx val="6"/>
          <c:order val="5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GewMeisje!$J$2:$J$49</c:f>
              <c:numCache>
                <c:formatCode>General</c:formatCode>
                <c:ptCount val="48"/>
                <c:pt idx="0">
                  <c:v>4.25</c:v>
                </c:pt>
                <c:pt idx="1">
                  <c:v>4.25</c:v>
                </c:pt>
                <c:pt idx="2">
                  <c:v>4.91</c:v>
                </c:pt>
                <c:pt idx="3">
                  <c:v>5.52</c:v>
                </c:pt>
                <c:pt idx="4">
                  <c:v>6.11</c:v>
                </c:pt>
                <c:pt idx="5">
                  <c:v>7.09</c:v>
                </c:pt>
                <c:pt idx="6">
                  <c:v>8.1199999999999992</c:v>
                </c:pt>
                <c:pt idx="7">
                  <c:v>8.83</c:v>
                </c:pt>
                <c:pt idx="8">
                  <c:v>9.6199999999999992</c:v>
                </c:pt>
                <c:pt idx="9">
                  <c:v>10.33</c:v>
                </c:pt>
                <c:pt idx="10">
                  <c:v>10.7</c:v>
                </c:pt>
                <c:pt idx="11">
                  <c:v>12.8</c:v>
                </c:pt>
                <c:pt idx="12">
                  <c:v>14.3</c:v>
                </c:pt>
                <c:pt idx="13">
                  <c:v>15.7</c:v>
                </c:pt>
                <c:pt idx="14">
                  <c:v>17.2</c:v>
                </c:pt>
                <c:pt idx="15">
                  <c:v>18.5</c:v>
                </c:pt>
                <c:pt idx="16">
                  <c:v>19.8</c:v>
                </c:pt>
                <c:pt idx="17">
                  <c:v>21</c:v>
                </c:pt>
                <c:pt idx="18">
                  <c:v>22.2</c:v>
                </c:pt>
                <c:pt idx="19">
                  <c:v>23.6</c:v>
                </c:pt>
                <c:pt idx="20">
                  <c:v>25</c:v>
                </c:pt>
                <c:pt idx="21">
                  <c:v>26.6</c:v>
                </c:pt>
                <c:pt idx="22">
                  <c:v>28.3</c:v>
                </c:pt>
                <c:pt idx="23">
                  <c:v>30.2</c:v>
                </c:pt>
                <c:pt idx="24">
                  <c:v>32.1</c:v>
                </c:pt>
                <c:pt idx="25">
                  <c:v>34</c:v>
                </c:pt>
                <c:pt idx="26">
                  <c:v>36</c:v>
                </c:pt>
                <c:pt idx="27">
                  <c:v>38</c:v>
                </c:pt>
                <c:pt idx="28">
                  <c:v>40.4</c:v>
                </c:pt>
                <c:pt idx="29">
                  <c:v>43</c:v>
                </c:pt>
                <c:pt idx="30">
                  <c:v>46.1</c:v>
                </c:pt>
                <c:pt idx="31">
                  <c:v>49.9</c:v>
                </c:pt>
                <c:pt idx="32">
                  <c:v>53.9</c:v>
                </c:pt>
                <c:pt idx="33">
                  <c:v>56.7</c:v>
                </c:pt>
                <c:pt idx="34">
                  <c:v>58.9</c:v>
                </c:pt>
                <c:pt idx="35">
                  <c:v>60.9</c:v>
                </c:pt>
                <c:pt idx="36">
                  <c:v>63</c:v>
                </c:pt>
                <c:pt idx="37">
                  <c:v>64.8</c:v>
                </c:pt>
                <c:pt idx="38">
                  <c:v>66.3</c:v>
                </c:pt>
                <c:pt idx="39">
                  <c:v>67.2</c:v>
                </c:pt>
                <c:pt idx="40">
                  <c:v>67.599999999999994</c:v>
                </c:pt>
                <c:pt idx="41">
                  <c:v>67.8</c:v>
                </c:pt>
                <c:pt idx="42">
                  <c:v>68</c:v>
                </c:pt>
                <c:pt idx="43">
                  <c:v>68.2</c:v>
                </c:pt>
                <c:pt idx="44">
                  <c:v>68.400000000000006</c:v>
                </c:pt>
                <c:pt idx="45">
                  <c:v>68.5</c:v>
                </c:pt>
                <c:pt idx="46">
                  <c:v>68.5</c:v>
                </c:pt>
                <c:pt idx="47">
                  <c:v>68.5</c:v>
                </c:pt>
              </c:numCache>
            </c:numRef>
          </c:yVal>
          <c:smooth val="1"/>
        </c:ser>
        <c:ser>
          <c:idx val="7"/>
          <c:order val="6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GewMeisje!$K$2:$K$49</c:f>
              <c:numCache>
                <c:formatCode>General</c:formatCode>
                <c:ptCount val="48"/>
                <c:pt idx="0">
                  <c:v>4.53</c:v>
                </c:pt>
                <c:pt idx="1">
                  <c:v>4.53</c:v>
                </c:pt>
                <c:pt idx="2">
                  <c:v>5.22</c:v>
                </c:pt>
                <c:pt idx="3">
                  <c:v>5.87</c:v>
                </c:pt>
                <c:pt idx="4">
                  <c:v>6.49</c:v>
                </c:pt>
                <c:pt idx="5">
                  <c:v>7.55</c:v>
                </c:pt>
                <c:pt idx="6">
                  <c:v>8.66</c:v>
                </c:pt>
                <c:pt idx="7">
                  <c:v>9.41</c:v>
                </c:pt>
                <c:pt idx="8">
                  <c:v>10.3</c:v>
                </c:pt>
                <c:pt idx="9">
                  <c:v>11.06</c:v>
                </c:pt>
                <c:pt idx="10">
                  <c:v>11.4</c:v>
                </c:pt>
                <c:pt idx="11">
                  <c:v>13.5</c:v>
                </c:pt>
                <c:pt idx="12">
                  <c:v>15.2</c:v>
                </c:pt>
                <c:pt idx="13">
                  <c:v>16.899999999999999</c:v>
                </c:pt>
                <c:pt idx="14">
                  <c:v>18.5</c:v>
                </c:pt>
                <c:pt idx="15">
                  <c:v>20</c:v>
                </c:pt>
                <c:pt idx="16">
                  <c:v>21.5</c:v>
                </c:pt>
                <c:pt idx="17">
                  <c:v>22.9</c:v>
                </c:pt>
                <c:pt idx="18">
                  <c:v>24.2</c:v>
                </c:pt>
                <c:pt idx="19">
                  <c:v>25.7</c:v>
                </c:pt>
                <c:pt idx="20">
                  <c:v>27.4</c:v>
                </c:pt>
                <c:pt idx="21">
                  <c:v>29.3</c:v>
                </c:pt>
                <c:pt idx="22">
                  <c:v>31.3</c:v>
                </c:pt>
                <c:pt idx="23">
                  <c:v>33.4</c:v>
                </c:pt>
                <c:pt idx="24">
                  <c:v>35.5</c:v>
                </c:pt>
                <c:pt idx="25">
                  <c:v>37.9</c:v>
                </c:pt>
                <c:pt idx="26">
                  <c:v>40.299999999999997</c:v>
                </c:pt>
                <c:pt idx="27">
                  <c:v>42.7</c:v>
                </c:pt>
                <c:pt idx="28">
                  <c:v>45.4</c:v>
                </c:pt>
                <c:pt idx="29">
                  <c:v>48.4</c:v>
                </c:pt>
                <c:pt idx="30">
                  <c:v>51.6</c:v>
                </c:pt>
                <c:pt idx="31">
                  <c:v>55.5</c:v>
                </c:pt>
                <c:pt idx="32">
                  <c:v>59.7</c:v>
                </c:pt>
                <c:pt idx="33">
                  <c:v>63.7</c:v>
                </c:pt>
                <c:pt idx="34">
                  <c:v>66.400000000000006</c:v>
                </c:pt>
                <c:pt idx="35">
                  <c:v>68.2</c:v>
                </c:pt>
                <c:pt idx="36">
                  <c:v>70</c:v>
                </c:pt>
                <c:pt idx="37">
                  <c:v>71.3</c:v>
                </c:pt>
                <c:pt idx="38">
                  <c:v>72.400000000000006</c:v>
                </c:pt>
                <c:pt idx="39">
                  <c:v>73.2</c:v>
                </c:pt>
                <c:pt idx="40">
                  <c:v>73.8</c:v>
                </c:pt>
                <c:pt idx="41">
                  <c:v>74</c:v>
                </c:pt>
                <c:pt idx="42">
                  <c:v>74.099999999999994</c:v>
                </c:pt>
                <c:pt idx="43">
                  <c:v>74.099999999999994</c:v>
                </c:pt>
                <c:pt idx="44">
                  <c:v>74</c:v>
                </c:pt>
                <c:pt idx="45">
                  <c:v>73.8</c:v>
                </c:pt>
                <c:pt idx="46">
                  <c:v>73.8</c:v>
                </c:pt>
                <c:pt idx="47">
                  <c:v>73.8</c:v>
                </c:pt>
              </c:numCache>
            </c:numRef>
          </c:yVal>
          <c:smooth val="1"/>
        </c:ser>
        <c:ser>
          <c:idx val="0"/>
          <c:order val="7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GewMeisje!$N$2</c:f>
              <c:numCache>
                <c:formatCode>General</c:formatCode>
                <c:ptCount val="1"/>
                <c:pt idx="0">
                  <c:v>42</c:v>
                </c:pt>
              </c:numCache>
            </c:numRef>
          </c:xVal>
          <c:yVal>
            <c:numRef>
              <c:f>GewMeisje!$O$2</c:f>
              <c:numCache>
                <c:formatCode>General</c:formatCode>
                <c:ptCount val="1"/>
              </c:numCache>
            </c:numRef>
          </c:yVal>
          <c:smooth val="1"/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GewMeisje!$N$3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GewMeisje!$D$14</c:f>
              <c:numCache>
                <c:formatCode>General</c:formatCode>
                <c:ptCount val="1"/>
                <c:pt idx="0">
                  <c:v>12.5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029648"/>
        <c:axId val="172030208"/>
      </c:scatterChart>
      <c:valAx>
        <c:axId val="17202964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Leeftijd in maanden</a:t>
                </a:r>
              </a:p>
            </c:rich>
          </c:tx>
          <c:layout>
            <c:manualLayout>
              <c:xMode val="edge"/>
              <c:yMode val="edge"/>
              <c:x val="0.45087900723888313"/>
              <c:y val="0.942372881355932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72030208"/>
        <c:crosses val="autoZero"/>
        <c:crossBetween val="midCat"/>
        <c:majorUnit val="12"/>
        <c:minorUnit val="12"/>
      </c:valAx>
      <c:valAx>
        <c:axId val="172030208"/>
        <c:scaling>
          <c:orientation val="minMax"/>
          <c:max val="8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Gewicht (kg)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437288135593220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72029648"/>
        <c:crosses val="autoZero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Groeicurve jongen</a:t>
            </a:r>
          </a:p>
        </c:rich>
      </c:tx>
      <c:layout>
        <c:manualLayout>
          <c:xMode val="edge"/>
          <c:yMode val="edge"/>
          <c:x val="0.42399172699069287"/>
          <c:y val="2.0338983050847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2047569803516028E-2"/>
          <c:y val="0.12542372881355932"/>
          <c:w val="0.91830403309203723"/>
          <c:h val="0.764406779661017"/>
        </c:manualLayout>
      </c:layout>
      <c:scatterChart>
        <c:scatterStyle val="smoothMarker"/>
        <c:varyColors val="0"/>
        <c:ser>
          <c:idx val="1"/>
          <c:order val="0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GewJongen!$E$2:$E$13</c:f>
              <c:numCache>
                <c:formatCode>General</c:formatCode>
                <c:ptCount val="12"/>
                <c:pt idx="0">
                  <c:v>3.02</c:v>
                </c:pt>
                <c:pt idx="1">
                  <c:v>3.02</c:v>
                </c:pt>
                <c:pt idx="2">
                  <c:v>3.62</c:v>
                </c:pt>
                <c:pt idx="3">
                  <c:v>4.12</c:v>
                </c:pt>
                <c:pt idx="4">
                  <c:v>4.55</c:v>
                </c:pt>
                <c:pt idx="5">
                  <c:v>5.35</c:v>
                </c:pt>
                <c:pt idx="6">
                  <c:v>6.18</c:v>
                </c:pt>
                <c:pt idx="7">
                  <c:v>6.7</c:v>
                </c:pt>
                <c:pt idx="8">
                  <c:v>7.4</c:v>
                </c:pt>
                <c:pt idx="9">
                  <c:v>8.0299999999999994</c:v>
                </c:pt>
                <c:pt idx="10">
                  <c:v>8.3000000000000007</c:v>
                </c:pt>
              </c:numCache>
            </c:numRef>
          </c:yVal>
          <c:smooth val="1"/>
        </c:ser>
        <c:ser>
          <c:idx val="2"/>
          <c:order val="1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GewJongen!$F$2:$F$13</c:f>
              <c:numCache>
                <c:formatCode>General</c:formatCode>
                <c:ptCount val="12"/>
                <c:pt idx="0">
                  <c:v>3.23</c:v>
                </c:pt>
                <c:pt idx="1">
                  <c:v>3.23</c:v>
                </c:pt>
                <c:pt idx="2">
                  <c:v>3.83</c:v>
                </c:pt>
                <c:pt idx="3">
                  <c:v>4.42</c:v>
                </c:pt>
                <c:pt idx="4">
                  <c:v>4.92</c:v>
                </c:pt>
                <c:pt idx="5">
                  <c:v>5.77</c:v>
                </c:pt>
                <c:pt idx="6">
                  <c:v>6.62</c:v>
                </c:pt>
                <c:pt idx="7">
                  <c:v>7.17</c:v>
                </c:pt>
                <c:pt idx="8">
                  <c:v>7.89</c:v>
                </c:pt>
                <c:pt idx="9">
                  <c:v>8.5399999999999991</c:v>
                </c:pt>
                <c:pt idx="10">
                  <c:v>8.8000000000000007</c:v>
                </c:pt>
              </c:numCache>
            </c:numRef>
          </c:yVal>
          <c:smooth val="1"/>
        </c:ser>
        <c:ser>
          <c:idx val="3"/>
          <c:order val="2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GewJongen!$G$2:$G$13</c:f>
              <c:numCache>
                <c:formatCode>General</c:formatCode>
                <c:ptCount val="12"/>
                <c:pt idx="0">
                  <c:v>3.52</c:v>
                </c:pt>
                <c:pt idx="1">
                  <c:v>3.52</c:v>
                </c:pt>
                <c:pt idx="2">
                  <c:v>4.1500000000000004</c:v>
                </c:pt>
                <c:pt idx="3">
                  <c:v>4.74</c:v>
                </c:pt>
                <c:pt idx="4">
                  <c:v>5.23</c:v>
                </c:pt>
                <c:pt idx="5">
                  <c:v>6.17</c:v>
                </c:pt>
                <c:pt idx="6">
                  <c:v>7.08</c:v>
                </c:pt>
                <c:pt idx="7">
                  <c:v>7.67</c:v>
                </c:pt>
                <c:pt idx="8">
                  <c:v>8.4499999999999993</c:v>
                </c:pt>
                <c:pt idx="9">
                  <c:v>9.11</c:v>
                </c:pt>
                <c:pt idx="10">
                  <c:v>9.4</c:v>
                </c:pt>
              </c:numCache>
            </c:numRef>
          </c:yVal>
          <c:smooth val="1"/>
        </c:ser>
        <c:ser>
          <c:idx val="4"/>
          <c:order val="3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GewJongen!$H$2:$H$13</c:f>
              <c:numCache>
                <c:formatCode>General</c:formatCode>
                <c:ptCount val="12"/>
                <c:pt idx="0">
                  <c:v>3.83</c:v>
                </c:pt>
                <c:pt idx="1">
                  <c:v>3.83</c:v>
                </c:pt>
                <c:pt idx="2">
                  <c:v>4.5</c:v>
                </c:pt>
                <c:pt idx="3">
                  <c:v>5.13</c:v>
                </c:pt>
                <c:pt idx="4">
                  <c:v>5.64</c:v>
                </c:pt>
                <c:pt idx="5">
                  <c:v>6.6</c:v>
                </c:pt>
                <c:pt idx="6">
                  <c:v>7.56</c:v>
                </c:pt>
                <c:pt idx="7">
                  <c:v>8.1999999999999993</c:v>
                </c:pt>
                <c:pt idx="8">
                  <c:v>9.02</c:v>
                </c:pt>
                <c:pt idx="9">
                  <c:v>9.73</c:v>
                </c:pt>
                <c:pt idx="10">
                  <c:v>10.1</c:v>
                </c:pt>
              </c:numCache>
            </c:numRef>
          </c:yVal>
          <c:smooth val="1"/>
        </c:ser>
        <c:ser>
          <c:idx val="5"/>
          <c:order val="4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GewJongen!$I$2:$I$13</c:f>
              <c:numCache>
                <c:formatCode>General</c:formatCode>
                <c:ptCount val="12"/>
                <c:pt idx="0">
                  <c:v>4.17</c:v>
                </c:pt>
                <c:pt idx="1">
                  <c:v>4.17</c:v>
                </c:pt>
                <c:pt idx="2">
                  <c:v>4.8499999999999996</c:v>
                </c:pt>
                <c:pt idx="3">
                  <c:v>5.5</c:v>
                </c:pt>
                <c:pt idx="4">
                  <c:v>6.06</c:v>
                </c:pt>
                <c:pt idx="5">
                  <c:v>7.06</c:v>
                </c:pt>
                <c:pt idx="6">
                  <c:v>8.1</c:v>
                </c:pt>
                <c:pt idx="7">
                  <c:v>8.7899999999999991</c:v>
                </c:pt>
                <c:pt idx="8">
                  <c:v>9.69</c:v>
                </c:pt>
                <c:pt idx="9">
                  <c:v>10.44</c:v>
                </c:pt>
                <c:pt idx="10">
                  <c:v>10.8</c:v>
                </c:pt>
              </c:numCache>
            </c:numRef>
          </c:yVal>
          <c:smooth val="1"/>
        </c:ser>
        <c:ser>
          <c:idx val="6"/>
          <c:order val="5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GewJongen!$J$2:$J$13</c:f>
              <c:numCache>
                <c:formatCode>General</c:formatCode>
                <c:ptCount val="12"/>
                <c:pt idx="0">
                  <c:v>4.46</c:v>
                </c:pt>
                <c:pt idx="1">
                  <c:v>4.46</c:v>
                </c:pt>
                <c:pt idx="2">
                  <c:v>5.18</c:v>
                </c:pt>
                <c:pt idx="3">
                  <c:v>5.86</c:v>
                </c:pt>
                <c:pt idx="4">
                  <c:v>6.44</c:v>
                </c:pt>
                <c:pt idx="5">
                  <c:v>7.51</c:v>
                </c:pt>
                <c:pt idx="6">
                  <c:v>8.6</c:v>
                </c:pt>
                <c:pt idx="7">
                  <c:v>9.32</c:v>
                </c:pt>
                <c:pt idx="8">
                  <c:v>10.24</c:v>
                </c:pt>
                <c:pt idx="9">
                  <c:v>11.01</c:v>
                </c:pt>
                <c:pt idx="10">
                  <c:v>11.4</c:v>
                </c:pt>
              </c:numCache>
            </c:numRef>
          </c:yVal>
          <c:smooth val="1"/>
        </c:ser>
        <c:ser>
          <c:idx val="7"/>
          <c:order val="6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GewJongen!$K$2:$K$13</c:f>
              <c:numCache>
                <c:formatCode>General</c:formatCode>
                <c:ptCount val="12"/>
                <c:pt idx="0">
                  <c:v>4.8099999999999996</c:v>
                </c:pt>
                <c:pt idx="1">
                  <c:v>4.8099999999999996</c:v>
                </c:pt>
                <c:pt idx="2">
                  <c:v>5.57</c:v>
                </c:pt>
                <c:pt idx="3">
                  <c:v>6.28</c:v>
                </c:pt>
                <c:pt idx="4">
                  <c:v>6.89</c:v>
                </c:pt>
                <c:pt idx="5">
                  <c:v>8</c:v>
                </c:pt>
                <c:pt idx="6">
                  <c:v>9.1999999999999993</c:v>
                </c:pt>
                <c:pt idx="7">
                  <c:v>10</c:v>
                </c:pt>
                <c:pt idx="8">
                  <c:v>10.94</c:v>
                </c:pt>
                <c:pt idx="9">
                  <c:v>11.74</c:v>
                </c:pt>
                <c:pt idx="10">
                  <c:v>12.1</c:v>
                </c:pt>
              </c:numCache>
            </c:numRef>
          </c:yVal>
          <c:smooth val="1"/>
        </c:ser>
        <c:ser>
          <c:idx val="0"/>
          <c:order val="7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GewJongen!$C$13</c:f>
              <c:numCache>
                <c:formatCode>General</c:formatCode>
                <c:ptCount val="1"/>
                <c:pt idx="0">
                  <c:v>42</c:v>
                </c:pt>
              </c:numCache>
            </c:numRef>
          </c:xVal>
          <c:yVal>
            <c:numRef>
              <c:f>GewJongen!$D$13</c:f>
              <c:numCache>
                <c:formatCode>General</c:formatCode>
                <c:ptCount val="1"/>
                <c:pt idx="0">
                  <c:v>10</c:v>
                </c:pt>
              </c:numCache>
            </c:numRef>
          </c:yVal>
          <c:smooth val="1"/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GewJongen!$C$14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GewJongen!$D$14</c:f>
              <c:numCache>
                <c:formatCode>General</c:formatCode>
                <c:ptCount val="1"/>
                <c:pt idx="0">
                  <c:v>3.4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440496"/>
        <c:axId val="172441056"/>
      </c:scatterChart>
      <c:valAx>
        <c:axId val="17244049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Leeftijd in maanden</a:t>
                </a:r>
              </a:p>
            </c:rich>
          </c:tx>
          <c:layout>
            <c:manualLayout>
              <c:xMode val="edge"/>
              <c:yMode val="edge"/>
              <c:x val="0.452947259565667"/>
              <c:y val="0.942372881355932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72441056"/>
        <c:crosses val="autoZero"/>
        <c:crossBetween val="midCat"/>
        <c:majorUnit val="1"/>
        <c:minorUnit val="0.5"/>
      </c:valAx>
      <c:valAx>
        <c:axId val="172441056"/>
        <c:scaling>
          <c:orientation val="minMax"/>
          <c:max val="14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Gewicht (kg)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437288135593220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72440496"/>
        <c:crosses val="autoZero"/>
        <c:crossBetween val="midCat"/>
        <c:majorUnit val="1"/>
        <c:min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fiek4"/>
  <sheetViews>
    <sheetView workbookViewId="0" zoomToFit="1"/>
  </sheetViews>
  <pageMargins left="0.75" right="0.75" top="1" bottom="1" header="0.5" footer="0.5"/>
  <pageSetup paperSize="9" orientation="landscape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fiek3"/>
  <sheetViews>
    <sheetView workbookViewId="0" zoomToFit="1"/>
  </sheetViews>
  <pageMargins left="0.75" right="0.75" top="1" bottom="1" header="0.5" footer="0.5"/>
  <headerFooter alignWithMargins="0"/>
  <drawing r:id="rId1"/>
</chartsheet>
</file>

<file path=xl/ctrlProps/ctrlProp1.xml><?xml version="1.0" encoding="utf-8"?>
<formControlPr xmlns="http://schemas.microsoft.com/office/spreadsheetml/2009/9/main" objectType="Drop" dropStyle="combo" dx="16" fmlaLink="ber_IVmed!$B$31" fmlaRange="tblDoseringen" sel="1" val="18"/>
</file>

<file path=xl/ctrlProps/ctrlProp2.xml><?xml version="1.0" encoding="utf-8"?>
<formControlPr xmlns="http://schemas.microsoft.com/office/spreadsheetml/2009/9/main" objectType="Drop" dropStyle="combo" dx="16" fmlaLink="ber_IVmed!$B$32" fmlaRange="tblDoseringen" sel="1" val="0"/>
</file>

<file path=xl/ctrlProps/ctrlProp3.xml><?xml version="1.0" encoding="utf-8"?>
<formControlPr xmlns="http://schemas.microsoft.com/office/spreadsheetml/2009/9/main" objectType="Drop" dropStyle="combo" dx="16" fmlaLink="ber_IVmed!$B$33" fmlaRange="tblDoseringen" sel="1" val="11"/>
</file>

<file path=xl/ctrlProps/ctrlProp4.xml><?xml version="1.0" encoding="utf-8"?>
<formControlPr xmlns="http://schemas.microsoft.com/office/spreadsheetml/2009/9/main" objectType="Drop" dropStyle="combo" dx="16" fmlaLink="ber_IVmed!$B$34" fmlaRange="tblDoseringen" sel="1" val="16"/>
</file>

<file path=xl/ctrlProps/ctrlProp5.xml><?xml version="1.0" encoding="utf-8"?>
<formControlPr xmlns="http://schemas.microsoft.com/office/spreadsheetml/2009/9/main" objectType="Drop" dropStyle="combo" dx="16" fmlaLink="ber_IVmed!$B$35" fmlaRange="tblDoseringen" sel="1" val="0"/>
</file>

<file path=xl/ctrlProps/ctrlProp6.xml><?xml version="1.0" encoding="utf-8"?>
<formControlPr xmlns="http://schemas.microsoft.com/office/spreadsheetml/2009/9/main" objectType="Drop" dropStyle="combo" dx="16" fmlaLink="ber_IVmed!$B$36" fmlaRange="tblDoseringen" sel="1" val="0"/>
</file>

<file path=xl/ctrlProps/ctrlProp7.xml><?xml version="1.0" encoding="utf-8"?>
<formControlPr xmlns="http://schemas.microsoft.com/office/spreadsheetml/2009/9/main" objectType="Drop" dropStyle="combo" dx="16" fmlaLink="ber_IVmed!$B$37" fmlaRange="tblDoseringen" sel="1" val="8"/>
</file>

<file path=xl/ctrlProps/ctrlProp8.xml><?xml version="1.0" encoding="utf-8"?>
<formControlPr xmlns="http://schemas.microsoft.com/office/spreadsheetml/2009/9/main" objectType="Drop" dropStyle="combo" dx="16" fmlaLink="ber_IVmed!$B$38" fmlaRange="tblDoseringen" sel="1" val="0"/>
</file>

<file path=xl/ctrlProps/ctrlProp9.xml><?xml version="1.0" encoding="utf-8"?>
<formControlPr xmlns="http://schemas.microsoft.com/office/spreadsheetml/2009/9/main" objectType="Drop" dropStyle="combo" dx="16" fmlaLink="ber_IVmed!$B$39" fmlaRange="tblDoseringen" sel="1" val="0"/>
</file>

<file path=xl/ctrlProps/ctrlProp10.xml><?xml version="1.0" encoding="utf-8"?>
<formControlPr xmlns="http://schemas.microsoft.com/office/spreadsheetml/2009/9/main" objectType="Drop" dropStyle="combo" dx="16" fmlaLink="ber_IVmed!$D$31" fmlaRange="tblOplossing" sel="4" val="0"/>
</file>

<file path=xl/ctrlProps/ctrlProp11.xml><?xml version="1.0" encoding="utf-8"?>
<formControlPr xmlns="http://schemas.microsoft.com/office/spreadsheetml/2009/9/main" objectType="Drop" dropStyle="combo" dx="16" fmlaLink="ber_IVmed!$D$32" fmlaRange="tblOplossing" sel="4" val="0"/>
</file>

<file path=xl/ctrlProps/ctrlProp12.xml><?xml version="1.0" encoding="utf-8"?>
<formControlPr xmlns="http://schemas.microsoft.com/office/spreadsheetml/2009/9/main" objectType="Drop" dropStyle="combo" dx="16" fmlaLink="ber_IVmed!$D$33" fmlaRange="tblOplossing" sel="4" val="0"/>
</file>

<file path=xl/ctrlProps/ctrlProp13.xml><?xml version="1.0" encoding="utf-8"?>
<formControlPr xmlns="http://schemas.microsoft.com/office/spreadsheetml/2009/9/main" objectType="Drop" dropStyle="combo" dx="16" fmlaLink="ber_IVmed!$D$34" fmlaRange="tblOplossing" sel="4" val="0"/>
</file>

<file path=xl/ctrlProps/ctrlProp14.xml><?xml version="1.0" encoding="utf-8"?>
<formControlPr xmlns="http://schemas.microsoft.com/office/spreadsheetml/2009/9/main" objectType="Drop" dropStyle="combo" dx="16" fmlaLink="ber_IVmed!$D$35" fmlaRange="tblOplossing" sel="4" val="0"/>
</file>

<file path=xl/ctrlProps/ctrlProp15.xml><?xml version="1.0" encoding="utf-8"?>
<formControlPr xmlns="http://schemas.microsoft.com/office/spreadsheetml/2009/9/main" objectType="Drop" dropStyle="combo" dx="16" fmlaLink="ber_IVmed!$D$36" fmlaRange="tblOplossing" sel="4" val="0"/>
</file>

<file path=xl/ctrlProps/ctrlProp16.xml><?xml version="1.0" encoding="utf-8"?>
<formControlPr xmlns="http://schemas.microsoft.com/office/spreadsheetml/2009/9/main" objectType="Drop" dropStyle="combo" dx="16" fmlaLink="ber_IVmed!$D$37" fmlaRange="tblOplossing" sel="4" val="0"/>
</file>

<file path=xl/ctrlProps/ctrlProp17.xml><?xml version="1.0" encoding="utf-8"?>
<formControlPr xmlns="http://schemas.microsoft.com/office/spreadsheetml/2009/9/main" objectType="Drop" dropStyle="combo" dx="16" fmlaLink="ber_IVmed!$D$38" fmlaRange="tblOplossing" sel="4" val="0"/>
</file>

<file path=xl/ctrlProps/ctrlProp18.xml><?xml version="1.0" encoding="utf-8"?>
<formControlPr xmlns="http://schemas.microsoft.com/office/spreadsheetml/2009/9/main" objectType="Drop" dropStyle="combo" dx="16" fmlaLink="ber_IVmed!$D$39" fmlaRange="tblOplossing" sel="4" val="0"/>
</file>

<file path=xl/ctrlProps/ctrlProp19.xml><?xml version="1.0" encoding="utf-8"?>
<formControlPr xmlns="http://schemas.microsoft.com/office/spreadsheetml/2009/9/main" objectType="Drop" dropStyle="combo" dx="16" fmlaLink="ber_IVmed!$D$43" fmlaRange="tblOplossing" sel="4" val="0"/>
</file>

<file path=xl/ctrlProps/ctrlProp20.xml><?xml version="1.0" encoding="utf-8"?>
<formControlPr xmlns="http://schemas.microsoft.com/office/spreadsheetml/2009/9/main" objectType="Drop" dropStyle="combo" dx="16" fmlaLink="ber_IVmed!$D$41" fmlaRange="oplossing" sel="0" val="0"/>
</file>

<file path=xl/ctrlProps/ctrlProp21.xml><?xml version="1.0" encoding="utf-8"?>
<formControlPr xmlns="http://schemas.microsoft.com/office/spreadsheetml/2009/9/main" objectType="Drop" dropStyle="combo" dx="16" fmlaLink="ber_IVmed!$D$42" fmlaRange="oplossing" sel="0" val="0"/>
</file>

<file path=xl/ctrlProps/ctrlProp22.xml><?xml version="1.0" encoding="utf-8"?>
<formControlPr xmlns="http://schemas.microsoft.com/office/spreadsheetml/2009/9/main" objectType="Spin" dx="15" fmlaLink="ber_IVmed!$C$43" max="100" min="1" page="10"/>
</file>

<file path=xl/ctrlProps/ctrlProp23.xml><?xml version="1.0" encoding="utf-8"?>
<formControlPr xmlns="http://schemas.microsoft.com/office/spreadsheetml/2009/9/main" objectType="Drop" dropStyle="combo" dx="16" fmlaLink="ber_IVmed!$D$44" fmlaRange="tblOplossing" sel="4" val="0"/>
</file>

<file path=xl/ctrlProps/ctrlProp24.xml><?xml version="1.0" encoding="utf-8"?>
<formControlPr xmlns="http://schemas.microsoft.com/office/spreadsheetml/2009/9/main" objectType="Spin" dx="15" fmlaLink="ber_IVmed!$C$44" max="100" min="1" page="10"/>
</file>

<file path=xl/ctrlProps/ctrlProp25.xml><?xml version="1.0" encoding="utf-8"?>
<formControlPr xmlns="http://schemas.microsoft.com/office/spreadsheetml/2009/9/main" objectType="Drop" dropStyle="combo" dx="16" fmlaLink="ber_IVmed!$D$45" fmlaRange="tblOplossing" sel="4" val="0"/>
</file>

<file path=xl/ctrlProps/ctrlProp26.xml><?xml version="1.0" encoding="utf-8"?>
<formControlPr xmlns="http://schemas.microsoft.com/office/spreadsheetml/2009/9/main" objectType="Spin" dx="15" fmlaLink="ber_IVmed!$C$45" max="100" min="1" page="10"/>
</file>

<file path=xl/ctrlProps/ctrlProp27.xml><?xml version="1.0" encoding="utf-8"?>
<formControlPr xmlns="http://schemas.microsoft.com/office/spreadsheetml/2009/9/main" objectType="Spin" dx="15" fmlaLink="ber_IVmed!$E$43" max="500" page="10" val="0"/>
</file>

<file path=xl/ctrlProps/ctrlProp28.xml><?xml version="1.0" encoding="utf-8"?>
<formControlPr xmlns="http://schemas.microsoft.com/office/spreadsheetml/2009/9/main" objectType="Spin" dx="15" fmlaLink="ber_IVmed!$E$44" max="500" page="10" val="0"/>
</file>

<file path=xl/ctrlProps/ctrlProp29.xml><?xml version="1.0" encoding="utf-8"?>
<formControlPr xmlns="http://schemas.microsoft.com/office/spreadsheetml/2009/9/main" objectType="Spin" dx="15" fmlaLink="ber_IVmed!$E$45" max="500" page="10" val="0"/>
</file>

<file path=xl/ctrlProps/ctrlProp30.xml><?xml version="1.0" encoding="utf-8"?>
<formControlPr xmlns="http://schemas.microsoft.com/office/spreadsheetml/2009/9/main" objectType="Drop" dropStyle="combo" dx="16" fmlaLink="ber_IVmed!$D$41" fmlaRange="tblOplossing" sel="4" val="0"/>
</file>

<file path=xl/ctrlProps/ctrlProp31.xml><?xml version="1.0" encoding="utf-8"?>
<formControlPr xmlns="http://schemas.microsoft.com/office/spreadsheetml/2009/9/main" objectType="Spin" dx="15" fmlaLink="ber_IVmed!$C$41" max="100" min="1" page="10"/>
</file>

<file path=xl/ctrlProps/ctrlProp32.xml><?xml version="1.0" encoding="utf-8"?>
<formControlPr xmlns="http://schemas.microsoft.com/office/spreadsheetml/2009/9/main" objectType="Spin" dx="15" fmlaLink="ber_IVmed!$E$41" max="500" page="10" val="0"/>
</file>

<file path=xl/ctrlProps/ctrlProp33.xml><?xml version="1.0" encoding="utf-8"?>
<formControlPr xmlns="http://schemas.microsoft.com/office/spreadsheetml/2009/9/main" objectType="Drop" dropStyle="combo" dx="16" fmlaLink="ber_IVmed!$D$42" fmlaRange="tblOplossing" sel="4" val="0"/>
</file>

<file path=xl/ctrlProps/ctrlProp34.xml><?xml version="1.0" encoding="utf-8"?>
<formControlPr xmlns="http://schemas.microsoft.com/office/spreadsheetml/2009/9/main" objectType="Spin" dx="15" fmlaLink="ber_IVmed!$C$42" max="100" min="1" page="10"/>
</file>

<file path=xl/ctrlProps/ctrlProp35.xml><?xml version="1.0" encoding="utf-8"?>
<formControlPr xmlns="http://schemas.microsoft.com/office/spreadsheetml/2009/9/main" objectType="Spin" dx="15" fmlaLink="ber_IVmed!$E$42" max="500" page="10" val="0"/>
</file>

<file path=xl/ctrlProps/ctrlProp36.xml><?xml version="1.0" encoding="utf-8"?>
<formControlPr xmlns="http://schemas.microsoft.com/office/spreadsheetml/2009/9/main" objectType="Drop" dropStyle="combo" dx="16" fmlaLink="ber_IVmed!$B$40" fmlaRange="tblDoseringen" sel="1" val="18"/>
</file>

<file path=xl/ctrlProps/ctrlProp37.xml><?xml version="1.0" encoding="utf-8"?>
<formControlPr xmlns="http://schemas.microsoft.com/office/spreadsheetml/2009/9/main" objectType="Drop" dropStyle="combo" dx="16" fmlaLink="ber_IVmed!$D$40" fmlaRange="tblOplossing" sel="4" val="0"/>
</file>

<file path=xl/ctrlProps/ctrlProp38.xml><?xml version="1.0" encoding="utf-8"?>
<formControlPr xmlns="http://schemas.microsoft.com/office/spreadsheetml/2009/9/main" objectType="Spin" dx="15" fmlaLink="ber_IVmed!$E$31" max="1000" page="10"/>
</file>

<file path=xl/ctrlProps/ctrlProp39.xml><?xml version="1.0" encoding="utf-8"?>
<formControlPr xmlns="http://schemas.microsoft.com/office/spreadsheetml/2009/9/main" objectType="Spin" dx="15" fmlaLink="ber_IVmed!$E$32" max="1000" page="10" val="0"/>
</file>

<file path=xl/ctrlProps/ctrlProp40.xml><?xml version="1.0" encoding="utf-8"?>
<formControlPr xmlns="http://schemas.microsoft.com/office/spreadsheetml/2009/9/main" objectType="Spin" dx="15" fmlaLink="ber_IVmed!$E$33" max="1000" page="10" val="0"/>
</file>

<file path=xl/ctrlProps/ctrlProp41.xml><?xml version="1.0" encoding="utf-8"?>
<formControlPr xmlns="http://schemas.microsoft.com/office/spreadsheetml/2009/9/main" objectType="Spin" dx="15" fmlaLink="ber_IVmed!$E$34" max="1000" page="10" val="0"/>
</file>

<file path=xl/ctrlProps/ctrlProp42.xml><?xml version="1.0" encoding="utf-8"?>
<formControlPr xmlns="http://schemas.microsoft.com/office/spreadsheetml/2009/9/main" objectType="Spin" dx="15" fmlaLink="ber_IVmed!$E$35" max="1000" page="10" val="0"/>
</file>

<file path=xl/ctrlProps/ctrlProp43.xml><?xml version="1.0" encoding="utf-8"?>
<formControlPr xmlns="http://schemas.microsoft.com/office/spreadsheetml/2009/9/main" objectType="Spin" dx="15" fmlaLink="ber_IVmed!$E$36" max="1000" page="10" val="0"/>
</file>

<file path=xl/ctrlProps/ctrlProp44.xml><?xml version="1.0" encoding="utf-8"?>
<formControlPr xmlns="http://schemas.microsoft.com/office/spreadsheetml/2009/9/main" objectType="Spin" dx="15" fmlaLink="ber_IVmed!$E$37" max="1000" page="10" val="0"/>
</file>

<file path=xl/ctrlProps/ctrlProp45.xml><?xml version="1.0" encoding="utf-8"?>
<formControlPr xmlns="http://schemas.microsoft.com/office/spreadsheetml/2009/9/main" objectType="Spin" dx="15" fmlaLink="ber_IVmed!$E$38" max="1000" page="10" val="0"/>
</file>

<file path=xl/ctrlProps/ctrlProp46.xml><?xml version="1.0" encoding="utf-8"?>
<formControlPr xmlns="http://schemas.microsoft.com/office/spreadsheetml/2009/9/main" objectType="Spin" dx="15" fmlaLink="ber_IVmed!$E$39" max="1000" page="10" val="0"/>
</file>

<file path=xl/ctrlProps/ctrlProp47.xml><?xml version="1.0" encoding="utf-8"?>
<formControlPr xmlns="http://schemas.microsoft.com/office/spreadsheetml/2009/9/main" objectType="Spin" dx="15" fmlaLink="ber_IVmed!$E$40" max="1000" page="10" val="0"/>
</file>

<file path=xl/ctrlProps/ctrlProp48.xml><?xml version="1.0" encoding="utf-8"?>
<formControlPr xmlns="http://schemas.microsoft.com/office/spreadsheetml/2009/9/main" objectType="Spin" dx="15" fmlaLink="dbBead!$G$2" max="1000" min="25" page="10" val="100"/>
</file>

<file path=xl/ctrlProps/ctrlProp49.xml><?xml version="1.0" encoding="utf-8"?>
<formControlPr xmlns="http://schemas.microsoft.com/office/spreadsheetml/2009/9/main" objectType="Spin" dx="15" fmlaLink="dbBead!$H$2" max="200" min="40" page="10" val="80"/>
</file>

<file path=xl/ctrlProps/ctrlProp50.xml><?xml version="1.0" encoding="utf-8"?>
<formControlPr xmlns="http://schemas.microsoft.com/office/spreadsheetml/2009/9/main" objectType="Spin" dx="15" fmlaLink="ber_IVmed!$E$14" max="100" page="10" val="10"/>
</file>

<file path=xl/ctrlProps/ctrlProp51.xml><?xml version="1.0" encoding="utf-8"?>
<formControlPr xmlns="http://schemas.microsoft.com/office/spreadsheetml/2009/9/main" objectType="Spin" dx="15" fmlaLink="ber_IVmed!$D$14" inc="12" max="50" min="12" page="10" val="50"/>
</file>

<file path=xl/ctrlProps/ctrlProp52.xml><?xml version="1.0" encoding="utf-8"?>
<formControlPr xmlns="http://schemas.microsoft.com/office/spreadsheetml/2009/9/main" objectType="Spin" dx="15" fmlaLink="ber_IVmed!$F$10" max="150" min="1" page="10" val="10"/>
</file>

<file path=xl/ctrlProps/ctrlProp53.xml><?xml version="1.0" encoding="utf-8"?>
<formControlPr xmlns="http://schemas.microsoft.com/office/spreadsheetml/2009/9/main" objectType="Spin" dx="15" fmlaLink="ber_IVmed!#REF!" max="100" page="10" val="0"/>
</file>

<file path=xl/ctrlProps/ctrlProp54.xml><?xml version="1.0" encoding="utf-8"?>
<formControlPr xmlns="http://schemas.microsoft.com/office/spreadsheetml/2009/9/main" objectType="Spin" dx="15" fmlaLink="ber_IVmed!#REF!" inc="12" max="50" min="12" page="10" val="12"/>
</file>

<file path=xl/ctrlProps/ctrlProp55.xml><?xml version="1.0" encoding="utf-8"?>
<formControlPr xmlns="http://schemas.microsoft.com/office/spreadsheetml/2009/9/main" objectType="Spin" dx="15" fmlaLink="ber_IVmed!$F$10" max="150" min="1" page="10" val="10"/>
</file>

<file path=xl/ctrlProps/ctrlProp56.xml><?xml version="1.0" encoding="utf-8"?>
<formControlPr xmlns="http://schemas.microsoft.com/office/spreadsheetml/2009/9/main" objectType="Spin" dx="15" fmlaLink="ber_IVmed!$F$14" max="150" min="1" page="10" val="10"/>
</file>

<file path=xl/ctrlProps/ctrlProp57.xml><?xml version="1.0" encoding="utf-8"?>
<formControlPr xmlns="http://schemas.microsoft.com/office/spreadsheetml/2009/9/main" objectType="Spin" dx="15" fmlaLink="ber_IVmed!#REF!" max="150" min="1" page="10" val="0"/>
</file>

<file path=xl/ctrlProps/ctrlProp58.xml><?xml version="1.0" encoding="utf-8"?>
<formControlPr xmlns="http://schemas.microsoft.com/office/spreadsheetml/2009/9/main" objectType="Spin" dx="15" fmlaLink="ber_IVmed!$D$14" inc="12" max="50" min="12" page="10" val="50"/>
</file>

<file path=xl/ctrlProps/ctrlProp59.xml><?xml version="1.0" encoding="utf-8"?>
<formControlPr xmlns="http://schemas.microsoft.com/office/spreadsheetml/2009/9/main" objectType="Spin" dx="15" fmlaLink="ber_IVmed!$D$12" inc="12" max="50" min="12" page="10" val="50"/>
</file>

<file path=xl/ctrlProps/ctrlProp60.xml><?xml version="1.0" encoding="utf-8"?>
<formControlPr xmlns="http://schemas.microsoft.com/office/spreadsheetml/2009/9/main" objectType="Spin" dx="15" fmlaLink="ber_IVmed!$F$14" max="15" min="3" page="10" val="10"/>
</file>

<file path=xl/ctrlProps/ctrlProp61.xml><?xml version="1.0" encoding="utf-8"?>
<formControlPr xmlns="http://schemas.microsoft.com/office/spreadsheetml/2009/9/main" objectType="Spin" dx="15" fmlaLink="ber_IVmed!$F$12" max="150" min="1" page="10" val="20"/>
</file>

<file path=xl/ctrlProps/ctrlProp62.xml><?xml version="1.0" encoding="utf-8"?>
<formControlPr xmlns="http://schemas.microsoft.com/office/spreadsheetml/2009/9/main" objectType="Spin" dx="15" fmlaLink="ber_IVmed!$E$14" max="100" page="10" val="10"/>
</file>

<file path=xl/ctrlProps/ctrlProp63.xml><?xml version="1.0" encoding="utf-8"?>
<formControlPr xmlns="http://schemas.microsoft.com/office/spreadsheetml/2009/9/main" objectType="Spin" dx="15" fmlaLink="ber_IVmed!$F$22" max="10" min="1" page="10"/>
</file>

<file path=xl/ctrlProps/ctrlProp64.xml><?xml version="1.0" encoding="utf-8"?>
<formControlPr xmlns="http://schemas.microsoft.com/office/spreadsheetml/2009/9/main" objectType="Spin" dx="15" fmlaLink="ber_IVmed!$D$4" max="60" min="1" page="10" val="50"/>
</file>

<file path=xl/ctrlProps/ctrlProp65.xml><?xml version="1.0" encoding="utf-8"?>
<formControlPr xmlns="http://schemas.microsoft.com/office/spreadsheetml/2009/9/main" objectType="Spin" dx="15" fmlaLink="ber_IVmed!$E$4" max="1000" min="1" page="10" val="10"/>
</file>

<file path=xl/ctrlProps/ctrlProp66.xml><?xml version="1.0" encoding="utf-8"?>
<formControlPr xmlns="http://schemas.microsoft.com/office/spreadsheetml/2009/9/main" objectType="Spin" dx="15" fmlaLink="ber_IVmed!$F$4" max="100" min="5" page="10" val="10"/>
</file>

<file path=xl/ctrlProps/ctrlProp67.xml><?xml version="1.0" encoding="utf-8"?>
<formControlPr xmlns="http://schemas.microsoft.com/office/spreadsheetml/2009/9/main" objectType="Spin" dx="15" fmlaLink="ber_IVmed!$F$6" inc="5" max="100" min="25" page="10" val="25"/>
</file>

<file path=xl/ctrlProps/ctrlProp68.xml><?xml version="1.0" encoding="utf-8"?>
<formControlPr xmlns="http://schemas.microsoft.com/office/spreadsheetml/2009/9/main" objectType="Spin" dx="15" fmlaLink="ber_IVmed!$F$7" inc="5" max="200" min="25" page="10" val="100"/>
</file>

<file path=xl/ctrlProps/ctrlProp69.xml><?xml version="1.0" encoding="utf-8"?>
<formControlPr xmlns="http://schemas.microsoft.com/office/spreadsheetml/2009/9/main" objectType="Spin" dx="15" fmlaLink="ber_IVmed!$F$8" max="20" min="1" page="10" val="10"/>
</file>

<file path=xl/ctrlProps/ctrlProp70.xml><?xml version="1.0" encoding="utf-8"?>
<formControlPr xmlns="http://schemas.microsoft.com/office/spreadsheetml/2009/9/main" objectType="Spin" dx="15" fmlaLink="ber_IVmed!$F$10" max="30" min="5" page="10" val="10"/>
</file>

<file path=xl/ctrlProps/ctrlProp71.xml><?xml version="1.0" encoding="utf-8"?>
<formControlPr xmlns="http://schemas.microsoft.com/office/spreadsheetml/2009/9/main" objectType="Spin" dx="15" fmlaLink="ber_IVmed!$F$11" max="10" min="5" page="10" val="5"/>
</file>

<file path=xl/ctrlProps/ctrlProp72.xml><?xml version="1.0" encoding="utf-8"?>
<formControlPr xmlns="http://schemas.microsoft.com/office/spreadsheetml/2009/9/main" objectType="Spin" dx="15" fmlaLink="ber_IVmed!$F$12" inc="5" max="40" min="10" page="10" val="20"/>
</file>

<file path=xl/ctrlProps/ctrlProp73.xml><?xml version="1.0" encoding="utf-8"?>
<formControlPr xmlns="http://schemas.microsoft.com/office/spreadsheetml/2009/9/main" objectType="Spin" dx="15" fmlaLink="ber_IVmed!$F$13" inc="5" max="40" min="10" page="10" val="15"/>
</file>

<file path=xl/ctrlProps/ctrlProp74.xml><?xml version="1.0" encoding="utf-8"?>
<formControlPr xmlns="http://schemas.microsoft.com/office/spreadsheetml/2009/9/main" objectType="Spin" dx="15" fmlaLink="ber_IVmed!$F$14" max="150" min="1" page="10" val="10"/>
</file>

<file path=xl/ctrlProps/ctrlProp75.xml><?xml version="1.0" encoding="utf-8"?>
<formControlPr xmlns="http://schemas.microsoft.com/office/spreadsheetml/2009/9/main" objectType="Spin" dx="15" max="30000" page="10" val="0"/>
</file>

<file path=xl/ctrlProps/ctrlProp76.xml><?xml version="1.0" encoding="utf-8"?>
<formControlPr xmlns="http://schemas.microsoft.com/office/spreadsheetml/2009/9/main" objectType="Spin" dx="15" fmlaLink="ber_IVmed!$F$16" inc="5" max="50" min="5" page="10" val="10"/>
</file>

<file path=xl/ctrlProps/ctrlProp77.xml><?xml version="1.0" encoding="utf-8"?>
<formControlPr xmlns="http://schemas.microsoft.com/office/spreadsheetml/2009/9/main" objectType="Spin" dx="15" fmlaLink="ber_IVmed!$F$17" inc="5" max="70" min="15" page="10" val="30"/>
</file>

<file path=xl/ctrlProps/ctrlProp78.xml><?xml version="1.0" encoding="utf-8"?>
<formControlPr xmlns="http://schemas.microsoft.com/office/spreadsheetml/2009/9/main" objectType="Spin" dx="15" fmlaLink="ber_IVmed!$F$18" inc="5" max="500" min="125" page="10" val="250"/>
</file>

<file path=xl/ctrlProps/ctrlProp79.xml><?xml version="1.0" encoding="utf-8"?>
<formControlPr xmlns="http://schemas.microsoft.com/office/spreadsheetml/2009/9/main" objectType="Spin" dx="15" fmlaLink="ber_IVmed!$F$21" inc="5" max="200" min="5" page="10" val="10"/>
</file>

<file path=xl/ctrlProps/ctrlProp80.xml><?xml version="1.0" encoding="utf-8"?>
<formControlPr xmlns="http://schemas.microsoft.com/office/spreadsheetml/2009/9/main" objectType="Spin" dx="15" fmlaLink="ber_IVmed!$F$24" max="12" min="6" page="10" val="6"/>
</file>

<file path=xl/ctrlProps/ctrlProp81.xml><?xml version="1.0" encoding="utf-8"?>
<formControlPr xmlns="http://schemas.microsoft.com/office/spreadsheetml/2009/9/main" objectType="Spin" dx="15" fmlaLink="ber_IVmed!$F$25" max="20" min="2" page="10" val="2"/>
</file>

<file path=xl/ctrlProps/ctrlProp82.xml><?xml version="1.0" encoding="utf-8"?>
<formControlPr xmlns="http://schemas.microsoft.com/office/spreadsheetml/2009/9/main" objectType="Spin" dx="15" fmlaLink="ber_IVmed!$F$26" inc="10" max="100" min="50" page="10" val="70"/>
</file>

<file path=xl/ctrlProps/ctrlProp83.xml><?xml version="1.0" encoding="utf-8"?>
<formControlPr xmlns="http://schemas.microsoft.com/office/spreadsheetml/2009/9/main" objectType="Spin" dx="15" fmlaLink="ber_IVmed!$K$4" max="100" min="1" page="10"/>
</file>

<file path=xl/ctrlProps/ctrlProp84.xml><?xml version="1.0" encoding="utf-8"?>
<formControlPr xmlns="http://schemas.microsoft.com/office/spreadsheetml/2009/9/main" objectType="Spin" dx="15" fmlaLink="ber_IVmed!$K$6" inc="5" max="50" min="5" page="10" val="50"/>
</file>

<file path=xl/ctrlProps/ctrlProp85.xml><?xml version="1.0" encoding="utf-8"?>
<formControlPr xmlns="http://schemas.microsoft.com/office/spreadsheetml/2009/9/main" objectType="Spin" dx="15" fmlaLink="ber_IVmed!$K$7" inc="5" max="150" min="15" page="10" val="150"/>
</file>

<file path=xl/ctrlProps/ctrlProp86.xml><?xml version="1.0" encoding="utf-8"?>
<formControlPr xmlns="http://schemas.microsoft.com/office/spreadsheetml/2009/9/main" objectType="Spin" dx="15" fmlaLink="ber_IVmed!$K$8" inc="125" max="2500" min="125" page="10" val="2500"/>
</file>

<file path=xl/ctrlProps/ctrlProp87.xml><?xml version="1.0" encoding="utf-8"?>
<formControlPr xmlns="http://schemas.microsoft.com/office/spreadsheetml/2009/9/main" objectType="Spin" dx="15" fmlaLink="ber_IVmed!$K$10" inc="5" max="50" min="5" page="10" val="50"/>
</file>

<file path=xl/ctrlProps/ctrlProp88.xml><?xml version="1.0" encoding="utf-8"?>
<formControlPr xmlns="http://schemas.microsoft.com/office/spreadsheetml/2009/9/main" objectType="Spin" dx="15" fmlaLink="ber_IVmed!$K$11" inc="5" max="100" min="5" page="10" val="100"/>
</file>

<file path=xl/ctrlProps/ctrlProp89.xml><?xml version="1.0" encoding="utf-8"?>
<formControlPr xmlns="http://schemas.microsoft.com/office/spreadsheetml/2009/9/main" objectType="Spin" dx="15" fmlaLink="ber_IVmed!$K$12" inc="10" max="250" min="10" page="10" val="20"/>
</file>

<file path=xl/ctrlProps/ctrlProp90.xml><?xml version="1.0" encoding="utf-8"?>
<formControlPr xmlns="http://schemas.microsoft.com/office/spreadsheetml/2009/9/main" objectType="Spin" dx="15" fmlaLink="ber_IVmed!$K$13" inc="100" max="5000" min="100" page="10" val="5000"/>
</file>

<file path=xl/ctrlProps/ctrlProp91.xml><?xml version="1.0" encoding="utf-8"?>
<formControlPr xmlns="http://schemas.microsoft.com/office/spreadsheetml/2009/9/main" objectType="Spin" dx="15" fmlaLink="ber_IVmed!$K$14" inc="2" max="20" min="2" page="10" val="2"/>
</file>

<file path=xl/ctrlProps/ctrlProp92.xml><?xml version="1.0" encoding="utf-8"?>
<formControlPr xmlns="http://schemas.microsoft.com/office/spreadsheetml/2009/9/main" objectType="Spin" dx="15" max="30000" page="10" val="0"/>
</file>

<file path=xl/ctrlProps/ctrlProp93.xml><?xml version="1.0" encoding="utf-8"?>
<formControlPr xmlns="http://schemas.microsoft.com/office/spreadsheetml/2009/9/main" objectType="Spin" dx="15" fmlaLink="ber_IVmed!$K$16" inc="5" max="50" min="5" page="10" val="5"/>
</file>

<file path=xl/ctrlProps/ctrlProp94.xml><?xml version="1.0" encoding="utf-8"?>
<formControlPr xmlns="http://schemas.microsoft.com/office/spreadsheetml/2009/9/main" objectType="Spin" dx="15" fmlaLink="ber_IVmed!$K$17" max="10" min="1" page="10" val="10"/>
</file>

<file path=xl/ctrlProps/ctrlProp95.xml><?xml version="1.0" encoding="utf-8"?>
<formControlPr xmlns="http://schemas.microsoft.com/office/spreadsheetml/2009/9/main" objectType="Spin" dx="15" fmlaLink="ber_IVmed!$K$18" max="10" min="1" page="10" val="10"/>
</file>

<file path=xl/ctrlProps/ctrlProp96.xml><?xml version="1.0" encoding="utf-8"?>
<formControlPr xmlns="http://schemas.microsoft.com/office/spreadsheetml/2009/9/main" objectType="Spin" dx="15" fmlaLink="ber_IVmed!$K$21" max="5" min="1" page="10" val="5"/>
</file>

<file path=xl/ctrlProps/ctrlProp97.xml><?xml version="1.0" encoding="utf-8"?>
<formControlPr xmlns="http://schemas.microsoft.com/office/spreadsheetml/2009/9/main" objectType="Spin" dx="15" fmlaLink="ber_IVmed!$K$24" inc="10" max="50" min="10" page="10" val="50"/>
</file>

<file path=xl/ctrlProps/ctrlProp98.xml><?xml version="1.0" encoding="utf-8"?>
<formControlPr xmlns="http://schemas.microsoft.com/office/spreadsheetml/2009/9/main" objectType="Spin" dx="15" fmlaLink="ber_IVmed!$K$25" max="5" min="1" page="10" val="5"/>
</file>

<file path=xl/ctrlProps/ctrlProp99.xml><?xml version="1.0" encoding="utf-8"?>
<formControlPr xmlns="http://schemas.microsoft.com/office/spreadsheetml/2009/9/main" objectType="Spin" dx="15" fmlaLink="ber_IVmed!$K$26" inc="25" max="500" min="25" page="10" val="500"/>
</file>

<file path=xl/ctrlProps/ctrlProp100.xml><?xml version="1.0" encoding="utf-8"?>
<formControlPr xmlns="http://schemas.microsoft.com/office/spreadsheetml/2009/9/main" objectType="Spin" dx="15" fmlaLink="ber_IVmed!$D$6" max="60" min="1" page="10" val="50"/>
</file>

<file path=xl/ctrlProps/ctrlProp101.xml><?xml version="1.0" encoding="utf-8"?>
<formControlPr xmlns="http://schemas.microsoft.com/office/spreadsheetml/2009/9/main" objectType="Spin" dx="15" fmlaLink="ber_IVmed!$E$6" max="1000" min="1" page="10" val="10"/>
</file>

<file path=xl/ctrlProps/ctrlProp102.xml><?xml version="1.0" encoding="utf-8"?>
<formControlPr xmlns="http://schemas.microsoft.com/office/spreadsheetml/2009/9/main" objectType="Spin" dx="15" fmlaLink="ber_IVmed!$D$7" max="60" min="1" page="10" val="50"/>
</file>

<file path=xl/ctrlProps/ctrlProp103.xml><?xml version="1.0" encoding="utf-8"?>
<formControlPr xmlns="http://schemas.microsoft.com/office/spreadsheetml/2009/9/main" objectType="Spin" dx="15" fmlaLink="ber_IVmed!$E$7" max="1000" min="1" page="10" val="10"/>
</file>

<file path=xl/ctrlProps/ctrlProp104.xml><?xml version="1.0" encoding="utf-8"?>
<formControlPr xmlns="http://schemas.microsoft.com/office/spreadsheetml/2009/9/main" objectType="Spin" dx="15" fmlaLink="ber_IVmed!$D$8" max="60" min="1" page="10" val="50"/>
</file>

<file path=xl/ctrlProps/ctrlProp105.xml><?xml version="1.0" encoding="utf-8"?>
<formControlPr xmlns="http://schemas.microsoft.com/office/spreadsheetml/2009/9/main" objectType="Spin" dx="15" fmlaLink="ber_IVmed!$E$8" max="1000" min="1" page="10" val="10"/>
</file>

<file path=xl/ctrlProps/ctrlProp106.xml><?xml version="1.0" encoding="utf-8"?>
<formControlPr xmlns="http://schemas.microsoft.com/office/spreadsheetml/2009/9/main" objectType="Spin" dx="15" fmlaLink="ber_IVmed!$E$10" max="1000" min="1" page="10" val="10"/>
</file>

<file path=xl/ctrlProps/ctrlProp107.xml><?xml version="1.0" encoding="utf-8"?>
<formControlPr xmlns="http://schemas.microsoft.com/office/spreadsheetml/2009/9/main" objectType="Spin" dx="15" fmlaLink="ber_IVmed!$D$11" max="60" min="1" page="10" val="50"/>
</file>

<file path=xl/ctrlProps/ctrlProp108.xml><?xml version="1.0" encoding="utf-8"?>
<formControlPr xmlns="http://schemas.microsoft.com/office/spreadsheetml/2009/9/main" objectType="Spin" dx="15" fmlaLink="ber_IVmed!$E$11" max="1000" min="1" page="10" val="10"/>
</file>

<file path=xl/ctrlProps/ctrlProp109.xml><?xml version="1.0" encoding="utf-8"?>
<formControlPr xmlns="http://schemas.microsoft.com/office/spreadsheetml/2009/9/main" objectType="Spin" dx="15" fmlaLink="ber_IVmed!$D$12" max="60" min="1" page="10" val="50"/>
</file>

<file path=xl/ctrlProps/ctrlProp110.xml><?xml version="1.0" encoding="utf-8"?>
<formControlPr xmlns="http://schemas.microsoft.com/office/spreadsheetml/2009/9/main" objectType="Spin" dx="15" fmlaLink="ber_IVmed!$E$12" max="1000" min="1" page="10" val="10"/>
</file>

<file path=xl/ctrlProps/ctrlProp111.xml><?xml version="1.0" encoding="utf-8"?>
<formControlPr xmlns="http://schemas.microsoft.com/office/spreadsheetml/2009/9/main" objectType="Spin" dx="15" fmlaLink="ber_IVmed!$D$13" max="60" min="1" page="10" val="50"/>
</file>

<file path=xl/ctrlProps/ctrlProp112.xml><?xml version="1.0" encoding="utf-8"?>
<formControlPr xmlns="http://schemas.microsoft.com/office/spreadsheetml/2009/9/main" objectType="Spin" dx="15" fmlaLink="ber_IVmed!$E$13" max="1000" min="1" page="10" val="10"/>
</file>

<file path=xl/ctrlProps/ctrlProp113.xml><?xml version="1.0" encoding="utf-8"?>
<formControlPr xmlns="http://schemas.microsoft.com/office/spreadsheetml/2009/9/main" objectType="Spin" dx="15" fmlaLink="ber_IVmed!$D$14" max="60" min="1" page="10" val="50"/>
</file>

<file path=xl/ctrlProps/ctrlProp114.xml><?xml version="1.0" encoding="utf-8"?>
<formControlPr xmlns="http://schemas.microsoft.com/office/spreadsheetml/2009/9/main" objectType="Spin" dx="15" fmlaLink="ber_IVmed!$E$14" max="1000" min="1" page="10" val="10"/>
</file>

<file path=xl/ctrlProps/ctrlProp115.xml><?xml version="1.0" encoding="utf-8"?>
<formControlPr xmlns="http://schemas.microsoft.com/office/spreadsheetml/2009/9/main" objectType="Spin" dx="15" fmlaLink="ber_IVmed!$D$15" max="60" min="1" page="10" val="50"/>
</file>

<file path=xl/ctrlProps/ctrlProp116.xml><?xml version="1.0" encoding="utf-8"?>
<formControlPr xmlns="http://schemas.microsoft.com/office/spreadsheetml/2009/9/main" objectType="Spin" dx="15" fmlaLink="ber_IVmed!$E$15" max="1000" min="1" page="10" val="10"/>
</file>

<file path=xl/ctrlProps/ctrlProp117.xml><?xml version="1.0" encoding="utf-8"?>
<formControlPr xmlns="http://schemas.microsoft.com/office/spreadsheetml/2009/9/main" objectType="Spin" dx="15" fmlaLink="ber_IVmed!$D$16" max="60" min="1" page="10" val="50"/>
</file>

<file path=xl/ctrlProps/ctrlProp118.xml><?xml version="1.0" encoding="utf-8"?>
<formControlPr xmlns="http://schemas.microsoft.com/office/spreadsheetml/2009/9/main" objectType="Spin" dx="15" fmlaLink="ber_IVmed!$E$16" max="1000" min="1" page="10" val="10"/>
</file>

<file path=xl/ctrlProps/ctrlProp119.xml><?xml version="1.0" encoding="utf-8"?>
<formControlPr xmlns="http://schemas.microsoft.com/office/spreadsheetml/2009/9/main" objectType="Spin" dx="15" fmlaLink="ber_IVmed!$D$17" max="60" min="1" page="10" val="50"/>
</file>

<file path=xl/ctrlProps/ctrlProp120.xml><?xml version="1.0" encoding="utf-8"?>
<formControlPr xmlns="http://schemas.microsoft.com/office/spreadsheetml/2009/9/main" objectType="Spin" dx="15" fmlaLink="ber_IVmed!$E$17" max="1000" min="1" page="10" val="10"/>
</file>

<file path=xl/ctrlProps/ctrlProp121.xml><?xml version="1.0" encoding="utf-8"?>
<formControlPr xmlns="http://schemas.microsoft.com/office/spreadsheetml/2009/9/main" objectType="Spin" dx="15" fmlaLink="ber_IVmed!$D$18" max="60" min="1" page="10" val="50"/>
</file>

<file path=xl/ctrlProps/ctrlProp122.xml><?xml version="1.0" encoding="utf-8"?>
<formControlPr xmlns="http://schemas.microsoft.com/office/spreadsheetml/2009/9/main" objectType="Spin" dx="15" fmlaLink="ber_IVmed!$E$18" max="1000" min="1" page="10" val="10"/>
</file>

<file path=xl/ctrlProps/ctrlProp123.xml><?xml version="1.0" encoding="utf-8"?>
<formControlPr xmlns="http://schemas.microsoft.com/office/spreadsheetml/2009/9/main" objectType="Spin" dx="15" fmlaLink="ber_IVmed!$D$21" max="60" min="1" page="10" val="50"/>
</file>

<file path=xl/ctrlProps/ctrlProp124.xml><?xml version="1.0" encoding="utf-8"?>
<formControlPr xmlns="http://schemas.microsoft.com/office/spreadsheetml/2009/9/main" objectType="Spin" dx="15" fmlaLink="ber_IVmed!$E$21" max="1000" min="1" page="10" val="10"/>
</file>

<file path=xl/ctrlProps/ctrlProp125.xml><?xml version="1.0" encoding="utf-8"?>
<formControlPr xmlns="http://schemas.microsoft.com/office/spreadsheetml/2009/9/main" objectType="Spin" dx="15" fmlaLink="ber_IVmed!$D$24" max="60" min="1" page="10" val="50"/>
</file>

<file path=xl/ctrlProps/ctrlProp126.xml><?xml version="1.0" encoding="utf-8"?>
<formControlPr xmlns="http://schemas.microsoft.com/office/spreadsheetml/2009/9/main" objectType="Spin" dx="15" fmlaLink="ber_IVmed!$E$24" max="1000" min="1" page="10" val="10"/>
</file>

<file path=xl/ctrlProps/ctrlProp127.xml><?xml version="1.0" encoding="utf-8"?>
<formControlPr xmlns="http://schemas.microsoft.com/office/spreadsheetml/2009/9/main" objectType="Spin" dx="15" fmlaLink="ber_IVmed!$D$25" max="60" min="1" page="10" val="50"/>
</file>

<file path=xl/ctrlProps/ctrlProp128.xml><?xml version="1.0" encoding="utf-8"?>
<formControlPr xmlns="http://schemas.microsoft.com/office/spreadsheetml/2009/9/main" objectType="Spin" dx="15" fmlaLink="ber_IVmed!$E$25" max="1000" min="1" page="10" val="10"/>
</file>

<file path=xl/ctrlProps/ctrlProp129.xml><?xml version="1.0" encoding="utf-8"?>
<formControlPr xmlns="http://schemas.microsoft.com/office/spreadsheetml/2009/9/main" objectType="Spin" dx="15" fmlaLink="ber_IVmed!$D$26" max="60" min="1" page="10" val="50"/>
</file>

<file path=xl/ctrlProps/ctrlProp130.xml><?xml version="1.0" encoding="utf-8"?>
<formControlPr xmlns="http://schemas.microsoft.com/office/spreadsheetml/2009/9/main" objectType="Spin" dx="15" fmlaLink="ber_IVmed!$E$26" max="1000" min="1" page="10" val="10"/>
</file>

<file path=xl/ctrlProps/ctrlProp131.xml><?xml version="1.0" encoding="utf-8"?>
<formControlPr xmlns="http://schemas.microsoft.com/office/spreadsheetml/2009/9/main" objectType="Spin" dx="15" fmlaLink="ber_IVmed!$D$3" max="60" min="1" page="10" val="50"/>
</file>

<file path=xl/ctrlProps/ctrlProp132.xml><?xml version="1.0" encoding="utf-8"?>
<formControlPr xmlns="http://schemas.microsoft.com/office/spreadsheetml/2009/9/main" objectType="Spin" dx="15" fmlaLink="ber_IVmed!$E$3" max="1000" min="1" page="10" val="10"/>
</file>

<file path=xl/ctrlProps/ctrlProp133.xml><?xml version="1.0" encoding="utf-8"?>
<formControlPr xmlns="http://schemas.microsoft.com/office/spreadsheetml/2009/9/main" objectType="Spin" dx="15" fmlaLink="ber_IVmed!$F$3" max="500" min="1" page="10" val="5"/>
</file>

<file path=xl/ctrlProps/ctrlProp134.xml><?xml version="1.0" encoding="utf-8"?>
<formControlPr xmlns="http://schemas.microsoft.com/office/spreadsheetml/2009/9/main" objectType="Spin" dx="15" fmlaLink="ber_IVmed!$K$3" max="100" min="10" page="10" val="10"/>
</file>

<file path=xl/ctrlProps/ctrlProp135.xml><?xml version="1.0" encoding="utf-8"?>
<formControlPr xmlns="http://schemas.microsoft.com/office/spreadsheetml/2009/9/main" objectType="Spin" dx="15" fmlaLink="ber_IVmed!$F$9" max="20" min="1" page="10" val="5"/>
</file>

<file path=xl/ctrlProps/ctrlProp136.xml><?xml version="1.0" encoding="utf-8"?>
<formControlPr xmlns="http://schemas.microsoft.com/office/spreadsheetml/2009/9/main" objectType="Spin" dx="15" fmlaLink="ber_IVmed!$K$9" inc="10" max="200" min="40" page="10" val="200"/>
</file>

<file path=xl/ctrlProps/ctrlProp137.xml><?xml version="1.0" encoding="utf-8"?>
<formControlPr xmlns="http://schemas.microsoft.com/office/spreadsheetml/2009/9/main" objectType="Spin" dx="15" fmlaLink="ber_IVmed!$D$9" max="60" min="1" page="10" val="50"/>
</file>

<file path=xl/ctrlProps/ctrlProp138.xml><?xml version="1.0" encoding="utf-8"?>
<formControlPr xmlns="http://schemas.microsoft.com/office/spreadsheetml/2009/9/main" objectType="Spin" dx="15" fmlaLink="ber_IVmed!$E$9" max="1000" min="1" page="10" val="10"/>
</file>

<file path=xl/ctrlProps/ctrlProp139.xml><?xml version="1.0" encoding="utf-8"?>
<formControlPr xmlns="http://schemas.microsoft.com/office/spreadsheetml/2009/9/main" objectType="Spin" dx="15" fmlaLink="ber_IVmed!$D$27" inc="24" max="100" min="24" page="10" val="100"/>
</file>

<file path=xl/ctrlProps/ctrlProp140.xml><?xml version="1.0" encoding="utf-8"?>
<formControlPr xmlns="http://schemas.microsoft.com/office/spreadsheetml/2009/9/main" objectType="Spin" dx="15" fmlaLink="ber_IVmed!$C$27" max="48" min="1" page="10"/>
</file>

<file path=xl/ctrlProps/ctrlProp141.xml><?xml version="1.0" encoding="utf-8"?>
<formControlPr xmlns="http://schemas.microsoft.com/office/spreadsheetml/2009/9/main" objectType="Spin" dx="15" fmlaLink="ber_Med_disc!$H$2" max="12" min="1" page="10"/>
</file>

<file path=xl/ctrlProps/ctrlProp142.xml><?xml version="1.0" encoding="utf-8"?>
<formControlPr xmlns="http://schemas.microsoft.com/office/spreadsheetml/2009/9/main" objectType="Spin" dx="15" fmlaLink="ber_Med_disc!$B$2" max="30000" page="10" val="1500"/>
</file>

<file path=xl/ctrlProps/ctrlProp143.xml><?xml version="1.0" encoding="utf-8"?>
<formControlPr xmlns="http://schemas.microsoft.com/office/spreadsheetml/2009/9/main" objectType="Spin" dx="15" fmlaLink="ber_Med_disc!$F$2" max="100" page="10" val="0"/>
</file>

<file path=xl/ctrlProps/ctrlProp144.xml><?xml version="1.0" encoding="utf-8"?>
<formControlPr xmlns="http://schemas.microsoft.com/office/spreadsheetml/2009/9/main" objectType="Drop" dropStyle="combo" dx="16" fmlaLink="ber_Med_disc!$N$2" fmlaRange="ber_Med_disc!$B$27:$B$30" sel="0" val="0"/>
</file>

<file path=xl/ctrlProps/ctrlProp145.xml><?xml version="1.0" encoding="utf-8"?>
<formControlPr xmlns="http://schemas.microsoft.com/office/spreadsheetml/2009/9/main" objectType="Spin" dx="15" fmlaLink="ber_Med_disc!$M$2" max="30000" page="10" val="0"/>
</file>

<file path=xl/ctrlProps/ctrlProp146.xml><?xml version="1.0" encoding="utf-8"?>
<formControlPr xmlns="http://schemas.microsoft.com/office/spreadsheetml/2009/9/main" objectType="Spin" dx="15" fmlaLink="ber_Med_disc!$B$3" max="30000" page="10" val="1500"/>
</file>

<file path=xl/ctrlProps/ctrlProp147.xml><?xml version="1.0" encoding="utf-8"?>
<formControlPr xmlns="http://schemas.microsoft.com/office/spreadsheetml/2009/9/main" objectType="Spin" dx="15" fmlaLink="ber_Med_disc!$F$3" max="100" page="10" val="0"/>
</file>

<file path=xl/ctrlProps/ctrlProp148.xml><?xml version="1.0" encoding="utf-8"?>
<formControlPr xmlns="http://schemas.microsoft.com/office/spreadsheetml/2009/9/main" objectType="Drop" dropStyle="combo" dx="16" fmlaLink="ber_Med_disc!$N$3" fmlaRange="ber_Med_disc!$B$27:$B$30" sel="0" val="0"/>
</file>

<file path=xl/ctrlProps/ctrlProp149.xml><?xml version="1.0" encoding="utf-8"?>
<formControlPr xmlns="http://schemas.microsoft.com/office/spreadsheetml/2009/9/main" objectType="Spin" dx="15" fmlaLink="ber_Med_disc!$M$3" max="30000" page="10" val="0"/>
</file>

<file path=xl/ctrlProps/ctrlProp150.xml><?xml version="1.0" encoding="utf-8"?>
<formControlPr xmlns="http://schemas.microsoft.com/office/spreadsheetml/2009/9/main" objectType="Spin" dx="15" fmlaLink="ber_Med_disc!$H$4" max="12" min="1" page="10"/>
</file>

<file path=xl/ctrlProps/ctrlProp151.xml><?xml version="1.0" encoding="utf-8"?>
<formControlPr xmlns="http://schemas.microsoft.com/office/spreadsheetml/2009/9/main" objectType="Spin" dx="15" fmlaLink="ber_Med_disc!$B$4" max="30000" page="10" val="1500"/>
</file>

<file path=xl/ctrlProps/ctrlProp152.xml><?xml version="1.0" encoding="utf-8"?>
<formControlPr xmlns="http://schemas.microsoft.com/office/spreadsheetml/2009/9/main" objectType="Spin" dx="15" fmlaLink="ber_Med_disc!$F$4" max="100" page="10" val="0"/>
</file>

<file path=xl/ctrlProps/ctrlProp153.xml><?xml version="1.0" encoding="utf-8"?>
<formControlPr xmlns="http://schemas.microsoft.com/office/spreadsheetml/2009/9/main" objectType="Drop" dropStyle="combo" dx="16" fmlaLink="ber_Med_disc!$N$4" fmlaRange="ber_Med_disc!$B$27:$B$30" sel="0" val="0"/>
</file>

<file path=xl/ctrlProps/ctrlProp154.xml><?xml version="1.0" encoding="utf-8"?>
<formControlPr xmlns="http://schemas.microsoft.com/office/spreadsheetml/2009/9/main" objectType="Spin" dx="15" fmlaLink="ber_Med_disc!$M$4" max="30000" page="10" val="0"/>
</file>

<file path=xl/ctrlProps/ctrlProp155.xml><?xml version="1.0" encoding="utf-8"?>
<formControlPr xmlns="http://schemas.microsoft.com/office/spreadsheetml/2009/9/main" objectType="Spin" dx="15" fmlaLink="ber_Med_disc!$H$5" max="12" min="1" page="10"/>
</file>

<file path=xl/ctrlProps/ctrlProp156.xml><?xml version="1.0" encoding="utf-8"?>
<formControlPr xmlns="http://schemas.microsoft.com/office/spreadsheetml/2009/9/main" objectType="Spin" dx="15" fmlaLink="ber_Med_disc!$B$5" max="30000" page="10" val="1500"/>
</file>

<file path=xl/ctrlProps/ctrlProp157.xml><?xml version="1.0" encoding="utf-8"?>
<formControlPr xmlns="http://schemas.microsoft.com/office/spreadsheetml/2009/9/main" objectType="Spin" dx="15" fmlaLink="ber_Med_disc!$F$5" max="100" page="10" val="0"/>
</file>

<file path=xl/ctrlProps/ctrlProp158.xml><?xml version="1.0" encoding="utf-8"?>
<formControlPr xmlns="http://schemas.microsoft.com/office/spreadsheetml/2009/9/main" objectType="Drop" dropStyle="combo" dx="16" fmlaLink="ber_Med_disc!$N$5" fmlaRange="ber_Med_disc!$B$27:$B$30" sel="0" val="0"/>
</file>

<file path=xl/ctrlProps/ctrlProp159.xml><?xml version="1.0" encoding="utf-8"?>
<formControlPr xmlns="http://schemas.microsoft.com/office/spreadsheetml/2009/9/main" objectType="Spin" dx="15" fmlaLink="ber_Med_disc!$M$5" max="30000" page="10" val="0"/>
</file>

<file path=xl/ctrlProps/ctrlProp160.xml><?xml version="1.0" encoding="utf-8"?>
<formControlPr xmlns="http://schemas.microsoft.com/office/spreadsheetml/2009/9/main" objectType="Spin" dx="15" fmlaLink="ber_Med_disc!$H$6" max="12" min="1" page="10"/>
</file>

<file path=xl/ctrlProps/ctrlProp161.xml><?xml version="1.0" encoding="utf-8"?>
<formControlPr xmlns="http://schemas.microsoft.com/office/spreadsheetml/2009/9/main" objectType="Spin" dx="15" fmlaLink="ber_Med_disc!$B$6" max="30000" page="10" val="1500"/>
</file>

<file path=xl/ctrlProps/ctrlProp162.xml><?xml version="1.0" encoding="utf-8"?>
<formControlPr xmlns="http://schemas.microsoft.com/office/spreadsheetml/2009/9/main" objectType="Spin" dx="15" fmlaLink="ber_Med_disc!$F$6" max="100" page="10" val="0"/>
</file>

<file path=xl/ctrlProps/ctrlProp163.xml><?xml version="1.0" encoding="utf-8"?>
<formControlPr xmlns="http://schemas.microsoft.com/office/spreadsheetml/2009/9/main" objectType="Drop" dropStyle="combo" dx="16" fmlaLink="ber_Med_disc!$N$6" fmlaRange="ber_Med_disc!$B$27:$B$30" sel="0" val="0"/>
</file>

<file path=xl/ctrlProps/ctrlProp164.xml><?xml version="1.0" encoding="utf-8"?>
<formControlPr xmlns="http://schemas.microsoft.com/office/spreadsheetml/2009/9/main" objectType="Spin" dx="15" fmlaLink="ber_Med_disc!$M$6" max="30000" page="10" val="0"/>
</file>

<file path=xl/ctrlProps/ctrlProp165.xml><?xml version="1.0" encoding="utf-8"?>
<formControlPr xmlns="http://schemas.microsoft.com/office/spreadsheetml/2009/9/main" objectType="Spin" dx="15" fmlaLink="ber_Med_disc!$H$7" max="12" min="1" page="10"/>
</file>

<file path=xl/ctrlProps/ctrlProp166.xml><?xml version="1.0" encoding="utf-8"?>
<formControlPr xmlns="http://schemas.microsoft.com/office/spreadsheetml/2009/9/main" objectType="Spin" dx="15" fmlaLink="ber_Med_disc!$B$7" max="30000" page="10" val="1500"/>
</file>

<file path=xl/ctrlProps/ctrlProp167.xml><?xml version="1.0" encoding="utf-8"?>
<formControlPr xmlns="http://schemas.microsoft.com/office/spreadsheetml/2009/9/main" objectType="Spin" dx="15" fmlaLink="ber_Med_disc!$F$7" max="100" page="10" val="0"/>
</file>

<file path=xl/ctrlProps/ctrlProp168.xml><?xml version="1.0" encoding="utf-8"?>
<formControlPr xmlns="http://schemas.microsoft.com/office/spreadsheetml/2009/9/main" objectType="Drop" dropStyle="combo" dx="16" fmlaLink="ber_Med_disc!$N$7" fmlaRange="ber_Med_disc!$B$27:$B$30" sel="0" val="0"/>
</file>

<file path=xl/ctrlProps/ctrlProp169.xml><?xml version="1.0" encoding="utf-8"?>
<formControlPr xmlns="http://schemas.microsoft.com/office/spreadsheetml/2009/9/main" objectType="Spin" dx="15" fmlaLink="ber_Med_disc!$M$7" max="30000" page="10" val="0"/>
</file>

<file path=xl/ctrlProps/ctrlProp170.xml><?xml version="1.0" encoding="utf-8"?>
<formControlPr xmlns="http://schemas.microsoft.com/office/spreadsheetml/2009/9/main" objectType="Spin" dx="15" fmlaLink="ber_Med_disc!$H$8" max="12" min="1" page="10"/>
</file>

<file path=xl/ctrlProps/ctrlProp171.xml><?xml version="1.0" encoding="utf-8"?>
<formControlPr xmlns="http://schemas.microsoft.com/office/spreadsheetml/2009/9/main" objectType="Spin" dx="15" fmlaLink="ber_Med_disc!$B$8" max="30000" page="10" val="1500"/>
</file>

<file path=xl/ctrlProps/ctrlProp172.xml><?xml version="1.0" encoding="utf-8"?>
<formControlPr xmlns="http://schemas.microsoft.com/office/spreadsheetml/2009/9/main" objectType="Spin" dx="15" fmlaLink="ber_Med_disc!$F$8" max="100" page="10" val="0"/>
</file>

<file path=xl/ctrlProps/ctrlProp173.xml><?xml version="1.0" encoding="utf-8"?>
<formControlPr xmlns="http://schemas.microsoft.com/office/spreadsheetml/2009/9/main" objectType="Drop" dropStyle="combo" dx="16" fmlaLink="ber_Med_disc!$N$8" fmlaRange="ber_Med_disc!$B$27:$B$30" sel="0" val="0"/>
</file>

<file path=xl/ctrlProps/ctrlProp174.xml><?xml version="1.0" encoding="utf-8"?>
<formControlPr xmlns="http://schemas.microsoft.com/office/spreadsheetml/2009/9/main" objectType="Spin" dx="15" fmlaLink="ber_Med_disc!$M$8" max="30000" page="10" val="0"/>
</file>

<file path=xl/ctrlProps/ctrlProp175.xml><?xml version="1.0" encoding="utf-8"?>
<formControlPr xmlns="http://schemas.microsoft.com/office/spreadsheetml/2009/9/main" objectType="Spin" dx="15" fmlaLink="ber_Med_disc!$H$9" max="12" min="1" page="10"/>
</file>

<file path=xl/ctrlProps/ctrlProp176.xml><?xml version="1.0" encoding="utf-8"?>
<formControlPr xmlns="http://schemas.microsoft.com/office/spreadsheetml/2009/9/main" objectType="Spin" dx="15" fmlaLink="ber_Med_disc!$B$9" max="30000" page="10" val="1500"/>
</file>

<file path=xl/ctrlProps/ctrlProp177.xml><?xml version="1.0" encoding="utf-8"?>
<formControlPr xmlns="http://schemas.microsoft.com/office/spreadsheetml/2009/9/main" objectType="Spin" dx="15" fmlaLink="ber_Med_disc!$F$9" max="100" page="10" val="0"/>
</file>

<file path=xl/ctrlProps/ctrlProp178.xml><?xml version="1.0" encoding="utf-8"?>
<formControlPr xmlns="http://schemas.microsoft.com/office/spreadsheetml/2009/9/main" objectType="Drop" dropStyle="combo" dx="16" fmlaLink="ber_Med_disc!$N$9" fmlaRange="ber_Med_disc!$B$27:$B$30" sel="0" val="0"/>
</file>

<file path=xl/ctrlProps/ctrlProp179.xml><?xml version="1.0" encoding="utf-8"?>
<formControlPr xmlns="http://schemas.microsoft.com/office/spreadsheetml/2009/9/main" objectType="Spin" dx="15" fmlaLink="ber_Med_disc!$M$9" max="30000" page="10" val="0"/>
</file>

<file path=xl/ctrlProps/ctrlProp180.xml><?xml version="1.0" encoding="utf-8"?>
<formControlPr xmlns="http://schemas.microsoft.com/office/spreadsheetml/2009/9/main" objectType="Spin" dx="15" fmlaLink="ber_Med_disc!$H$10" max="12" min="1" page="10"/>
</file>

<file path=xl/ctrlProps/ctrlProp181.xml><?xml version="1.0" encoding="utf-8"?>
<formControlPr xmlns="http://schemas.microsoft.com/office/spreadsheetml/2009/9/main" objectType="Spin" dx="15" fmlaLink="ber_Med_disc!$B$10" max="30000" page="10" val="1500"/>
</file>

<file path=xl/ctrlProps/ctrlProp182.xml><?xml version="1.0" encoding="utf-8"?>
<formControlPr xmlns="http://schemas.microsoft.com/office/spreadsheetml/2009/9/main" objectType="Spin" dx="15" fmlaLink="ber_Med_disc!$F$10" max="100" page="10" val="0"/>
</file>

<file path=xl/ctrlProps/ctrlProp183.xml><?xml version="1.0" encoding="utf-8"?>
<formControlPr xmlns="http://schemas.microsoft.com/office/spreadsheetml/2009/9/main" objectType="Drop" dropStyle="combo" dx="16" fmlaLink="ber_Med_disc!$N$10" fmlaRange="ber_Med_disc!$B$27:$B$30" sel="0" val="0"/>
</file>

<file path=xl/ctrlProps/ctrlProp184.xml><?xml version="1.0" encoding="utf-8"?>
<formControlPr xmlns="http://schemas.microsoft.com/office/spreadsheetml/2009/9/main" objectType="Spin" dx="15" fmlaLink="ber_Med_disc!$M$10" max="30000" page="10" val="0"/>
</file>

<file path=xl/ctrlProps/ctrlProp185.xml><?xml version="1.0" encoding="utf-8"?>
<formControlPr xmlns="http://schemas.microsoft.com/office/spreadsheetml/2009/9/main" objectType="Spin" dx="15" fmlaLink="ber_Med_disc!$H$11" max="12" min="1" page="10"/>
</file>

<file path=xl/ctrlProps/ctrlProp186.xml><?xml version="1.0" encoding="utf-8"?>
<formControlPr xmlns="http://schemas.microsoft.com/office/spreadsheetml/2009/9/main" objectType="Spin" dx="15" fmlaLink="ber_Med_disc!$B$11" max="30000" page="10" val="1500"/>
</file>

<file path=xl/ctrlProps/ctrlProp187.xml><?xml version="1.0" encoding="utf-8"?>
<formControlPr xmlns="http://schemas.microsoft.com/office/spreadsheetml/2009/9/main" objectType="Spin" dx="15" fmlaLink="ber_Med_disc!$F$11" max="100" page="10" val="0"/>
</file>

<file path=xl/ctrlProps/ctrlProp188.xml><?xml version="1.0" encoding="utf-8"?>
<formControlPr xmlns="http://schemas.microsoft.com/office/spreadsheetml/2009/9/main" objectType="Drop" dropStyle="combo" dx="16" fmlaLink="ber_Med_disc!$N$11" fmlaRange="ber_Med_disc!$B$27:$B$30" sel="0" val="0"/>
</file>

<file path=xl/ctrlProps/ctrlProp189.xml><?xml version="1.0" encoding="utf-8"?>
<formControlPr xmlns="http://schemas.microsoft.com/office/spreadsheetml/2009/9/main" objectType="Spin" dx="15" fmlaLink="ber_Med_disc!$M$11" max="30000" page="10" val="0"/>
</file>

<file path=xl/ctrlProps/ctrlProp190.xml><?xml version="1.0" encoding="utf-8"?>
<formControlPr xmlns="http://schemas.microsoft.com/office/spreadsheetml/2009/9/main" objectType="Spin" dx="15" fmlaLink="ber_Med_disc!$H$12" max="12" min="1" page="10"/>
</file>

<file path=xl/ctrlProps/ctrlProp191.xml><?xml version="1.0" encoding="utf-8"?>
<formControlPr xmlns="http://schemas.microsoft.com/office/spreadsheetml/2009/9/main" objectType="Spin" dx="15" fmlaLink="ber_Med_disc!$B$12" max="30000" page="10" val="1500"/>
</file>

<file path=xl/ctrlProps/ctrlProp192.xml><?xml version="1.0" encoding="utf-8"?>
<formControlPr xmlns="http://schemas.microsoft.com/office/spreadsheetml/2009/9/main" objectType="Spin" dx="15" fmlaLink="ber_Med_disc!$F$12" max="100" page="10" val="0"/>
</file>

<file path=xl/ctrlProps/ctrlProp193.xml><?xml version="1.0" encoding="utf-8"?>
<formControlPr xmlns="http://schemas.microsoft.com/office/spreadsheetml/2009/9/main" objectType="Drop" dropStyle="combo" dx="16" fmlaLink="ber_Med_disc!$N$12" fmlaRange="ber_Med_disc!$B$27:$B$30" sel="0" val="0"/>
</file>

<file path=xl/ctrlProps/ctrlProp194.xml><?xml version="1.0" encoding="utf-8"?>
<formControlPr xmlns="http://schemas.microsoft.com/office/spreadsheetml/2009/9/main" objectType="Spin" dx="15" fmlaLink="ber_Med_disc!$M$12" max="30000" page="10" val="0"/>
</file>

<file path=xl/ctrlProps/ctrlProp195.xml><?xml version="1.0" encoding="utf-8"?>
<formControlPr xmlns="http://schemas.microsoft.com/office/spreadsheetml/2009/9/main" objectType="Spin" dx="15" fmlaLink="ber_Med_disc!$H$13" max="12" min="1" page="10"/>
</file>

<file path=xl/ctrlProps/ctrlProp196.xml><?xml version="1.0" encoding="utf-8"?>
<formControlPr xmlns="http://schemas.microsoft.com/office/spreadsheetml/2009/9/main" objectType="Spin" dx="15" fmlaLink="ber_Med_disc!$B$13" max="30000" page="10" val="1500"/>
</file>

<file path=xl/ctrlProps/ctrlProp197.xml><?xml version="1.0" encoding="utf-8"?>
<formControlPr xmlns="http://schemas.microsoft.com/office/spreadsheetml/2009/9/main" objectType="Spin" dx="15" fmlaLink="ber_Med_disc!$F$13" max="100" page="10" val="0"/>
</file>

<file path=xl/ctrlProps/ctrlProp198.xml><?xml version="1.0" encoding="utf-8"?>
<formControlPr xmlns="http://schemas.microsoft.com/office/spreadsheetml/2009/9/main" objectType="Drop" dropStyle="combo" dx="16" fmlaLink="ber_Med_disc!$N$13" fmlaRange="ber_Med_disc!$B$27:$B$30" sel="0" val="0"/>
</file>

<file path=xl/ctrlProps/ctrlProp199.xml><?xml version="1.0" encoding="utf-8"?>
<formControlPr xmlns="http://schemas.microsoft.com/office/spreadsheetml/2009/9/main" objectType="Spin" dx="15" fmlaLink="ber_Med_disc!$M$13" max="30000" page="10" val="0"/>
</file>

<file path=xl/ctrlProps/ctrlProp200.xml><?xml version="1.0" encoding="utf-8"?>
<formControlPr xmlns="http://schemas.microsoft.com/office/spreadsheetml/2009/9/main" objectType="Spin" dx="15" fmlaLink="ber_Med_disc!$H$14" max="12" min="1" page="10"/>
</file>

<file path=xl/ctrlProps/ctrlProp201.xml><?xml version="1.0" encoding="utf-8"?>
<formControlPr xmlns="http://schemas.microsoft.com/office/spreadsheetml/2009/9/main" objectType="Spin" dx="15" fmlaLink="ber_Med_disc!$B$14" max="30000" page="10" val="1500"/>
</file>

<file path=xl/ctrlProps/ctrlProp202.xml><?xml version="1.0" encoding="utf-8"?>
<formControlPr xmlns="http://schemas.microsoft.com/office/spreadsheetml/2009/9/main" objectType="Spin" dx="15" fmlaLink="ber_Med_disc!$F$14" max="100" page="10" val="0"/>
</file>

<file path=xl/ctrlProps/ctrlProp203.xml><?xml version="1.0" encoding="utf-8"?>
<formControlPr xmlns="http://schemas.microsoft.com/office/spreadsheetml/2009/9/main" objectType="Drop" dropStyle="combo" dx="16" fmlaLink="ber_Med_disc!$N$14" fmlaRange="ber_Med_disc!$B$27:$B$30" sel="0" val="0"/>
</file>

<file path=xl/ctrlProps/ctrlProp204.xml><?xml version="1.0" encoding="utf-8"?>
<formControlPr xmlns="http://schemas.microsoft.com/office/spreadsheetml/2009/9/main" objectType="Spin" dx="15" fmlaLink="ber_Med_disc!$M$14" max="30000" page="10" val="0"/>
</file>

<file path=xl/ctrlProps/ctrlProp205.xml><?xml version="1.0" encoding="utf-8"?>
<formControlPr xmlns="http://schemas.microsoft.com/office/spreadsheetml/2009/9/main" objectType="Spin" dx="15" fmlaLink="ber_Med_disc!$H$15" max="12" min="1" page="10"/>
</file>

<file path=xl/ctrlProps/ctrlProp206.xml><?xml version="1.0" encoding="utf-8"?>
<formControlPr xmlns="http://schemas.microsoft.com/office/spreadsheetml/2009/9/main" objectType="Spin" dx="15" fmlaLink="ber_Med_disc!$B$15" max="30000" page="10" val="1500"/>
</file>

<file path=xl/ctrlProps/ctrlProp207.xml><?xml version="1.0" encoding="utf-8"?>
<formControlPr xmlns="http://schemas.microsoft.com/office/spreadsheetml/2009/9/main" objectType="Spin" dx="15" fmlaLink="ber_Med_disc!$F$15" max="100" page="10" val="0"/>
</file>

<file path=xl/ctrlProps/ctrlProp208.xml><?xml version="1.0" encoding="utf-8"?>
<formControlPr xmlns="http://schemas.microsoft.com/office/spreadsheetml/2009/9/main" objectType="Drop" dropStyle="combo" dx="16" fmlaLink="ber_Med_disc!$N$15" fmlaRange="ber_Med_disc!$B$27:$B$30" sel="0" val="0"/>
</file>

<file path=xl/ctrlProps/ctrlProp209.xml><?xml version="1.0" encoding="utf-8"?>
<formControlPr xmlns="http://schemas.microsoft.com/office/spreadsheetml/2009/9/main" objectType="Spin" dx="15" fmlaLink="ber_Med_disc!$M$15" max="30000" page="10" val="0"/>
</file>

<file path=xl/ctrlProps/ctrlProp210.xml><?xml version="1.0" encoding="utf-8"?>
<formControlPr xmlns="http://schemas.microsoft.com/office/spreadsheetml/2009/9/main" objectType="Spin" dx="15" fmlaLink="ber_Med_disc!$H$16" max="12" min="1" page="10"/>
</file>

<file path=xl/ctrlProps/ctrlProp211.xml><?xml version="1.0" encoding="utf-8"?>
<formControlPr xmlns="http://schemas.microsoft.com/office/spreadsheetml/2009/9/main" objectType="Spin" dx="15" fmlaLink="ber_Med_disc!$B$16" max="30000" page="10" val="1500"/>
</file>

<file path=xl/ctrlProps/ctrlProp212.xml><?xml version="1.0" encoding="utf-8"?>
<formControlPr xmlns="http://schemas.microsoft.com/office/spreadsheetml/2009/9/main" objectType="Spin" dx="15" fmlaLink="ber_Med_disc!$F$16" max="100" page="10" val="0"/>
</file>

<file path=xl/ctrlProps/ctrlProp213.xml><?xml version="1.0" encoding="utf-8"?>
<formControlPr xmlns="http://schemas.microsoft.com/office/spreadsheetml/2009/9/main" objectType="Drop" dropStyle="combo" dx="16" fmlaLink="ber_Med_disc!$N$16" fmlaRange="ber_Med_disc!$B$27:$B$30" sel="0" val="0"/>
</file>

<file path=xl/ctrlProps/ctrlProp214.xml><?xml version="1.0" encoding="utf-8"?>
<formControlPr xmlns="http://schemas.microsoft.com/office/spreadsheetml/2009/9/main" objectType="Spin" dx="15" fmlaLink="ber_Med_disc!$M$16" max="30000" page="10" val="0"/>
</file>

<file path=xl/ctrlProps/ctrlProp215.xml><?xml version="1.0" encoding="utf-8"?>
<formControlPr xmlns="http://schemas.microsoft.com/office/spreadsheetml/2009/9/main" objectType="Spin" dx="15" fmlaLink="ber_Med_disc!$H$17" max="12" min="1" page="10"/>
</file>

<file path=xl/ctrlProps/ctrlProp216.xml><?xml version="1.0" encoding="utf-8"?>
<formControlPr xmlns="http://schemas.microsoft.com/office/spreadsheetml/2009/9/main" objectType="Spin" dx="15" fmlaLink="ber_Med_disc!$B$17" max="30000" page="10" val="1500"/>
</file>

<file path=xl/ctrlProps/ctrlProp217.xml><?xml version="1.0" encoding="utf-8"?>
<formControlPr xmlns="http://schemas.microsoft.com/office/spreadsheetml/2009/9/main" objectType="Spin" dx="15" fmlaLink="ber_Med_disc!$F$17" max="1000" page="10" val="0"/>
</file>

<file path=xl/ctrlProps/ctrlProp218.xml><?xml version="1.0" encoding="utf-8"?>
<formControlPr xmlns="http://schemas.microsoft.com/office/spreadsheetml/2009/9/main" objectType="Drop" dropStyle="combo" dx="16" fmlaLink="ber_Med_disc!$N$17" fmlaRange="ber_Med_disc!$B$27:$B$30" sel="0" val="0"/>
</file>

<file path=xl/ctrlProps/ctrlProp219.xml><?xml version="1.0" encoding="utf-8"?>
<formControlPr xmlns="http://schemas.microsoft.com/office/spreadsheetml/2009/9/main" objectType="Spin" dx="15" fmlaLink="ber_Med_disc!$M$17" max="30000" page="10" val="0"/>
</file>

<file path=xl/ctrlProps/ctrlProp220.xml><?xml version="1.0" encoding="utf-8"?>
<formControlPr xmlns="http://schemas.microsoft.com/office/spreadsheetml/2009/9/main" objectType="Spin" dx="15" fmlaLink="ber_Med_disc!$H$18" max="12" min="1" page="10"/>
</file>

<file path=xl/ctrlProps/ctrlProp221.xml><?xml version="1.0" encoding="utf-8"?>
<formControlPr xmlns="http://schemas.microsoft.com/office/spreadsheetml/2009/9/main" objectType="Spin" dx="15" fmlaLink="ber_Med_disc!$B$18" max="30000" page="10" val="1500"/>
</file>

<file path=xl/ctrlProps/ctrlProp222.xml><?xml version="1.0" encoding="utf-8"?>
<formControlPr xmlns="http://schemas.microsoft.com/office/spreadsheetml/2009/9/main" objectType="Spin" dx="15" fmlaLink="ber_Med_disc!$F$18" max="1000" page="10" val="0"/>
</file>

<file path=xl/ctrlProps/ctrlProp223.xml><?xml version="1.0" encoding="utf-8"?>
<formControlPr xmlns="http://schemas.microsoft.com/office/spreadsheetml/2009/9/main" objectType="Drop" dropStyle="combo" dx="16" fmlaLink="ber_Med_disc!$N$18" fmlaRange="ber_Med_disc!$B$27:$B$30" sel="0" val="0"/>
</file>

<file path=xl/ctrlProps/ctrlProp224.xml><?xml version="1.0" encoding="utf-8"?>
<formControlPr xmlns="http://schemas.microsoft.com/office/spreadsheetml/2009/9/main" objectType="Spin" dx="15" fmlaLink="ber_Med_disc!$M$18" max="30000" page="10" val="0"/>
</file>

<file path=xl/ctrlProps/ctrlProp225.xml><?xml version="1.0" encoding="utf-8"?>
<formControlPr xmlns="http://schemas.microsoft.com/office/spreadsheetml/2009/9/main" objectType="Spin" dx="15" fmlaLink="ber_Med_disc!$H$19" max="12" min="1" page="10"/>
</file>

<file path=xl/ctrlProps/ctrlProp226.xml><?xml version="1.0" encoding="utf-8"?>
<formControlPr xmlns="http://schemas.microsoft.com/office/spreadsheetml/2009/9/main" objectType="Spin" dx="15" fmlaLink="ber_Med_disc!$B$19" max="30000" page="10" val="1500"/>
</file>

<file path=xl/ctrlProps/ctrlProp227.xml><?xml version="1.0" encoding="utf-8"?>
<formControlPr xmlns="http://schemas.microsoft.com/office/spreadsheetml/2009/9/main" objectType="Spin" dx="15" fmlaLink="ber_Med_disc!$F$19" max="1000" page="10" val="0"/>
</file>

<file path=xl/ctrlProps/ctrlProp228.xml><?xml version="1.0" encoding="utf-8"?>
<formControlPr xmlns="http://schemas.microsoft.com/office/spreadsheetml/2009/9/main" objectType="Drop" dropStyle="combo" dx="16" fmlaLink="ber_Med_disc!$N$19" fmlaRange="ber_Med_disc!$B$27:$B$30" sel="0" val="0"/>
</file>

<file path=xl/ctrlProps/ctrlProp229.xml><?xml version="1.0" encoding="utf-8"?>
<formControlPr xmlns="http://schemas.microsoft.com/office/spreadsheetml/2009/9/main" objectType="Spin" dx="15" fmlaLink="ber_Med_disc!$M$19" max="30000" page="10" val="0"/>
</file>

<file path=xl/ctrlProps/ctrlProp230.xml><?xml version="1.0" encoding="utf-8"?>
<formControlPr xmlns="http://schemas.microsoft.com/office/spreadsheetml/2009/9/main" objectType="Spin" dx="15" fmlaLink="ber_Med_disc!$H$20" max="12" min="1" page="10"/>
</file>

<file path=xl/ctrlProps/ctrlProp231.xml><?xml version="1.0" encoding="utf-8"?>
<formControlPr xmlns="http://schemas.microsoft.com/office/spreadsheetml/2009/9/main" objectType="Spin" dx="15" fmlaLink="ber_Med_disc!$B$20" max="30000" page="10" val="1500"/>
</file>

<file path=xl/ctrlProps/ctrlProp232.xml><?xml version="1.0" encoding="utf-8"?>
<formControlPr xmlns="http://schemas.microsoft.com/office/spreadsheetml/2009/9/main" objectType="Spin" dx="15" fmlaLink="ber_Med_disc!$F$20" max="1000" page="10" val="0"/>
</file>

<file path=xl/ctrlProps/ctrlProp233.xml><?xml version="1.0" encoding="utf-8"?>
<formControlPr xmlns="http://schemas.microsoft.com/office/spreadsheetml/2009/9/main" objectType="Drop" dropStyle="combo" dx="16" fmlaLink="ber_Med_disc!$N$20" fmlaRange="ber_Med_disc!$B$27:$B$30" sel="0" val="0"/>
</file>

<file path=xl/ctrlProps/ctrlProp234.xml><?xml version="1.0" encoding="utf-8"?>
<formControlPr xmlns="http://schemas.microsoft.com/office/spreadsheetml/2009/9/main" objectType="Spin" dx="15" fmlaLink="ber_Med_disc!$M$20" max="30000" page="10" val="0"/>
</file>

<file path=xl/ctrlProps/ctrlProp235.xml><?xml version="1.0" encoding="utf-8"?>
<formControlPr xmlns="http://schemas.microsoft.com/office/spreadsheetml/2009/9/main" objectType="Spin" dx="15" fmlaLink="ber_Med_disc!$H$21" max="12" min="1" page="10"/>
</file>

<file path=xl/ctrlProps/ctrlProp236.xml><?xml version="1.0" encoding="utf-8"?>
<formControlPr xmlns="http://schemas.microsoft.com/office/spreadsheetml/2009/9/main" objectType="Spin" dx="15" fmlaLink="ber_Med_disc!$B$21" max="30000" page="10" val="1500"/>
</file>

<file path=xl/ctrlProps/ctrlProp237.xml><?xml version="1.0" encoding="utf-8"?>
<formControlPr xmlns="http://schemas.microsoft.com/office/spreadsheetml/2009/9/main" objectType="Spin" dx="15" fmlaLink="ber_Med_disc!$F$21" max="1000" page="10" val="0"/>
</file>

<file path=xl/ctrlProps/ctrlProp238.xml><?xml version="1.0" encoding="utf-8"?>
<formControlPr xmlns="http://schemas.microsoft.com/office/spreadsheetml/2009/9/main" objectType="Drop" dropStyle="combo" dx="16" fmlaLink="ber_Med_disc!$N$21" fmlaRange="ber_Med_disc!$B$27:$B$30" sel="0" val="0"/>
</file>

<file path=xl/ctrlProps/ctrlProp239.xml><?xml version="1.0" encoding="utf-8"?>
<formControlPr xmlns="http://schemas.microsoft.com/office/spreadsheetml/2009/9/main" objectType="Spin" dx="15" fmlaLink="ber_Med_disc!$M$21" max="30000" page="10" val="0"/>
</file>

<file path=xl/ctrlProps/ctrlProp240.xml><?xml version="1.0" encoding="utf-8"?>
<formControlPr xmlns="http://schemas.microsoft.com/office/spreadsheetml/2009/9/main" objectType="Spin" dx="15" fmlaLink="ber_Med_disc!$H$3" max="12" min="1" page="10"/>
</file>

<file path=xl/ctrlProps/ctrlProp241.xml><?xml version="1.0" encoding="utf-8"?>
<formControlPr xmlns="http://schemas.microsoft.com/office/spreadsheetml/2009/9/main" objectType="Spin" dx="15" fmlaLink="ber_Med_disc!$P$2" inc="5" max="1440" page="10" val="0"/>
</file>

<file path=xl/ctrlProps/ctrlProp242.xml><?xml version="1.0" encoding="utf-8"?>
<formControlPr xmlns="http://schemas.microsoft.com/office/spreadsheetml/2009/9/main" objectType="Spin" dx="15" fmlaLink="ber_Med_disc!$P$3" inc="5" max="1440" page="10" val="0"/>
</file>

<file path=xl/ctrlProps/ctrlProp243.xml><?xml version="1.0" encoding="utf-8"?>
<formControlPr xmlns="http://schemas.microsoft.com/office/spreadsheetml/2009/9/main" objectType="Spin" dx="15" fmlaLink="ber_Med_disc!$P$4" inc="5" max="1440" page="10" val="0"/>
</file>

<file path=xl/ctrlProps/ctrlProp244.xml><?xml version="1.0" encoding="utf-8"?>
<formControlPr xmlns="http://schemas.microsoft.com/office/spreadsheetml/2009/9/main" objectType="Spin" dx="15" fmlaLink="ber_Med_disc!$P$5" inc="5" max="1440" page="10" val="0"/>
</file>

<file path=xl/ctrlProps/ctrlProp245.xml><?xml version="1.0" encoding="utf-8"?>
<formControlPr xmlns="http://schemas.microsoft.com/office/spreadsheetml/2009/9/main" objectType="Spin" dx="15" fmlaLink="ber_Med_disc!$P$6" inc="5" max="1440" page="10" val="0"/>
</file>

<file path=xl/ctrlProps/ctrlProp246.xml><?xml version="1.0" encoding="utf-8"?>
<formControlPr xmlns="http://schemas.microsoft.com/office/spreadsheetml/2009/9/main" objectType="Spin" dx="15" fmlaLink="ber_Med_disc!$P$7" inc="5" max="1440" page="10" val="0"/>
</file>

<file path=xl/ctrlProps/ctrlProp247.xml><?xml version="1.0" encoding="utf-8"?>
<formControlPr xmlns="http://schemas.microsoft.com/office/spreadsheetml/2009/9/main" objectType="Spin" dx="15" fmlaLink="ber_Med_disc!$P$8" inc="5" max="1440" page="10" val="0"/>
</file>

<file path=xl/ctrlProps/ctrlProp248.xml><?xml version="1.0" encoding="utf-8"?>
<formControlPr xmlns="http://schemas.microsoft.com/office/spreadsheetml/2009/9/main" objectType="Spin" dx="15" fmlaLink="ber_Med_disc!$P$9" inc="5" max="1440" page="10" val="0"/>
</file>

<file path=xl/ctrlProps/ctrlProp249.xml><?xml version="1.0" encoding="utf-8"?>
<formControlPr xmlns="http://schemas.microsoft.com/office/spreadsheetml/2009/9/main" objectType="Spin" dx="15" fmlaLink="ber_Med_disc!$P$10" inc="5" max="1440" page="10" val="0"/>
</file>

<file path=xl/ctrlProps/ctrlProp250.xml><?xml version="1.0" encoding="utf-8"?>
<formControlPr xmlns="http://schemas.microsoft.com/office/spreadsheetml/2009/9/main" objectType="Spin" dx="15" fmlaLink="ber_Med_disc!$P$11" inc="5" max="1440" page="10" val="0"/>
</file>

<file path=xl/ctrlProps/ctrlProp251.xml><?xml version="1.0" encoding="utf-8"?>
<formControlPr xmlns="http://schemas.microsoft.com/office/spreadsheetml/2009/9/main" objectType="Spin" dx="15" fmlaLink="ber_Med_disc!$P$12" inc="5" max="1440" page="10" val="0"/>
</file>

<file path=xl/ctrlProps/ctrlProp252.xml><?xml version="1.0" encoding="utf-8"?>
<formControlPr xmlns="http://schemas.microsoft.com/office/spreadsheetml/2009/9/main" objectType="Spin" dx="15" fmlaLink="ber_Med_disc!$P$13" inc="5" max="1440" page="10" val="0"/>
</file>

<file path=xl/ctrlProps/ctrlProp253.xml><?xml version="1.0" encoding="utf-8"?>
<formControlPr xmlns="http://schemas.microsoft.com/office/spreadsheetml/2009/9/main" objectType="Spin" dx="15" fmlaLink="ber_Med_disc!$P$14" inc="5" max="1440" page="10" val="0"/>
</file>

<file path=xl/ctrlProps/ctrlProp254.xml><?xml version="1.0" encoding="utf-8"?>
<formControlPr xmlns="http://schemas.microsoft.com/office/spreadsheetml/2009/9/main" objectType="Spin" dx="15" fmlaLink="ber_Med_disc!$P$15" inc="5" max="1440" page="10" val="0"/>
</file>

<file path=xl/ctrlProps/ctrlProp255.xml><?xml version="1.0" encoding="utf-8"?>
<formControlPr xmlns="http://schemas.microsoft.com/office/spreadsheetml/2009/9/main" objectType="Spin" dx="15" fmlaLink="ber_Med_disc!$P$16" inc="5" max="1440" page="10" val="0"/>
</file>

<file path=xl/ctrlProps/ctrlProp256.xml><?xml version="1.0" encoding="utf-8"?>
<formControlPr xmlns="http://schemas.microsoft.com/office/spreadsheetml/2009/9/main" objectType="Spin" dx="15" fmlaLink="ber_Med_disc!$P$17" inc="5" max="1440" page="10" val="0"/>
</file>

<file path=xl/ctrlProps/ctrlProp257.xml><?xml version="1.0" encoding="utf-8"?>
<formControlPr xmlns="http://schemas.microsoft.com/office/spreadsheetml/2009/9/main" objectType="Spin" dx="15" fmlaLink="ber_Med_disc!$P$18" inc="5" max="1440" page="10" val="0"/>
</file>

<file path=xl/ctrlProps/ctrlProp258.xml><?xml version="1.0" encoding="utf-8"?>
<formControlPr xmlns="http://schemas.microsoft.com/office/spreadsheetml/2009/9/main" objectType="Spin" dx="15" fmlaLink="ber_Med_disc!$P$19" inc="5" max="1440" page="10" val="0"/>
</file>

<file path=xl/ctrlProps/ctrlProp259.xml><?xml version="1.0" encoding="utf-8"?>
<formControlPr xmlns="http://schemas.microsoft.com/office/spreadsheetml/2009/9/main" objectType="Spin" dx="15" fmlaLink="ber_Med_disc!$P$20" inc="5" max="1440" page="10" val="0"/>
</file>

<file path=xl/ctrlProps/ctrlProp260.xml><?xml version="1.0" encoding="utf-8"?>
<formControlPr xmlns="http://schemas.microsoft.com/office/spreadsheetml/2009/9/main" objectType="Spin" dx="15" fmlaLink="ber_Med_disc!$P$21" inc="5" max="1440" page="10" val="0"/>
</file>

<file path=xl/ctrlProps/ctrlProp261.xml><?xml version="1.0" encoding="utf-8"?>
<formControlPr xmlns="http://schemas.microsoft.com/office/spreadsheetml/2009/9/main" objectType="Drop" dropStyle="combo" dx="16" fmlaLink="ber_Med_disc!$N$4" fmlaRange="ber_Med_disc!$B$27:$B$30" sel="0" val="0"/>
</file>

<file path=xl/ctrlProps/ctrlProp262.xml><?xml version="1.0" encoding="utf-8"?>
<formControlPr xmlns="http://schemas.microsoft.com/office/spreadsheetml/2009/9/main" objectType="Spin" dx="15" fmlaLink="dbBead!$G$2" max="1000" min="25" page="10" val="100"/>
</file>

<file path=xl/ctrlProps/ctrlProp263.xml><?xml version="1.0" encoding="utf-8"?>
<formControlPr xmlns="http://schemas.microsoft.com/office/spreadsheetml/2009/9/main" objectType="Spin" dx="15" fmlaLink="dbBead!$H$2" max="200" min="40" page="10" val="80"/>
</file>

<file path=xl/ctrlProps/ctrlProp264.xml><?xml version="1.0" encoding="utf-8"?>
<formControlPr xmlns="http://schemas.microsoft.com/office/spreadsheetml/2009/9/main" objectType="Drop" dropStyle="combo" dx="16" fmlaLink="ber_Infusen!$E$2" fmlaRange="tblInfusen" sel="1" val="0"/>
</file>

<file path=xl/ctrlProps/ctrlProp265.xml><?xml version="1.0" encoding="utf-8"?>
<formControlPr xmlns="http://schemas.microsoft.com/office/spreadsheetml/2009/9/main" objectType="Drop" dropStyle="combo" dx="16" fmlaLink="ber_Infusen!$E$3" fmlaRange="tblInfusen" sel="1" val="0"/>
</file>

<file path=xl/ctrlProps/ctrlProp266.xml><?xml version="1.0" encoding="utf-8"?>
<formControlPr xmlns="http://schemas.microsoft.com/office/spreadsheetml/2009/9/main" objectType="Drop" dropStyle="combo" dx="16" fmlaLink="ber_Infusen!$E$4" fmlaRange="tblInfusen" sel="1" val="0"/>
</file>

<file path=xl/ctrlProps/ctrlProp267.xml><?xml version="1.0" encoding="utf-8"?>
<formControlPr xmlns="http://schemas.microsoft.com/office/spreadsheetml/2009/9/main" objectType="Drop" dropStyle="combo" dx="16" fmlaLink="ber_Infusen!$E$5" fmlaRange="tblInfusen" sel="1" val="20"/>
</file>

<file path=xl/ctrlProps/ctrlProp268.xml><?xml version="1.0" encoding="utf-8"?>
<formControlPr xmlns="http://schemas.microsoft.com/office/spreadsheetml/2009/9/main" objectType="Drop" dropStyle="combo" dx="16" fmlaLink="ber_Infusen!$E$6" fmlaRange="tblInfusen" sel="1" val="0"/>
</file>

<file path=xl/ctrlProps/ctrlProp269.xml><?xml version="1.0" encoding="utf-8"?>
<formControlPr xmlns="http://schemas.microsoft.com/office/spreadsheetml/2009/9/main" objectType="Drop" dropStyle="combo" dx="16" fmlaLink="ber_Infusen!$E$7" fmlaRange="tblInfusen" sel="1" val="0"/>
</file>

<file path=xl/ctrlProps/ctrlProp270.xml><?xml version="1.0" encoding="utf-8"?>
<formControlPr xmlns="http://schemas.microsoft.com/office/spreadsheetml/2009/9/main" objectType="Drop" dropStyle="combo" dx="16" fmlaLink="ber_Infusen!$M$1" fmlaRange="tblAanvAfspr" sel="1" val="0"/>
</file>

<file path=xl/ctrlProps/ctrlProp271.xml><?xml version="1.0" encoding="utf-8"?>
<formControlPr xmlns="http://schemas.microsoft.com/office/spreadsheetml/2009/9/main" objectType="Drop" dropStyle="combo" dx="16" fmlaLink="ber_Infusen!$M$2" fmlaRange="tblAanvAfspr" sel="1" val="0"/>
</file>

<file path=xl/ctrlProps/ctrlProp272.xml><?xml version="1.0" encoding="utf-8"?>
<formControlPr xmlns="http://schemas.microsoft.com/office/spreadsheetml/2009/9/main" objectType="Drop" dropStyle="combo" dx="16" fmlaLink="ber_Infusen!$M$3" fmlaRange="tblAanvAfspr" sel="1" val="0"/>
</file>

<file path=xl/ctrlProps/ctrlProp273.xml><?xml version="1.0" encoding="utf-8"?>
<formControlPr xmlns="http://schemas.microsoft.com/office/spreadsheetml/2009/9/main" objectType="Drop" dropStyle="combo" dx="16" fmlaLink="ber_Infusen!$M$4" fmlaRange="tblAanvAfspr" sel="1" val="0"/>
</file>

<file path=xl/ctrlProps/ctrlProp274.xml><?xml version="1.0" encoding="utf-8"?>
<formControlPr xmlns="http://schemas.microsoft.com/office/spreadsheetml/2009/9/main" objectType="Spin" dx="15" fmlaLink="dbBead!$G$2" max="1000" min="25" page="10" val="100"/>
</file>

<file path=xl/ctrlProps/ctrlProp275.xml><?xml version="1.0" encoding="utf-8"?>
<formControlPr xmlns="http://schemas.microsoft.com/office/spreadsheetml/2009/9/main" objectType="Spin" dx="15" fmlaLink="dbBead!$H$2" max="200" min="40" page="10" val="80"/>
</file>

<file path=xl/ctrlProps/ctrlProp276.xml><?xml version="1.0" encoding="utf-8"?>
<formControlPr xmlns="http://schemas.microsoft.com/office/spreadsheetml/2009/9/main" objectType="Drop" dropStyle="combo" dx="16" fmlaLink="ber_Infusen!$O$1" fmlaRange="ber_Infusen!$O$2:$O$5" sel="0" val="0"/>
</file>

<file path=xl/ctrlProps/ctrlProp277.xml><?xml version="1.0" encoding="utf-8"?>
<formControlPr xmlns="http://schemas.microsoft.com/office/spreadsheetml/2009/9/main" objectType="Drop" dropStyle="combo" dx="16" fmlaLink="ber_Infusen!$P$1" fmlaRange="ber_Infusen!$P$2:$P$5" sel="0" val="0"/>
</file>

<file path=xl/ctrlProps/ctrlProp278.xml><?xml version="1.0" encoding="utf-8"?>
<formControlPr xmlns="http://schemas.microsoft.com/office/spreadsheetml/2009/9/main" objectType="Spin" dx="15" fmlaLink="ber_Infusen!$R$1" max="200" min="30" page="10" val="30"/>
</file>

<file path=xl/ctrlProps/ctrlProp279.xml><?xml version="1.0" encoding="utf-8"?>
<formControlPr xmlns="http://schemas.microsoft.com/office/spreadsheetml/2009/9/main" objectType="Spin" dx="15" fmlaLink="ber_Infusen!$R$2" max="20" page="10" val="0"/>
</file>

<file path=xl/ctrlProps/ctrlProp280.xml><?xml version="1.0" encoding="utf-8"?>
<formControlPr xmlns="http://schemas.microsoft.com/office/spreadsheetml/2009/9/main" objectType="Spin" dx="15" fmlaLink="ber_Infusen!$R$3" max="20" page="10" val="0"/>
</file>

<file path=xl/ctrlProps/ctrlProp281.xml><?xml version="1.0" encoding="utf-8"?>
<formControlPr xmlns="http://schemas.microsoft.com/office/spreadsheetml/2009/9/main" objectType="Spin" dx="15" fmlaLink="ber_Infusen!$R$4" max="250" min="20" page="10" val="20"/>
</file>

<file path=xl/ctrlProps/ctrlProp282.xml><?xml version="1.0" encoding="utf-8"?>
<formControlPr xmlns="http://schemas.microsoft.com/office/spreadsheetml/2009/9/main" objectType="Spin" dx="15" fmlaLink="ber_Infusen!$R$5" max="100" min="4" page="10" val="4"/>
</file>

<file path=xl/ctrlProps/ctrlProp283.xml><?xml version="1.0" encoding="utf-8"?>
<formControlPr xmlns="http://schemas.microsoft.com/office/spreadsheetml/2009/9/main" objectType="Spin" dx="15" fmlaLink="ber_Infusen!$R$6" max="100" min="4" page="10" val="4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Spin" dx="15" fmlaLink="ber_Infusen!$H$3" max="24" page="10" val="0"/>
</file>

<file path=xl/ctrlProps/ctrlProp286.xml><?xml version="1.0" encoding="utf-8"?>
<formControlPr xmlns="http://schemas.microsoft.com/office/spreadsheetml/2009/9/main" objectType="Spin" dx="15" fmlaLink="ber_Infusen!$H$6" max="24" page="10" val="0"/>
</file>

<file path=xl/ctrlProps/ctrlProp287.xml><?xml version="1.0" encoding="utf-8"?>
<formControlPr xmlns="http://schemas.microsoft.com/office/spreadsheetml/2009/9/main" objectType="Spin" dx="15" fmlaLink="ber_Infusen!$H$2" max="24" page="10" val="0"/>
</file>

<file path=xl/ctrlProps/ctrlProp288.xml><?xml version="1.0" encoding="utf-8"?>
<formControlPr xmlns="http://schemas.microsoft.com/office/spreadsheetml/2009/9/main" objectType="Spin" dx="15" fmlaLink="ber_Infusen!$H$8" max="24" page="10" val="0"/>
</file>

<file path=xl/ctrlProps/ctrlProp289.xml><?xml version="1.0" encoding="utf-8"?>
<formControlPr xmlns="http://schemas.microsoft.com/office/spreadsheetml/2009/9/main" objectType="CheckBox" checked="Checked" fmlaLink="ber_Infusen!$P$8" lockText="1" noThreeD="1"/>
</file>

<file path=xl/ctrlProps/ctrlProp290.xml><?xml version="1.0" encoding="utf-8"?>
<formControlPr xmlns="http://schemas.microsoft.com/office/spreadsheetml/2009/9/main" objectType="Spin" dx="15" fmlaLink="ber_PO!$L$22" max="24" min="1" page="10"/>
</file>

<file path=xl/ctrlProps/ctrlProp291.xml><?xml version="1.0" encoding="utf-8"?>
<formControlPr xmlns="http://schemas.microsoft.com/office/spreadsheetml/2009/9/main" objectType="Spin" dx="15" fmlaLink="ber_PO!$M$22" max="10000" min="1" page="10"/>
</file>

<file path=xl/ctrlProps/ctrlProp292.xml><?xml version="1.0" encoding="utf-8"?>
<formControlPr xmlns="http://schemas.microsoft.com/office/spreadsheetml/2009/9/main" objectType="Drop" dropStyle="combo" dx="16" fmlaLink="ber_PO!$P$22" fmlaRange="tblVoedingPO" sel="1" val="0"/>
</file>

<file path=xl/ctrlProps/ctrlProp293.xml><?xml version="1.0" encoding="utf-8"?>
<formControlPr xmlns="http://schemas.microsoft.com/office/spreadsheetml/2009/9/main" objectType="Spin" dx="15" fmlaLink="ber_TPN!$D$3" max="300" page="10" val="0"/>
</file>

<file path=xl/ctrlProps/ctrlProp294.xml><?xml version="1.0" encoding="utf-8"?>
<formControlPr xmlns="http://schemas.microsoft.com/office/spreadsheetml/2009/9/main" objectType="Spin" dx="15" fmlaLink="ber_TPN!$E$7" max="5000" min="1" page="10"/>
</file>

<file path=xl/ctrlProps/ctrlProp295.xml><?xml version="1.0" encoding="utf-8"?>
<formControlPr xmlns="http://schemas.microsoft.com/office/spreadsheetml/2009/9/main" objectType="Spin" dx="15" fmlaLink="ber_TPN!$E$8" max="5000" min="1" page="10"/>
</file>

<file path=xl/ctrlProps/ctrlProp296.xml><?xml version="1.0" encoding="utf-8"?>
<formControlPr xmlns="http://schemas.microsoft.com/office/spreadsheetml/2009/9/main" objectType="Spin" dx="15" fmlaLink="ber_TPN!$E$9" max="5000" min="1" page="10"/>
</file>

<file path=xl/ctrlProps/ctrlProp297.xml><?xml version="1.0" encoding="utf-8"?>
<formControlPr xmlns="http://schemas.microsoft.com/office/spreadsheetml/2009/9/main" objectType="CheckBox" fmlaLink="ber_TPN!$C$7" lockText="1"/>
</file>

<file path=xl/ctrlProps/ctrlProp298.xml><?xml version="1.0" encoding="utf-8"?>
<formControlPr xmlns="http://schemas.microsoft.com/office/spreadsheetml/2009/9/main" objectType="CheckBox" fmlaLink="ber_TPN!$C$8" lockText="1"/>
</file>

<file path=xl/ctrlProps/ctrlProp299.xml><?xml version="1.0" encoding="utf-8"?>
<formControlPr xmlns="http://schemas.microsoft.com/office/spreadsheetml/2009/9/main" objectType="CheckBox" fmlaLink="ber_TPN!$C$9" lockText="1"/>
</file>

<file path=xl/ctrlProps/ctrlProp300.xml><?xml version="1.0" encoding="utf-8"?>
<formControlPr xmlns="http://schemas.microsoft.com/office/spreadsheetml/2009/9/main" objectType="Spin" dx="15" fmlaLink="ber_TPN!$D$12" max="200" page="10" val="0"/>
</file>

<file path=xl/ctrlProps/ctrlProp301.xml><?xml version="1.0" encoding="utf-8"?>
<formControlPr xmlns="http://schemas.microsoft.com/office/spreadsheetml/2009/9/main" objectType="CheckBox" fmlaLink="ber_TPN!$C$14" lockText="1"/>
</file>

<file path=xl/ctrlProps/ctrlProp302.xml><?xml version="1.0" encoding="utf-8"?>
<formControlPr xmlns="http://schemas.microsoft.com/office/spreadsheetml/2009/9/main" objectType="CheckBox" fmlaLink="ber_TPN!$C$15" lockText="1"/>
</file>

<file path=xl/ctrlProps/ctrlProp303.xml><?xml version="1.0" encoding="utf-8"?>
<formControlPr xmlns="http://schemas.microsoft.com/office/spreadsheetml/2009/9/main" objectType="Spin" dx="15" fmlaLink="ber_TPN!$E$14" max="55" min="1" page="10"/>
</file>

<file path=xl/ctrlProps/ctrlProp304.xml><?xml version="1.0" encoding="utf-8"?>
<formControlPr xmlns="http://schemas.microsoft.com/office/spreadsheetml/2009/9/main" objectType="Spin" dx="15" fmlaLink="ber_TPN!$E$15" max="55" min="1" page="10"/>
</file>

<file path=xl/ctrlProps/ctrlProp305.xml><?xml version="1.0" encoding="utf-8"?>
<formControlPr xmlns="http://schemas.microsoft.com/office/spreadsheetml/2009/9/main" objectType="Drop" dropStyle="combo" dx="16" fmlaLink="ber_PO!$A$1" fmlaRange="tblSonde" sel="1" val="0"/>
</file>

<file path=xl/ctrlProps/ctrlProp306.xml><?xml version="1.0" encoding="utf-8"?>
<formControlPr xmlns="http://schemas.microsoft.com/office/spreadsheetml/2009/9/main" objectType="CheckBox" fmlaLink="ber_TPN!$C$10" lockText="1"/>
</file>

<file path=xl/ctrlProps/ctrlProp307.xml><?xml version="1.0" encoding="utf-8"?>
<formControlPr xmlns="http://schemas.microsoft.com/office/spreadsheetml/2009/9/main" objectType="CheckBox" fmlaLink="ber_TPN!$C$11" lockText="1"/>
</file>

<file path=xl/ctrlProps/ctrlProp308.xml><?xml version="1.0" encoding="utf-8"?>
<formControlPr xmlns="http://schemas.microsoft.com/office/spreadsheetml/2009/9/main" objectType="Spin" dx="15" fmlaLink="ber_TPN!$E$10" max="5000" min="1" page="10"/>
</file>

<file path=xl/ctrlProps/ctrlProp309.xml><?xml version="1.0" encoding="utf-8"?>
<formControlPr xmlns="http://schemas.microsoft.com/office/spreadsheetml/2009/9/main" objectType="Spin" dx="15" fmlaLink="ber_TPN!$E$11" max="200" min="1" page="10"/>
</file>

<file path=xl/ctrlProps/ctrlProp310.xml><?xml version="1.0" encoding="utf-8"?>
<formControlPr xmlns="http://schemas.microsoft.com/office/spreadsheetml/2009/9/main" objectType="Drop" dropStyle="combo" dx="16" fmlaLink="ber_TPN!$B$4" fmlaRange="tblTPN" sel="1" val="0"/>
</file>

<file path=xl/ctrlProps/ctrlProp311.xml><?xml version="1.0" encoding="utf-8"?>
<formControlPr xmlns="http://schemas.microsoft.com/office/spreadsheetml/2009/9/main" objectType="Drop" dropStyle="combo" dx="16" fmlaLink="ber_TPN!$B$6" fmlaRange="tblSSTGlucose" sel="1" val="0"/>
</file>

<file path=xl/ctrlProps/ctrlProp312.xml><?xml version="1.0" encoding="utf-8"?>
<formControlPr xmlns="http://schemas.microsoft.com/office/spreadsheetml/2009/9/main" objectType="Spin" dx="15" fmlaLink="ber_TPN!$E$4" max="4000" page="10" val="0"/>
</file>

<file path=xl/ctrlProps/ctrlProp313.xml><?xml version="1.0" encoding="utf-8"?>
<formControlPr xmlns="http://schemas.microsoft.com/office/spreadsheetml/2009/9/main" objectType="Spin" dx="15" fmlaLink="ber_PO!$L$23" max="12" min="1" page="10"/>
</file>

<file path=xl/ctrlProps/ctrlProp314.xml><?xml version="1.0" encoding="utf-8"?>
<formControlPr xmlns="http://schemas.microsoft.com/office/spreadsheetml/2009/9/main" objectType="Spin" dx="15" fmlaLink="ber_PO!$M$23" max="100" page="10" val="0"/>
</file>

<file path=xl/ctrlProps/ctrlProp315.xml><?xml version="1.0" encoding="utf-8"?>
<formControlPr xmlns="http://schemas.microsoft.com/office/spreadsheetml/2009/9/main" objectType="Drop" dropStyle="combo" dx="16" fmlaLink="ber_PO!$P$23" fmlaRange="ber_PO!$B$22:$B$39" sel="0" val="0"/>
</file>

<file path=xl/ctrlProps/ctrlProp316.xml><?xml version="1.0" encoding="utf-8"?>
<formControlPr xmlns="http://schemas.microsoft.com/office/spreadsheetml/2009/9/main" objectType="Spin" dx="15" fmlaLink="ber_TPN!$E$5" max="15" page="10" val="0"/>
</file>

<file path=xl/ctrlProps/ctrlProp317.xml><?xml version="1.0" encoding="utf-8"?>
<formControlPr xmlns="http://schemas.microsoft.com/office/spreadsheetml/2009/9/main" objectType="Spin" dx="15" fmlaLink="ber_PO!$L$24" max="12" min="1" page="10"/>
</file>

<file path=xl/ctrlProps/ctrlProp318.xml><?xml version="1.0" encoding="utf-8"?>
<formControlPr xmlns="http://schemas.microsoft.com/office/spreadsheetml/2009/9/main" objectType="Spin" dx="15" fmlaLink="ber_PO!$M$24" max="100" page="10" val="0"/>
</file>

<file path=xl/ctrlProps/ctrlProp319.xml><?xml version="1.0" encoding="utf-8"?>
<formControlPr xmlns="http://schemas.microsoft.com/office/spreadsheetml/2009/9/main" objectType="Drop" dropStyle="combo" dx="16" fmlaLink="ber_PO!$P$24" fmlaRange="ber_PO!$B$22:$B$33" sel="0" val="0"/>
</file>

<file path=xl/ctrlProps/ctrlProp320.xml><?xml version="1.0" encoding="utf-8"?>
<formControlPr xmlns="http://schemas.microsoft.com/office/spreadsheetml/2009/9/main" objectType="Spin" dx="15" fmlaLink="ber_PO!$L$25" max="12" min="1" page="10"/>
</file>

<file path=xl/ctrlProps/ctrlProp321.xml><?xml version="1.0" encoding="utf-8"?>
<formControlPr xmlns="http://schemas.microsoft.com/office/spreadsheetml/2009/9/main" objectType="Spin" dx="15" fmlaLink="ber_PO!$M$25" max="100" page="10" val="0"/>
</file>

<file path=xl/ctrlProps/ctrlProp322.xml><?xml version="1.0" encoding="utf-8"?>
<formControlPr xmlns="http://schemas.microsoft.com/office/spreadsheetml/2009/9/main" objectType="Drop" dropStyle="combo" dx="16" fmlaLink="ber_PO!$P$25" fmlaRange="ber_PO!$B$22:$B$33" sel="0" val="0"/>
</file>

<file path=xl/ctrlProps/ctrlProp323.xml><?xml version="1.0" encoding="utf-8"?>
<formControlPr xmlns="http://schemas.microsoft.com/office/spreadsheetml/2009/9/main" objectType="Spin" dx="15" fmlaLink="ber_TPN!$D$18" max="200" page="10" val="0"/>
</file>

<file path=xl/ctrlProps/ctrlProp324.xml><?xml version="1.0" encoding="utf-8"?>
<formControlPr xmlns="http://schemas.microsoft.com/office/spreadsheetml/2009/9/main" objectType="Spin" dx="15" fmlaLink="ber_TPN!$E$20" max="1000" min="1" page="10"/>
</file>

<file path=xl/ctrlProps/ctrlProp325.xml><?xml version="1.0" encoding="utf-8"?>
<formControlPr xmlns="http://schemas.microsoft.com/office/spreadsheetml/2009/9/main" objectType="Spin" dx="15" fmlaLink="ber_TPN!$E$21" max="200" min="1" page="10"/>
</file>

<file path=xl/ctrlProps/ctrlProp326.xml><?xml version="1.0" encoding="utf-8"?>
<formControlPr xmlns="http://schemas.microsoft.com/office/spreadsheetml/2009/9/main" objectType="CheckBox" fmlaLink="ber_TPN!$C$20" lockText="1"/>
</file>

<file path=xl/ctrlProps/ctrlProp327.xml><?xml version="1.0" encoding="utf-8"?>
<formControlPr xmlns="http://schemas.microsoft.com/office/spreadsheetml/2009/9/main" objectType="CheckBox" fmlaLink="ber_TPN!$C$21" lockText="1"/>
</file>

<file path=xl/ctrlProps/ctrlProp328.xml><?xml version="1.0" encoding="utf-8"?>
<formControlPr xmlns="http://schemas.microsoft.com/office/spreadsheetml/2009/9/main" objectType="Drop" dropStyle="combo" dx="16" fmlaLink="ber_TPN!$B$19" fmlaRange="tblSSTGlucose" sel="1" val="5"/>
</file>

<file path=xl/ctrlProps/ctrlProp329.xml><?xml version="1.0" encoding="utf-8"?>
<formControlPr xmlns="http://schemas.microsoft.com/office/spreadsheetml/2009/9/main" objectType="Spin" dx="15" fmlaLink="dbBead!$G$2" max="1000" min="25" page="10" val="100"/>
</file>

<file path=xl/ctrlProps/ctrlProp330.xml><?xml version="1.0" encoding="utf-8"?>
<formControlPr xmlns="http://schemas.microsoft.com/office/spreadsheetml/2009/9/main" objectType="Spin" dx="15" fmlaLink="dbBead!$H$2" max="200" min="40" page="10" val="80"/>
</file>

<file path=xl/ctrlProps/ctrlProp331.xml><?xml version="1.0" encoding="utf-8"?>
<formControlPr xmlns="http://schemas.microsoft.com/office/spreadsheetml/2009/9/main" objectType="CheckBox" fmlaLink="Ber_Lab!$C$5" lockText="1"/>
</file>

<file path=xl/ctrlProps/ctrlProp332.xml><?xml version="1.0" encoding="utf-8"?>
<formControlPr xmlns="http://schemas.microsoft.com/office/spreadsheetml/2009/9/main" objectType="CheckBox" fmlaLink="Ber_Lab!C6" lockText="1"/>
</file>

<file path=xl/ctrlProps/ctrlProp333.xml><?xml version="1.0" encoding="utf-8"?>
<formControlPr xmlns="http://schemas.microsoft.com/office/spreadsheetml/2009/9/main" objectType="CheckBox" fmlaLink="Ber_Lab!C8" lockText="1"/>
</file>

<file path=xl/ctrlProps/ctrlProp334.xml><?xml version="1.0" encoding="utf-8"?>
<formControlPr xmlns="http://schemas.microsoft.com/office/spreadsheetml/2009/9/main" objectType="CheckBox" fmlaLink="Ber_Lab!C9" lockText="1"/>
</file>

<file path=xl/ctrlProps/ctrlProp335.xml><?xml version="1.0" encoding="utf-8"?>
<formControlPr xmlns="http://schemas.microsoft.com/office/spreadsheetml/2009/9/main" objectType="CheckBox" fmlaLink="Ber_Lab!C14" lockText="1"/>
</file>

<file path=xl/ctrlProps/ctrlProp336.xml><?xml version="1.0" encoding="utf-8"?>
<formControlPr xmlns="http://schemas.microsoft.com/office/spreadsheetml/2009/9/main" objectType="CheckBox" fmlaLink="Ber_Lab!C13" lockText="1"/>
</file>

<file path=xl/ctrlProps/ctrlProp337.xml><?xml version="1.0" encoding="utf-8"?>
<formControlPr xmlns="http://schemas.microsoft.com/office/spreadsheetml/2009/9/main" objectType="CheckBox" fmlaLink="Ber_Lab!C27" lockText="1"/>
</file>

<file path=xl/ctrlProps/ctrlProp338.xml><?xml version="1.0" encoding="utf-8"?>
<formControlPr xmlns="http://schemas.microsoft.com/office/spreadsheetml/2009/9/main" objectType="CheckBox" fmlaLink="Ber_Lab!C16" lockText="1"/>
</file>

<file path=xl/ctrlProps/ctrlProp339.xml><?xml version="1.0" encoding="utf-8"?>
<formControlPr xmlns="http://schemas.microsoft.com/office/spreadsheetml/2009/9/main" objectType="CheckBox" fmlaLink="Ber_Lab!C18" lockText="1"/>
</file>

<file path=xl/ctrlProps/ctrlProp340.xml><?xml version="1.0" encoding="utf-8"?>
<formControlPr xmlns="http://schemas.microsoft.com/office/spreadsheetml/2009/9/main" objectType="CheckBox" fmlaLink="Ber_Lab!C19" lockText="1"/>
</file>

<file path=xl/ctrlProps/ctrlProp341.xml><?xml version="1.0" encoding="utf-8"?>
<formControlPr xmlns="http://schemas.microsoft.com/office/spreadsheetml/2009/9/main" objectType="CheckBox" fmlaLink="Ber_Lab!C20" lockText="1"/>
</file>

<file path=xl/ctrlProps/ctrlProp342.xml><?xml version="1.0" encoding="utf-8"?>
<formControlPr xmlns="http://schemas.microsoft.com/office/spreadsheetml/2009/9/main" objectType="CheckBox" fmlaLink="Ber_Lab!C12" lockText="1"/>
</file>

<file path=xl/ctrlProps/ctrlProp343.xml><?xml version="1.0" encoding="utf-8"?>
<formControlPr xmlns="http://schemas.microsoft.com/office/spreadsheetml/2009/9/main" objectType="CheckBox" fmlaLink="Ber_Lab!C28" lockText="1"/>
</file>

<file path=xl/ctrlProps/ctrlProp344.xml><?xml version="1.0" encoding="utf-8"?>
<formControlPr xmlns="http://schemas.microsoft.com/office/spreadsheetml/2009/9/main" objectType="CheckBox" fmlaLink="Ber_Lab!G5" lockText="1"/>
</file>

<file path=xl/ctrlProps/ctrlProp345.xml><?xml version="1.0" encoding="utf-8"?>
<formControlPr xmlns="http://schemas.microsoft.com/office/spreadsheetml/2009/9/main" objectType="CheckBox" fmlaLink="Ber_Lab!G6" lockText="1"/>
</file>

<file path=xl/ctrlProps/ctrlProp346.xml><?xml version="1.0" encoding="utf-8"?>
<formControlPr xmlns="http://schemas.microsoft.com/office/spreadsheetml/2009/9/main" objectType="CheckBox" fmlaLink="Ber_Lab!G8" lockText="1"/>
</file>

<file path=xl/ctrlProps/ctrlProp347.xml><?xml version="1.0" encoding="utf-8"?>
<formControlPr xmlns="http://schemas.microsoft.com/office/spreadsheetml/2009/9/main" objectType="CheckBox" fmlaLink="Ber_Lab!G9" lockText="1"/>
</file>

<file path=xl/ctrlProps/ctrlProp348.xml><?xml version="1.0" encoding="utf-8"?>
<formControlPr xmlns="http://schemas.microsoft.com/office/spreadsheetml/2009/9/main" objectType="CheckBox" fmlaLink="Ber_Lab!G14" lockText="1"/>
</file>

<file path=xl/ctrlProps/ctrlProp349.xml><?xml version="1.0" encoding="utf-8"?>
<formControlPr xmlns="http://schemas.microsoft.com/office/spreadsheetml/2009/9/main" objectType="CheckBox" fmlaLink="Ber_Lab!G13" lockText="1"/>
</file>

<file path=xl/ctrlProps/ctrlProp350.xml><?xml version="1.0" encoding="utf-8"?>
<formControlPr xmlns="http://schemas.microsoft.com/office/spreadsheetml/2009/9/main" objectType="CheckBox" fmlaLink="Ber_Lab!G27" lockText="1"/>
</file>

<file path=xl/ctrlProps/ctrlProp351.xml><?xml version="1.0" encoding="utf-8"?>
<formControlPr xmlns="http://schemas.microsoft.com/office/spreadsheetml/2009/9/main" objectType="CheckBox" fmlaLink="Ber_Lab!G16" lockText="1"/>
</file>

<file path=xl/ctrlProps/ctrlProp352.xml><?xml version="1.0" encoding="utf-8"?>
<formControlPr xmlns="http://schemas.microsoft.com/office/spreadsheetml/2009/9/main" objectType="CheckBox" fmlaLink="Ber_Lab!G18" lockText="1"/>
</file>

<file path=xl/ctrlProps/ctrlProp353.xml><?xml version="1.0" encoding="utf-8"?>
<formControlPr xmlns="http://schemas.microsoft.com/office/spreadsheetml/2009/9/main" objectType="CheckBox" fmlaLink="Ber_Lab!G19" lockText="1"/>
</file>

<file path=xl/ctrlProps/ctrlProp354.xml><?xml version="1.0" encoding="utf-8"?>
<formControlPr xmlns="http://schemas.microsoft.com/office/spreadsheetml/2009/9/main" objectType="CheckBox" fmlaLink="Ber_Lab!G20" lockText="1"/>
</file>

<file path=xl/ctrlProps/ctrlProp355.xml><?xml version="1.0" encoding="utf-8"?>
<formControlPr xmlns="http://schemas.microsoft.com/office/spreadsheetml/2009/9/main" objectType="CheckBox" fmlaLink="Ber_Lab!G12" lockText="1"/>
</file>

<file path=xl/ctrlProps/ctrlProp356.xml><?xml version="1.0" encoding="utf-8"?>
<formControlPr xmlns="http://schemas.microsoft.com/office/spreadsheetml/2009/9/main" objectType="CheckBox" fmlaLink="Ber_Lab!G28" lockText="1"/>
</file>

<file path=xl/ctrlProps/ctrlProp357.xml><?xml version="1.0" encoding="utf-8"?>
<formControlPr xmlns="http://schemas.microsoft.com/office/spreadsheetml/2009/9/main" objectType="CheckBox" fmlaLink="Ber_Lab!I5" lockText="1"/>
</file>

<file path=xl/ctrlProps/ctrlProp358.xml><?xml version="1.0" encoding="utf-8"?>
<formControlPr xmlns="http://schemas.microsoft.com/office/spreadsheetml/2009/9/main" objectType="CheckBox" fmlaLink="Ber_Lab!I6" lockText="1"/>
</file>

<file path=xl/ctrlProps/ctrlProp359.xml><?xml version="1.0" encoding="utf-8"?>
<formControlPr xmlns="http://schemas.microsoft.com/office/spreadsheetml/2009/9/main" objectType="CheckBox" fmlaLink="Ber_Lab!I8" lockText="1"/>
</file>

<file path=xl/ctrlProps/ctrlProp360.xml><?xml version="1.0" encoding="utf-8"?>
<formControlPr xmlns="http://schemas.microsoft.com/office/spreadsheetml/2009/9/main" objectType="CheckBox" fmlaLink="Ber_Lab!I9" lockText="1"/>
</file>

<file path=xl/ctrlProps/ctrlProp361.xml><?xml version="1.0" encoding="utf-8"?>
<formControlPr xmlns="http://schemas.microsoft.com/office/spreadsheetml/2009/9/main" objectType="CheckBox" fmlaLink="Ber_Lab!I14" lockText="1"/>
</file>

<file path=xl/ctrlProps/ctrlProp362.xml><?xml version="1.0" encoding="utf-8"?>
<formControlPr xmlns="http://schemas.microsoft.com/office/spreadsheetml/2009/9/main" objectType="CheckBox" fmlaLink="Ber_Lab!I13" lockText="1"/>
</file>

<file path=xl/ctrlProps/ctrlProp363.xml><?xml version="1.0" encoding="utf-8"?>
<formControlPr xmlns="http://schemas.microsoft.com/office/spreadsheetml/2009/9/main" objectType="CheckBox" fmlaLink="Ber_Lab!I27" lockText="1"/>
</file>

<file path=xl/ctrlProps/ctrlProp364.xml><?xml version="1.0" encoding="utf-8"?>
<formControlPr xmlns="http://schemas.microsoft.com/office/spreadsheetml/2009/9/main" objectType="CheckBox" fmlaLink="Ber_Lab!I16" lockText="1"/>
</file>

<file path=xl/ctrlProps/ctrlProp365.xml><?xml version="1.0" encoding="utf-8"?>
<formControlPr xmlns="http://schemas.microsoft.com/office/spreadsheetml/2009/9/main" objectType="CheckBox" fmlaLink="Ber_Lab!I18" lockText="1"/>
</file>

<file path=xl/ctrlProps/ctrlProp366.xml><?xml version="1.0" encoding="utf-8"?>
<formControlPr xmlns="http://schemas.microsoft.com/office/spreadsheetml/2009/9/main" objectType="CheckBox" fmlaLink="Ber_Lab!I19" lockText="1"/>
</file>

<file path=xl/ctrlProps/ctrlProp367.xml><?xml version="1.0" encoding="utf-8"?>
<formControlPr xmlns="http://schemas.microsoft.com/office/spreadsheetml/2009/9/main" objectType="CheckBox" fmlaLink="Ber_Lab!I20" lockText="1"/>
</file>

<file path=xl/ctrlProps/ctrlProp368.xml><?xml version="1.0" encoding="utf-8"?>
<formControlPr xmlns="http://schemas.microsoft.com/office/spreadsheetml/2009/9/main" objectType="CheckBox" fmlaLink="Ber_Lab!I12" lockText="1"/>
</file>

<file path=xl/ctrlProps/ctrlProp369.xml><?xml version="1.0" encoding="utf-8"?>
<formControlPr xmlns="http://schemas.microsoft.com/office/spreadsheetml/2009/9/main" objectType="CheckBox" fmlaLink="Ber_Lab!I28" lockText="1"/>
</file>

<file path=xl/ctrlProps/ctrlProp370.xml><?xml version="1.0" encoding="utf-8"?>
<formControlPr xmlns="http://schemas.microsoft.com/office/spreadsheetml/2009/9/main" objectType="CheckBox" fmlaLink="Ber_Lab!M5" lockText="1"/>
</file>

<file path=xl/ctrlProps/ctrlProp371.xml><?xml version="1.0" encoding="utf-8"?>
<formControlPr xmlns="http://schemas.microsoft.com/office/spreadsheetml/2009/9/main" objectType="CheckBox" fmlaLink="Ber_Lab!M6" lockText="1"/>
</file>

<file path=xl/ctrlProps/ctrlProp372.xml><?xml version="1.0" encoding="utf-8"?>
<formControlPr xmlns="http://schemas.microsoft.com/office/spreadsheetml/2009/9/main" objectType="CheckBox" fmlaLink="Ber_Lab!M8" lockText="1"/>
</file>

<file path=xl/ctrlProps/ctrlProp373.xml><?xml version="1.0" encoding="utf-8"?>
<formControlPr xmlns="http://schemas.microsoft.com/office/spreadsheetml/2009/9/main" objectType="CheckBox" fmlaLink="Ber_Lab!M9" lockText="1"/>
</file>

<file path=xl/ctrlProps/ctrlProp374.xml><?xml version="1.0" encoding="utf-8"?>
<formControlPr xmlns="http://schemas.microsoft.com/office/spreadsheetml/2009/9/main" objectType="CheckBox" fmlaLink="Ber_Lab!M14" lockText="1"/>
</file>

<file path=xl/ctrlProps/ctrlProp375.xml><?xml version="1.0" encoding="utf-8"?>
<formControlPr xmlns="http://schemas.microsoft.com/office/spreadsheetml/2009/9/main" objectType="CheckBox" fmlaLink="Ber_Lab!M13" lockText="1"/>
</file>

<file path=xl/ctrlProps/ctrlProp376.xml><?xml version="1.0" encoding="utf-8"?>
<formControlPr xmlns="http://schemas.microsoft.com/office/spreadsheetml/2009/9/main" objectType="CheckBox" fmlaLink="Ber_Lab!M27" lockText="1"/>
</file>

<file path=xl/ctrlProps/ctrlProp377.xml><?xml version="1.0" encoding="utf-8"?>
<formControlPr xmlns="http://schemas.microsoft.com/office/spreadsheetml/2009/9/main" objectType="CheckBox" fmlaLink="Ber_Lab!M16" lockText="1"/>
</file>

<file path=xl/ctrlProps/ctrlProp378.xml><?xml version="1.0" encoding="utf-8"?>
<formControlPr xmlns="http://schemas.microsoft.com/office/spreadsheetml/2009/9/main" objectType="CheckBox" fmlaLink="Ber_Lab!M18" lockText="1"/>
</file>

<file path=xl/ctrlProps/ctrlProp379.xml><?xml version="1.0" encoding="utf-8"?>
<formControlPr xmlns="http://schemas.microsoft.com/office/spreadsheetml/2009/9/main" objectType="CheckBox" fmlaLink="Ber_Lab!M19" lockText="1"/>
</file>

<file path=xl/ctrlProps/ctrlProp380.xml><?xml version="1.0" encoding="utf-8"?>
<formControlPr xmlns="http://schemas.microsoft.com/office/spreadsheetml/2009/9/main" objectType="CheckBox" fmlaLink="Ber_Lab!M20" lockText="1"/>
</file>

<file path=xl/ctrlProps/ctrlProp381.xml><?xml version="1.0" encoding="utf-8"?>
<formControlPr xmlns="http://schemas.microsoft.com/office/spreadsheetml/2009/9/main" objectType="CheckBox" fmlaLink="Ber_Lab!M12" lockText="1"/>
</file>

<file path=xl/ctrlProps/ctrlProp382.xml><?xml version="1.0" encoding="utf-8"?>
<formControlPr xmlns="http://schemas.microsoft.com/office/spreadsheetml/2009/9/main" objectType="CheckBox" fmlaLink="Ber_Lab!M28" lockText="1"/>
</file>

<file path=xl/ctrlProps/ctrlProp383.xml><?xml version="1.0" encoding="utf-8"?>
<formControlPr xmlns="http://schemas.microsoft.com/office/spreadsheetml/2009/9/main" objectType="CheckBox" fmlaLink="Ber_Lab!C29" lockText="1"/>
</file>

<file path=xl/ctrlProps/ctrlProp384.xml><?xml version="1.0" encoding="utf-8"?>
<formControlPr xmlns="http://schemas.microsoft.com/office/spreadsheetml/2009/9/main" objectType="CheckBox" fmlaLink="Ber_Lab!G29" lockText="1"/>
</file>

<file path=xl/ctrlProps/ctrlProp385.xml><?xml version="1.0" encoding="utf-8"?>
<formControlPr xmlns="http://schemas.microsoft.com/office/spreadsheetml/2009/9/main" objectType="CheckBox" fmlaLink="Ber_Lab!I29" lockText="1"/>
</file>

<file path=xl/ctrlProps/ctrlProp386.xml><?xml version="1.0" encoding="utf-8"?>
<formControlPr xmlns="http://schemas.microsoft.com/office/spreadsheetml/2009/9/main" objectType="CheckBox" fmlaLink="Ber_Lab!M29" lockText="1"/>
</file>

<file path=xl/ctrlProps/ctrlProp387.xml><?xml version="1.0" encoding="utf-8"?>
<formControlPr xmlns="http://schemas.microsoft.com/office/spreadsheetml/2009/9/main" objectType="CheckBox" fmlaLink="Ber_Lab!C7" lockText="1"/>
</file>

<file path=xl/ctrlProps/ctrlProp388.xml><?xml version="1.0" encoding="utf-8"?>
<formControlPr xmlns="http://schemas.microsoft.com/office/spreadsheetml/2009/9/main" objectType="CheckBox" fmlaLink="Ber_Lab!G7" lockText="1"/>
</file>

<file path=xl/ctrlProps/ctrlProp389.xml><?xml version="1.0" encoding="utf-8"?>
<formControlPr xmlns="http://schemas.microsoft.com/office/spreadsheetml/2009/9/main" objectType="CheckBox" fmlaLink="Ber_Lab!I7" lockText="1"/>
</file>

<file path=xl/ctrlProps/ctrlProp390.xml><?xml version="1.0" encoding="utf-8"?>
<formControlPr xmlns="http://schemas.microsoft.com/office/spreadsheetml/2009/9/main" objectType="CheckBox" fmlaLink="Ber_Lab!M7" lockText="1"/>
</file>

<file path=xl/ctrlProps/ctrlProp391.xml><?xml version="1.0" encoding="utf-8"?>
<formControlPr xmlns="http://schemas.microsoft.com/office/spreadsheetml/2009/9/main" objectType="CheckBox" fmlaLink="Ber_Lab!C17" lockText="1"/>
</file>

<file path=xl/ctrlProps/ctrlProp392.xml><?xml version="1.0" encoding="utf-8"?>
<formControlPr xmlns="http://schemas.microsoft.com/office/spreadsheetml/2009/9/main" objectType="CheckBox" fmlaLink="Ber_Lab!G17" lockText="1"/>
</file>

<file path=xl/ctrlProps/ctrlProp393.xml><?xml version="1.0" encoding="utf-8"?>
<formControlPr xmlns="http://schemas.microsoft.com/office/spreadsheetml/2009/9/main" objectType="CheckBox" fmlaLink="Ber_Lab!I17" lockText="1"/>
</file>

<file path=xl/ctrlProps/ctrlProp394.xml><?xml version="1.0" encoding="utf-8"?>
<formControlPr xmlns="http://schemas.microsoft.com/office/spreadsheetml/2009/9/main" objectType="CheckBox" fmlaLink="Ber_Lab!M17" lockText="1"/>
</file>

<file path=xl/ctrlProps/ctrlProp395.xml><?xml version="1.0" encoding="utf-8"?>
<formControlPr xmlns="http://schemas.microsoft.com/office/spreadsheetml/2009/9/main" objectType="CheckBox" fmlaLink="Ber_Lab!$E$5" lockText="1"/>
</file>

<file path=xl/ctrlProps/ctrlProp396.xml><?xml version="1.0" encoding="utf-8"?>
<formControlPr xmlns="http://schemas.microsoft.com/office/spreadsheetml/2009/9/main" objectType="CheckBox" fmlaLink="Ber_Lab!E6" lockText="1"/>
</file>

<file path=xl/ctrlProps/ctrlProp397.xml><?xml version="1.0" encoding="utf-8"?>
<formControlPr xmlns="http://schemas.microsoft.com/office/spreadsheetml/2009/9/main" objectType="CheckBox" fmlaLink="Ber_Lab!E8" lockText="1"/>
</file>

<file path=xl/ctrlProps/ctrlProp398.xml><?xml version="1.0" encoding="utf-8"?>
<formControlPr xmlns="http://schemas.microsoft.com/office/spreadsheetml/2009/9/main" objectType="CheckBox" fmlaLink="Ber_Lab!E9" lockText="1"/>
</file>

<file path=xl/ctrlProps/ctrlProp399.xml><?xml version="1.0" encoding="utf-8"?>
<formControlPr xmlns="http://schemas.microsoft.com/office/spreadsheetml/2009/9/main" objectType="CheckBox" fmlaLink="Ber_Lab!E14" lockText="1"/>
</file>

<file path=xl/ctrlProps/ctrlProp400.xml><?xml version="1.0" encoding="utf-8"?>
<formControlPr xmlns="http://schemas.microsoft.com/office/spreadsheetml/2009/9/main" objectType="CheckBox" fmlaLink="Ber_Lab!E13" lockText="1"/>
</file>

<file path=xl/ctrlProps/ctrlProp401.xml><?xml version="1.0" encoding="utf-8"?>
<formControlPr xmlns="http://schemas.microsoft.com/office/spreadsheetml/2009/9/main" objectType="CheckBox" fmlaLink="Ber_Lab!E27" lockText="1"/>
</file>

<file path=xl/ctrlProps/ctrlProp402.xml><?xml version="1.0" encoding="utf-8"?>
<formControlPr xmlns="http://schemas.microsoft.com/office/spreadsheetml/2009/9/main" objectType="CheckBox" fmlaLink="Ber_Lab!E16" lockText="1"/>
</file>

<file path=xl/ctrlProps/ctrlProp403.xml><?xml version="1.0" encoding="utf-8"?>
<formControlPr xmlns="http://schemas.microsoft.com/office/spreadsheetml/2009/9/main" objectType="CheckBox" fmlaLink="Ber_Lab!E18" lockText="1"/>
</file>

<file path=xl/ctrlProps/ctrlProp404.xml><?xml version="1.0" encoding="utf-8"?>
<formControlPr xmlns="http://schemas.microsoft.com/office/spreadsheetml/2009/9/main" objectType="CheckBox" fmlaLink="Ber_Lab!E19" lockText="1"/>
</file>

<file path=xl/ctrlProps/ctrlProp405.xml><?xml version="1.0" encoding="utf-8"?>
<formControlPr xmlns="http://schemas.microsoft.com/office/spreadsheetml/2009/9/main" objectType="CheckBox" fmlaLink="Ber_Lab!E20" lockText="1"/>
</file>

<file path=xl/ctrlProps/ctrlProp406.xml><?xml version="1.0" encoding="utf-8"?>
<formControlPr xmlns="http://schemas.microsoft.com/office/spreadsheetml/2009/9/main" objectType="CheckBox" fmlaLink="Ber_Lab!E12" lockText="1"/>
</file>

<file path=xl/ctrlProps/ctrlProp407.xml><?xml version="1.0" encoding="utf-8"?>
<formControlPr xmlns="http://schemas.microsoft.com/office/spreadsheetml/2009/9/main" objectType="CheckBox" fmlaLink="Ber_Lab!E28" lockText="1"/>
</file>

<file path=xl/ctrlProps/ctrlProp408.xml><?xml version="1.0" encoding="utf-8"?>
<formControlPr xmlns="http://schemas.microsoft.com/office/spreadsheetml/2009/9/main" objectType="CheckBox" fmlaLink="Ber_Lab!E29" lockText="1"/>
</file>

<file path=xl/ctrlProps/ctrlProp409.xml><?xml version="1.0" encoding="utf-8"?>
<formControlPr xmlns="http://schemas.microsoft.com/office/spreadsheetml/2009/9/main" objectType="CheckBox" fmlaLink="Ber_Lab!E7" lockText="1"/>
</file>

<file path=xl/ctrlProps/ctrlProp410.xml><?xml version="1.0" encoding="utf-8"?>
<formControlPr xmlns="http://schemas.microsoft.com/office/spreadsheetml/2009/9/main" objectType="CheckBox" fmlaLink="Ber_Lab!E17" lockText="1"/>
</file>

<file path=xl/ctrlProps/ctrlProp411.xml><?xml version="1.0" encoding="utf-8"?>
<formControlPr xmlns="http://schemas.microsoft.com/office/spreadsheetml/2009/9/main" objectType="CheckBox" fmlaLink="Ber_Lab!O5" lockText="1"/>
</file>

<file path=xl/ctrlProps/ctrlProp412.xml><?xml version="1.0" encoding="utf-8"?>
<formControlPr xmlns="http://schemas.microsoft.com/office/spreadsheetml/2009/9/main" objectType="CheckBox" fmlaLink="Ber_Lab!O6" lockText="1"/>
</file>

<file path=xl/ctrlProps/ctrlProp413.xml><?xml version="1.0" encoding="utf-8"?>
<formControlPr xmlns="http://schemas.microsoft.com/office/spreadsheetml/2009/9/main" objectType="CheckBox" fmlaLink="Ber_Lab!O8" lockText="1"/>
</file>

<file path=xl/ctrlProps/ctrlProp414.xml><?xml version="1.0" encoding="utf-8"?>
<formControlPr xmlns="http://schemas.microsoft.com/office/spreadsheetml/2009/9/main" objectType="CheckBox" fmlaLink="Ber_Lab!O9" lockText="1"/>
</file>

<file path=xl/ctrlProps/ctrlProp415.xml><?xml version="1.0" encoding="utf-8"?>
<formControlPr xmlns="http://schemas.microsoft.com/office/spreadsheetml/2009/9/main" objectType="CheckBox" fmlaLink="Ber_Lab!O14" lockText="1"/>
</file>

<file path=xl/ctrlProps/ctrlProp416.xml><?xml version="1.0" encoding="utf-8"?>
<formControlPr xmlns="http://schemas.microsoft.com/office/spreadsheetml/2009/9/main" objectType="CheckBox" fmlaLink="Ber_Lab!O13" lockText="1"/>
</file>

<file path=xl/ctrlProps/ctrlProp417.xml><?xml version="1.0" encoding="utf-8"?>
<formControlPr xmlns="http://schemas.microsoft.com/office/spreadsheetml/2009/9/main" objectType="CheckBox" fmlaLink="Ber_Lab!O27" lockText="1"/>
</file>

<file path=xl/ctrlProps/ctrlProp418.xml><?xml version="1.0" encoding="utf-8"?>
<formControlPr xmlns="http://schemas.microsoft.com/office/spreadsheetml/2009/9/main" objectType="CheckBox" fmlaLink="Ber_Lab!O16" lockText="1"/>
</file>

<file path=xl/ctrlProps/ctrlProp419.xml><?xml version="1.0" encoding="utf-8"?>
<formControlPr xmlns="http://schemas.microsoft.com/office/spreadsheetml/2009/9/main" objectType="CheckBox" fmlaLink="Ber_Lab!O18" lockText="1"/>
</file>

<file path=xl/ctrlProps/ctrlProp420.xml><?xml version="1.0" encoding="utf-8"?>
<formControlPr xmlns="http://schemas.microsoft.com/office/spreadsheetml/2009/9/main" objectType="CheckBox" fmlaLink="Ber_Lab!O19" lockText="1"/>
</file>

<file path=xl/ctrlProps/ctrlProp421.xml><?xml version="1.0" encoding="utf-8"?>
<formControlPr xmlns="http://schemas.microsoft.com/office/spreadsheetml/2009/9/main" objectType="CheckBox" fmlaLink="Ber_Lab!O20" lockText="1"/>
</file>

<file path=xl/ctrlProps/ctrlProp422.xml><?xml version="1.0" encoding="utf-8"?>
<formControlPr xmlns="http://schemas.microsoft.com/office/spreadsheetml/2009/9/main" objectType="CheckBox" fmlaLink="Ber_Lab!O12" lockText="1"/>
</file>

<file path=xl/ctrlProps/ctrlProp423.xml><?xml version="1.0" encoding="utf-8"?>
<formControlPr xmlns="http://schemas.microsoft.com/office/spreadsheetml/2009/9/main" objectType="CheckBox" fmlaLink="Ber_Lab!O28" lockText="1"/>
</file>

<file path=xl/ctrlProps/ctrlProp424.xml><?xml version="1.0" encoding="utf-8"?>
<formControlPr xmlns="http://schemas.microsoft.com/office/spreadsheetml/2009/9/main" objectType="CheckBox" fmlaLink="Ber_Lab!O29" lockText="1"/>
</file>

<file path=xl/ctrlProps/ctrlProp425.xml><?xml version="1.0" encoding="utf-8"?>
<formControlPr xmlns="http://schemas.microsoft.com/office/spreadsheetml/2009/9/main" objectType="CheckBox" fmlaLink="Ber_Lab!O7" lockText="1"/>
</file>

<file path=xl/ctrlProps/ctrlProp426.xml><?xml version="1.0" encoding="utf-8"?>
<formControlPr xmlns="http://schemas.microsoft.com/office/spreadsheetml/2009/9/main" objectType="CheckBox" fmlaLink="Ber_Lab!O17" lockText="1"/>
</file>

<file path=xl/ctrlProps/ctrlProp427.xml><?xml version="1.0" encoding="utf-8"?>
<formControlPr xmlns="http://schemas.microsoft.com/office/spreadsheetml/2009/9/main" objectType="CheckBox" fmlaLink="Ber_Lab!Q5" lockText="1"/>
</file>

<file path=xl/ctrlProps/ctrlProp428.xml><?xml version="1.0" encoding="utf-8"?>
<formControlPr xmlns="http://schemas.microsoft.com/office/spreadsheetml/2009/9/main" objectType="CheckBox" fmlaLink="Ber_Lab!Q6" lockText="1"/>
</file>

<file path=xl/ctrlProps/ctrlProp429.xml><?xml version="1.0" encoding="utf-8"?>
<formControlPr xmlns="http://schemas.microsoft.com/office/spreadsheetml/2009/9/main" objectType="CheckBox" fmlaLink="Ber_Lab!Q8" lockText="1"/>
</file>

<file path=xl/ctrlProps/ctrlProp430.xml><?xml version="1.0" encoding="utf-8"?>
<formControlPr xmlns="http://schemas.microsoft.com/office/spreadsheetml/2009/9/main" objectType="CheckBox" fmlaLink="Ber_Lab!Q9" lockText="1"/>
</file>

<file path=xl/ctrlProps/ctrlProp431.xml><?xml version="1.0" encoding="utf-8"?>
<formControlPr xmlns="http://schemas.microsoft.com/office/spreadsheetml/2009/9/main" objectType="CheckBox" fmlaLink="Ber_Lab!Q14" lockText="1"/>
</file>

<file path=xl/ctrlProps/ctrlProp432.xml><?xml version="1.0" encoding="utf-8"?>
<formControlPr xmlns="http://schemas.microsoft.com/office/spreadsheetml/2009/9/main" objectType="CheckBox" fmlaLink="Ber_Lab!Q13" lockText="1"/>
</file>

<file path=xl/ctrlProps/ctrlProp433.xml><?xml version="1.0" encoding="utf-8"?>
<formControlPr xmlns="http://schemas.microsoft.com/office/spreadsheetml/2009/9/main" objectType="CheckBox" fmlaLink="Ber_Lab!Q27" lockText="1"/>
</file>

<file path=xl/ctrlProps/ctrlProp434.xml><?xml version="1.0" encoding="utf-8"?>
<formControlPr xmlns="http://schemas.microsoft.com/office/spreadsheetml/2009/9/main" objectType="CheckBox" fmlaLink="Ber_Lab!Q16" lockText="1"/>
</file>

<file path=xl/ctrlProps/ctrlProp435.xml><?xml version="1.0" encoding="utf-8"?>
<formControlPr xmlns="http://schemas.microsoft.com/office/spreadsheetml/2009/9/main" objectType="CheckBox" fmlaLink="Ber_Lab!Q18" lockText="1"/>
</file>

<file path=xl/ctrlProps/ctrlProp436.xml><?xml version="1.0" encoding="utf-8"?>
<formControlPr xmlns="http://schemas.microsoft.com/office/spreadsheetml/2009/9/main" objectType="CheckBox" fmlaLink="Ber_Lab!Q19" lockText="1"/>
</file>

<file path=xl/ctrlProps/ctrlProp437.xml><?xml version="1.0" encoding="utf-8"?>
<formControlPr xmlns="http://schemas.microsoft.com/office/spreadsheetml/2009/9/main" objectType="CheckBox" fmlaLink="Ber_Lab!Q20" lockText="1"/>
</file>

<file path=xl/ctrlProps/ctrlProp438.xml><?xml version="1.0" encoding="utf-8"?>
<formControlPr xmlns="http://schemas.microsoft.com/office/spreadsheetml/2009/9/main" objectType="CheckBox" fmlaLink="Ber_Lab!Q12" lockText="1"/>
</file>

<file path=xl/ctrlProps/ctrlProp439.xml><?xml version="1.0" encoding="utf-8"?>
<formControlPr xmlns="http://schemas.microsoft.com/office/spreadsheetml/2009/9/main" objectType="CheckBox" fmlaLink="Ber_Lab!Q28" lockText="1"/>
</file>

<file path=xl/ctrlProps/ctrlProp440.xml><?xml version="1.0" encoding="utf-8"?>
<formControlPr xmlns="http://schemas.microsoft.com/office/spreadsheetml/2009/9/main" objectType="CheckBox" fmlaLink="Ber_Lab!Q29" lockText="1"/>
</file>

<file path=xl/ctrlProps/ctrlProp441.xml><?xml version="1.0" encoding="utf-8"?>
<formControlPr xmlns="http://schemas.microsoft.com/office/spreadsheetml/2009/9/main" objectType="CheckBox" fmlaLink="Ber_Lab!Q7" lockText="1"/>
</file>

<file path=xl/ctrlProps/ctrlProp442.xml><?xml version="1.0" encoding="utf-8"?>
<formControlPr xmlns="http://schemas.microsoft.com/office/spreadsheetml/2009/9/main" objectType="CheckBox" fmlaLink="Ber_Lab!Q17" lockText="1"/>
</file>

<file path=xl/ctrlProps/ctrlProp443.xml><?xml version="1.0" encoding="utf-8"?>
<formControlPr xmlns="http://schemas.microsoft.com/office/spreadsheetml/2009/9/main" objectType="CheckBox" fmlaLink="Ber_Lab!C30" lockText="1"/>
</file>

<file path=xl/ctrlProps/ctrlProp444.xml><?xml version="1.0" encoding="utf-8"?>
<formControlPr xmlns="http://schemas.microsoft.com/office/spreadsheetml/2009/9/main" objectType="CheckBox" fmlaLink="Ber_Lab!G30" lockText="1"/>
</file>

<file path=xl/ctrlProps/ctrlProp445.xml><?xml version="1.0" encoding="utf-8"?>
<formControlPr xmlns="http://schemas.microsoft.com/office/spreadsheetml/2009/9/main" objectType="CheckBox" fmlaLink="Ber_Lab!I30" lockText="1"/>
</file>

<file path=xl/ctrlProps/ctrlProp446.xml><?xml version="1.0" encoding="utf-8"?>
<formControlPr xmlns="http://schemas.microsoft.com/office/spreadsheetml/2009/9/main" objectType="CheckBox" fmlaLink="Ber_Lab!M30" lockText="1"/>
</file>

<file path=xl/ctrlProps/ctrlProp447.xml><?xml version="1.0" encoding="utf-8"?>
<formControlPr xmlns="http://schemas.microsoft.com/office/spreadsheetml/2009/9/main" objectType="CheckBox" fmlaLink="Ber_Lab!E30" lockText="1"/>
</file>

<file path=xl/ctrlProps/ctrlProp448.xml><?xml version="1.0" encoding="utf-8"?>
<formControlPr xmlns="http://schemas.microsoft.com/office/spreadsheetml/2009/9/main" objectType="CheckBox" fmlaLink="Ber_Lab!O30" lockText="1"/>
</file>

<file path=xl/ctrlProps/ctrlProp449.xml><?xml version="1.0" encoding="utf-8"?>
<formControlPr xmlns="http://schemas.microsoft.com/office/spreadsheetml/2009/9/main" objectType="CheckBox" fmlaLink="Ber_Lab!Q30" lockText="1"/>
</file>

<file path=xl/ctrlProps/ctrlProp450.xml><?xml version="1.0" encoding="utf-8"?>
<formControlPr xmlns="http://schemas.microsoft.com/office/spreadsheetml/2009/9/main" objectType="CheckBox" fmlaLink="Ber_Lab!C31" lockText="1"/>
</file>

<file path=xl/ctrlProps/ctrlProp451.xml><?xml version="1.0" encoding="utf-8"?>
<formControlPr xmlns="http://schemas.microsoft.com/office/spreadsheetml/2009/9/main" objectType="CheckBox" fmlaLink="Ber_Lab!G31" lockText="1"/>
</file>

<file path=xl/ctrlProps/ctrlProp452.xml><?xml version="1.0" encoding="utf-8"?>
<formControlPr xmlns="http://schemas.microsoft.com/office/spreadsheetml/2009/9/main" objectType="CheckBox" fmlaLink="Ber_Lab!I31" lockText="1"/>
</file>

<file path=xl/ctrlProps/ctrlProp453.xml><?xml version="1.0" encoding="utf-8"?>
<formControlPr xmlns="http://schemas.microsoft.com/office/spreadsheetml/2009/9/main" objectType="CheckBox" fmlaLink="Ber_Lab!M31" lockText="1"/>
</file>

<file path=xl/ctrlProps/ctrlProp454.xml><?xml version="1.0" encoding="utf-8"?>
<formControlPr xmlns="http://schemas.microsoft.com/office/spreadsheetml/2009/9/main" objectType="CheckBox" fmlaLink="Ber_Lab!E31" lockText="1"/>
</file>

<file path=xl/ctrlProps/ctrlProp455.xml><?xml version="1.0" encoding="utf-8"?>
<formControlPr xmlns="http://schemas.microsoft.com/office/spreadsheetml/2009/9/main" objectType="CheckBox" fmlaLink="Ber_Lab!O31" lockText="1"/>
</file>

<file path=xl/ctrlProps/ctrlProp456.xml><?xml version="1.0" encoding="utf-8"?>
<formControlPr xmlns="http://schemas.microsoft.com/office/spreadsheetml/2009/9/main" objectType="CheckBox" fmlaLink="Ber_Lab!Q31" lockText="1"/>
</file>

<file path=xl/ctrlProps/ctrlProp457.xml><?xml version="1.0" encoding="utf-8"?>
<formControlPr xmlns="http://schemas.microsoft.com/office/spreadsheetml/2009/9/main" objectType="CheckBox" fmlaLink="Ber_Lab!C10" lockText="1"/>
</file>

<file path=xl/ctrlProps/ctrlProp458.xml><?xml version="1.0" encoding="utf-8"?>
<formControlPr xmlns="http://schemas.microsoft.com/office/spreadsheetml/2009/9/main" objectType="CheckBox" fmlaLink="Ber_Lab!G10" lockText="1"/>
</file>

<file path=xl/ctrlProps/ctrlProp459.xml><?xml version="1.0" encoding="utf-8"?>
<formControlPr xmlns="http://schemas.microsoft.com/office/spreadsheetml/2009/9/main" objectType="CheckBox" fmlaLink="Ber_Lab!I10" lockText="1"/>
</file>

<file path=xl/ctrlProps/ctrlProp460.xml><?xml version="1.0" encoding="utf-8"?>
<formControlPr xmlns="http://schemas.microsoft.com/office/spreadsheetml/2009/9/main" objectType="CheckBox" fmlaLink="Ber_Lab!M10" lockText="1"/>
</file>

<file path=xl/ctrlProps/ctrlProp461.xml><?xml version="1.0" encoding="utf-8"?>
<formControlPr xmlns="http://schemas.microsoft.com/office/spreadsheetml/2009/9/main" objectType="CheckBox" fmlaLink="Ber_Lab!E10" lockText="1"/>
</file>

<file path=xl/ctrlProps/ctrlProp462.xml><?xml version="1.0" encoding="utf-8"?>
<formControlPr xmlns="http://schemas.microsoft.com/office/spreadsheetml/2009/9/main" objectType="CheckBox" fmlaLink="Ber_Lab!O10" lockText="1"/>
</file>

<file path=xl/ctrlProps/ctrlProp463.xml><?xml version="1.0" encoding="utf-8"?>
<formControlPr xmlns="http://schemas.microsoft.com/office/spreadsheetml/2009/9/main" objectType="CheckBox" fmlaLink="Ber_Lab!Q10" lockText="1"/>
</file>

<file path=xl/ctrlProps/ctrlProp464.xml><?xml version="1.0" encoding="utf-8"?>
<formControlPr xmlns="http://schemas.microsoft.com/office/spreadsheetml/2009/9/main" objectType="CheckBox" fmlaLink="Ber_Lab!C11" lockText="1"/>
</file>

<file path=xl/ctrlProps/ctrlProp465.xml><?xml version="1.0" encoding="utf-8"?>
<formControlPr xmlns="http://schemas.microsoft.com/office/spreadsheetml/2009/9/main" objectType="CheckBox" fmlaLink="Ber_Lab!G11" lockText="1"/>
</file>

<file path=xl/ctrlProps/ctrlProp466.xml><?xml version="1.0" encoding="utf-8"?>
<formControlPr xmlns="http://schemas.microsoft.com/office/spreadsheetml/2009/9/main" objectType="CheckBox" fmlaLink="Ber_Lab!I11" lockText="1"/>
</file>

<file path=xl/ctrlProps/ctrlProp467.xml><?xml version="1.0" encoding="utf-8"?>
<formControlPr xmlns="http://schemas.microsoft.com/office/spreadsheetml/2009/9/main" objectType="CheckBox" fmlaLink="Ber_Lab!M11" lockText="1"/>
</file>

<file path=xl/ctrlProps/ctrlProp468.xml><?xml version="1.0" encoding="utf-8"?>
<formControlPr xmlns="http://schemas.microsoft.com/office/spreadsheetml/2009/9/main" objectType="CheckBox" fmlaLink="Ber_Lab!E11" lockText="1"/>
</file>

<file path=xl/ctrlProps/ctrlProp469.xml><?xml version="1.0" encoding="utf-8"?>
<formControlPr xmlns="http://schemas.microsoft.com/office/spreadsheetml/2009/9/main" objectType="CheckBox" fmlaLink="Ber_Lab!O11" lockText="1"/>
</file>

<file path=xl/ctrlProps/ctrlProp470.xml><?xml version="1.0" encoding="utf-8"?>
<formControlPr xmlns="http://schemas.microsoft.com/office/spreadsheetml/2009/9/main" objectType="CheckBox" fmlaLink="Ber_Lab!Q11" lockText="1"/>
</file>

<file path=xl/ctrlProps/ctrlProp471.xml><?xml version="1.0" encoding="utf-8"?>
<formControlPr xmlns="http://schemas.microsoft.com/office/spreadsheetml/2009/9/main" objectType="CheckBox" fmlaLink="Ber_Lab!C15" lockText="1"/>
</file>

<file path=xl/ctrlProps/ctrlProp472.xml><?xml version="1.0" encoding="utf-8"?>
<formControlPr xmlns="http://schemas.microsoft.com/office/spreadsheetml/2009/9/main" objectType="CheckBox" fmlaLink="Ber_Lab!G15" lockText="1"/>
</file>

<file path=xl/ctrlProps/ctrlProp473.xml><?xml version="1.0" encoding="utf-8"?>
<formControlPr xmlns="http://schemas.microsoft.com/office/spreadsheetml/2009/9/main" objectType="CheckBox" fmlaLink="Ber_Lab!I15" lockText="1"/>
</file>

<file path=xl/ctrlProps/ctrlProp474.xml><?xml version="1.0" encoding="utf-8"?>
<formControlPr xmlns="http://schemas.microsoft.com/office/spreadsheetml/2009/9/main" objectType="CheckBox" fmlaLink="Ber_Lab!M15" lockText="1"/>
</file>

<file path=xl/ctrlProps/ctrlProp475.xml><?xml version="1.0" encoding="utf-8"?>
<formControlPr xmlns="http://schemas.microsoft.com/office/spreadsheetml/2009/9/main" objectType="CheckBox" fmlaLink="Ber_Lab!E15" lockText="1"/>
</file>

<file path=xl/ctrlProps/ctrlProp476.xml><?xml version="1.0" encoding="utf-8"?>
<formControlPr xmlns="http://schemas.microsoft.com/office/spreadsheetml/2009/9/main" objectType="CheckBox" fmlaLink="Ber_Lab!O15" lockText="1"/>
</file>

<file path=xl/ctrlProps/ctrlProp477.xml><?xml version="1.0" encoding="utf-8"?>
<formControlPr xmlns="http://schemas.microsoft.com/office/spreadsheetml/2009/9/main" objectType="CheckBox" fmlaLink="Ber_Lab!Q15" lockText="1"/>
</file>

<file path=xl/ctrlProps/ctrlProp478.xml><?xml version="1.0" encoding="utf-8"?>
<formControlPr xmlns="http://schemas.microsoft.com/office/spreadsheetml/2009/9/main" objectType="CheckBox" fmlaLink="Ber_Lab!C21" lockText="1"/>
</file>

<file path=xl/ctrlProps/ctrlProp479.xml><?xml version="1.0" encoding="utf-8"?>
<formControlPr xmlns="http://schemas.microsoft.com/office/spreadsheetml/2009/9/main" objectType="CheckBox" fmlaLink="Ber_Lab!G21" lockText="1"/>
</file>

<file path=xl/ctrlProps/ctrlProp480.xml><?xml version="1.0" encoding="utf-8"?>
<formControlPr xmlns="http://schemas.microsoft.com/office/spreadsheetml/2009/9/main" objectType="CheckBox" fmlaLink="Ber_Lab!I21" lockText="1"/>
</file>

<file path=xl/ctrlProps/ctrlProp481.xml><?xml version="1.0" encoding="utf-8"?>
<formControlPr xmlns="http://schemas.microsoft.com/office/spreadsheetml/2009/9/main" objectType="CheckBox" fmlaLink="Ber_Lab!M21" lockText="1"/>
</file>

<file path=xl/ctrlProps/ctrlProp482.xml><?xml version="1.0" encoding="utf-8"?>
<formControlPr xmlns="http://schemas.microsoft.com/office/spreadsheetml/2009/9/main" objectType="CheckBox" fmlaLink="Ber_Lab!E21" lockText="1"/>
</file>

<file path=xl/ctrlProps/ctrlProp483.xml><?xml version="1.0" encoding="utf-8"?>
<formControlPr xmlns="http://schemas.microsoft.com/office/spreadsheetml/2009/9/main" objectType="CheckBox" fmlaLink="Ber_Lab!O21" lockText="1"/>
</file>

<file path=xl/ctrlProps/ctrlProp484.xml><?xml version="1.0" encoding="utf-8"?>
<formControlPr xmlns="http://schemas.microsoft.com/office/spreadsheetml/2009/9/main" objectType="CheckBox" fmlaLink="Ber_Lab!Q21" lockText="1"/>
</file>

<file path=xl/ctrlProps/ctrlProp485.xml><?xml version="1.0" encoding="utf-8"?>
<formControlPr xmlns="http://schemas.microsoft.com/office/spreadsheetml/2009/9/main" objectType="CheckBox" fmlaLink="Ber_Lab!C22" lockText="1"/>
</file>

<file path=xl/ctrlProps/ctrlProp486.xml><?xml version="1.0" encoding="utf-8"?>
<formControlPr xmlns="http://schemas.microsoft.com/office/spreadsheetml/2009/9/main" objectType="CheckBox" fmlaLink="Ber_Lab!G22" lockText="1"/>
</file>

<file path=xl/ctrlProps/ctrlProp487.xml><?xml version="1.0" encoding="utf-8"?>
<formControlPr xmlns="http://schemas.microsoft.com/office/spreadsheetml/2009/9/main" objectType="CheckBox" fmlaLink="Ber_Lab!I22" lockText="1"/>
</file>

<file path=xl/ctrlProps/ctrlProp488.xml><?xml version="1.0" encoding="utf-8"?>
<formControlPr xmlns="http://schemas.microsoft.com/office/spreadsheetml/2009/9/main" objectType="CheckBox" fmlaLink="Ber_Lab!M22" lockText="1"/>
</file>

<file path=xl/ctrlProps/ctrlProp489.xml><?xml version="1.0" encoding="utf-8"?>
<formControlPr xmlns="http://schemas.microsoft.com/office/spreadsheetml/2009/9/main" objectType="CheckBox" fmlaLink="Ber_Lab!E22" lockText="1"/>
</file>

<file path=xl/ctrlProps/ctrlProp490.xml><?xml version="1.0" encoding="utf-8"?>
<formControlPr xmlns="http://schemas.microsoft.com/office/spreadsheetml/2009/9/main" objectType="CheckBox" fmlaLink="Ber_Lab!O22" lockText="1"/>
</file>

<file path=xl/ctrlProps/ctrlProp491.xml><?xml version="1.0" encoding="utf-8"?>
<formControlPr xmlns="http://schemas.microsoft.com/office/spreadsheetml/2009/9/main" objectType="CheckBox" fmlaLink="Ber_Lab!Q22" lockText="1"/>
</file>

<file path=xl/ctrlProps/ctrlProp492.xml><?xml version="1.0" encoding="utf-8"?>
<formControlPr xmlns="http://schemas.microsoft.com/office/spreadsheetml/2009/9/main" objectType="CheckBox" fmlaLink="Ber_Lab!C23" lockText="1"/>
</file>

<file path=xl/ctrlProps/ctrlProp493.xml><?xml version="1.0" encoding="utf-8"?>
<formControlPr xmlns="http://schemas.microsoft.com/office/spreadsheetml/2009/9/main" objectType="CheckBox" fmlaLink="Ber_Lab!G23" lockText="1"/>
</file>

<file path=xl/ctrlProps/ctrlProp494.xml><?xml version="1.0" encoding="utf-8"?>
<formControlPr xmlns="http://schemas.microsoft.com/office/spreadsheetml/2009/9/main" objectType="CheckBox" fmlaLink="Ber_Lab!I23" lockText="1"/>
</file>

<file path=xl/ctrlProps/ctrlProp495.xml><?xml version="1.0" encoding="utf-8"?>
<formControlPr xmlns="http://schemas.microsoft.com/office/spreadsheetml/2009/9/main" objectType="CheckBox" fmlaLink="Ber_Lab!M23" lockText="1"/>
</file>

<file path=xl/ctrlProps/ctrlProp496.xml><?xml version="1.0" encoding="utf-8"?>
<formControlPr xmlns="http://schemas.microsoft.com/office/spreadsheetml/2009/9/main" objectType="CheckBox" fmlaLink="Ber_Lab!E23" lockText="1"/>
</file>

<file path=xl/ctrlProps/ctrlProp497.xml><?xml version="1.0" encoding="utf-8"?>
<formControlPr xmlns="http://schemas.microsoft.com/office/spreadsheetml/2009/9/main" objectType="CheckBox" fmlaLink="Ber_Lab!O23" lockText="1"/>
</file>

<file path=xl/ctrlProps/ctrlProp498.xml><?xml version="1.0" encoding="utf-8"?>
<formControlPr xmlns="http://schemas.microsoft.com/office/spreadsheetml/2009/9/main" objectType="CheckBox" fmlaLink="Ber_Lab!Q23" lockText="1"/>
</file>

<file path=xl/ctrlProps/ctrlProp499.xml><?xml version="1.0" encoding="utf-8"?>
<formControlPr xmlns="http://schemas.microsoft.com/office/spreadsheetml/2009/9/main" objectType="CheckBox" fmlaLink="Ber_Lab!C24" lockText="1"/>
</file>

<file path=xl/ctrlProps/ctrlProp500.xml><?xml version="1.0" encoding="utf-8"?>
<formControlPr xmlns="http://schemas.microsoft.com/office/spreadsheetml/2009/9/main" objectType="CheckBox" fmlaLink="Ber_Lab!G24" lockText="1"/>
</file>

<file path=xl/ctrlProps/ctrlProp501.xml><?xml version="1.0" encoding="utf-8"?>
<formControlPr xmlns="http://schemas.microsoft.com/office/spreadsheetml/2009/9/main" objectType="CheckBox" fmlaLink="Ber_Lab!I24" lockText="1"/>
</file>

<file path=xl/ctrlProps/ctrlProp502.xml><?xml version="1.0" encoding="utf-8"?>
<formControlPr xmlns="http://schemas.microsoft.com/office/spreadsheetml/2009/9/main" objectType="CheckBox" fmlaLink="Ber_Lab!M24" lockText="1"/>
</file>

<file path=xl/ctrlProps/ctrlProp503.xml><?xml version="1.0" encoding="utf-8"?>
<formControlPr xmlns="http://schemas.microsoft.com/office/spreadsheetml/2009/9/main" objectType="CheckBox" fmlaLink="Ber_Lab!E24" lockText="1"/>
</file>

<file path=xl/ctrlProps/ctrlProp504.xml><?xml version="1.0" encoding="utf-8"?>
<formControlPr xmlns="http://schemas.microsoft.com/office/spreadsheetml/2009/9/main" objectType="CheckBox" fmlaLink="Ber_Lab!O24" lockText="1"/>
</file>

<file path=xl/ctrlProps/ctrlProp505.xml><?xml version="1.0" encoding="utf-8"?>
<formControlPr xmlns="http://schemas.microsoft.com/office/spreadsheetml/2009/9/main" objectType="CheckBox" fmlaLink="Ber_Lab!Q24" lockText="1"/>
</file>

<file path=xl/ctrlProps/ctrlProp506.xml><?xml version="1.0" encoding="utf-8"?>
<formControlPr xmlns="http://schemas.microsoft.com/office/spreadsheetml/2009/9/main" objectType="CheckBox" fmlaLink="Ber_Lab!C25" lockText="1"/>
</file>

<file path=xl/ctrlProps/ctrlProp507.xml><?xml version="1.0" encoding="utf-8"?>
<formControlPr xmlns="http://schemas.microsoft.com/office/spreadsheetml/2009/9/main" objectType="CheckBox" fmlaLink="Ber_Lab!G25" lockText="1"/>
</file>

<file path=xl/ctrlProps/ctrlProp508.xml><?xml version="1.0" encoding="utf-8"?>
<formControlPr xmlns="http://schemas.microsoft.com/office/spreadsheetml/2009/9/main" objectType="CheckBox" fmlaLink="Ber_Lab!I25" lockText="1"/>
</file>

<file path=xl/ctrlProps/ctrlProp509.xml><?xml version="1.0" encoding="utf-8"?>
<formControlPr xmlns="http://schemas.microsoft.com/office/spreadsheetml/2009/9/main" objectType="CheckBox" fmlaLink="Ber_Lab!M25" lockText="1"/>
</file>

<file path=xl/ctrlProps/ctrlProp510.xml><?xml version="1.0" encoding="utf-8"?>
<formControlPr xmlns="http://schemas.microsoft.com/office/spreadsheetml/2009/9/main" objectType="CheckBox" fmlaLink="Ber_Lab!E25" lockText="1"/>
</file>

<file path=xl/ctrlProps/ctrlProp511.xml><?xml version="1.0" encoding="utf-8"?>
<formControlPr xmlns="http://schemas.microsoft.com/office/spreadsheetml/2009/9/main" objectType="CheckBox" fmlaLink="Ber_Lab!O25" lockText="1"/>
</file>

<file path=xl/ctrlProps/ctrlProp512.xml><?xml version="1.0" encoding="utf-8"?>
<formControlPr xmlns="http://schemas.microsoft.com/office/spreadsheetml/2009/9/main" objectType="CheckBox" fmlaLink="Ber_Lab!Q25" lockText="1"/>
</file>

<file path=xl/ctrlProps/ctrlProp513.xml><?xml version="1.0" encoding="utf-8"?>
<formControlPr xmlns="http://schemas.microsoft.com/office/spreadsheetml/2009/9/main" objectType="CheckBox" fmlaLink="Ber_Lab!C26" lockText="1"/>
</file>

<file path=xl/ctrlProps/ctrlProp514.xml><?xml version="1.0" encoding="utf-8"?>
<formControlPr xmlns="http://schemas.microsoft.com/office/spreadsheetml/2009/9/main" objectType="CheckBox" fmlaLink="Ber_Lab!G26" lockText="1"/>
</file>

<file path=xl/ctrlProps/ctrlProp515.xml><?xml version="1.0" encoding="utf-8"?>
<formControlPr xmlns="http://schemas.microsoft.com/office/spreadsheetml/2009/9/main" objectType="CheckBox" fmlaLink="Ber_Lab!I26" lockText="1"/>
</file>

<file path=xl/ctrlProps/ctrlProp516.xml><?xml version="1.0" encoding="utf-8"?>
<formControlPr xmlns="http://schemas.microsoft.com/office/spreadsheetml/2009/9/main" objectType="CheckBox" fmlaLink="Ber_Lab!M26" lockText="1"/>
</file>

<file path=xl/ctrlProps/ctrlProp517.xml><?xml version="1.0" encoding="utf-8"?>
<formControlPr xmlns="http://schemas.microsoft.com/office/spreadsheetml/2009/9/main" objectType="CheckBox" fmlaLink="Ber_Lab!E26" lockText="1"/>
</file>

<file path=xl/ctrlProps/ctrlProp518.xml><?xml version="1.0" encoding="utf-8"?>
<formControlPr xmlns="http://schemas.microsoft.com/office/spreadsheetml/2009/9/main" objectType="CheckBox" fmlaLink="Ber_Lab!O26" lockText="1"/>
</file>

<file path=xl/ctrlProps/ctrlProp519.xml><?xml version="1.0" encoding="utf-8"?>
<formControlPr xmlns="http://schemas.microsoft.com/office/spreadsheetml/2009/9/main" objectType="CheckBox" fmlaLink="Ber_Lab!Q26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124</xdr:row>
      <xdr:rowOff>9525</xdr:rowOff>
    </xdr:from>
    <xdr:to>
      <xdr:col>2</xdr:col>
      <xdr:colOff>666750</xdr:colOff>
      <xdr:row>125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55</xdr:row>
      <xdr:rowOff>0</xdr:rowOff>
    </xdr:from>
    <xdr:to>
      <xdr:col>2</xdr:col>
      <xdr:colOff>142875</xdr:colOff>
      <xdr:row>55</xdr:row>
      <xdr:rowOff>123825</xdr:rowOff>
    </xdr:to>
    <xdr:sp macro="" textlink="">
      <xdr:nvSpPr>
        <xdr:cNvPr id="21514" name="Rectangle 10"/>
        <xdr:cNvSpPr>
          <a:spLocks noChangeArrowheads="1"/>
        </xdr:cNvSpPr>
      </xdr:nvSpPr>
      <xdr:spPr bwMode="auto">
        <a:xfrm>
          <a:off x="190500" y="8439150"/>
          <a:ext cx="30480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57</xdr:row>
      <xdr:rowOff>0</xdr:rowOff>
    </xdr:from>
    <xdr:to>
      <xdr:col>2</xdr:col>
      <xdr:colOff>142875</xdr:colOff>
      <xdr:row>57</xdr:row>
      <xdr:rowOff>123825</xdr:rowOff>
    </xdr:to>
    <xdr:sp macro="" textlink="">
      <xdr:nvSpPr>
        <xdr:cNvPr id="21516" name="Rectangle 12"/>
        <xdr:cNvSpPr>
          <a:spLocks noChangeArrowheads="1"/>
        </xdr:cNvSpPr>
      </xdr:nvSpPr>
      <xdr:spPr bwMode="auto">
        <a:xfrm>
          <a:off x="190500" y="8677275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58</xdr:row>
      <xdr:rowOff>0</xdr:rowOff>
    </xdr:from>
    <xdr:to>
      <xdr:col>2</xdr:col>
      <xdr:colOff>142875</xdr:colOff>
      <xdr:row>58</xdr:row>
      <xdr:rowOff>123825</xdr:rowOff>
    </xdr:to>
    <xdr:sp macro="" textlink="">
      <xdr:nvSpPr>
        <xdr:cNvPr id="21517" name="Rectangle 13"/>
        <xdr:cNvSpPr>
          <a:spLocks noChangeArrowheads="1"/>
        </xdr:cNvSpPr>
      </xdr:nvSpPr>
      <xdr:spPr bwMode="auto">
        <a:xfrm>
          <a:off x="190500" y="8763000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17</xdr:row>
      <xdr:rowOff>9525</xdr:rowOff>
    </xdr:from>
    <xdr:to>
      <xdr:col>9</xdr:col>
      <xdr:colOff>733425</xdr:colOff>
      <xdr:row>19</xdr:row>
      <xdr:rowOff>0</xdr:rowOff>
    </xdr:to>
    <xdr:sp macro="[0]!opmAfsprBeademing" textlink="">
      <xdr:nvSpPr>
        <xdr:cNvPr id="21624" name="Rectangle 120"/>
        <xdr:cNvSpPr>
          <a:spLocks noChangeArrowheads="1"/>
        </xdr:cNvSpPr>
      </xdr:nvSpPr>
      <xdr:spPr bwMode="auto">
        <a:xfrm>
          <a:off x="171450" y="2447925"/>
          <a:ext cx="64198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123</xdr:row>
      <xdr:rowOff>104775</xdr:rowOff>
    </xdr:from>
    <xdr:to>
      <xdr:col>10</xdr:col>
      <xdr:colOff>0</xdr:colOff>
      <xdr:row>124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35</xdr:row>
      <xdr:rowOff>133350</xdr:rowOff>
    </xdr:from>
    <xdr:to>
      <xdr:col>10</xdr:col>
      <xdr:colOff>9525</xdr:colOff>
      <xdr:row>37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77</xdr:row>
      <xdr:rowOff>76200</xdr:rowOff>
    </xdr:from>
    <xdr:to>
      <xdr:col>9</xdr:col>
      <xdr:colOff>742950</xdr:colOff>
      <xdr:row>78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116</xdr:row>
      <xdr:rowOff>9525</xdr:rowOff>
    </xdr:from>
    <xdr:to>
      <xdr:col>10</xdr:col>
      <xdr:colOff>28575</xdr:colOff>
      <xdr:row>117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44</xdr:row>
      <xdr:rowOff>9525</xdr:rowOff>
    </xdr:from>
    <xdr:to>
      <xdr:col>9</xdr:col>
      <xdr:colOff>742950</xdr:colOff>
      <xdr:row>46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55</xdr:row>
      <xdr:rowOff>19050</xdr:rowOff>
    </xdr:from>
    <xdr:to>
      <xdr:col>9</xdr:col>
      <xdr:colOff>742950</xdr:colOff>
      <xdr:row>56</xdr:row>
      <xdr:rowOff>123825</xdr:rowOff>
    </xdr:to>
    <xdr:sp macro="[0]!opmOverig_2" textlink="">
      <xdr:nvSpPr>
        <xdr:cNvPr id="21630" name="Rectangle 126"/>
        <xdr:cNvSpPr>
          <a:spLocks noChangeArrowheads="1"/>
        </xdr:cNvSpPr>
      </xdr:nvSpPr>
      <xdr:spPr bwMode="auto">
        <a:xfrm>
          <a:off x="200025" y="8458200"/>
          <a:ext cx="640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9525</xdr:rowOff>
    </xdr:from>
    <xdr:to>
      <xdr:col>2</xdr:col>
      <xdr:colOff>771525</xdr:colOff>
      <xdr:row>5</xdr:row>
      <xdr:rowOff>0</xdr:rowOff>
    </xdr:to>
    <xdr:sp macro="[0]!gaNaarBeademing" textlink="">
      <xdr:nvSpPr>
        <xdr:cNvPr id="21635" name="Rectangle 131"/>
        <xdr:cNvSpPr>
          <a:spLocks noChangeArrowheads="1"/>
        </xdr:cNvSpPr>
      </xdr:nvSpPr>
      <xdr:spPr bwMode="auto">
        <a:xfrm>
          <a:off x="171450" y="619125"/>
          <a:ext cx="95250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80</xdr:row>
      <xdr:rowOff>114300</xdr:rowOff>
    </xdr:from>
    <xdr:to>
      <xdr:col>4</xdr:col>
      <xdr:colOff>161925</xdr:colOff>
      <xdr:row>81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69</xdr:row>
      <xdr:rowOff>114300</xdr:rowOff>
    </xdr:from>
    <xdr:to>
      <xdr:col>2</xdr:col>
      <xdr:colOff>676275</xdr:colOff>
      <xdr:row>71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46</xdr:row>
      <xdr:rowOff>142875</xdr:rowOff>
    </xdr:from>
    <xdr:to>
      <xdr:col>2</xdr:col>
      <xdr:colOff>723900</xdr:colOff>
      <xdr:row>47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29</xdr:row>
      <xdr:rowOff>66675</xdr:rowOff>
    </xdr:from>
    <xdr:to>
      <xdr:col>2</xdr:col>
      <xdr:colOff>495300</xdr:colOff>
      <xdr:row>30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101</xdr:row>
      <xdr:rowOff>0</xdr:rowOff>
    </xdr:from>
    <xdr:to>
      <xdr:col>2</xdr:col>
      <xdr:colOff>485775</xdr:colOff>
      <xdr:row>101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38</xdr:row>
      <xdr:rowOff>0</xdr:rowOff>
    </xdr:from>
    <xdr:to>
      <xdr:col>2</xdr:col>
      <xdr:colOff>295275</xdr:colOff>
      <xdr:row>38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98</xdr:row>
      <xdr:rowOff>123825</xdr:rowOff>
    </xdr:from>
    <xdr:to>
      <xdr:col>9</xdr:col>
      <xdr:colOff>742950</xdr:colOff>
      <xdr:row>100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35</xdr:row>
      <xdr:rowOff>123825</xdr:rowOff>
    </xdr:from>
    <xdr:to>
      <xdr:col>10</xdr:col>
      <xdr:colOff>9525</xdr:colOff>
      <xdr:row>37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116</xdr:row>
      <xdr:rowOff>9525</xdr:rowOff>
    </xdr:from>
    <xdr:to>
      <xdr:col>10</xdr:col>
      <xdr:colOff>28575</xdr:colOff>
      <xdr:row>117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16</xdr:row>
      <xdr:rowOff>0</xdr:rowOff>
    </xdr:from>
    <xdr:to>
      <xdr:col>2</xdr:col>
      <xdr:colOff>666750</xdr:colOff>
      <xdr:row>16</xdr:row>
      <xdr:rowOff>0</xdr:rowOff>
    </xdr:to>
    <xdr:sp macro="[0]!opmAfsprBeademing" textlink="">
      <xdr:nvSpPr>
        <xdr:cNvPr id="70657" name="Rectangle 1"/>
        <xdr:cNvSpPr>
          <a:spLocks noChangeArrowheads="1"/>
        </xdr:cNvSpPr>
      </xdr:nvSpPr>
      <xdr:spPr bwMode="auto">
        <a:xfrm>
          <a:off x="390525" y="2390775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9</xdr:col>
      <xdr:colOff>600075</xdr:colOff>
      <xdr:row>16</xdr:row>
      <xdr:rowOff>0</xdr:rowOff>
    </xdr:to>
    <xdr:sp macro="[0]!opmAfsprInfusen" textlink="">
      <xdr:nvSpPr>
        <xdr:cNvPr id="70658" name="Rectangle 2"/>
        <xdr:cNvSpPr>
          <a:spLocks noChangeArrowheads="1"/>
        </xdr:cNvSpPr>
      </xdr:nvSpPr>
      <xdr:spPr bwMode="auto">
        <a:xfrm>
          <a:off x="390525" y="2390775"/>
          <a:ext cx="58674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9</xdr:col>
      <xdr:colOff>590550</xdr:colOff>
      <xdr:row>16</xdr:row>
      <xdr:rowOff>0</xdr:rowOff>
    </xdr:to>
    <xdr:sp macro="[0]!opmAfsprMedIV_1" textlink="">
      <xdr:nvSpPr>
        <xdr:cNvPr id="70659" name="Rectangle 3"/>
        <xdr:cNvSpPr>
          <a:spLocks noChangeArrowheads="1"/>
        </xdr:cNvSpPr>
      </xdr:nvSpPr>
      <xdr:spPr bwMode="auto">
        <a:xfrm>
          <a:off x="390525" y="2390775"/>
          <a:ext cx="58578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9</xdr:col>
      <xdr:colOff>571500</xdr:colOff>
      <xdr:row>16</xdr:row>
      <xdr:rowOff>0</xdr:rowOff>
    </xdr:to>
    <xdr:sp macro="[0]!opmIntakeMedIV" textlink="">
      <xdr:nvSpPr>
        <xdr:cNvPr id="70660" name="Rectangle 4"/>
        <xdr:cNvSpPr>
          <a:spLocks noChangeArrowheads="1"/>
        </xdr:cNvSpPr>
      </xdr:nvSpPr>
      <xdr:spPr bwMode="auto">
        <a:xfrm>
          <a:off x="390525" y="2390775"/>
          <a:ext cx="5838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[0]!opmOverig_1" textlink="">
      <xdr:nvSpPr>
        <xdr:cNvPr id="70661" name="Rectangle 5"/>
        <xdr:cNvSpPr>
          <a:spLocks noChangeArrowheads="1"/>
        </xdr:cNvSpPr>
      </xdr:nvSpPr>
      <xdr:spPr bwMode="auto">
        <a:xfrm>
          <a:off x="190500" y="23907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0662" name="Rectangle 6"/>
        <xdr:cNvSpPr>
          <a:spLocks noChangeArrowheads="1"/>
        </xdr:cNvSpPr>
      </xdr:nvSpPr>
      <xdr:spPr bwMode="auto">
        <a:xfrm>
          <a:off x="190500" y="23907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0663" name="Rectangle 7"/>
        <xdr:cNvSpPr>
          <a:spLocks noChangeArrowheads="1"/>
        </xdr:cNvSpPr>
      </xdr:nvSpPr>
      <xdr:spPr bwMode="auto">
        <a:xfrm>
          <a:off x="190500" y="23907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0664" name="Rectangle 8"/>
        <xdr:cNvSpPr>
          <a:spLocks noChangeArrowheads="1"/>
        </xdr:cNvSpPr>
      </xdr:nvSpPr>
      <xdr:spPr bwMode="auto">
        <a:xfrm>
          <a:off x="190500" y="23907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0665" name="Rectangle 9"/>
        <xdr:cNvSpPr>
          <a:spLocks noChangeArrowheads="1"/>
        </xdr:cNvSpPr>
      </xdr:nvSpPr>
      <xdr:spPr bwMode="auto">
        <a:xfrm>
          <a:off x="190500" y="23907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[0]!opmOverig_2" textlink="">
      <xdr:nvSpPr>
        <xdr:cNvPr id="70666" name="Rectangle 10"/>
        <xdr:cNvSpPr>
          <a:spLocks noChangeArrowheads="1"/>
        </xdr:cNvSpPr>
      </xdr:nvSpPr>
      <xdr:spPr bwMode="auto">
        <a:xfrm>
          <a:off x="190500" y="23907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9</xdr:col>
      <xdr:colOff>638175</xdr:colOff>
      <xdr:row>16</xdr:row>
      <xdr:rowOff>0</xdr:rowOff>
    </xdr:to>
    <xdr:sp macro="[0]!opmOverig_3" textlink="">
      <xdr:nvSpPr>
        <xdr:cNvPr id="70667" name="Rectangle 11"/>
        <xdr:cNvSpPr>
          <a:spLocks noChangeArrowheads="1"/>
        </xdr:cNvSpPr>
      </xdr:nvSpPr>
      <xdr:spPr bwMode="auto">
        <a:xfrm>
          <a:off x="190500" y="2390775"/>
          <a:ext cx="61055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[0]!opmOverig_4" textlink="">
      <xdr:nvSpPr>
        <xdr:cNvPr id="70668" name="Rectangle 12"/>
        <xdr:cNvSpPr>
          <a:spLocks noChangeArrowheads="1"/>
        </xdr:cNvSpPr>
      </xdr:nvSpPr>
      <xdr:spPr bwMode="auto">
        <a:xfrm>
          <a:off x="190500" y="23907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[0]!opmOverig_5" textlink="">
      <xdr:nvSpPr>
        <xdr:cNvPr id="70669" name="Rectangle 13"/>
        <xdr:cNvSpPr>
          <a:spLocks noChangeArrowheads="1"/>
        </xdr:cNvSpPr>
      </xdr:nvSpPr>
      <xdr:spPr bwMode="auto">
        <a:xfrm>
          <a:off x="190500" y="23907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9</xdr:col>
      <xdr:colOff>590550</xdr:colOff>
      <xdr:row>16</xdr:row>
      <xdr:rowOff>0</xdr:rowOff>
    </xdr:to>
    <xdr:sp macro="[0]!opmVoedPO" textlink="">
      <xdr:nvSpPr>
        <xdr:cNvPr id="70679" name="Rectangle 23"/>
        <xdr:cNvSpPr>
          <a:spLocks noChangeArrowheads="1"/>
        </xdr:cNvSpPr>
      </xdr:nvSpPr>
      <xdr:spPr bwMode="auto">
        <a:xfrm>
          <a:off x="390525" y="2390775"/>
          <a:ext cx="58578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161925</xdr:colOff>
      <xdr:row>16</xdr:row>
      <xdr:rowOff>0</xdr:rowOff>
    </xdr:from>
    <xdr:to>
      <xdr:col>10</xdr:col>
      <xdr:colOff>190500</xdr:colOff>
      <xdr:row>16</xdr:row>
      <xdr:rowOff>0</xdr:rowOff>
    </xdr:to>
    <xdr:sp macro="[0]!opmOverig_1" textlink="">
      <xdr:nvSpPr>
        <xdr:cNvPr id="70686" name="Rectangle 30"/>
        <xdr:cNvSpPr>
          <a:spLocks noChangeArrowheads="1"/>
        </xdr:cNvSpPr>
      </xdr:nvSpPr>
      <xdr:spPr bwMode="auto">
        <a:xfrm>
          <a:off x="342900" y="2390775"/>
          <a:ext cx="6219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9</xdr:col>
      <xdr:colOff>676275</xdr:colOff>
      <xdr:row>16</xdr:row>
      <xdr:rowOff>0</xdr:rowOff>
    </xdr:to>
    <xdr:sp macro="[0]!opmAfsprInfusen" textlink="">
      <xdr:nvSpPr>
        <xdr:cNvPr id="70687" name="Rectangle 31"/>
        <xdr:cNvSpPr>
          <a:spLocks noChangeArrowheads="1"/>
        </xdr:cNvSpPr>
      </xdr:nvSpPr>
      <xdr:spPr bwMode="auto">
        <a:xfrm>
          <a:off x="390525" y="2390775"/>
          <a:ext cx="59436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2</xdr:col>
      <xdr:colOff>666750</xdr:colOff>
      <xdr:row>16</xdr:row>
      <xdr:rowOff>0</xdr:rowOff>
    </xdr:to>
    <xdr:sp macro="[0]!opmIntakeMedIV" textlink="">
      <xdr:nvSpPr>
        <xdr:cNvPr id="70688" name="Rectangle 32"/>
        <xdr:cNvSpPr>
          <a:spLocks noChangeArrowheads="1"/>
        </xdr:cNvSpPr>
      </xdr:nvSpPr>
      <xdr:spPr bwMode="auto">
        <a:xfrm>
          <a:off x="390525" y="2390775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0689" name="Rectangle 33"/>
        <xdr:cNvSpPr>
          <a:spLocks noChangeArrowheads="1"/>
        </xdr:cNvSpPr>
      </xdr:nvSpPr>
      <xdr:spPr bwMode="auto">
        <a:xfrm>
          <a:off x="190500" y="23907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0690" name="Rectangle 34"/>
        <xdr:cNvSpPr>
          <a:spLocks noChangeArrowheads="1"/>
        </xdr:cNvSpPr>
      </xdr:nvSpPr>
      <xdr:spPr bwMode="auto">
        <a:xfrm>
          <a:off x="190500" y="23907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0691" name="Rectangle 35"/>
        <xdr:cNvSpPr>
          <a:spLocks noChangeArrowheads="1"/>
        </xdr:cNvSpPr>
      </xdr:nvSpPr>
      <xdr:spPr bwMode="auto">
        <a:xfrm>
          <a:off x="190500" y="23907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9</xdr:col>
      <xdr:colOff>695325</xdr:colOff>
      <xdr:row>16</xdr:row>
      <xdr:rowOff>0</xdr:rowOff>
    </xdr:to>
    <xdr:sp macro="[0]!opmOverig_2" textlink="">
      <xdr:nvSpPr>
        <xdr:cNvPr id="70692" name="Rectangle 36"/>
        <xdr:cNvSpPr>
          <a:spLocks noChangeArrowheads="1"/>
        </xdr:cNvSpPr>
      </xdr:nvSpPr>
      <xdr:spPr bwMode="auto">
        <a:xfrm>
          <a:off x="190500" y="2390775"/>
          <a:ext cx="6162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9</xdr:col>
      <xdr:colOff>590550</xdr:colOff>
      <xdr:row>16</xdr:row>
      <xdr:rowOff>0</xdr:rowOff>
    </xdr:to>
    <xdr:sp macro="[0]!opmVoedPO" textlink="">
      <xdr:nvSpPr>
        <xdr:cNvPr id="70693" name="Rectangle 37"/>
        <xdr:cNvSpPr>
          <a:spLocks noChangeArrowheads="1"/>
        </xdr:cNvSpPr>
      </xdr:nvSpPr>
      <xdr:spPr bwMode="auto">
        <a:xfrm>
          <a:off x="390525" y="2390775"/>
          <a:ext cx="58578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9</xdr:col>
      <xdr:colOff>723900</xdr:colOff>
      <xdr:row>16</xdr:row>
      <xdr:rowOff>0</xdr:rowOff>
    </xdr:to>
    <xdr:sp macro="[0]!opmOverig_1" textlink="">
      <xdr:nvSpPr>
        <xdr:cNvPr id="70694" name="Rectangle 38"/>
        <xdr:cNvSpPr>
          <a:spLocks noChangeArrowheads="1"/>
        </xdr:cNvSpPr>
      </xdr:nvSpPr>
      <xdr:spPr bwMode="auto">
        <a:xfrm>
          <a:off x="390525" y="2390775"/>
          <a:ext cx="5981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114300</xdr:rowOff>
    </xdr:from>
    <xdr:to>
      <xdr:col>9</xdr:col>
      <xdr:colOff>742950</xdr:colOff>
      <xdr:row>17</xdr:row>
      <xdr:rowOff>0</xdr:rowOff>
    </xdr:to>
    <xdr:sp macro="[0]!opmAfsprBeademing" textlink="">
      <xdr:nvSpPr>
        <xdr:cNvPr id="70696" name="Rectangle 40"/>
        <xdr:cNvSpPr>
          <a:spLocks noChangeArrowheads="1"/>
        </xdr:cNvSpPr>
      </xdr:nvSpPr>
      <xdr:spPr bwMode="auto">
        <a:xfrm>
          <a:off x="180975" y="2390775"/>
          <a:ext cx="61912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</xdr:row>
      <xdr:rowOff>0</xdr:rowOff>
    </xdr:from>
    <xdr:to>
      <xdr:col>2</xdr:col>
      <xdr:colOff>742950</xdr:colOff>
      <xdr:row>4</xdr:row>
      <xdr:rowOff>123825</xdr:rowOff>
    </xdr:to>
    <xdr:sp macro="[0]!gaNaarBeademing" textlink="">
      <xdr:nvSpPr>
        <xdr:cNvPr id="70697" name="Rectangle 41"/>
        <xdr:cNvSpPr>
          <a:spLocks noChangeArrowheads="1"/>
        </xdr:cNvSpPr>
      </xdr:nvSpPr>
      <xdr:spPr bwMode="auto">
        <a:xfrm>
          <a:off x="142875" y="581025"/>
          <a:ext cx="9620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19</xdr:row>
      <xdr:rowOff>0</xdr:rowOff>
    </xdr:from>
    <xdr:to>
      <xdr:col>2</xdr:col>
      <xdr:colOff>666750</xdr:colOff>
      <xdr:row>19</xdr:row>
      <xdr:rowOff>0</xdr:rowOff>
    </xdr:to>
    <xdr:sp macro="[0]!opmIntakeMedIV" textlink="">
      <xdr:nvSpPr>
        <xdr:cNvPr id="70698" name="Rectangle 42"/>
        <xdr:cNvSpPr>
          <a:spLocks noChangeArrowheads="1"/>
        </xdr:cNvSpPr>
      </xdr:nvSpPr>
      <xdr:spPr bwMode="auto">
        <a:xfrm>
          <a:off x="390525" y="2809875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19</xdr:row>
      <xdr:rowOff>0</xdr:rowOff>
    </xdr:from>
    <xdr:to>
      <xdr:col>2</xdr:col>
      <xdr:colOff>142875</xdr:colOff>
      <xdr:row>19</xdr:row>
      <xdr:rowOff>0</xdr:rowOff>
    </xdr:to>
    <xdr:sp macro="" textlink="">
      <xdr:nvSpPr>
        <xdr:cNvPr id="70699" name="Rectangle 43"/>
        <xdr:cNvSpPr>
          <a:spLocks noChangeArrowheads="1"/>
        </xdr:cNvSpPr>
      </xdr:nvSpPr>
      <xdr:spPr bwMode="auto">
        <a:xfrm>
          <a:off x="190500" y="28098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19</xdr:row>
      <xdr:rowOff>0</xdr:rowOff>
    </xdr:from>
    <xdr:to>
      <xdr:col>2</xdr:col>
      <xdr:colOff>142875</xdr:colOff>
      <xdr:row>19</xdr:row>
      <xdr:rowOff>0</xdr:rowOff>
    </xdr:to>
    <xdr:sp macro="" textlink="">
      <xdr:nvSpPr>
        <xdr:cNvPr id="70700" name="Rectangle 44"/>
        <xdr:cNvSpPr>
          <a:spLocks noChangeArrowheads="1"/>
        </xdr:cNvSpPr>
      </xdr:nvSpPr>
      <xdr:spPr bwMode="auto">
        <a:xfrm>
          <a:off x="190500" y="28098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19</xdr:row>
      <xdr:rowOff>0</xdr:rowOff>
    </xdr:from>
    <xdr:to>
      <xdr:col>2</xdr:col>
      <xdr:colOff>142875</xdr:colOff>
      <xdr:row>19</xdr:row>
      <xdr:rowOff>0</xdr:rowOff>
    </xdr:to>
    <xdr:sp macro="" textlink="">
      <xdr:nvSpPr>
        <xdr:cNvPr id="70701" name="Rectangle 45"/>
        <xdr:cNvSpPr>
          <a:spLocks noChangeArrowheads="1"/>
        </xdr:cNvSpPr>
      </xdr:nvSpPr>
      <xdr:spPr bwMode="auto">
        <a:xfrm>
          <a:off x="190500" y="28098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19</xdr:row>
      <xdr:rowOff>0</xdr:rowOff>
    </xdr:from>
    <xdr:to>
      <xdr:col>10</xdr:col>
      <xdr:colOff>0</xdr:colOff>
      <xdr:row>19</xdr:row>
      <xdr:rowOff>0</xdr:rowOff>
    </xdr:to>
    <xdr:sp macro="[0]!opmIntakeMedIV" textlink="">
      <xdr:nvSpPr>
        <xdr:cNvPr id="70702" name="Rectangle 46"/>
        <xdr:cNvSpPr>
          <a:spLocks noChangeArrowheads="1"/>
        </xdr:cNvSpPr>
      </xdr:nvSpPr>
      <xdr:spPr bwMode="auto">
        <a:xfrm>
          <a:off x="190500" y="2809875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47625</xdr:colOff>
      <xdr:row>19</xdr:row>
      <xdr:rowOff>0</xdr:rowOff>
    </xdr:from>
    <xdr:to>
      <xdr:col>10</xdr:col>
      <xdr:colOff>38100</xdr:colOff>
      <xdr:row>19</xdr:row>
      <xdr:rowOff>0</xdr:rowOff>
    </xdr:to>
    <xdr:sp macro="[0]!opmVoedPO" textlink="">
      <xdr:nvSpPr>
        <xdr:cNvPr id="70703" name="Rectangle 47"/>
        <xdr:cNvSpPr>
          <a:spLocks noChangeArrowheads="1"/>
        </xdr:cNvSpPr>
      </xdr:nvSpPr>
      <xdr:spPr bwMode="auto">
        <a:xfrm>
          <a:off x="228600" y="2809875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19</xdr:row>
      <xdr:rowOff>0</xdr:rowOff>
    </xdr:from>
    <xdr:to>
      <xdr:col>9</xdr:col>
      <xdr:colOff>742950</xdr:colOff>
      <xdr:row>19</xdr:row>
      <xdr:rowOff>0</xdr:rowOff>
    </xdr:to>
    <xdr:sp macro="[0]!opmAfsprInfusen" textlink="">
      <xdr:nvSpPr>
        <xdr:cNvPr id="70704" name="Rectangle 48"/>
        <xdr:cNvSpPr>
          <a:spLocks noChangeArrowheads="1"/>
        </xdr:cNvSpPr>
      </xdr:nvSpPr>
      <xdr:spPr bwMode="auto">
        <a:xfrm>
          <a:off x="190500" y="2809875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0</xdr:rowOff>
    </xdr:from>
    <xdr:to>
      <xdr:col>10</xdr:col>
      <xdr:colOff>28575</xdr:colOff>
      <xdr:row>19</xdr:row>
      <xdr:rowOff>0</xdr:rowOff>
    </xdr:to>
    <xdr:sp macro="[0]!opmAfsprMedIV_1" textlink="">
      <xdr:nvSpPr>
        <xdr:cNvPr id="70705" name="Rectangle 49"/>
        <xdr:cNvSpPr>
          <a:spLocks noChangeArrowheads="1"/>
        </xdr:cNvSpPr>
      </xdr:nvSpPr>
      <xdr:spPr bwMode="auto">
        <a:xfrm>
          <a:off x="180975" y="2809875"/>
          <a:ext cx="6219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0</xdr:rowOff>
    </xdr:from>
    <xdr:to>
      <xdr:col>9</xdr:col>
      <xdr:colOff>742950</xdr:colOff>
      <xdr:row>19</xdr:row>
      <xdr:rowOff>0</xdr:rowOff>
    </xdr:to>
    <xdr:sp macro="[0]!mInvoer.opmOverig_1" textlink="">
      <xdr:nvSpPr>
        <xdr:cNvPr id="70706" name="Rectangle 50"/>
        <xdr:cNvSpPr>
          <a:spLocks noChangeArrowheads="1"/>
        </xdr:cNvSpPr>
      </xdr:nvSpPr>
      <xdr:spPr bwMode="auto">
        <a:xfrm>
          <a:off x="314325" y="2809875"/>
          <a:ext cx="6057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19</xdr:row>
      <xdr:rowOff>0</xdr:rowOff>
    </xdr:from>
    <xdr:to>
      <xdr:col>9</xdr:col>
      <xdr:colOff>742950</xdr:colOff>
      <xdr:row>19</xdr:row>
      <xdr:rowOff>0</xdr:rowOff>
    </xdr:to>
    <xdr:sp macro="[0]!opmOverig_2" textlink="">
      <xdr:nvSpPr>
        <xdr:cNvPr id="70707" name="Rectangle 51"/>
        <xdr:cNvSpPr>
          <a:spLocks noChangeArrowheads="1"/>
        </xdr:cNvSpPr>
      </xdr:nvSpPr>
      <xdr:spPr bwMode="auto">
        <a:xfrm>
          <a:off x="200025" y="2809875"/>
          <a:ext cx="61722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19</xdr:row>
      <xdr:rowOff>0</xdr:rowOff>
    </xdr:from>
    <xdr:to>
      <xdr:col>4</xdr:col>
      <xdr:colOff>161925</xdr:colOff>
      <xdr:row>19</xdr:row>
      <xdr:rowOff>0</xdr:rowOff>
    </xdr:to>
    <xdr:sp macro="[0]!gaNaarMedicatieIV" textlink="">
      <xdr:nvSpPr>
        <xdr:cNvPr id="70708" name="Rectangle 52"/>
        <xdr:cNvSpPr>
          <a:spLocks noChangeArrowheads="1"/>
        </xdr:cNvSpPr>
      </xdr:nvSpPr>
      <xdr:spPr bwMode="auto">
        <a:xfrm>
          <a:off x="171450" y="2809875"/>
          <a:ext cx="19621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19</xdr:row>
      <xdr:rowOff>0</xdr:rowOff>
    </xdr:from>
    <xdr:to>
      <xdr:col>2</xdr:col>
      <xdr:colOff>676275</xdr:colOff>
      <xdr:row>19</xdr:row>
      <xdr:rowOff>0</xdr:rowOff>
    </xdr:to>
    <xdr:sp macro="[0]!gaNaarInfusen" textlink="">
      <xdr:nvSpPr>
        <xdr:cNvPr id="70709" name="Rectangle 53"/>
        <xdr:cNvSpPr>
          <a:spLocks noChangeArrowheads="1"/>
        </xdr:cNvSpPr>
      </xdr:nvSpPr>
      <xdr:spPr bwMode="auto">
        <a:xfrm>
          <a:off x="152400" y="2809875"/>
          <a:ext cx="885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19</xdr:row>
      <xdr:rowOff>0</xdr:rowOff>
    </xdr:from>
    <xdr:to>
      <xdr:col>2</xdr:col>
      <xdr:colOff>723900</xdr:colOff>
      <xdr:row>19</xdr:row>
      <xdr:rowOff>0</xdr:rowOff>
    </xdr:to>
    <xdr:sp macro="[0]!gaNaarInfusen" textlink="">
      <xdr:nvSpPr>
        <xdr:cNvPr id="70710" name="Rectangle 54"/>
        <xdr:cNvSpPr>
          <a:spLocks noChangeArrowheads="1"/>
        </xdr:cNvSpPr>
      </xdr:nvSpPr>
      <xdr:spPr bwMode="auto">
        <a:xfrm>
          <a:off x="200025" y="2809875"/>
          <a:ext cx="885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19</xdr:row>
      <xdr:rowOff>0</xdr:rowOff>
    </xdr:from>
    <xdr:to>
      <xdr:col>2</xdr:col>
      <xdr:colOff>495300</xdr:colOff>
      <xdr:row>19</xdr:row>
      <xdr:rowOff>0</xdr:rowOff>
    </xdr:to>
    <xdr:sp macro="[0]!gaNaarIntake" textlink="">
      <xdr:nvSpPr>
        <xdr:cNvPr id="70711" name="Rectangle 55"/>
        <xdr:cNvSpPr>
          <a:spLocks noChangeArrowheads="1"/>
        </xdr:cNvSpPr>
      </xdr:nvSpPr>
      <xdr:spPr bwMode="auto">
        <a:xfrm>
          <a:off x="171450" y="2809875"/>
          <a:ext cx="685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19</xdr:row>
      <xdr:rowOff>0</xdr:rowOff>
    </xdr:from>
    <xdr:to>
      <xdr:col>2</xdr:col>
      <xdr:colOff>485775</xdr:colOff>
      <xdr:row>19</xdr:row>
      <xdr:rowOff>0</xdr:rowOff>
    </xdr:to>
    <xdr:sp macro="[0]!gaNaarIntake" textlink="">
      <xdr:nvSpPr>
        <xdr:cNvPr id="70712" name="Rectangle 56"/>
        <xdr:cNvSpPr>
          <a:spLocks noChangeArrowheads="1"/>
        </xdr:cNvSpPr>
      </xdr:nvSpPr>
      <xdr:spPr bwMode="auto">
        <a:xfrm>
          <a:off x="161925" y="2809875"/>
          <a:ext cx="685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19</xdr:row>
      <xdr:rowOff>0</xdr:rowOff>
    </xdr:from>
    <xdr:to>
      <xdr:col>2</xdr:col>
      <xdr:colOff>295275</xdr:colOff>
      <xdr:row>19</xdr:row>
      <xdr:rowOff>0</xdr:rowOff>
    </xdr:to>
    <xdr:sp macro="[0]!gaNaarLab" textlink="">
      <xdr:nvSpPr>
        <xdr:cNvPr id="70713" name="Rectangle 57"/>
        <xdr:cNvSpPr>
          <a:spLocks noChangeArrowheads="1"/>
        </xdr:cNvSpPr>
      </xdr:nvSpPr>
      <xdr:spPr bwMode="auto">
        <a:xfrm>
          <a:off x="133350" y="2809875"/>
          <a:ext cx="5238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19</xdr:row>
      <xdr:rowOff>0</xdr:rowOff>
    </xdr:from>
    <xdr:to>
      <xdr:col>9</xdr:col>
      <xdr:colOff>685800</xdr:colOff>
      <xdr:row>19</xdr:row>
      <xdr:rowOff>0</xdr:rowOff>
    </xdr:to>
    <xdr:sp macro="[0]!opmAfsprMedIV_1" textlink="">
      <xdr:nvSpPr>
        <xdr:cNvPr id="70714" name="Rectangle 58"/>
        <xdr:cNvSpPr>
          <a:spLocks noChangeArrowheads="1"/>
        </xdr:cNvSpPr>
      </xdr:nvSpPr>
      <xdr:spPr bwMode="auto">
        <a:xfrm>
          <a:off x="161925" y="2809875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19</xdr:row>
      <xdr:rowOff>0</xdr:rowOff>
    </xdr:from>
    <xdr:to>
      <xdr:col>10</xdr:col>
      <xdr:colOff>0</xdr:colOff>
      <xdr:row>19</xdr:row>
      <xdr:rowOff>0</xdr:rowOff>
    </xdr:to>
    <xdr:sp macro="[0]!opmVoedPO" textlink="">
      <xdr:nvSpPr>
        <xdr:cNvPr id="70715" name="Rectangle 59"/>
        <xdr:cNvSpPr>
          <a:spLocks noChangeArrowheads="1"/>
        </xdr:cNvSpPr>
      </xdr:nvSpPr>
      <xdr:spPr bwMode="auto">
        <a:xfrm>
          <a:off x="190500" y="2809875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65</xdr:row>
      <xdr:rowOff>0</xdr:rowOff>
    </xdr:from>
    <xdr:to>
      <xdr:col>2</xdr:col>
      <xdr:colOff>666750</xdr:colOff>
      <xdr:row>65</xdr:row>
      <xdr:rowOff>0</xdr:rowOff>
    </xdr:to>
    <xdr:sp macro="[0]!opmIntakeMedIV" textlink="">
      <xdr:nvSpPr>
        <xdr:cNvPr id="70716" name="Rectangle 60"/>
        <xdr:cNvSpPr>
          <a:spLocks noChangeArrowheads="1"/>
        </xdr:cNvSpPr>
      </xdr:nvSpPr>
      <xdr:spPr bwMode="auto">
        <a:xfrm>
          <a:off x="390525" y="10077450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55</xdr:row>
      <xdr:rowOff>0</xdr:rowOff>
    </xdr:from>
    <xdr:to>
      <xdr:col>2</xdr:col>
      <xdr:colOff>142875</xdr:colOff>
      <xdr:row>55</xdr:row>
      <xdr:rowOff>123825</xdr:rowOff>
    </xdr:to>
    <xdr:sp macro="" textlink="">
      <xdr:nvSpPr>
        <xdr:cNvPr id="70717" name="Rectangle 61"/>
        <xdr:cNvSpPr>
          <a:spLocks noChangeArrowheads="1"/>
        </xdr:cNvSpPr>
      </xdr:nvSpPr>
      <xdr:spPr bwMode="auto">
        <a:xfrm>
          <a:off x="190500" y="8696325"/>
          <a:ext cx="3143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57</xdr:row>
      <xdr:rowOff>0</xdr:rowOff>
    </xdr:from>
    <xdr:to>
      <xdr:col>2</xdr:col>
      <xdr:colOff>142875</xdr:colOff>
      <xdr:row>57</xdr:row>
      <xdr:rowOff>123825</xdr:rowOff>
    </xdr:to>
    <xdr:sp macro="" textlink="">
      <xdr:nvSpPr>
        <xdr:cNvPr id="70718" name="Rectangle 62"/>
        <xdr:cNvSpPr>
          <a:spLocks noChangeArrowheads="1"/>
        </xdr:cNvSpPr>
      </xdr:nvSpPr>
      <xdr:spPr bwMode="auto">
        <a:xfrm>
          <a:off x="190500" y="8934450"/>
          <a:ext cx="31432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58</xdr:row>
      <xdr:rowOff>0</xdr:rowOff>
    </xdr:from>
    <xdr:to>
      <xdr:col>2</xdr:col>
      <xdr:colOff>142875</xdr:colOff>
      <xdr:row>58</xdr:row>
      <xdr:rowOff>123825</xdr:rowOff>
    </xdr:to>
    <xdr:sp macro="" textlink="">
      <xdr:nvSpPr>
        <xdr:cNvPr id="70719" name="Rectangle 63"/>
        <xdr:cNvSpPr>
          <a:spLocks noChangeArrowheads="1"/>
        </xdr:cNvSpPr>
      </xdr:nvSpPr>
      <xdr:spPr bwMode="auto">
        <a:xfrm>
          <a:off x="190500" y="9020175"/>
          <a:ext cx="31432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65</xdr:row>
      <xdr:rowOff>0</xdr:rowOff>
    </xdr:from>
    <xdr:to>
      <xdr:col>10</xdr:col>
      <xdr:colOff>0</xdr:colOff>
      <xdr:row>65</xdr:row>
      <xdr:rowOff>0</xdr:rowOff>
    </xdr:to>
    <xdr:sp macro="[0]!opmIntakeMedIV" textlink="">
      <xdr:nvSpPr>
        <xdr:cNvPr id="70720" name="Rectangle 64"/>
        <xdr:cNvSpPr>
          <a:spLocks noChangeArrowheads="1"/>
        </xdr:cNvSpPr>
      </xdr:nvSpPr>
      <xdr:spPr bwMode="auto">
        <a:xfrm>
          <a:off x="190500" y="10077450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35</xdr:row>
      <xdr:rowOff>95250</xdr:rowOff>
    </xdr:from>
    <xdr:to>
      <xdr:col>9</xdr:col>
      <xdr:colOff>695325</xdr:colOff>
      <xdr:row>36</xdr:row>
      <xdr:rowOff>152400</xdr:rowOff>
    </xdr:to>
    <xdr:sp macro="[0]!opmVoedPO" textlink="">
      <xdr:nvSpPr>
        <xdr:cNvPr id="70721" name="Rectangle 65"/>
        <xdr:cNvSpPr>
          <a:spLocks noChangeArrowheads="1"/>
        </xdr:cNvSpPr>
      </xdr:nvSpPr>
      <xdr:spPr bwMode="auto">
        <a:xfrm>
          <a:off x="171450" y="5514975"/>
          <a:ext cx="61817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65</xdr:row>
      <xdr:rowOff>0</xdr:rowOff>
    </xdr:from>
    <xdr:to>
      <xdr:col>9</xdr:col>
      <xdr:colOff>742950</xdr:colOff>
      <xdr:row>65</xdr:row>
      <xdr:rowOff>0</xdr:rowOff>
    </xdr:to>
    <xdr:sp macro="[0]!opmAfsprInfusen" textlink="">
      <xdr:nvSpPr>
        <xdr:cNvPr id="70722" name="Rectangle 66"/>
        <xdr:cNvSpPr>
          <a:spLocks noChangeArrowheads="1"/>
        </xdr:cNvSpPr>
      </xdr:nvSpPr>
      <xdr:spPr bwMode="auto">
        <a:xfrm>
          <a:off x="190500" y="10077450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0</xdr:rowOff>
    </xdr:from>
    <xdr:to>
      <xdr:col>10</xdr:col>
      <xdr:colOff>28575</xdr:colOff>
      <xdr:row>65</xdr:row>
      <xdr:rowOff>0</xdr:rowOff>
    </xdr:to>
    <xdr:sp macro="[0]!opmAfsprMedIV_1" textlink="">
      <xdr:nvSpPr>
        <xdr:cNvPr id="70723" name="Rectangle 67"/>
        <xdr:cNvSpPr>
          <a:spLocks noChangeArrowheads="1"/>
        </xdr:cNvSpPr>
      </xdr:nvSpPr>
      <xdr:spPr bwMode="auto">
        <a:xfrm>
          <a:off x="180975" y="10077450"/>
          <a:ext cx="6219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44</xdr:row>
      <xdr:rowOff>9525</xdr:rowOff>
    </xdr:from>
    <xdr:to>
      <xdr:col>9</xdr:col>
      <xdr:colOff>742950</xdr:colOff>
      <xdr:row>46</xdr:row>
      <xdr:rowOff>0</xdr:rowOff>
    </xdr:to>
    <xdr:sp macro="[0]!mInvoer.opmOverig_1" textlink="">
      <xdr:nvSpPr>
        <xdr:cNvPr id="70724" name="Rectangle 68"/>
        <xdr:cNvSpPr>
          <a:spLocks noChangeArrowheads="1"/>
        </xdr:cNvSpPr>
      </xdr:nvSpPr>
      <xdr:spPr bwMode="auto">
        <a:xfrm>
          <a:off x="314325" y="6905625"/>
          <a:ext cx="60579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55</xdr:row>
      <xdr:rowOff>19050</xdr:rowOff>
    </xdr:from>
    <xdr:to>
      <xdr:col>9</xdr:col>
      <xdr:colOff>742950</xdr:colOff>
      <xdr:row>58</xdr:row>
      <xdr:rowOff>133350</xdr:rowOff>
    </xdr:to>
    <xdr:sp macro="[0]!opmOverig_2" textlink="">
      <xdr:nvSpPr>
        <xdr:cNvPr id="70725" name="Rectangle 69"/>
        <xdr:cNvSpPr>
          <a:spLocks noChangeArrowheads="1"/>
        </xdr:cNvSpPr>
      </xdr:nvSpPr>
      <xdr:spPr bwMode="auto">
        <a:xfrm>
          <a:off x="200025" y="8715375"/>
          <a:ext cx="61722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65</xdr:row>
      <xdr:rowOff>0</xdr:rowOff>
    </xdr:from>
    <xdr:to>
      <xdr:col>4</xdr:col>
      <xdr:colOff>161925</xdr:colOff>
      <xdr:row>65</xdr:row>
      <xdr:rowOff>0</xdr:rowOff>
    </xdr:to>
    <xdr:sp macro="[0]!gaNaarMedicatieIV" textlink="">
      <xdr:nvSpPr>
        <xdr:cNvPr id="70726" name="Rectangle 70"/>
        <xdr:cNvSpPr>
          <a:spLocks noChangeArrowheads="1"/>
        </xdr:cNvSpPr>
      </xdr:nvSpPr>
      <xdr:spPr bwMode="auto">
        <a:xfrm>
          <a:off x="171450" y="10077450"/>
          <a:ext cx="19621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65</xdr:row>
      <xdr:rowOff>0</xdr:rowOff>
    </xdr:from>
    <xdr:to>
      <xdr:col>2</xdr:col>
      <xdr:colOff>676275</xdr:colOff>
      <xdr:row>65</xdr:row>
      <xdr:rowOff>0</xdr:rowOff>
    </xdr:to>
    <xdr:sp macro="[0]!gaNaarInfusen" textlink="">
      <xdr:nvSpPr>
        <xdr:cNvPr id="70727" name="Rectangle 71"/>
        <xdr:cNvSpPr>
          <a:spLocks noChangeArrowheads="1"/>
        </xdr:cNvSpPr>
      </xdr:nvSpPr>
      <xdr:spPr bwMode="auto">
        <a:xfrm>
          <a:off x="152400" y="10077450"/>
          <a:ext cx="885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46</xdr:row>
      <xdr:rowOff>142875</xdr:rowOff>
    </xdr:from>
    <xdr:to>
      <xdr:col>2</xdr:col>
      <xdr:colOff>723900</xdr:colOff>
      <xdr:row>47</xdr:row>
      <xdr:rowOff>142875</xdr:rowOff>
    </xdr:to>
    <xdr:sp macro="[0]!gaNaarInfusen" textlink="">
      <xdr:nvSpPr>
        <xdr:cNvPr id="70728" name="Rectangle 72"/>
        <xdr:cNvSpPr>
          <a:spLocks noChangeArrowheads="1"/>
        </xdr:cNvSpPr>
      </xdr:nvSpPr>
      <xdr:spPr bwMode="auto">
        <a:xfrm>
          <a:off x="200025" y="7362825"/>
          <a:ext cx="885825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29</xdr:row>
      <xdr:rowOff>66675</xdr:rowOff>
    </xdr:from>
    <xdr:to>
      <xdr:col>2</xdr:col>
      <xdr:colOff>495300</xdr:colOff>
      <xdr:row>30</xdr:row>
      <xdr:rowOff>123825</xdr:rowOff>
    </xdr:to>
    <xdr:sp macro="[0]!gaNaarIntake" textlink="">
      <xdr:nvSpPr>
        <xdr:cNvPr id="70729" name="Rectangle 73"/>
        <xdr:cNvSpPr>
          <a:spLocks noChangeArrowheads="1"/>
        </xdr:cNvSpPr>
      </xdr:nvSpPr>
      <xdr:spPr bwMode="auto">
        <a:xfrm>
          <a:off x="171450" y="4495800"/>
          <a:ext cx="685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65</xdr:row>
      <xdr:rowOff>0</xdr:rowOff>
    </xdr:from>
    <xdr:to>
      <xdr:col>2</xdr:col>
      <xdr:colOff>485775</xdr:colOff>
      <xdr:row>65</xdr:row>
      <xdr:rowOff>0</xdr:rowOff>
    </xdr:to>
    <xdr:sp macro="[0]!gaNaarIntake" textlink="">
      <xdr:nvSpPr>
        <xdr:cNvPr id="70730" name="Rectangle 74"/>
        <xdr:cNvSpPr>
          <a:spLocks noChangeArrowheads="1"/>
        </xdr:cNvSpPr>
      </xdr:nvSpPr>
      <xdr:spPr bwMode="auto">
        <a:xfrm>
          <a:off x="161925" y="10077450"/>
          <a:ext cx="685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38</xdr:row>
      <xdr:rowOff>0</xdr:rowOff>
    </xdr:from>
    <xdr:to>
      <xdr:col>2</xdr:col>
      <xdr:colOff>295275</xdr:colOff>
      <xdr:row>38</xdr:row>
      <xdr:rowOff>142875</xdr:rowOff>
    </xdr:to>
    <xdr:sp macro="[0]!gaNaarLab" textlink="">
      <xdr:nvSpPr>
        <xdr:cNvPr id="70731" name="Rectangle 75"/>
        <xdr:cNvSpPr>
          <a:spLocks noChangeArrowheads="1"/>
        </xdr:cNvSpPr>
      </xdr:nvSpPr>
      <xdr:spPr bwMode="auto">
        <a:xfrm>
          <a:off x="133350" y="5905500"/>
          <a:ext cx="5238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0</xdr:rowOff>
    </xdr:from>
    <xdr:to>
      <xdr:col>9</xdr:col>
      <xdr:colOff>742950</xdr:colOff>
      <xdr:row>65</xdr:row>
      <xdr:rowOff>0</xdr:rowOff>
    </xdr:to>
    <xdr:sp macro="[0]!opmAfsprMedIV_1" textlink="">
      <xdr:nvSpPr>
        <xdr:cNvPr id="70732" name="Rectangle 76"/>
        <xdr:cNvSpPr>
          <a:spLocks noChangeArrowheads="1"/>
        </xdr:cNvSpPr>
      </xdr:nvSpPr>
      <xdr:spPr bwMode="auto">
        <a:xfrm>
          <a:off x="180975" y="10077450"/>
          <a:ext cx="61912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35</xdr:row>
      <xdr:rowOff>123825</xdr:rowOff>
    </xdr:from>
    <xdr:to>
      <xdr:col>10</xdr:col>
      <xdr:colOff>9525</xdr:colOff>
      <xdr:row>37</xdr:row>
      <xdr:rowOff>9525</xdr:rowOff>
    </xdr:to>
    <xdr:sp macro="[0]!opmVoedPO" textlink="">
      <xdr:nvSpPr>
        <xdr:cNvPr id="70733" name="Rectangle 77"/>
        <xdr:cNvSpPr>
          <a:spLocks noChangeArrowheads="1"/>
        </xdr:cNvSpPr>
      </xdr:nvSpPr>
      <xdr:spPr bwMode="auto">
        <a:xfrm>
          <a:off x="200025" y="5543550"/>
          <a:ext cx="61817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0</xdr:rowOff>
    </xdr:from>
    <xdr:to>
      <xdr:col>10</xdr:col>
      <xdr:colOff>28575</xdr:colOff>
      <xdr:row>65</xdr:row>
      <xdr:rowOff>0</xdr:rowOff>
    </xdr:to>
    <xdr:sp macro="[0]!opmAfsprMedIV_1" textlink="">
      <xdr:nvSpPr>
        <xdr:cNvPr id="70734" name="Rectangle 78"/>
        <xdr:cNvSpPr>
          <a:spLocks noChangeArrowheads="1"/>
        </xdr:cNvSpPr>
      </xdr:nvSpPr>
      <xdr:spPr bwMode="auto">
        <a:xfrm>
          <a:off x="180975" y="10077450"/>
          <a:ext cx="6219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123</xdr:row>
      <xdr:rowOff>9525</xdr:rowOff>
    </xdr:from>
    <xdr:to>
      <xdr:col>2</xdr:col>
      <xdr:colOff>666750</xdr:colOff>
      <xdr:row>124</xdr:row>
      <xdr:rowOff>0</xdr:rowOff>
    </xdr:to>
    <xdr:sp macro="[0]!opmIntakeMedIV" textlink="">
      <xdr:nvSpPr>
        <xdr:cNvPr id="70735" name="Rectangle 79"/>
        <xdr:cNvSpPr>
          <a:spLocks noChangeArrowheads="1"/>
        </xdr:cNvSpPr>
      </xdr:nvSpPr>
      <xdr:spPr bwMode="auto">
        <a:xfrm>
          <a:off x="390525" y="19535775"/>
          <a:ext cx="6381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122</xdr:row>
      <xdr:rowOff>104775</xdr:rowOff>
    </xdr:from>
    <xdr:to>
      <xdr:col>10</xdr:col>
      <xdr:colOff>0</xdr:colOff>
      <xdr:row>123</xdr:row>
      <xdr:rowOff>142875</xdr:rowOff>
    </xdr:to>
    <xdr:sp macro="[0]!opmIntakeMedIV" textlink="">
      <xdr:nvSpPr>
        <xdr:cNvPr id="70736" name="Rectangle 80"/>
        <xdr:cNvSpPr>
          <a:spLocks noChangeArrowheads="1"/>
        </xdr:cNvSpPr>
      </xdr:nvSpPr>
      <xdr:spPr bwMode="auto">
        <a:xfrm>
          <a:off x="190500" y="19469100"/>
          <a:ext cx="61817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76</xdr:row>
      <xdr:rowOff>76200</xdr:rowOff>
    </xdr:from>
    <xdr:to>
      <xdr:col>9</xdr:col>
      <xdr:colOff>742950</xdr:colOff>
      <xdr:row>77</xdr:row>
      <xdr:rowOff>142875</xdr:rowOff>
    </xdr:to>
    <xdr:sp macro="[0]!opmAfsprInfusen" textlink="">
      <xdr:nvSpPr>
        <xdr:cNvPr id="70737" name="Rectangle 81"/>
        <xdr:cNvSpPr>
          <a:spLocks noChangeArrowheads="1"/>
        </xdr:cNvSpPr>
      </xdr:nvSpPr>
      <xdr:spPr bwMode="auto">
        <a:xfrm>
          <a:off x="190500" y="11953875"/>
          <a:ext cx="61817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115</xdr:row>
      <xdr:rowOff>9525</xdr:rowOff>
    </xdr:from>
    <xdr:to>
      <xdr:col>10</xdr:col>
      <xdr:colOff>28575</xdr:colOff>
      <xdr:row>116</xdr:row>
      <xdr:rowOff>19050</xdr:rowOff>
    </xdr:to>
    <xdr:sp macro="[0]!opmAfsprMedIV_1" textlink="">
      <xdr:nvSpPr>
        <xdr:cNvPr id="70738" name="Rectangle 82"/>
        <xdr:cNvSpPr>
          <a:spLocks noChangeArrowheads="1"/>
        </xdr:cNvSpPr>
      </xdr:nvSpPr>
      <xdr:spPr bwMode="auto">
        <a:xfrm>
          <a:off x="180975" y="18240375"/>
          <a:ext cx="6219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79</xdr:row>
      <xdr:rowOff>114300</xdr:rowOff>
    </xdr:from>
    <xdr:to>
      <xdr:col>4</xdr:col>
      <xdr:colOff>161925</xdr:colOff>
      <xdr:row>80</xdr:row>
      <xdr:rowOff>142875</xdr:rowOff>
    </xdr:to>
    <xdr:sp macro="[0]!gaNaarMedicatieIV" textlink="">
      <xdr:nvSpPr>
        <xdr:cNvPr id="70739" name="Rectangle 83"/>
        <xdr:cNvSpPr>
          <a:spLocks noChangeArrowheads="1"/>
        </xdr:cNvSpPr>
      </xdr:nvSpPr>
      <xdr:spPr bwMode="auto">
        <a:xfrm>
          <a:off x="171450" y="12477750"/>
          <a:ext cx="19621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68</xdr:row>
      <xdr:rowOff>114300</xdr:rowOff>
    </xdr:from>
    <xdr:to>
      <xdr:col>2</xdr:col>
      <xdr:colOff>676275</xdr:colOff>
      <xdr:row>70</xdr:row>
      <xdr:rowOff>9525</xdr:rowOff>
    </xdr:to>
    <xdr:sp macro="[0]!gaNaarInfusen" textlink="">
      <xdr:nvSpPr>
        <xdr:cNvPr id="70740" name="Rectangle 84"/>
        <xdr:cNvSpPr>
          <a:spLocks noChangeArrowheads="1"/>
        </xdr:cNvSpPr>
      </xdr:nvSpPr>
      <xdr:spPr bwMode="auto">
        <a:xfrm>
          <a:off x="152400" y="10677525"/>
          <a:ext cx="88582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100</xdr:row>
      <xdr:rowOff>0</xdr:rowOff>
    </xdr:from>
    <xdr:to>
      <xdr:col>2</xdr:col>
      <xdr:colOff>485775</xdr:colOff>
      <xdr:row>100</xdr:row>
      <xdr:rowOff>142875</xdr:rowOff>
    </xdr:to>
    <xdr:sp macro="[0]!gaNaarIntake" textlink="">
      <xdr:nvSpPr>
        <xdr:cNvPr id="70741" name="Rectangle 85"/>
        <xdr:cNvSpPr>
          <a:spLocks noChangeArrowheads="1"/>
        </xdr:cNvSpPr>
      </xdr:nvSpPr>
      <xdr:spPr bwMode="auto">
        <a:xfrm>
          <a:off x="161925" y="15782925"/>
          <a:ext cx="68580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97</xdr:row>
      <xdr:rowOff>123825</xdr:rowOff>
    </xdr:from>
    <xdr:to>
      <xdr:col>9</xdr:col>
      <xdr:colOff>742950</xdr:colOff>
      <xdr:row>99</xdr:row>
      <xdr:rowOff>9525</xdr:rowOff>
    </xdr:to>
    <xdr:sp macro="[0]!opmAfsprMedIV_1" textlink="">
      <xdr:nvSpPr>
        <xdr:cNvPr id="70742" name="Rectangle 86"/>
        <xdr:cNvSpPr>
          <a:spLocks noChangeArrowheads="1"/>
        </xdr:cNvSpPr>
      </xdr:nvSpPr>
      <xdr:spPr bwMode="auto">
        <a:xfrm>
          <a:off x="180975" y="15420975"/>
          <a:ext cx="61912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115</xdr:row>
      <xdr:rowOff>9525</xdr:rowOff>
    </xdr:from>
    <xdr:to>
      <xdr:col>10</xdr:col>
      <xdr:colOff>28575</xdr:colOff>
      <xdr:row>116</xdr:row>
      <xdr:rowOff>19050</xdr:rowOff>
    </xdr:to>
    <xdr:sp macro="[0]!opmAfsprMedIV_1" textlink="">
      <xdr:nvSpPr>
        <xdr:cNvPr id="70743" name="Rectangle 87"/>
        <xdr:cNvSpPr>
          <a:spLocks noChangeArrowheads="1"/>
        </xdr:cNvSpPr>
      </xdr:nvSpPr>
      <xdr:spPr bwMode="auto">
        <a:xfrm>
          <a:off x="180975" y="18240375"/>
          <a:ext cx="6219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16</xdr:row>
      <xdr:rowOff>0</xdr:rowOff>
    </xdr:from>
    <xdr:to>
      <xdr:col>2</xdr:col>
      <xdr:colOff>666750</xdr:colOff>
      <xdr:row>16</xdr:row>
      <xdr:rowOff>0</xdr:rowOff>
    </xdr:to>
    <xdr:sp macro="[0]!opmAfsprInfusen" textlink="">
      <xdr:nvSpPr>
        <xdr:cNvPr id="71681" name="Rectangle 1"/>
        <xdr:cNvSpPr>
          <a:spLocks noChangeArrowheads="1"/>
        </xdr:cNvSpPr>
      </xdr:nvSpPr>
      <xdr:spPr bwMode="auto">
        <a:xfrm>
          <a:off x="390525" y="2609850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2</xdr:col>
      <xdr:colOff>666750</xdr:colOff>
      <xdr:row>16</xdr:row>
      <xdr:rowOff>0</xdr:rowOff>
    </xdr:to>
    <xdr:sp macro="[0]!opmAfsprMedIV_1" textlink="">
      <xdr:nvSpPr>
        <xdr:cNvPr id="71682" name="Rectangle 2"/>
        <xdr:cNvSpPr>
          <a:spLocks noChangeArrowheads="1"/>
        </xdr:cNvSpPr>
      </xdr:nvSpPr>
      <xdr:spPr bwMode="auto">
        <a:xfrm>
          <a:off x="390525" y="2609850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2</xdr:col>
      <xdr:colOff>666750</xdr:colOff>
      <xdr:row>16</xdr:row>
      <xdr:rowOff>0</xdr:rowOff>
    </xdr:to>
    <xdr:sp macro="[0]!opmAfsprMedIV_2" textlink="">
      <xdr:nvSpPr>
        <xdr:cNvPr id="71683" name="Rectangle 3"/>
        <xdr:cNvSpPr>
          <a:spLocks noChangeArrowheads="1"/>
        </xdr:cNvSpPr>
      </xdr:nvSpPr>
      <xdr:spPr bwMode="auto">
        <a:xfrm>
          <a:off x="390525" y="2609850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2</xdr:col>
      <xdr:colOff>666750</xdr:colOff>
      <xdr:row>16</xdr:row>
      <xdr:rowOff>0</xdr:rowOff>
    </xdr:to>
    <xdr:sp macro="[0]!opmAfsprMedIV_3" textlink="">
      <xdr:nvSpPr>
        <xdr:cNvPr id="71684" name="Rectangle 4"/>
        <xdr:cNvSpPr>
          <a:spLocks noChangeArrowheads="1"/>
        </xdr:cNvSpPr>
      </xdr:nvSpPr>
      <xdr:spPr bwMode="auto">
        <a:xfrm>
          <a:off x="390525" y="2609850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2</xdr:col>
      <xdr:colOff>666750</xdr:colOff>
      <xdr:row>16</xdr:row>
      <xdr:rowOff>0</xdr:rowOff>
    </xdr:to>
    <xdr:sp macro="[0]!opmAfsprMedIV_4" textlink="">
      <xdr:nvSpPr>
        <xdr:cNvPr id="71685" name="Rectangle 5"/>
        <xdr:cNvSpPr>
          <a:spLocks noChangeArrowheads="1"/>
        </xdr:cNvSpPr>
      </xdr:nvSpPr>
      <xdr:spPr bwMode="auto">
        <a:xfrm>
          <a:off x="390525" y="2609850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2</xdr:col>
      <xdr:colOff>666750</xdr:colOff>
      <xdr:row>16</xdr:row>
      <xdr:rowOff>0</xdr:rowOff>
    </xdr:to>
    <xdr:sp macro="[0]!opmAfsprMedIV_5" textlink="">
      <xdr:nvSpPr>
        <xdr:cNvPr id="71686" name="Rectangle 6"/>
        <xdr:cNvSpPr>
          <a:spLocks noChangeArrowheads="1"/>
        </xdr:cNvSpPr>
      </xdr:nvSpPr>
      <xdr:spPr bwMode="auto">
        <a:xfrm>
          <a:off x="390525" y="2609850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[0]!opmOverig_1" textlink="">
      <xdr:nvSpPr>
        <xdr:cNvPr id="71687" name="Rectangle 7"/>
        <xdr:cNvSpPr>
          <a:spLocks noChangeArrowheads="1"/>
        </xdr:cNvSpPr>
      </xdr:nvSpPr>
      <xdr:spPr bwMode="auto">
        <a:xfrm>
          <a:off x="190500" y="2609850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1688" name="Rectangle 8"/>
        <xdr:cNvSpPr>
          <a:spLocks noChangeArrowheads="1"/>
        </xdr:cNvSpPr>
      </xdr:nvSpPr>
      <xdr:spPr bwMode="auto">
        <a:xfrm>
          <a:off x="190500" y="2609850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1689" name="Rectangle 9"/>
        <xdr:cNvSpPr>
          <a:spLocks noChangeArrowheads="1"/>
        </xdr:cNvSpPr>
      </xdr:nvSpPr>
      <xdr:spPr bwMode="auto">
        <a:xfrm>
          <a:off x="190500" y="2609850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1690" name="Rectangle 10"/>
        <xdr:cNvSpPr>
          <a:spLocks noChangeArrowheads="1"/>
        </xdr:cNvSpPr>
      </xdr:nvSpPr>
      <xdr:spPr bwMode="auto">
        <a:xfrm>
          <a:off x="190500" y="2609850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[0]!opmOverig_2" textlink="">
      <xdr:nvSpPr>
        <xdr:cNvPr id="71691" name="Rectangle 11"/>
        <xdr:cNvSpPr>
          <a:spLocks noChangeArrowheads="1"/>
        </xdr:cNvSpPr>
      </xdr:nvSpPr>
      <xdr:spPr bwMode="auto">
        <a:xfrm>
          <a:off x="190500" y="2609850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2</xdr:col>
      <xdr:colOff>666750</xdr:colOff>
      <xdr:row>16</xdr:row>
      <xdr:rowOff>0</xdr:rowOff>
    </xdr:to>
    <xdr:sp macro="[0]!opmVoedPO" textlink="">
      <xdr:nvSpPr>
        <xdr:cNvPr id="71698" name="Rectangle 18"/>
        <xdr:cNvSpPr>
          <a:spLocks noChangeArrowheads="1"/>
        </xdr:cNvSpPr>
      </xdr:nvSpPr>
      <xdr:spPr bwMode="auto">
        <a:xfrm>
          <a:off x="390525" y="2609850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16</xdr:row>
      <xdr:rowOff>0</xdr:rowOff>
    </xdr:from>
    <xdr:to>
      <xdr:col>9</xdr:col>
      <xdr:colOff>609600</xdr:colOff>
      <xdr:row>16</xdr:row>
      <xdr:rowOff>0</xdr:rowOff>
    </xdr:to>
    <xdr:sp macro="[0]!opmOverig_1" textlink="">
      <xdr:nvSpPr>
        <xdr:cNvPr id="71705" name="Rectangle 25"/>
        <xdr:cNvSpPr>
          <a:spLocks noChangeArrowheads="1"/>
        </xdr:cNvSpPr>
      </xdr:nvSpPr>
      <xdr:spPr bwMode="auto">
        <a:xfrm>
          <a:off x="371475" y="2609850"/>
          <a:ext cx="58959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1706" name="Rectangle 26"/>
        <xdr:cNvSpPr>
          <a:spLocks noChangeArrowheads="1"/>
        </xdr:cNvSpPr>
      </xdr:nvSpPr>
      <xdr:spPr bwMode="auto">
        <a:xfrm>
          <a:off x="190500" y="2609850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1707" name="Rectangle 27"/>
        <xdr:cNvSpPr>
          <a:spLocks noChangeArrowheads="1"/>
        </xdr:cNvSpPr>
      </xdr:nvSpPr>
      <xdr:spPr bwMode="auto">
        <a:xfrm>
          <a:off x="190500" y="2609850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1708" name="Rectangle 28"/>
        <xdr:cNvSpPr>
          <a:spLocks noChangeArrowheads="1"/>
        </xdr:cNvSpPr>
      </xdr:nvSpPr>
      <xdr:spPr bwMode="auto">
        <a:xfrm>
          <a:off x="190500" y="2609850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9</xdr:col>
      <xdr:colOff>723900</xdr:colOff>
      <xdr:row>16</xdr:row>
      <xdr:rowOff>0</xdr:rowOff>
    </xdr:to>
    <xdr:sp macro="[0]!opmOverig_1" textlink="">
      <xdr:nvSpPr>
        <xdr:cNvPr id="71709" name="Rectangle 29"/>
        <xdr:cNvSpPr>
          <a:spLocks noChangeArrowheads="1"/>
        </xdr:cNvSpPr>
      </xdr:nvSpPr>
      <xdr:spPr bwMode="auto">
        <a:xfrm>
          <a:off x="390525" y="2609850"/>
          <a:ext cx="5981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114300</xdr:rowOff>
    </xdr:from>
    <xdr:to>
      <xdr:col>9</xdr:col>
      <xdr:colOff>742950</xdr:colOff>
      <xdr:row>17</xdr:row>
      <xdr:rowOff>0</xdr:rowOff>
    </xdr:to>
    <xdr:sp macro="[0]!opmAfsprBeademing" textlink="">
      <xdr:nvSpPr>
        <xdr:cNvPr id="71711" name="Rectangle 31"/>
        <xdr:cNvSpPr>
          <a:spLocks noChangeArrowheads="1"/>
        </xdr:cNvSpPr>
      </xdr:nvSpPr>
      <xdr:spPr bwMode="auto">
        <a:xfrm>
          <a:off x="180975" y="2562225"/>
          <a:ext cx="61912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4</xdr:row>
      <xdr:rowOff>0</xdr:rowOff>
    </xdr:from>
    <xdr:to>
      <xdr:col>2</xdr:col>
      <xdr:colOff>752475</xdr:colOff>
      <xdr:row>4</xdr:row>
      <xdr:rowOff>133350</xdr:rowOff>
    </xdr:to>
    <xdr:sp macro="[0]!gaNaarBeademing" textlink="">
      <xdr:nvSpPr>
        <xdr:cNvPr id="71712" name="Rectangle 32"/>
        <xdr:cNvSpPr>
          <a:spLocks noChangeArrowheads="1"/>
        </xdr:cNvSpPr>
      </xdr:nvSpPr>
      <xdr:spPr bwMode="auto">
        <a:xfrm>
          <a:off x="152400" y="647700"/>
          <a:ext cx="96202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19</xdr:row>
      <xdr:rowOff>0</xdr:rowOff>
    </xdr:from>
    <xdr:to>
      <xdr:col>2</xdr:col>
      <xdr:colOff>666750</xdr:colOff>
      <xdr:row>19</xdr:row>
      <xdr:rowOff>0</xdr:rowOff>
    </xdr:to>
    <xdr:sp macro="[0]!opmIntakeMedIV" textlink="">
      <xdr:nvSpPr>
        <xdr:cNvPr id="71713" name="Rectangle 33"/>
        <xdr:cNvSpPr>
          <a:spLocks noChangeArrowheads="1"/>
        </xdr:cNvSpPr>
      </xdr:nvSpPr>
      <xdr:spPr bwMode="auto">
        <a:xfrm>
          <a:off x="390525" y="3095625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19</xdr:row>
      <xdr:rowOff>0</xdr:rowOff>
    </xdr:from>
    <xdr:to>
      <xdr:col>2</xdr:col>
      <xdr:colOff>142875</xdr:colOff>
      <xdr:row>19</xdr:row>
      <xdr:rowOff>0</xdr:rowOff>
    </xdr:to>
    <xdr:sp macro="" textlink="">
      <xdr:nvSpPr>
        <xdr:cNvPr id="71714" name="Rectangle 34"/>
        <xdr:cNvSpPr>
          <a:spLocks noChangeArrowheads="1"/>
        </xdr:cNvSpPr>
      </xdr:nvSpPr>
      <xdr:spPr bwMode="auto">
        <a:xfrm>
          <a:off x="190500" y="309562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19</xdr:row>
      <xdr:rowOff>0</xdr:rowOff>
    </xdr:from>
    <xdr:to>
      <xdr:col>2</xdr:col>
      <xdr:colOff>142875</xdr:colOff>
      <xdr:row>19</xdr:row>
      <xdr:rowOff>0</xdr:rowOff>
    </xdr:to>
    <xdr:sp macro="" textlink="">
      <xdr:nvSpPr>
        <xdr:cNvPr id="71715" name="Rectangle 35"/>
        <xdr:cNvSpPr>
          <a:spLocks noChangeArrowheads="1"/>
        </xdr:cNvSpPr>
      </xdr:nvSpPr>
      <xdr:spPr bwMode="auto">
        <a:xfrm>
          <a:off x="190500" y="309562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19</xdr:row>
      <xdr:rowOff>0</xdr:rowOff>
    </xdr:from>
    <xdr:to>
      <xdr:col>2</xdr:col>
      <xdr:colOff>142875</xdr:colOff>
      <xdr:row>19</xdr:row>
      <xdr:rowOff>0</xdr:rowOff>
    </xdr:to>
    <xdr:sp macro="" textlink="">
      <xdr:nvSpPr>
        <xdr:cNvPr id="71716" name="Rectangle 36"/>
        <xdr:cNvSpPr>
          <a:spLocks noChangeArrowheads="1"/>
        </xdr:cNvSpPr>
      </xdr:nvSpPr>
      <xdr:spPr bwMode="auto">
        <a:xfrm>
          <a:off x="190500" y="309562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19</xdr:row>
      <xdr:rowOff>0</xdr:rowOff>
    </xdr:from>
    <xdr:to>
      <xdr:col>10</xdr:col>
      <xdr:colOff>0</xdr:colOff>
      <xdr:row>19</xdr:row>
      <xdr:rowOff>0</xdr:rowOff>
    </xdr:to>
    <xdr:sp macro="[0]!opmIntakeMedIV" textlink="">
      <xdr:nvSpPr>
        <xdr:cNvPr id="71717" name="Rectangle 37"/>
        <xdr:cNvSpPr>
          <a:spLocks noChangeArrowheads="1"/>
        </xdr:cNvSpPr>
      </xdr:nvSpPr>
      <xdr:spPr bwMode="auto">
        <a:xfrm>
          <a:off x="190500" y="3095625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47625</xdr:colOff>
      <xdr:row>19</xdr:row>
      <xdr:rowOff>0</xdr:rowOff>
    </xdr:from>
    <xdr:to>
      <xdr:col>10</xdr:col>
      <xdr:colOff>38100</xdr:colOff>
      <xdr:row>19</xdr:row>
      <xdr:rowOff>0</xdr:rowOff>
    </xdr:to>
    <xdr:sp macro="[0]!opmVoedPO" textlink="">
      <xdr:nvSpPr>
        <xdr:cNvPr id="71718" name="Rectangle 38"/>
        <xdr:cNvSpPr>
          <a:spLocks noChangeArrowheads="1"/>
        </xdr:cNvSpPr>
      </xdr:nvSpPr>
      <xdr:spPr bwMode="auto">
        <a:xfrm>
          <a:off x="228600" y="3095625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19</xdr:row>
      <xdr:rowOff>0</xdr:rowOff>
    </xdr:from>
    <xdr:to>
      <xdr:col>9</xdr:col>
      <xdr:colOff>742950</xdr:colOff>
      <xdr:row>19</xdr:row>
      <xdr:rowOff>0</xdr:rowOff>
    </xdr:to>
    <xdr:sp macro="[0]!opmAfsprInfusen" textlink="">
      <xdr:nvSpPr>
        <xdr:cNvPr id="71719" name="Rectangle 39"/>
        <xdr:cNvSpPr>
          <a:spLocks noChangeArrowheads="1"/>
        </xdr:cNvSpPr>
      </xdr:nvSpPr>
      <xdr:spPr bwMode="auto">
        <a:xfrm>
          <a:off x="190500" y="3095625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0</xdr:rowOff>
    </xdr:from>
    <xdr:to>
      <xdr:col>10</xdr:col>
      <xdr:colOff>28575</xdr:colOff>
      <xdr:row>19</xdr:row>
      <xdr:rowOff>0</xdr:rowOff>
    </xdr:to>
    <xdr:sp macro="[0]!opmAfsprMedIV_1" textlink="">
      <xdr:nvSpPr>
        <xdr:cNvPr id="71720" name="Rectangle 40"/>
        <xdr:cNvSpPr>
          <a:spLocks noChangeArrowheads="1"/>
        </xdr:cNvSpPr>
      </xdr:nvSpPr>
      <xdr:spPr bwMode="auto">
        <a:xfrm>
          <a:off x="180975" y="3095625"/>
          <a:ext cx="6219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0</xdr:rowOff>
    </xdr:from>
    <xdr:to>
      <xdr:col>9</xdr:col>
      <xdr:colOff>742950</xdr:colOff>
      <xdr:row>19</xdr:row>
      <xdr:rowOff>0</xdr:rowOff>
    </xdr:to>
    <xdr:sp macro="[0]!mInvoer.opmOverig_1" textlink="">
      <xdr:nvSpPr>
        <xdr:cNvPr id="71721" name="Rectangle 41"/>
        <xdr:cNvSpPr>
          <a:spLocks noChangeArrowheads="1"/>
        </xdr:cNvSpPr>
      </xdr:nvSpPr>
      <xdr:spPr bwMode="auto">
        <a:xfrm>
          <a:off x="314325" y="3095625"/>
          <a:ext cx="6057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19</xdr:row>
      <xdr:rowOff>0</xdr:rowOff>
    </xdr:from>
    <xdr:to>
      <xdr:col>9</xdr:col>
      <xdr:colOff>742950</xdr:colOff>
      <xdr:row>19</xdr:row>
      <xdr:rowOff>0</xdr:rowOff>
    </xdr:to>
    <xdr:sp macro="[0]!opmOverig_2" textlink="">
      <xdr:nvSpPr>
        <xdr:cNvPr id="71722" name="Rectangle 42"/>
        <xdr:cNvSpPr>
          <a:spLocks noChangeArrowheads="1"/>
        </xdr:cNvSpPr>
      </xdr:nvSpPr>
      <xdr:spPr bwMode="auto">
        <a:xfrm>
          <a:off x="200025" y="3095625"/>
          <a:ext cx="61722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19</xdr:row>
      <xdr:rowOff>0</xdr:rowOff>
    </xdr:from>
    <xdr:to>
      <xdr:col>4</xdr:col>
      <xdr:colOff>161925</xdr:colOff>
      <xdr:row>19</xdr:row>
      <xdr:rowOff>0</xdr:rowOff>
    </xdr:to>
    <xdr:sp macro="[0]!gaNaarMedicatieIV" textlink="">
      <xdr:nvSpPr>
        <xdr:cNvPr id="71723" name="Rectangle 43"/>
        <xdr:cNvSpPr>
          <a:spLocks noChangeArrowheads="1"/>
        </xdr:cNvSpPr>
      </xdr:nvSpPr>
      <xdr:spPr bwMode="auto">
        <a:xfrm>
          <a:off x="171450" y="3095625"/>
          <a:ext cx="19621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19</xdr:row>
      <xdr:rowOff>0</xdr:rowOff>
    </xdr:from>
    <xdr:to>
      <xdr:col>2</xdr:col>
      <xdr:colOff>676275</xdr:colOff>
      <xdr:row>19</xdr:row>
      <xdr:rowOff>0</xdr:rowOff>
    </xdr:to>
    <xdr:sp macro="[0]!gaNaarInfusen" textlink="">
      <xdr:nvSpPr>
        <xdr:cNvPr id="71724" name="Rectangle 44"/>
        <xdr:cNvSpPr>
          <a:spLocks noChangeArrowheads="1"/>
        </xdr:cNvSpPr>
      </xdr:nvSpPr>
      <xdr:spPr bwMode="auto">
        <a:xfrm>
          <a:off x="152400" y="3095625"/>
          <a:ext cx="885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19</xdr:row>
      <xdr:rowOff>0</xdr:rowOff>
    </xdr:from>
    <xdr:to>
      <xdr:col>2</xdr:col>
      <xdr:colOff>723900</xdr:colOff>
      <xdr:row>19</xdr:row>
      <xdr:rowOff>0</xdr:rowOff>
    </xdr:to>
    <xdr:sp macro="[0]!gaNaarInfusen" textlink="">
      <xdr:nvSpPr>
        <xdr:cNvPr id="71725" name="Rectangle 45"/>
        <xdr:cNvSpPr>
          <a:spLocks noChangeArrowheads="1"/>
        </xdr:cNvSpPr>
      </xdr:nvSpPr>
      <xdr:spPr bwMode="auto">
        <a:xfrm>
          <a:off x="200025" y="3095625"/>
          <a:ext cx="885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19</xdr:row>
      <xdr:rowOff>0</xdr:rowOff>
    </xdr:from>
    <xdr:to>
      <xdr:col>2</xdr:col>
      <xdr:colOff>495300</xdr:colOff>
      <xdr:row>19</xdr:row>
      <xdr:rowOff>0</xdr:rowOff>
    </xdr:to>
    <xdr:sp macro="[0]!gaNaarIntake" textlink="">
      <xdr:nvSpPr>
        <xdr:cNvPr id="71726" name="Rectangle 46"/>
        <xdr:cNvSpPr>
          <a:spLocks noChangeArrowheads="1"/>
        </xdr:cNvSpPr>
      </xdr:nvSpPr>
      <xdr:spPr bwMode="auto">
        <a:xfrm>
          <a:off x="171450" y="3095625"/>
          <a:ext cx="685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19</xdr:row>
      <xdr:rowOff>0</xdr:rowOff>
    </xdr:from>
    <xdr:to>
      <xdr:col>2</xdr:col>
      <xdr:colOff>485775</xdr:colOff>
      <xdr:row>19</xdr:row>
      <xdr:rowOff>0</xdr:rowOff>
    </xdr:to>
    <xdr:sp macro="[0]!gaNaarIntake" textlink="">
      <xdr:nvSpPr>
        <xdr:cNvPr id="71727" name="Rectangle 47"/>
        <xdr:cNvSpPr>
          <a:spLocks noChangeArrowheads="1"/>
        </xdr:cNvSpPr>
      </xdr:nvSpPr>
      <xdr:spPr bwMode="auto">
        <a:xfrm>
          <a:off x="161925" y="3095625"/>
          <a:ext cx="685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19</xdr:row>
      <xdr:rowOff>0</xdr:rowOff>
    </xdr:from>
    <xdr:to>
      <xdr:col>2</xdr:col>
      <xdr:colOff>295275</xdr:colOff>
      <xdr:row>19</xdr:row>
      <xdr:rowOff>0</xdr:rowOff>
    </xdr:to>
    <xdr:sp macro="[0]!gaNaarLab" textlink="">
      <xdr:nvSpPr>
        <xdr:cNvPr id="71728" name="Rectangle 48"/>
        <xdr:cNvSpPr>
          <a:spLocks noChangeArrowheads="1"/>
        </xdr:cNvSpPr>
      </xdr:nvSpPr>
      <xdr:spPr bwMode="auto">
        <a:xfrm>
          <a:off x="133350" y="3095625"/>
          <a:ext cx="5238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19</xdr:row>
      <xdr:rowOff>0</xdr:rowOff>
    </xdr:from>
    <xdr:to>
      <xdr:col>9</xdr:col>
      <xdr:colOff>619125</xdr:colOff>
      <xdr:row>19</xdr:row>
      <xdr:rowOff>0</xdr:rowOff>
    </xdr:to>
    <xdr:sp macro="[0]!opmVoedPO" textlink="">
      <xdr:nvSpPr>
        <xdr:cNvPr id="71729" name="Rectangle 49"/>
        <xdr:cNvSpPr>
          <a:spLocks noChangeArrowheads="1"/>
        </xdr:cNvSpPr>
      </xdr:nvSpPr>
      <xdr:spPr bwMode="auto">
        <a:xfrm>
          <a:off x="219075" y="3095625"/>
          <a:ext cx="6057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0</xdr:rowOff>
    </xdr:from>
    <xdr:to>
      <xdr:col>10</xdr:col>
      <xdr:colOff>0</xdr:colOff>
      <xdr:row>19</xdr:row>
      <xdr:rowOff>0</xdr:rowOff>
    </xdr:to>
    <xdr:sp macro="[0]!opmAfsprMedIV_1" textlink="">
      <xdr:nvSpPr>
        <xdr:cNvPr id="71730" name="Rectangle 50"/>
        <xdr:cNvSpPr>
          <a:spLocks noChangeArrowheads="1"/>
        </xdr:cNvSpPr>
      </xdr:nvSpPr>
      <xdr:spPr bwMode="auto">
        <a:xfrm>
          <a:off x="314325" y="3095625"/>
          <a:ext cx="6057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65</xdr:row>
      <xdr:rowOff>0</xdr:rowOff>
    </xdr:from>
    <xdr:to>
      <xdr:col>2</xdr:col>
      <xdr:colOff>666750</xdr:colOff>
      <xdr:row>65</xdr:row>
      <xdr:rowOff>0</xdr:rowOff>
    </xdr:to>
    <xdr:sp macro="[0]!opmIntakeMedIV" textlink="">
      <xdr:nvSpPr>
        <xdr:cNvPr id="71731" name="Rectangle 51"/>
        <xdr:cNvSpPr>
          <a:spLocks noChangeArrowheads="1"/>
        </xdr:cNvSpPr>
      </xdr:nvSpPr>
      <xdr:spPr bwMode="auto">
        <a:xfrm>
          <a:off x="390525" y="10363200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55</xdr:row>
      <xdr:rowOff>0</xdr:rowOff>
    </xdr:from>
    <xdr:to>
      <xdr:col>2</xdr:col>
      <xdr:colOff>142875</xdr:colOff>
      <xdr:row>55</xdr:row>
      <xdr:rowOff>123825</xdr:rowOff>
    </xdr:to>
    <xdr:sp macro="" textlink="">
      <xdr:nvSpPr>
        <xdr:cNvPr id="71732" name="Rectangle 52"/>
        <xdr:cNvSpPr>
          <a:spLocks noChangeArrowheads="1"/>
        </xdr:cNvSpPr>
      </xdr:nvSpPr>
      <xdr:spPr bwMode="auto">
        <a:xfrm>
          <a:off x="190500" y="8982075"/>
          <a:ext cx="3143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57</xdr:row>
      <xdr:rowOff>0</xdr:rowOff>
    </xdr:from>
    <xdr:to>
      <xdr:col>2</xdr:col>
      <xdr:colOff>142875</xdr:colOff>
      <xdr:row>57</xdr:row>
      <xdr:rowOff>123825</xdr:rowOff>
    </xdr:to>
    <xdr:sp macro="" textlink="">
      <xdr:nvSpPr>
        <xdr:cNvPr id="71733" name="Rectangle 53"/>
        <xdr:cNvSpPr>
          <a:spLocks noChangeArrowheads="1"/>
        </xdr:cNvSpPr>
      </xdr:nvSpPr>
      <xdr:spPr bwMode="auto">
        <a:xfrm>
          <a:off x="190500" y="9220200"/>
          <a:ext cx="31432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58</xdr:row>
      <xdr:rowOff>0</xdr:rowOff>
    </xdr:from>
    <xdr:to>
      <xdr:col>2</xdr:col>
      <xdr:colOff>142875</xdr:colOff>
      <xdr:row>58</xdr:row>
      <xdr:rowOff>123825</xdr:rowOff>
    </xdr:to>
    <xdr:sp macro="" textlink="">
      <xdr:nvSpPr>
        <xdr:cNvPr id="71734" name="Rectangle 54"/>
        <xdr:cNvSpPr>
          <a:spLocks noChangeArrowheads="1"/>
        </xdr:cNvSpPr>
      </xdr:nvSpPr>
      <xdr:spPr bwMode="auto">
        <a:xfrm>
          <a:off x="190500" y="9305925"/>
          <a:ext cx="31432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65</xdr:row>
      <xdr:rowOff>0</xdr:rowOff>
    </xdr:from>
    <xdr:to>
      <xdr:col>10</xdr:col>
      <xdr:colOff>0</xdr:colOff>
      <xdr:row>65</xdr:row>
      <xdr:rowOff>0</xdr:rowOff>
    </xdr:to>
    <xdr:sp macro="[0]!opmIntakeMedIV" textlink="">
      <xdr:nvSpPr>
        <xdr:cNvPr id="71735" name="Rectangle 55"/>
        <xdr:cNvSpPr>
          <a:spLocks noChangeArrowheads="1"/>
        </xdr:cNvSpPr>
      </xdr:nvSpPr>
      <xdr:spPr bwMode="auto">
        <a:xfrm>
          <a:off x="190500" y="10363200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35</xdr:row>
      <xdr:rowOff>104775</xdr:rowOff>
    </xdr:from>
    <xdr:to>
      <xdr:col>9</xdr:col>
      <xdr:colOff>695325</xdr:colOff>
      <xdr:row>37</xdr:row>
      <xdr:rowOff>0</xdr:rowOff>
    </xdr:to>
    <xdr:sp macro="[0]!opmVoedPO" textlink="">
      <xdr:nvSpPr>
        <xdr:cNvPr id="71736" name="Rectangle 56"/>
        <xdr:cNvSpPr>
          <a:spLocks noChangeArrowheads="1"/>
        </xdr:cNvSpPr>
      </xdr:nvSpPr>
      <xdr:spPr bwMode="auto">
        <a:xfrm>
          <a:off x="171450" y="5810250"/>
          <a:ext cx="61817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65</xdr:row>
      <xdr:rowOff>0</xdr:rowOff>
    </xdr:from>
    <xdr:to>
      <xdr:col>9</xdr:col>
      <xdr:colOff>742950</xdr:colOff>
      <xdr:row>65</xdr:row>
      <xdr:rowOff>0</xdr:rowOff>
    </xdr:to>
    <xdr:sp macro="[0]!opmAfsprInfusen" textlink="">
      <xdr:nvSpPr>
        <xdr:cNvPr id="71737" name="Rectangle 57"/>
        <xdr:cNvSpPr>
          <a:spLocks noChangeArrowheads="1"/>
        </xdr:cNvSpPr>
      </xdr:nvSpPr>
      <xdr:spPr bwMode="auto">
        <a:xfrm>
          <a:off x="190500" y="10363200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0</xdr:rowOff>
    </xdr:from>
    <xdr:to>
      <xdr:col>10</xdr:col>
      <xdr:colOff>28575</xdr:colOff>
      <xdr:row>65</xdr:row>
      <xdr:rowOff>0</xdr:rowOff>
    </xdr:to>
    <xdr:sp macro="[0]!opmAfsprMedIV_1" textlink="">
      <xdr:nvSpPr>
        <xdr:cNvPr id="71738" name="Rectangle 58"/>
        <xdr:cNvSpPr>
          <a:spLocks noChangeArrowheads="1"/>
        </xdr:cNvSpPr>
      </xdr:nvSpPr>
      <xdr:spPr bwMode="auto">
        <a:xfrm>
          <a:off x="180975" y="10363200"/>
          <a:ext cx="6219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44</xdr:row>
      <xdr:rowOff>9525</xdr:rowOff>
    </xdr:from>
    <xdr:to>
      <xdr:col>9</xdr:col>
      <xdr:colOff>742950</xdr:colOff>
      <xdr:row>46</xdr:row>
      <xdr:rowOff>0</xdr:rowOff>
    </xdr:to>
    <xdr:sp macro="[0]!mInvoer.opmOverig_1" textlink="">
      <xdr:nvSpPr>
        <xdr:cNvPr id="71739" name="Rectangle 59"/>
        <xdr:cNvSpPr>
          <a:spLocks noChangeArrowheads="1"/>
        </xdr:cNvSpPr>
      </xdr:nvSpPr>
      <xdr:spPr bwMode="auto">
        <a:xfrm>
          <a:off x="314325" y="7191375"/>
          <a:ext cx="60579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55</xdr:row>
      <xdr:rowOff>19050</xdr:rowOff>
    </xdr:from>
    <xdr:to>
      <xdr:col>9</xdr:col>
      <xdr:colOff>742950</xdr:colOff>
      <xdr:row>58</xdr:row>
      <xdr:rowOff>133350</xdr:rowOff>
    </xdr:to>
    <xdr:sp macro="[0]!opmOverig_2" textlink="">
      <xdr:nvSpPr>
        <xdr:cNvPr id="71740" name="Rectangle 60"/>
        <xdr:cNvSpPr>
          <a:spLocks noChangeArrowheads="1"/>
        </xdr:cNvSpPr>
      </xdr:nvSpPr>
      <xdr:spPr bwMode="auto">
        <a:xfrm>
          <a:off x="200025" y="9001125"/>
          <a:ext cx="61722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65</xdr:row>
      <xdr:rowOff>0</xdr:rowOff>
    </xdr:from>
    <xdr:to>
      <xdr:col>4</xdr:col>
      <xdr:colOff>161925</xdr:colOff>
      <xdr:row>65</xdr:row>
      <xdr:rowOff>0</xdr:rowOff>
    </xdr:to>
    <xdr:sp macro="[0]!gaNaarMedicatieIV" textlink="">
      <xdr:nvSpPr>
        <xdr:cNvPr id="71741" name="Rectangle 61"/>
        <xdr:cNvSpPr>
          <a:spLocks noChangeArrowheads="1"/>
        </xdr:cNvSpPr>
      </xdr:nvSpPr>
      <xdr:spPr bwMode="auto">
        <a:xfrm>
          <a:off x="171450" y="10363200"/>
          <a:ext cx="19621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65</xdr:row>
      <xdr:rowOff>0</xdr:rowOff>
    </xdr:from>
    <xdr:to>
      <xdr:col>2</xdr:col>
      <xdr:colOff>676275</xdr:colOff>
      <xdr:row>65</xdr:row>
      <xdr:rowOff>0</xdr:rowOff>
    </xdr:to>
    <xdr:sp macro="[0]!gaNaarInfusen" textlink="">
      <xdr:nvSpPr>
        <xdr:cNvPr id="71742" name="Rectangle 62"/>
        <xdr:cNvSpPr>
          <a:spLocks noChangeArrowheads="1"/>
        </xdr:cNvSpPr>
      </xdr:nvSpPr>
      <xdr:spPr bwMode="auto">
        <a:xfrm>
          <a:off x="152400" y="10363200"/>
          <a:ext cx="885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46</xdr:row>
      <xdr:rowOff>142875</xdr:rowOff>
    </xdr:from>
    <xdr:to>
      <xdr:col>2</xdr:col>
      <xdr:colOff>723900</xdr:colOff>
      <xdr:row>47</xdr:row>
      <xdr:rowOff>142875</xdr:rowOff>
    </xdr:to>
    <xdr:sp macro="[0]!gaNaarInfusen" textlink="">
      <xdr:nvSpPr>
        <xdr:cNvPr id="71743" name="Rectangle 63"/>
        <xdr:cNvSpPr>
          <a:spLocks noChangeArrowheads="1"/>
        </xdr:cNvSpPr>
      </xdr:nvSpPr>
      <xdr:spPr bwMode="auto">
        <a:xfrm>
          <a:off x="200025" y="7648575"/>
          <a:ext cx="885825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29</xdr:row>
      <xdr:rowOff>66675</xdr:rowOff>
    </xdr:from>
    <xdr:to>
      <xdr:col>2</xdr:col>
      <xdr:colOff>495300</xdr:colOff>
      <xdr:row>30</xdr:row>
      <xdr:rowOff>123825</xdr:rowOff>
    </xdr:to>
    <xdr:sp macro="[0]!gaNaarIntake" textlink="">
      <xdr:nvSpPr>
        <xdr:cNvPr id="71744" name="Rectangle 64"/>
        <xdr:cNvSpPr>
          <a:spLocks noChangeArrowheads="1"/>
        </xdr:cNvSpPr>
      </xdr:nvSpPr>
      <xdr:spPr bwMode="auto">
        <a:xfrm>
          <a:off x="171450" y="4781550"/>
          <a:ext cx="685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65</xdr:row>
      <xdr:rowOff>0</xdr:rowOff>
    </xdr:from>
    <xdr:to>
      <xdr:col>2</xdr:col>
      <xdr:colOff>485775</xdr:colOff>
      <xdr:row>65</xdr:row>
      <xdr:rowOff>0</xdr:rowOff>
    </xdr:to>
    <xdr:sp macro="[0]!gaNaarIntake" textlink="">
      <xdr:nvSpPr>
        <xdr:cNvPr id="71745" name="Rectangle 65"/>
        <xdr:cNvSpPr>
          <a:spLocks noChangeArrowheads="1"/>
        </xdr:cNvSpPr>
      </xdr:nvSpPr>
      <xdr:spPr bwMode="auto">
        <a:xfrm>
          <a:off x="161925" y="10363200"/>
          <a:ext cx="685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38</xdr:row>
      <xdr:rowOff>0</xdr:rowOff>
    </xdr:from>
    <xdr:to>
      <xdr:col>2</xdr:col>
      <xdr:colOff>295275</xdr:colOff>
      <xdr:row>38</xdr:row>
      <xdr:rowOff>142875</xdr:rowOff>
    </xdr:to>
    <xdr:sp macro="[0]!gaNaarLab" textlink="">
      <xdr:nvSpPr>
        <xdr:cNvPr id="71746" name="Rectangle 66"/>
        <xdr:cNvSpPr>
          <a:spLocks noChangeArrowheads="1"/>
        </xdr:cNvSpPr>
      </xdr:nvSpPr>
      <xdr:spPr bwMode="auto">
        <a:xfrm>
          <a:off x="133350" y="6191250"/>
          <a:ext cx="5238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0</xdr:rowOff>
    </xdr:from>
    <xdr:to>
      <xdr:col>9</xdr:col>
      <xdr:colOff>742950</xdr:colOff>
      <xdr:row>65</xdr:row>
      <xdr:rowOff>0</xdr:rowOff>
    </xdr:to>
    <xdr:sp macro="[0]!opmAfsprMedIV_1" textlink="">
      <xdr:nvSpPr>
        <xdr:cNvPr id="71747" name="Rectangle 67"/>
        <xdr:cNvSpPr>
          <a:spLocks noChangeArrowheads="1"/>
        </xdr:cNvSpPr>
      </xdr:nvSpPr>
      <xdr:spPr bwMode="auto">
        <a:xfrm>
          <a:off x="180975" y="10363200"/>
          <a:ext cx="61912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35</xdr:row>
      <xdr:rowOff>123825</xdr:rowOff>
    </xdr:from>
    <xdr:to>
      <xdr:col>10</xdr:col>
      <xdr:colOff>9525</xdr:colOff>
      <xdr:row>37</xdr:row>
      <xdr:rowOff>9525</xdr:rowOff>
    </xdr:to>
    <xdr:sp macro="[0]!opmVoedPO" textlink="">
      <xdr:nvSpPr>
        <xdr:cNvPr id="71748" name="Rectangle 68"/>
        <xdr:cNvSpPr>
          <a:spLocks noChangeArrowheads="1"/>
        </xdr:cNvSpPr>
      </xdr:nvSpPr>
      <xdr:spPr bwMode="auto">
        <a:xfrm>
          <a:off x="200025" y="5829300"/>
          <a:ext cx="61817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123</xdr:row>
      <xdr:rowOff>9525</xdr:rowOff>
    </xdr:from>
    <xdr:to>
      <xdr:col>2</xdr:col>
      <xdr:colOff>666750</xdr:colOff>
      <xdr:row>124</xdr:row>
      <xdr:rowOff>0</xdr:rowOff>
    </xdr:to>
    <xdr:sp macro="[0]!opmIntakeMedIV" textlink="">
      <xdr:nvSpPr>
        <xdr:cNvPr id="71749" name="Rectangle 69"/>
        <xdr:cNvSpPr>
          <a:spLocks noChangeArrowheads="1"/>
        </xdr:cNvSpPr>
      </xdr:nvSpPr>
      <xdr:spPr bwMode="auto">
        <a:xfrm>
          <a:off x="390525" y="19821525"/>
          <a:ext cx="6381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122</xdr:row>
      <xdr:rowOff>104775</xdr:rowOff>
    </xdr:from>
    <xdr:to>
      <xdr:col>10</xdr:col>
      <xdr:colOff>0</xdr:colOff>
      <xdr:row>123</xdr:row>
      <xdr:rowOff>142875</xdr:rowOff>
    </xdr:to>
    <xdr:sp macro="[0]!opmIntakeMedIV" textlink="">
      <xdr:nvSpPr>
        <xdr:cNvPr id="71750" name="Rectangle 70"/>
        <xdr:cNvSpPr>
          <a:spLocks noChangeArrowheads="1"/>
        </xdr:cNvSpPr>
      </xdr:nvSpPr>
      <xdr:spPr bwMode="auto">
        <a:xfrm>
          <a:off x="190500" y="19754850"/>
          <a:ext cx="61817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76</xdr:row>
      <xdr:rowOff>76200</xdr:rowOff>
    </xdr:from>
    <xdr:to>
      <xdr:col>9</xdr:col>
      <xdr:colOff>742950</xdr:colOff>
      <xdr:row>77</xdr:row>
      <xdr:rowOff>142875</xdr:rowOff>
    </xdr:to>
    <xdr:sp macro="[0]!opmAfsprInfusen" textlink="">
      <xdr:nvSpPr>
        <xdr:cNvPr id="71751" name="Rectangle 71"/>
        <xdr:cNvSpPr>
          <a:spLocks noChangeArrowheads="1"/>
        </xdr:cNvSpPr>
      </xdr:nvSpPr>
      <xdr:spPr bwMode="auto">
        <a:xfrm>
          <a:off x="190500" y="12239625"/>
          <a:ext cx="61817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115</xdr:row>
      <xdr:rowOff>9525</xdr:rowOff>
    </xdr:from>
    <xdr:to>
      <xdr:col>10</xdr:col>
      <xdr:colOff>28575</xdr:colOff>
      <xdr:row>116</xdr:row>
      <xdr:rowOff>19050</xdr:rowOff>
    </xdr:to>
    <xdr:sp macro="[0]!opmAfsprMedIV_1" textlink="">
      <xdr:nvSpPr>
        <xdr:cNvPr id="71752" name="Rectangle 72"/>
        <xdr:cNvSpPr>
          <a:spLocks noChangeArrowheads="1"/>
        </xdr:cNvSpPr>
      </xdr:nvSpPr>
      <xdr:spPr bwMode="auto">
        <a:xfrm>
          <a:off x="180975" y="18526125"/>
          <a:ext cx="6219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79</xdr:row>
      <xdr:rowOff>114300</xdr:rowOff>
    </xdr:from>
    <xdr:to>
      <xdr:col>4</xdr:col>
      <xdr:colOff>161925</xdr:colOff>
      <xdr:row>80</xdr:row>
      <xdr:rowOff>142875</xdr:rowOff>
    </xdr:to>
    <xdr:sp macro="[0]!gaNaarMedicatieIV" textlink="">
      <xdr:nvSpPr>
        <xdr:cNvPr id="71753" name="Rectangle 73"/>
        <xdr:cNvSpPr>
          <a:spLocks noChangeArrowheads="1"/>
        </xdr:cNvSpPr>
      </xdr:nvSpPr>
      <xdr:spPr bwMode="auto">
        <a:xfrm>
          <a:off x="171450" y="12763500"/>
          <a:ext cx="19621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68</xdr:row>
      <xdr:rowOff>114300</xdr:rowOff>
    </xdr:from>
    <xdr:to>
      <xdr:col>2</xdr:col>
      <xdr:colOff>676275</xdr:colOff>
      <xdr:row>70</xdr:row>
      <xdr:rowOff>9525</xdr:rowOff>
    </xdr:to>
    <xdr:sp macro="[0]!gaNaarInfusen" textlink="">
      <xdr:nvSpPr>
        <xdr:cNvPr id="71754" name="Rectangle 74"/>
        <xdr:cNvSpPr>
          <a:spLocks noChangeArrowheads="1"/>
        </xdr:cNvSpPr>
      </xdr:nvSpPr>
      <xdr:spPr bwMode="auto">
        <a:xfrm>
          <a:off x="152400" y="10963275"/>
          <a:ext cx="88582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100</xdr:row>
      <xdr:rowOff>0</xdr:rowOff>
    </xdr:from>
    <xdr:to>
      <xdr:col>2</xdr:col>
      <xdr:colOff>485775</xdr:colOff>
      <xdr:row>100</xdr:row>
      <xdr:rowOff>142875</xdr:rowOff>
    </xdr:to>
    <xdr:sp macro="[0]!gaNaarIntake" textlink="">
      <xdr:nvSpPr>
        <xdr:cNvPr id="71755" name="Rectangle 75"/>
        <xdr:cNvSpPr>
          <a:spLocks noChangeArrowheads="1"/>
        </xdr:cNvSpPr>
      </xdr:nvSpPr>
      <xdr:spPr bwMode="auto">
        <a:xfrm>
          <a:off x="161925" y="16068675"/>
          <a:ext cx="68580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97</xdr:row>
      <xdr:rowOff>123825</xdr:rowOff>
    </xdr:from>
    <xdr:to>
      <xdr:col>9</xdr:col>
      <xdr:colOff>742950</xdr:colOff>
      <xdr:row>99</xdr:row>
      <xdr:rowOff>9525</xdr:rowOff>
    </xdr:to>
    <xdr:sp macro="[0]!opmAfsprMedIV_1" textlink="">
      <xdr:nvSpPr>
        <xdr:cNvPr id="71756" name="Rectangle 76"/>
        <xdr:cNvSpPr>
          <a:spLocks noChangeArrowheads="1"/>
        </xdr:cNvSpPr>
      </xdr:nvSpPr>
      <xdr:spPr bwMode="auto">
        <a:xfrm>
          <a:off x="180975" y="15706725"/>
          <a:ext cx="61912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115</xdr:row>
      <xdr:rowOff>9525</xdr:rowOff>
    </xdr:from>
    <xdr:to>
      <xdr:col>10</xdr:col>
      <xdr:colOff>28575</xdr:colOff>
      <xdr:row>116</xdr:row>
      <xdr:rowOff>19050</xdr:rowOff>
    </xdr:to>
    <xdr:sp macro="[0]!opmAfsprMedIV_1" textlink="">
      <xdr:nvSpPr>
        <xdr:cNvPr id="71757" name="Rectangle 77"/>
        <xdr:cNvSpPr>
          <a:spLocks noChangeArrowheads="1"/>
        </xdr:cNvSpPr>
      </xdr:nvSpPr>
      <xdr:spPr bwMode="auto">
        <a:xfrm>
          <a:off x="180975" y="18526125"/>
          <a:ext cx="6219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7</xdr:row>
          <xdr:rowOff>38299</xdr:rowOff>
        </xdr:from>
        <xdr:to>
          <xdr:col>2</xdr:col>
          <xdr:colOff>1058023</xdr:colOff>
          <xdr:row>8</xdr:row>
          <xdr:rowOff>9575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8</xdr:row>
          <xdr:rowOff>38299</xdr:rowOff>
        </xdr:from>
        <xdr:to>
          <xdr:col>2</xdr:col>
          <xdr:colOff>1058023</xdr:colOff>
          <xdr:row>9</xdr:row>
          <xdr:rowOff>9575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9</xdr:row>
          <xdr:rowOff>38299</xdr:rowOff>
        </xdr:from>
        <xdr:to>
          <xdr:col>2</xdr:col>
          <xdr:colOff>1058023</xdr:colOff>
          <xdr:row>10</xdr:row>
          <xdr:rowOff>9575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10</xdr:row>
          <xdr:rowOff>38299</xdr:rowOff>
        </xdr:from>
        <xdr:to>
          <xdr:col>2</xdr:col>
          <xdr:colOff>1058023</xdr:colOff>
          <xdr:row>11</xdr:row>
          <xdr:rowOff>9575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11</xdr:row>
          <xdr:rowOff>38299</xdr:rowOff>
        </xdr:from>
        <xdr:to>
          <xdr:col>2</xdr:col>
          <xdr:colOff>1058023</xdr:colOff>
          <xdr:row>12</xdr:row>
          <xdr:rowOff>9575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12</xdr:row>
          <xdr:rowOff>38299</xdr:rowOff>
        </xdr:from>
        <xdr:to>
          <xdr:col>2</xdr:col>
          <xdr:colOff>1058023</xdr:colOff>
          <xdr:row>13</xdr:row>
          <xdr:rowOff>9575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13</xdr:row>
          <xdr:rowOff>38299</xdr:rowOff>
        </xdr:from>
        <xdr:to>
          <xdr:col>2</xdr:col>
          <xdr:colOff>1058023</xdr:colOff>
          <xdr:row>14</xdr:row>
          <xdr:rowOff>9575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14</xdr:row>
          <xdr:rowOff>38299</xdr:rowOff>
        </xdr:from>
        <xdr:to>
          <xdr:col>2</xdr:col>
          <xdr:colOff>1058023</xdr:colOff>
          <xdr:row>15</xdr:row>
          <xdr:rowOff>9575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15</xdr:row>
          <xdr:rowOff>38299</xdr:rowOff>
        </xdr:from>
        <xdr:to>
          <xdr:col>2</xdr:col>
          <xdr:colOff>1058023</xdr:colOff>
          <xdr:row>16</xdr:row>
          <xdr:rowOff>9575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7</xdr:row>
          <xdr:rowOff>19150</xdr:rowOff>
        </xdr:from>
        <xdr:to>
          <xdr:col>5</xdr:col>
          <xdr:colOff>722903</xdr:colOff>
          <xdr:row>7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18</xdr:row>
          <xdr:rowOff>0</xdr:rowOff>
        </xdr:from>
        <xdr:to>
          <xdr:col>5</xdr:col>
          <xdr:colOff>665453</xdr:colOff>
          <xdr:row>18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18</xdr:row>
          <xdr:rowOff>28725</xdr:rowOff>
        </xdr:from>
        <xdr:to>
          <xdr:col>4</xdr:col>
          <xdr:colOff>646304</xdr:colOff>
          <xdr:row>18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18</xdr:row>
          <xdr:rowOff>19150</xdr:rowOff>
        </xdr:from>
        <xdr:to>
          <xdr:col>6</xdr:col>
          <xdr:colOff>962274</xdr:colOff>
          <xdr:row>18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16</xdr:row>
          <xdr:rowOff>38299</xdr:rowOff>
        </xdr:from>
        <xdr:to>
          <xdr:col>2</xdr:col>
          <xdr:colOff>1058023</xdr:colOff>
          <xdr:row>17</xdr:row>
          <xdr:rowOff>9575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7</xdr:row>
          <xdr:rowOff>9575</xdr:rowOff>
        </xdr:from>
        <xdr:to>
          <xdr:col>6</xdr:col>
          <xdr:colOff>952699</xdr:colOff>
          <xdr:row>7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8</xdr:row>
          <xdr:rowOff>9575</xdr:rowOff>
        </xdr:from>
        <xdr:to>
          <xdr:col>6</xdr:col>
          <xdr:colOff>952699</xdr:colOff>
          <xdr:row>8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9</xdr:row>
          <xdr:rowOff>9575</xdr:rowOff>
        </xdr:from>
        <xdr:to>
          <xdr:col>6</xdr:col>
          <xdr:colOff>952699</xdr:colOff>
          <xdr:row>9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10</xdr:row>
          <xdr:rowOff>9575</xdr:rowOff>
        </xdr:from>
        <xdr:to>
          <xdr:col>6</xdr:col>
          <xdr:colOff>952699</xdr:colOff>
          <xdr:row>10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11</xdr:row>
          <xdr:rowOff>9575</xdr:rowOff>
        </xdr:from>
        <xdr:to>
          <xdr:col>6</xdr:col>
          <xdr:colOff>952699</xdr:colOff>
          <xdr:row>11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12</xdr:row>
          <xdr:rowOff>9575</xdr:rowOff>
        </xdr:from>
        <xdr:to>
          <xdr:col>6</xdr:col>
          <xdr:colOff>952699</xdr:colOff>
          <xdr:row>12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13</xdr:row>
          <xdr:rowOff>9575</xdr:rowOff>
        </xdr:from>
        <xdr:to>
          <xdr:col>6</xdr:col>
          <xdr:colOff>952699</xdr:colOff>
          <xdr:row>13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14</xdr:row>
          <xdr:rowOff>9575</xdr:rowOff>
        </xdr:from>
        <xdr:to>
          <xdr:col>6</xdr:col>
          <xdr:colOff>952699</xdr:colOff>
          <xdr:row>14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15</xdr:row>
          <xdr:rowOff>9575</xdr:rowOff>
        </xdr:from>
        <xdr:to>
          <xdr:col>6</xdr:col>
          <xdr:colOff>952699</xdr:colOff>
          <xdr:row>15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16</xdr:row>
          <xdr:rowOff>9575</xdr:rowOff>
        </xdr:from>
        <xdr:to>
          <xdr:col>6</xdr:col>
          <xdr:colOff>952699</xdr:colOff>
          <xdr:row>16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18</xdr:row>
      <xdr:rowOff>0</xdr:rowOff>
    </xdr:from>
    <xdr:to>
      <xdr:col>2</xdr:col>
      <xdr:colOff>1114425</xdr:colOff>
      <xdr:row>18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430869</xdr:colOff>
          <xdr:row>2</xdr:row>
          <xdr:rowOff>9575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2159" name="Spinner 111" hidden="1">
              <a:extLst>
                <a:ext uri="{63B3BB69-23CF-44E3-9099-C40C66FF867C}">
                  <a14:compatExt spid="_x0000_s2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354270</xdr:colOff>
          <xdr:row>2</xdr:row>
          <xdr:rowOff>0</xdr:rowOff>
        </xdr:from>
        <xdr:to>
          <xdr:col>11</xdr:col>
          <xdr:colOff>512255</xdr:colOff>
          <xdr:row>2</xdr:row>
          <xdr:rowOff>172348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19050</xdr:colOff>
      <xdr:row>2</xdr:row>
      <xdr:rowOff>38100</xdr:rowOff>
    </xdr:from>
    <xdr:to>
      <xdr:col>8</xdr:col>
      <xdr:colOff>990600</xdr:colOff>
      <xdr:row>3</xdr:row>
      <xdr:rowOff>0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6553200" y="35242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28575</xdr:colOff>
      <xdr:row>2</xdr:row>
      <xdr:rowOff>19050</xdr:rowOff>
    </xdr:from>
    <xdr:to>
      <xdr:col>10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30</xdr:row>
      <xdr:rowOff>9525</xdr:rowOff>
    </xdr:from>
    <xdr:to>
      <xdr:col>9</xdr:col>
      <xdr:colOff>695325</xdr:colOff>
      <xdr:row>34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190500</xdr:colOff>
      <xdr:row>4</xdr:row>
      <xdr:rowOff>133350</xdr:rowOff>
    </xdr:from>
    <xdr:to>
      <xdr:col>2</xdr:col>
      <xdr:colOff>828675</xdr:colOff>
      <xdr:row>6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46" name="Spinner 26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47" name="Spinner 27" hidden="1">
              <a:extLst>
                <a:ext uri="{63B3BB69-23CF-44E3-9099-C40C66FF867C}">
                  <a14:compatExt spid="_x0000_s5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48" name="Spinner 28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49" name="Spinner 29" hidden="1">
              <a:extLst>
                <a:ext uri="{63B3BB69-23CF-44E3-9099-C40C66FF867C}">
                  <a14:compatExt spid="_x0000_s5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0" name="Spinner 30" hidden="1">
              <a:extLst>
                <a:ext uri="{63B3BB69-23CF-44E3-9099-C40C66FF867C}">
                  <a14:compatExt spid="_x0000_s5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1" name="Spinner 31" hidden="1">
              <a:extLst>
                <a:ext uri="{63B3BB69-23CF-44E3-9099-C40C66FF867C}">
                  <a14:compatExt spid="_x0000_s5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2" name="Spinner 32" hidden="1">
              <a:extLst>
                <a:ext uri="{63B3BB69-23CF-44E3-9099-C40C66FF867C}">
                  <a14:compatExt spid="_x0000_s5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3" name="Spinner 33" hidden="1">
              <a:extLst>
                <a:ext uri="{63B3BB69-23CF-44E3-9099-C40C66FF867C}">
                  <a14:compatExt spid="_x0000_s5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4" name="Spinner 34" hidden="1">
              <a:extLst>
                <a:ext uri="{63B3BB69-23CF-44E3-9099-C40C66FF867C}">
                  <a14:compatExt spid="_x0000_s5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5" name="Spinner 35" hidden="1">
              <a:extLst>
                <a:ext uri="{63B3BB69-23CF-44E3-9099-C40C66FF867C}">
                  <a14:compatExt spid="_x0000_s5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6" name="Spinner 36" hidden="1">
              <a:extLst>
                <a:ext uri="{63B3BB69-23CF-44E3-9099-C40C66FF867C}">
                  <a14:compatExt spid="_x0000_s5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7" name="Spinner 37" hidden="1">
              <a:extLst>
                <a:ext uri="{63B3BB69-23CF-44E3-9099-C40C66FF867C}">
                  <a14:compatExt spid="_x0000_s5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58" name="Spinner 38" hidden="1">
              <a:extLst>
                <a:ext uri="{63B3BB69-23CF-44E3-9099-C40C66FF867C}">
                  <a14:compatExt spid="_x0000_s5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20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5183" name="Spinner 63" hidden="1">
              <a:extLst>
                <a:ext uri="{63B3BB69-23CF-44E3-9099-C40C66FF867C}">
                  <a14:compatExt spid="_x0000_s5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4</xdr:row>
          <xdr:rowOff>38299</xdr:rowOff>
        </xdr:from>
        <xdr:to>
          <xdr:col>3</xdr:col>
          <xdr:colOff>742052</xdr:colOff>
          <xdr:row>4</xdr:row>
          <xdr:rowOff>210647</xdr:rowOff>
        </xdr:to>
        <xdr:sp macro="" textlink="">
          <xdr:nvSpPr>
            <xdr:cNvPr id="5244" name="Spinner 124" hidden="1">
              <a:extLst>
                <a:ext uri="{63B3BB69-23CF-44E3-9099-C40C66FF867C}">
                  <a14:compatExt spid="_x0000_s5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4</xdr:row>
          <xdr:rowOff>38299</xdr:rowOff>
        </xdr:from>
        <xdr:to>
          <xdr:col>4</xdr:col>
          <xdr:colOff>923975</xdr:colOff>
          <xdr:row>4</xdr:row>
          <xdr:rowOff>210647</xdr:rowOff>
        </xdr:to>
        <xdr:sp macro="" textlink="">
          <xdr:nvSpPr>
            <xdr:cNvPr id="5266" name="Spinner 146" hidden="1">
              <a:extLst>
                <a:ext uri="{63B3BB69-23CF-44E3-9099-C40C66FF867C}">
                  <a14:compatExt spid="_x0000_s5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4</xdr:row>
          <xdr:rowOff>38299</xdr:rowOff>
        </xdr:from>
        <xdr:to>
          <xdr:col>5</xdr:col>
          <xdr:colOff>1201646</xdr:colOff>
          <xdr:row>4</xdr:row>
          <xdr:rowOff>210647</xdr:rowOff>
        </xdr:to>
        <xdr:sp macro="" textlink="">
          <xdr:nvSpPr>
            <xdr:cNvPr id="5288" name="Spinner 168" hidden="1">
              <a:extLst>
                <a:ext uri="{63B3BB69-23CF-44E3-9099-C40C66FF867C}">
                  <a14:compatExt spid="_x0000_s5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5</xdr:row>
          <xdr:rowOff>38299</xdr:rowOff>
        </xdr:from>
        <xdr:to>
          <xdr:col>5</xdr:col>
          <xdr:colOff>1201646</xdr:colOff>
          <xdr:row>5</xdr:row>
          <xdr:rowOff>210647</xdr:rowOff>
        </xdr:to>
        <xdr:sp macro="" textlink="">
          <xdr:nvSpPr>
            <xdr:cNvPr id="5289" name="Spinner 169" hidden="1">
              <a:extLst>
                <a:ext uri="{63B3BB69-23CF-44E3-9099-C40C66FF867C}">
                  <a14:compatExt spid="_x0000_s5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6</xdr:row>
          <xdr:rowOff>38299</xdr:rowOff>
        </xdr:from>
        <xdr:to>
          <xdr:col>5</xdr:col>
          <xdr:colOff>1201646</xdr:colOff>
          <xdr:row>6</xdr:row>
          <xdr:rowOff>210647</xdr:rowOff>
        </xdr:to>
        <xdr:sp macro="" textlink="">
          <xdr:nvSpPr>
            <xdr:cNvPr id="5290" name="Spinner 170" hidden="1">
              <a:extLst>
                <a:ext uri="{63B3BB69-23CF-44E3-9099-C40C66FF867C}">
                  <a14:compatExt spid="_x0000_s5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7</xdr:row>
          <xdr:rowOff>38299</xdr:rowOff>
        </xdr:from>
        <xdr:to>
          <xdr:col>5</xdr:col>
          <xdr:colOff>1201646</xdr:colOff>
          <xdr:row>7</xdr:row>
          <xdr:rowOff>210647</xdr:rowOff>
        </xdr:to>
        <xdr:sp macro="" textlink="">
          <xdr:nvSpPr>
            <xdr:cNvPr id="5291" name="Spinner 171" hidden="1">
              <a:extLst>
                <a:ext uri="{63B3BB69-23CF-44E3-9099-C40C66FF867C}">
                  <a14:compatExt spid="_x0000_s5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9</xdr:row>
          <xdr:rowOff>38299</xdr:rowOff>
        </xdr:from>
        <xdr:to>
          <xdr:col>5</xdr:col>
          <xdr:colOff>1201646</xdr:colOff>
          <xdr:row>9</xdr:row>
          <xdr:rowOff>210647</xdr:rowOff>
        </xdr:to>
        <xdr:sp macro="" textlink="">
          <xdr:nvSpPr>
            <xdr:cNvPr id="5292" name="Spinner 172" hidden="1">
              <a:extLst>
                <a:ext uri="{63B3BB69-23CF-44E3-9099-C40C66FF867C}">
                  <a14:compatExt spid="_x0000_s5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10</xdr:row>
          <xdr:rowOff>38299</xdr:rowOff>
        </xdr:from>
        <xdr:to>
          <xdr:col>5</xdr:col>
          <xdr:colOff>1201646</xdr:colOff>
          <xdr:row>10</xdr:row>
          <xdr:rowOff>210647</xdr:rowOff>
        </xdr:to>
        <xdr:sp macro="" textlink="">
          <xdr:nvSpPr>
            <xdr:cNvPr id="5293" name="Spinner 173" hidden="1">
              <a:extLst>
                <a:ext uri="{63B3BB69-23CF-44E3-9099-C40C66FF867C}">
                  <a14:compatExt spid="_x0000_s5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11</xdr:row>
          <xdr:rowOff>38299</xdr:rowOff>
        </xdr:from>
        <xdr:to>
          <xdr:col>5</xdr:col>
          <xdr:colOff>1201646</xdr:colOff>
          <xdr:row>11</xdr:row>
          <xdr:rowOff>210647</xdr:rowOff>
        </xdr:to>
        <xdr:sp macro="" textlink="">
          <xdr:nvSpPr>
            <xdr:cNvPr id="5294" name="Spinner 174" hidden="1">
              <a:extLst>
                <a:ext uri="{63B3BB69-23CF-44E3-9099-C40C66FF867C}">
                  <a14:compatExt spid="_x0000_s5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12</xdr:row>
          <xdr:rowOff>38299</xdr:rowOff>
        </xdr:from>
        <xdr:to>
          <xdr:col>5</xdr:col>
          <xdr:colOff>1201646</xdr:colOff>
          <xdr:row>12</xdr:row>
          <xdr:rowOff>210647</xdr:rowOff>
        </xdr:to>
        <xdr:sp macro="" textlink="">
          <xdr:nvSpPr>
            <xdr:cNvPr id="5295" name="Spinner 175" hidden="1">
              <a:extLst>
                <a:ext uri="{63B3BB69-23CF-44E3-9099-C40C66FF867C}">
                  <a14:compatExt spid="_x0000_s5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13</xdr:row>
          <xdr:rowOff>38299</xdr:rowOff>
        </xdr:from>
        <xdr:to>
          <xdr:col>5</xdr:col>
          <xdr:colOff>1201646</xdr:colOff>
          <xdr:row>13</xdr:row>
          <xdr:rowOff>210647</xdr:rowOff>
        </xdr:to>
        <xdr:sp macro="" textlink="">
          <xdr:nvSpPr>
            <xdr:cNvPr id="5296" name="Spinner 176" hidden="1">
              <a:extLst>
                <a:ext uri="{63B3BB69-23CF-44E3-9099-C40C66FF867C}">
                  <a14:compatExt spid="_x0000_s5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14</xdr:row>
          <xdr:rowOff>38299</xdr:rowOff>
        </xdr:from>
        <xdr:to>
          <xdr:col>5</xdr:col>
          <xdr:colOff>1201646</xdr:colOff>
          <xdr:row>14</xdr:row>
          <xdr:rowOff>210647</xdr:rowOff>
        </xdr:to>
        <xdr:sp macro="" textlink="">
          <xdr:nvSpPr>
            <xdr:cNvPr id="5298" name="Spinner 178" hidden="1">
              <a:extLst>
                <a:ext uri="{63B3BB69-23CF-44E3-9099-C40C66FF867C}">
                  <a14:compatExt spid="_x0000_s5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15</xdr:row>
          <xdr:rowOff>38299</xdr:rowOff>
        </xdr:from>
        <xdr:to>
          <xdr:col>5</xdr:col>
          <xdr:colOff>1201646</xdr:colOff>
          <xdr:row>15</xdr:row>
          <xdr:rowOff>210647</xdr:rowOff>
        </xdr:to>
        <xdr:sp macro="" textlink="">
          <xdr:nvSpPr>
            <xdr:cNvPr id="5299" name="Spinner 179" hidden="1">
              <a:extLst>
                <a:ext uri="{63B3BB69-23CF-44E3-9099-C40C66FF867C}">
                  <a14:compatExt spid="_x0000_s5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16</xdr:row>
          <xdr:rowOff>38299</xdr:rowOff>
        </xdr:from>
        <xdr:to>
          <xdr:col>5</xdr:col>
          <xdr:colOff>1201646</xdr:colOff>
          <xdr:row>16</xdr:row>
          <xdr:rowOff>210647</xdr:rowOff>
        </xdr:to>
        <xdr:sp macro="" textlink="">
          <xdr:nvSpPr>
            <xdr:cNvPr id="5300" name="Spinner 180" hidden="1">
              <a:extLst>
                <a:ext uri="{63B3BB69-23CF-44E3-9099-C40C66FF867C}">
                  <a14:compatExt spid="_x0000_s5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17</xdr:row>
          <xdr:rowOff>38299</xdr:rowOff>
        </xdr:from>
        <xdr:to>
          <xdr:col>5</xdr:col>
          <xdr:colOff>1201646</xdr:colOff>
          <xdr:row>17</xdr:row>
          <xdr:rowOff>210647</xdr:rowOff>
        </xdr:to>
        <xdr:sp macro="" textlink="">
          <xdr:nvSpPr>
            <xdr:cNvPr id="5301" name="Spinner 181" hidden="1">
              <a:extLst>
                <a:ext uri="{63B3BB69-23CF-44E3-9099-C40C66FF867C}">
                  <a14:compatExt spid="_x0000_s5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18</xdr:row>
          <xdr:rowOff>38299</xdr:rowOff>
        </xdr:from>
        <xdr:to>
          <xdr:col>5</xdr:col>
          <xdr:colOff>1201646</xdr:colOff>
          <xdr:row>18</xdr:row>
          <xdr:rowOff>210647</xdr:rowOff>
        </xdr:to>
        <xdr:sp macro="" textlink="">
          <xdr:nvSpPr>
            <xdr:cNvPr id="5303" name="Spinner 183" hidden="1">
              <a:extLst>
                <a:ext uri="{63B3BB69-23CF-44E3-9099-C40C66FF867C}">
                  <a14:compatExt spid="_x0000_s5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19</xdr:row>
          <xdr:rowOff>38299</xdr:rowOff>
        </xdr:from>
        <xdr:to>
          <xdr:col>5</xdr:col>
          <xdr:colOff>1201646</xdr:colOff>
          <xdr:row>19</xdr:row>
          <xdr:rowOff>210647</xdr:rowOff>
        </xdr:to>
        <xdr:sp macro="" textlink="">
          <xdr:nvSpPr>
            <xdr:cNvPr id="5304" name="Spinner 184" hidden="1">
              <a:extLst>
                <a:ext uri="{63B3BB69-23CF-44E3-9099-C40C66FF867C}">
                  <a14:compatExt spid="_x0000_s5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20</xdr:row>
          <xdr:rowOff>38299</xdr:rowOff>
        </xdr:from>
        <xdr:to>
          <xdr:col>5</xdr:col>
          <xdr:colOff>1201646</xdr:colOff>
          <xdr:row>20</xdr:row>
          <xdr:rowOff>210647</xdr:rowOff>
        </xdr:to>
        <xdr:sp macro="" textlink="">
          <xdr:nvSpPr>
            <xdr:cNvPr id="5307" name="Spinner 187" hidden="1">
              <a:extLst>
                <a:ext uri="{63B3BB69-23CF-44E3-9099-C40C66FF867C}">
                  <a14:compatExt spid="_x0000_s5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21</xdr:row>
          <xdr:rowOff>38299</xdr:rowOff>
        </xdr:from>
        <xdr:to>
          <xdr:col>5</xdr:col>
          <xdr:colOff>1201646</xdr:colOff>
          <xdr:row>21</xdr:row>
          <xdr:rowOff>210647</xdr:rowOff>
        </xdr:to>
        <xdr:sp macro="" textlink="">
          <xdr:nvSpPr>
            <xdr:cNvPr id="5308" name="Spinner 188" hidden="1">
              <a:extLst>
                <a:ext uri="{63B3BB69-23CF-44E3-9099-C40C66FF867C}">
                  <a14:compatExt spid="_x0000_s5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4</xdr:row>
          <xdr:rowOff>38299</xdr:rowOff>
        </xdr:from>
        <xdr:to>
          <xdr:col>8</xdr:col>
          <xdr:colOff>19150</xdr:colOff>
          <xdr:row>4</xdr:row>
          <xdr:rowOff>210647</xdr:rowOff>
        </xdr:to>
        <xdr:sp macro="" textlink="">
          <xdr:nvSpPr>
            <xdr:cNvPr id="5310" name="Spinner 190" hidden="1">
              <a:extLst>
                <a:ext uri="{63B3BB69-23CF-44E3-9099-C40C66FF867C}">
                  <a14:compatExt spid="_x0000_s5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5</xdr:row>
          <xdr:rowOff>38299</xdr:rowOff>
        </xdr:from>
        <xdr:to>
          <xdr:col>8</xdr:col>
          <xdr:colOff>19150</xdr:colOff>
          <xdr:row>5</xdr:row>
          <xdr:rowOff>210647</xdr:rowOff>
        </xdr:to>
        <xdr:sp macro="" textlink="">
          <xdr:nvSpPr>
            <xdr:cNvPr id="5311" name="Spinner 191" hidden="1">
              <a:extLst>
                <a:ext uri="{63B3BB69-23CF-44E3-9099-C40C66FF867C}">
                  <a14:compatExt spid="_x0000_s5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6</xdr:row>
          <xdr:rowOff>38299</xdr:rowOff>
        </xdr:from>
        <xdr:to>
          <xdr:col>8</xdr:col>
          <xdr:colOff>19150</xdr:colOff>
          <xdr:row>6</xdr:row>
          <xdr:rowOff>210647</xdr:rowOff>
        </xdr:to>
        <xdr:sp macro="" textlink="">
          <xdr:nvSpPr>
            <xdr:cNvPr id="5312" name="Spinner 192" hidden="1">
              <a:extLst>
                <a:ext uri="{63B3BB69-23CF-44E3-9099-C40C66FF867C}">
                  <a14:compatExt spid="_x0000_s5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7</xdr:row>
          <xdr:rowOff>38299</xdr:rowOff>
        </xdr:from>
        <xdr:to>
          <xdr:col>8</xdr:col>
          <xdr:colOff>19150</xdr:colOff>
          <xdr:row>7</xdr:row>
          <xdr:rowOff>210647</xdr:rowOff>
        </xdr:to>
        <xdr:sp macro="" textlink="">
          <xdr:nvSpPr>
            <xdr:cNvPr id="5313" name="Spinner 193" hidden="1">
              <a:extLst>
                <a:ext uri="{63B3BB69-23CF-44E3-9099-C40C66FF867C}">
                  <a14:compatExt spid="_x0000_s5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9</xdr:row>
          <xdr:rowOff>38299</xdr:rowOff>
        </xdr:from>
        <xdr:to>
          <xdr:col>8</xdr:col>
          <xdr:colOff>19150</xdr:colOff>
          <xdr:row>9</xdr:row>
          <xdr:rowOff>210647</xdr:rowOff>
        </xdr:to>
        <xdr:sp macro="" textlink="">
          <xdr:nvSpPr>
            <xdr:cNvPr id="5314" name="Spinner 194" hidden="1">
              <a:extLst>
                <a:ext uri="{63B3BB69-23CF-44E3-9099-C40C66FF867C}">
                  <a14:compatExt spid="_x0000_s5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10</xdr:row>
          <xdr:rowOff>38299</xdr:rowOff>
        </xdr:from>
        <xdr:to>
          <xdr:col>8</xdr:col>
          <xdr:colOff>19150</xdr:colOff>
          <xdr:row>10</xdr:row>
          <xdr:rowOff>210647</xdr:rowOff>
        </xdr:to>
        <xdr:sp macro="" textlink="">
          <xdr:nvSpPr>
            <xdr:cNvPr id="5315" name="Spinner 195" hidden="1">
              <a:extLst>
                <a:ext uri="{63B3BB69-23CF-44E3-9099-C40C66FF867C}">
                  <a14:compatExt spid="_x0000_s5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11</xdr:row>
          <xdr:rowOff>38299</xdr:rowOff>
        </xdr:from>
        <xdr:to>
          <xdr:col>8</xdr:col>
          <xdr:colOff>19150</xdr:colOff>
          <xdr:row>11</xdr:row>
          <xdr:rowOff>210647</xdr:rowOff>
        </xdr:to>
        <xdr:sp macro="" textlink="">
          <xdr:nvSpPr>
            <xdr:cNvPr id="5316" name="Spinner 196" hidden="1">
              <a:extLst>
                <a:ext uri="{63B3BB69-23CF-44E3-9099-C40C66FF867C}">
                  <a14:compatExt spid="_x0000_s5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12</xdr:row>
          <xdr:rowOff>38299</xdr:rowOff>
        </xdr:from>
        <xdr:to>
          <xdr:col>8</xdr:col>
          <xdr:colOff>19150</xdr:colOff>
          <xdr:row>12</xdr:row>
          <xdr:rowOff>210647</xdr:rowOff>
        </xdr:to>
        <xdr:sp macro="" textlink="">
          <xdr:nvSpPr>
            <xdr:cNvPr id="5317" name="Spinner 197" hidden="1">
              <a:extLst>
                <a:ext uri="{63B3BB69-23CF-44E3-9099-C40C66FF867C}">
                  <a14:compatExt spid="_x0000_s5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13</xdr:row>
          <xdr:rowOff>38299</xdr:rowOff>
        </xdr:from>
        <xdr:to>
          <xdr:col>8</xdr:col>
          <xdr:colOff>19150</xdr:colOff>
          <xdr:row>13</xdr:row>
          <xdr:rowOff>210647</xdr:rowOff>
        </xdr:to>
        <xdr:sp macro="" textlink="">
          <xdr:nvSpPr>
            <xdr:cNvPr id="5318" name="Spinner 198" hidden="1">
              <a:extLst>
                <a:ext uri="{63B3BB69-23CF-44E3-9099-C40C66FF867C}">
                  <a14:compatExt spid="_x0000_s5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14</xdr:row>
          <xdr:rowOff>38299</xdr:rowOff>
        </xdr:from>
        <xdr:to>
          <xdr:col>8</xdr:col>
          <xdr:colOff>19150</xdr:colOff>
          <xdr:row>14</xdr:row>
          <xdr:rowOff>210647</xdr:rowOff>
        </xdr:to>
        <xdr:sp macro="" textlink="">
          <xdr:nvSpPr>
            <xdr:cNvPr id="5320" name="Spinner 200" hidden="1">
              <a:extLst>
                <a:ext uri="{63B3BB69-23CF-44E3-9099-C40C66FF867C}">
                  <a14:compatExt spid="_x0000_s5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15</xdr:row>
          <xdr:rowOff>38299</xdr:rowOff>
        </xdr:from>
        <xdr:to>
          <xdr:col>8</xdr:col>
          <xdr:colOff>19150</xdr:colOff>
          <xdr:row>15</xdr:row>
          <xdr:rowOff>210647</xdr:rowOff>
        </xdr:to>
        <xdr:sp macro="" textlink="">
          <xdr:nvSpPr>
            <xdr:cNvPr id="5321" name="Spinner 201" hidden="1">
              <a:extLst>
                <a:ext uri="{63B3BB69-23CF-44E3-9099-C40C66FF867C}">
                  <a14:compatExt spid="_x0000_s5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16</xdr:row>
          <xdr:rowOff>38299</xdr:rowOff>
        </xdr:from>
        <xdr:to>
          <xdr:col>8</xdr:col>
          <xdr:colOff>19150</xdr:colOff>
          <xdr:row>16</xdr:row>
          <xdr:rowOff>210647</xdr:rowOff>
        </xdr:to>
        <xdr:sp macro="" textlink="">
          <xdr:nvSpPr>
            <xdr:cNvPr id="5322" name="Spinner 202" hidden="1">
              <a:extLst>
                <a:ext uri="{63B3BB69-23CF-44E3-9099-C40C66FF867C}">
                  <a14:compatExt spid="_x0000_s5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17</xdr:row>
          <xdr:rowOff>38299</xdr:rowOff>
        </xdr:from>
        <xdr:to>
          <xdr:col>8</xdr:col>
          <xdr:colOff>19150</xdr:colOff>
          <xdr:row>17</xdr:row>
          <xdr:rowOff>210647</xdr:rowOff>
        </xdr:to>
        <xdr:sp macro="" textlink="">
          <xdr:nvSpPr>
            <xdr:cNvPr id="5323" name="Spinner 203" hidden="1">
              <a:extLst>
                <a:ext uri="{63B3BB69-23CF-44E3-9099-C40C66FF867C}">
                  <a14:compatExt spid="_x0000_s5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18</xdr:row>
          <xdr:rowOff>38299</xdr:rowOff>
        </xdr:from>
        <xdr:to>
          <xdr:col>8</xdr:col>
          <xdr:colOff>19150</xdr:colOff>
          <xdr:row>18</xdr:row>
          <xdr:rowOff>210647</xdr:rowOff>
        </xdr:to>
        <xdr:sp macro="" textlink="">
          <xdr:nvSpPr>
            <xdr:cNvPr id="5325" name="Spinner 205" hidden="1">
              <a:extLst>
                <a:ext uri="{63B3BB69-23CF-44E3-9099-C40C66FF867C}">
                  <a14:compatExt spid="_x0000_s5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19</xdr:row>
          <xdr:rowOff>38299</xdr:rowOff>
        </xdr:from>
        <xdr:to>
          <xdr:col>8</xdr:col>
          <xdr:colOff>19150</xdr:colOff>
          <xdr:row>19</xdr:row>
          <xdr:rowOff>210647</xdr:rowOff>
        </xdr:to>
        <xdr:sp macro="" textlink="">
          <xdr:nvSpPr>
            <xdr:cNvPr id="5326" name="Spinner 206" hidden="1">
              <a:extLst>
                <a:ext uri="{63B3BB69-23CF-44E3-9099-C40C66FF867C}">
                  <a14:compatExt spid="_x0000_s5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20</xdr:row>
          <xdr:rowOff>38299</xdr:rowOff>
        </xdr:from>
        <xdr:to>
          <xdr:col>8</xdr:col>
          <xdr:colOff>19150</xdr:colOff>
          <xdr:row>20</xdr:row>
          <xdr:rowOff>210647</xdr:rowOff>
        </xdr:to>
        <xdr:sp macro="" textlink="">
          <xdr:nvSpPr>
            <xdr:cNvPr id="5329" name="Spinner 209" hidden="1">
              <a:extLst>
                <a:ext uri="{63B3BB69-23CF-44E3-9099-C40C66FF867C}">
                  <a14:compatExt spid="_x0000_s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21</xdr:row>
          <xdr:rowOff>38299</xdr:rowOff>
        </xdr:from>
        <xdr:to>
          <xdr:col>8</xdr:col>
          <xdr:colOff>19150</xdr:colOff>
          <xdr:row>21</xdr:row>
          <xdr:rowOff>210647</xdr:rowOff>
        </xdr:to>
        <xdr:sp macro="" textlink="">
          <xdr:nvSpPr>
            <xdr:cNvPr id="5330" name="Spinner 210" hidden="1">
              <a:extLst>
                <a:ext uri="{63B3BB69-23CF-44E3-9099-C40C66FF867C}">
                  <a14:compatExt spid="_x0000_s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5</xdr:row>
          <xdr:rowOff>38299</xdr:rowOff>
        </xdr:from>
        <xdr:to>
          <xdr:col>3</xdr:col>
          <xdr:colOff>742052</xdr:colOff>
          <xdr:row>5</xdr:row>
          <xdr:rowOff>210647</xdr:rowOff>
        </xdr:to>
        <xdr:sp macro="" textlink="">
          <xdr:nvSpPr>
            <xdr:cNvPr id="5331" name="Spinner 211" hidden="1">
              <a:extLst>
                <a:ext uri="{63B3BB69-23CF-44E3-9099-C40C66FF867C}">
                  <a14:compatExt spid="_x0000_s5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5</xdr:row>
          <xdr:rowOff>38299</xdr:rowOff>
        </xdr:from>
        <xdr:to>
          <xdr:col>4</xdr:col>
          <xdr:colOff>923975</xdr:colOff>
          <xdr:row>5</xdr:row>
          <xdr:rowOff>210647</xdr:rowOff>
        </xdr:to>
        <xdr:sp macro="" textlink="">
          <xdr:nvSpPr>
            <xdr:cNvPr id="5332" name="Spinner 212" hidden="1">
              <a:extLst>
                <a:ext uri="{63B3BB69-23CF-44E3-9099-C40C66FF867C}">
                  <a14:compatExt spid="_x0000_s5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6</xdr:row>
          <xdr:rowOff>38299</xdr:rowOff>
        </xdr:from>
        <xdr:to>
          <xdr:col>3</xdr:col>
          <xdr:colOff>742052</xdr:colOff>
          <xdr:row>6</xdr:row>
          <xdr:rowOff>210647</xdr:rowOff>
        </xdr:to>
        <xdr:sp macro="" textlink="">
          <xdr:nvSpPr>
            <xdr:cNvPr id="5333" name="Spinner 213" hidden="1">
              <a:extLst>
                <a:ext uri="{63B3BB69-23CF-44E3-9099-C40C66FF867C}">
                  <a14:compatExt spid="_x0000_s5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6</xdr:row>
          <xdr:rowOff>38299</xdr:rowOff>
        </xdr:from>
        <xdr:to>
          <xdr:col>4</xdr:col>
          <xdr:colOff>923975</xdr:colOff>
          <xdr:row>6</xdr:row>
          <xdr:rowOff>210647</xdr:rowOff>
        </xdr:to>
        <xdr:sp macro="" textlink="">
          <xdr:nvSpPr>
            <xdr:cNvPr id="5334" name="Spinner 214" hidden="1">
              <a:extLst>
                <a:ext uri="{63B3BB69-23CF-44E3-9099-C40C66FF867C}">
                  <a14:compatExt spid="_x0000_s5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7</xdr:row>
          <xdr:rowOff>38299</xdr:rowOff>
        </xdr:from>
        <xdr:to>
          <xdr:col>3</xdr:col>
          <xdr:colOff>742052</xdr:colOff>
          <xdr:row>7</xdr:row>
          <xdr:rowOff>210647</xdr:rowOff>
        </xdr:to>
        <xdr:sp macro="" textlink="">
          <xdr:nvSpPr>
            <xdr:cNvPr id="5335" name="Spinner 215" hidden="1">
              <a:extLst>
                <a:ext uri="{63B3BB69-23CF-44E3-9099-C40C66FF867C}">
                  <a14:compatExt spid="_x0000_s5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7</xdr:row>
          <xdr:rowOff>38299</xdr:rowOff>
        </xdr:from>
        <xdr:to>
          <xdr:col>4</xdr:col>
          <xdr:colOff>923975</xdr:colOff>
          <xdr:row>7</xdr:row>
          <xdr:rowOff>210647</xdr:rowOff>
        </xdr:to>
        <xdr:sp macro="" textlink="">
          <xdr:nvSpPr>
            <xdr:cNvPr id="5336" name="Spinner 216" hidden="1">
              <a:extLst>
                <a:ext uri="{63B3BB69-23CF-44E3-9099-C40C66FF867C}">
                  <a14:compatExt spid="_x0000_s5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9</xdr:row>
          <xdr:rowOff>38299</xdr:rowOff>
        </xdr:from>
        <xdr:to>
          <xdr:col>4</xdr:col>
          <xdr:colOff>923975</xdr:colOff>
          <xdr:row>9</xdr:row>
          <xdr:rowOff>210647</xdr:rowOff>
        </xdr:to>
        <xdr:sp macro="" textlink="">
          <xdr:nvSpPr>
            <xdr:cNvPr id="5338" name="Spinner 218" hidden="1">
              <a:extLst>
                <a:ext uri="{63B3BB69-23CF-44E3-9099-C40C66FF867C}">
                  <a14:compatExt spid="_x0000_s5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10</xdr:row>
          <xdr:rowOff>38299</xdr:rowOff>
        </xdr:from>
        <xdr:to>
          <xdr:col>3</xdr:col>
          <xdr:colOff>742052</xdr:colOff>
          <xdr:row>10</xdr:row>
          <xdr:rowOff>210647</xdr:rowOff>
        </xdr:to>
        <xdr:sp macro="" textlink="">
          <xdr:nvSpPr>
            <xdr:cNvPr id="5339" name="Spinner 219" hidden="1">
              <a:extLst>
                <a:ext uri="{63B3BB69-23CF-44E3-9099-C40C66FF867C}">
                  <a14:compatExt spid="_x0000_s5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10</xdr:row>
          <xdr:rowOff>38299</xdr:rowOff>
        </xdr:from>
        <xdr:to>
          <xdr:col>4</xdr:col>
          <xdr:colOff>923975</xdr:colOff>
          <xdr:row>10</xdr:row>
          <xdr:rowOff>210647</xdr:rowOff>
        </xdr:to>
        <xdr:sp macro="" textlink="">
          <xdr:nvSpPr>
            <xdr:cNvPr id="5340" name="Spinner 220" hidden="1">
              <a:extLst>
                <a:ext uri="{63B3BB69-23CF-44E3-9099-C40C66FF867C}">
                  <a14:compatExt spid="_x0000_s5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11</xdr:row>
          <xdr:rowOff>38299</xdr:rowOff>
        </xdr:from>
        <xdr:to>
          <xdr:col>3</xdr:col>
          <xdr:colOff>742052</xdr:colOff>
          <xdr:row>11</xdr:row>
          <xdr:rowOff>210647</xdr:rowOff>
        </xdr:to>
        <xdr:sp macro="" textlink="">
          <xdr:nvSpPr>
            <xdr:cNvPr id="5341" name="Spinner 221" hidden="1">
              <a:extLst>
                <a:ext uri="{63B3BB69-23CF-44E3-9099-C40C66FF867C}">
                  <a14:compatExt spid="_x0000_s5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11</xdr:row>
          <xdr:rowOff>38299</xdr:rowOff>
        </xdr:from>
        <xdr:to>
          <xdr:col>4</xdr:col>
          <xdr:colOff>923975</xdr:colOff>
          <xdr:row>11</xdr:row>
          <xdr:rowOff>210647</xdr:rowOff>
        </xdr:to>
        <xdr:sp macro="" textlink="">
          <xdr:nvSpPr>
            <xdr:cNvPr id="5342" name="Spinner 222" hidden="1">
              <a:extLst>
                <a:ext uri="{63B3BB69-23CF-44E3-9099-C40C66FF867C}">
                  <a14:compatExt spid="_x0000_s5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12</xdr:row>
          <xdr:rowOff>38299</xdr:rowOff>
        </xdr:from>
        <xdr:to>
          <xdr:col>3</xdr:col>
          <xdr:colOff>742052</xdr:colOff>
          <xdr:row>12</xdr:row>
          <xdr:rowOff>210647</xdr:rowOff>
        </xdr:to>
        <xdr:sp macro="" textlink="">
          <xdr:nvSpPr>
            <xdr:cNvPr id="5343" name="Spinner 223" hidden="1">
              <a:extLst>
                <a:ext uri="{63B3BB69-23CF-44E3-9099-C40C66FF867C}">
                  <a14:compatExt spid="_x0000_s5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12</xdr:row>
          <xdr:rowOff>38299</xdr:rowOff>
        </xdr:from>
        <xdr:to>
          <xdr:col>4</xdr:col>
          <xdr:colOff>923975</xdr:colOff>
          <xdr:row>12</xdr:row>
          <xdr:rowOff>210647</xdr:rowOff>
        </xdr:to>
        <xdr:sp macro="" textlink="">
          <xdr:nvSpPr>
            <xdr:cNvPr id="5344" name="Spinner 224" hidden="1">
              <a:extLst>
                <a:ext uri="{63B3BB69-23CF-44E3-9099-C40C66FF867C}">
                  <a14:compatExt spid="_x0000_s5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13</xdr:row>
          <xdr:rowOff>38299</xdr:rowOff>
        </xdr:from>
        <xdr:to>
          <xdr:col>3</xdr:col>
          <xdr:colOff>742052</xdr:colOff>
          <xdr:row>13</xdr:row>
          <xdr:rowOff>210647</xdr:rowOff>
        </xdr:to>
        <xdr:sp macro="" textlink="">
          <xdr:nvSpPr>
            <xdr:cNvPr id="5345" name="Spinner 225" hidden="1">
              <a:extLst>
                <a:ext uri="{63B3BB69-23CF-44E3-9099-C40C66FF867C}">
                  <a14:compatExt spid="_x0000_s5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38299</xdr:rowOff>
        </xdr:from>
        <xdr:to>
          <xdr:col>4</xdr:col>
          <xdr:colOff>923975</xdr:colOff>
          <xdr:row>13</xdr:row>
          <xdr:rowOff>210647</xdr:rowOff>
        </xdr:to>
        <xdr:sp macro="" textlink="">
          <xdr:nvSpPr>
            <xdr:cNvPr id="5346" name="Spinner 226" hidden="1">
              <a:extLst>
                <a:ext uri="{63B3BB69-23CF-44E3-9099-C40C66FF867C}">
                  <a14:compatExt spid="_x0000_s5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14</xdr:row>
          <xdr:rowOff>38299</xdr:rowOff>
        </xdr:from>
        <xdr:to>
          <xdr:col>3</xdr:col>
          <xdr:colOff>742052</xdr:colOff>
          <xdr:row>14</xdr:row>
          <xdr:rowOff>210647</xdr:rowOff>
        </xdr:to>
        <xdr:sp macro="" textlink="">
          <xdr:nvSpPr>
            <xdr:cNvPr id="5347" name="Spinner 227" hidden="1">
              <a:extLst>
                <a:ext uri="{63B3BB69-23CF-44E3-9099-C40C66FF867C}">
                  <a14:compatExt spid="_x0000_s5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14</xdr:row>
          <xdr:rowOff>38299</xdr:rowOff>
        </xdr:from>
        <xdr:to>
          <xdr:col>4</xdr:col>
          <xdr:colOff>923975</xdr:colOff>
          <xdr:row>14</xdr:row>
          <xdr:rowOff>210647</xdr:rowOff>
        </xdr:to>
        <xdr:sp macro="" textlink="">
          <xdr:nvSpPr>
            <xdr:cNvPr id="5348" name="Spinner 228" hidden="1">
              <a:extLst>
                <a:ext uri="{63B3BB69-23CF-44E3-9099-C40C66FF867C}">
                  <a14:compatExt spid="_x0000_s5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15</xdr:row>
          <xdr:rowOff>38299</xdr:rowOff>
        </xdr:from>
        <xdr:to>
          <xdr:col>3</xdr:col>
          <xdr:colOff>742052</xdr:colOff>
          <xdr:row>15</xdr:row>
          <xdr:rowOff>210647</xdr:rowOff>
        </xdr:to>
        <xdr:sp macro="" textlink="">
          <xdr:nvSpPr>
            <xdr:cNvPr id="5349" name="Spinner 229" hidden="1">
              <a:extLst>
                <a:ext uri="{63B3BB69-23CF-44E3-9099-C40C66FF867C}">
                  <a14:compatExt spid="_x0000_s5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15</xdr:row>
          <xdr:rowOff>38299</xdr:rowOff>
        </xdr:from>
        <xdr:to>
          <xdr:col>4</xdr:col>
          <xdr:colOff>923975</xdr:colOff>
          <xdr:row>15</xdr:row>
          <xdr:rowOff>210647</xdr:rowOff>
        </xdr:to>
        <xdr:sp macro="" textlink="">
          <xdr:nvSpPr>
            <xdr:cNvPr id="5350" name="Spinner 230" hidden="1">
              <a:extLst>
                <a:ext uri="{63B3BB69-23CF-44E3-9099-C40C66FF867C}">
                  <a14:compatExt spid="_x0000_s5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16</xdr:row>
          <xdr:rowOff>38299</xdr:rowOff>
        </xdr:from>
        <xdr:to>
          <xdr:col>3</xdr:col>
          <xdr:colOff>742052</xdr:colOff>
          <xdr:row>16</xdr:row>
          <xdr:rowOff>210647</xdr:rowOff>
        </xdr:to>
        <xdr:sp macro="" textlink="">
          <xdr:nvSpPr>
            <xdr:cNvPr id="5351" name="Spinner 231" hidden="1">
              <a:extLst>
                <a:ext uri="{63B3BB69-23CF-44E3-9099-C40C66FF867C}">
                  <a14:compatExt spid="_x0000_s5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16</xdr:row>
          <xdr:rowOff>38299</xdr:rowOff>
        </xdr:from>
        <xdr:to>
          <xdr:col>4</xdr:col>
          <xdr:colOff>923975</xdr:colOff>
          <xdr:row>16</xdr:row>
          <xdr:rowOff>210647</xdr:rowOff>
        </xdr:to>
        <xdr:sp macro="" textlink="">
          <xdr:nvSpPr>
            <xdr:cNvPr id="5352" name="Spinner 232" hidden="1">
              <a:extLst>
                <a:ext uri="{63B3BB69-23CF-44E3-9099-C40C66FF867C}">
                  <a14:compatExt spid="_x0000_s5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17</xdr:row>
          <xdr:rowOff>38299</xdr:rowOff>
        </xdr:from>
        <xdr:to>
          <xdr:col>3</xdr:col>
          <xdr:colOff>742052</xdr:colOff>
          <xdr:row>17</xdr:row>
          <xdr:rowOff>210647</xdr:rowOff>
        </xdr:to>
        <xdr:sp macro="" textlink="">
          <xdr:nvSpPr>
            <xdr:cNvPr id="5353" name="Spinner 233" hidden="1">
              <a:extLst>
                <a:ext uri="{63B3BB69-23CF-44E3-9099-C40C66FF867C}">
                  <a14:compatExt spid="_x0000_s5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17</xdr:row>
          <xdr:rowOff>38299</xdr:rowOff>
        </xdr:from>
        <xdr:to>
          <xdr:col>4</xdr:col>
          <xdr:colOff>923975</xdr:colOff>
          <xdr:row>17</xdr:row>
          <xdr:rowOff>210647</xdr:rowOff>
        </xdr:to>
        <xdr:sp macro="" textlink="">
          <xdr:nvSpPr>
            <xdr:cNvPr id="5354" name="Spinner 234" hidden="1">
              <a:extLst>
                <a:ext uri="{63B3BB69-23CF-44E3-9099-C40C66FF867C}">
                  <a14:compatExt spid="_x0000_s5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18</xdr:row>
          <xdr:rowOff>38299</xdr:rowOff>
        </xdr:from>
        <xdr:to>
          <xdr:col>3</xdr:col>
          <xdr:colOff>742052</xdr:colOff>
          <xdr:row>18</xdr:row>
          <xdr:rowOff>210647</xdr:rowOff>
        </xdr:to>
        <xdr:sp macro="" textlink="">
          <xdr:nvSpPr>
            <xdr:cNvPr id="5355" name="Spinner 235" hidden="1">
              <a:extLst>
                <a:ext uri="{63B3BB69-23CF-44E3-9099-C40C66FF867C}">
                  <a14:compatExt spid="_x0000_s5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18</xdr:row>
          <xdr:rowOff>38299</xdr:rowOff>
        </xdr:from>
        <xdr:to>
          <xdr:col>4</xdr:col>
          <xdr:colOff>923975</xdr:colOff>
          <xdr:row>18</xdr:row>
          <xdr:rowOff>210647</xdr:rowOff>
        </xdr:to>
        <xdr:sp macro="" textlink="">
          <xdr:nvSpPr>
            <xdr:cNvPr id="5356" name="Spinner 236" hidden="1">
              <a:extLst>
                <a:ext uri="{63B3BB69-23CF-44E3-9099-C40C66FF867C}">
                  <a14:compatExt spid="_x0000_s5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19</xdr:row>
          <xdr:rowOff>38299</xdr:rowOff>
        </xdr:from>
        <xdr:to>
          <xdr:col>3</xdr:col>
          <xdr:colOff>742052</xdr:colOff>
          <xdr:row>19</xdr:row>
          <xdr:rowOff>210647</xdr:rowOff>
        </xdr:to>
        <xdr:sp macro="" textlink="">
          <xdr:nvSpPr>
            <xdr:cNvPr id="5357" name="Spinner 237" hidden="1">
              <a:extLst>
                <a:ext uri="{63B3BB69-23CF-44E3-9099-C40C66FF867C}">
                  <a14:compatExt spid="_x0000_s5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19</xdr:row>
          <xdr:rowOff>38299</xdr:rowOff>
        </xdr:from>
        <xdr:to>
          <xdr:col>4</xdr:col>
          <xdr:colOff>923975</xdr:colOff>
          <xdr:row>19</xdr:row>
          <xdr:rowOff>210647</xdr:rowOff>
        </xdr:to>
        <xdr:sp macro="" textlink="">
          <xdr:nvSpPr>
            <xdr:cNvPr id="5358" name="Spinner 238" hidden="1">
              <a:extLst>
                <a:ext uri="{63B3BB69-23CF-44E3-9099-C40C66FF867C}">
                  <a14:compatExt spid="_x0000_s5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20</xdr:row>
          <xdr:rowOff>38299</xdr:rowOff>
        </xdr:from>
        <xdr:to>
          <xdr:col>3</xdr:col>
          <xdr:colOff>742052</xdr:colOff>
          <xdr:row>20</xdr:row>
          <xdr:rowOff>210647</xdr:rowOff>
        </xdr:to>
        <xdr:sp macro="" textlink="">
          <xdr:nvSpPr>
            <xdr:cNvPr id="5359" name="Spinner 239" hidden="1">
              <a:extLst>
                <a:ext uri="{63B3BB69-23CF-44E3-9099-C40C66FF867C}">
                  <a14:compatExt spid="_x0000_s5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20</xdr:row>
          <xdr:rowOff>38299</xdr:rowOff>
        </xdr:from>
        <xdr:to>
          <xdr:col>4</xdr:col>
          <xdr:colOff>923975</xdr:colOff>
          <xdr:row>20</xdr:row>
          <xdr:rowOff>210647</xdr:rowOff>
        </xdr:to>
        <xdr:sp macro="" textlink="">
          <xdr:nvSpPr>
            <xdr:cNvPr id="5360" name="Spinner 240" hidden="1">
              <a:extLst>
                <a:ext uri="{63B3BB69-23CF-44E3-9099-C40C66FF867C}">
                  <a14:compatExt spid="_x0000_s5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21</xdr:row>
          <xdr:rowOff>38299</xdr:rowOff>
        </xdr:from>
        <xdr:to>
          <xdr:col>3</xdr:col>
          <xdr:colOff>742052</xdr:colOff>
          <xdr:row>21</xdr:row>
          <xdr:rowOff>210647</xdr:rowOff>
        </xdr:to>
        <xdr:sp macro="" textlink="">
          <xdr:nvSpPr>
            <xdr:cNvPr id="5361" name="Spinner 241" hidden="1">
              <a:extLst>
                <a:ext uri="{63B3BB69-23CF-44E3-9099-C40C66FF867C}">
                  <a14:compatExt spid="_x0000_s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21</xdr:row>
          <xdr:rowOff>38299</xdr:rowOff>
        </xdr:from>
        <xdr:to>
          <xdr:col>4</xdr:col>
          <xdr:colOff>923975</xdr:colOff>
          <xdr:row>21</xdr:row>
          <xdr:rowOff>210647</xdr:rowOff>
        </xdr:to>
        <xdr:sp macro="" textlink="">
          <xdr:nvSpPr>
            <xdr:cNvPr id="5362" name="Spinner 242" hidden="1">
              <a:extLst>
                <a:ext uri="{63B3BB69-23CF-44E3-9099-C40C66FF867C}">
                  <a14:compatExt spid="_x0000_s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3</xdr:row>
          <xdr:rowOff>38299</xdr:rowOff>
        </xdr:from>
        <xdr:to>
          <xdr:col>3</xdr:col>
          <xdr:colOff>742052</xdr:colOff>
          <xdr:row>3</xdr:row>
          <xdr:rowOff>210647</xdr:rowOff>
        </xdr:to>
        <xdr:sp macro="" textlink="">
          <xdr:nvSpPr>
            <xdr:cNvPr id="5363" name="Spinner 243" hidden="1">
              <a:extLst>
                <a:ext uri="{63B3BB69-23CF-44E3-9099-C40C66FF867C}">
                  <a14:compatExt spid="_x0000_s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3</xdr:row>
          <xdr:rowOff>38299</xdr:rowOff>
        </xdr:from>
        <xdr:to>
          <xdr:col>4</xdr:col>
          <xdr:colOff>923975</xdr:colOff>
          <xdr:row>3</xdr:row>
          <xdr:rowOff>210647</xdr:rowOff>
        </xdr:to>
        <xdr:sp macro="" textlink="">
          <xdr:nvSpPr>
            <xdr:cNvPr id="5364" name="Spinner 244" hidden="1">
              <a:extLst>
                <a:ext uri="{63B3BB69-23CF-44E3-9099-C40C66FF867C}">
                  <a14:compatExt spid="_x0000_s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3</xdr:row>
          <xdr:rowOff>38299</xdr:rowOff>
        </xdr:from>
        <xdr:to>
          <xdr:col>5</xdr:col>
          <xdr:colOff>1201646</xdr:colOff>
          <xdr:row>3</xdr:row>
          <xdr:rowOff>210647</xdr:rowOff>
        </xdr:to>
        <xdr:sp macro="" textlink="">
          <xdr:nvSpPr>
            <xdr:cNvPr id="5365" name="Spinner 245" hidden="1">
              <a:extLst>
                <a:ext uri="{63B3BB69-23CF-44E3-9099-C40C66FF867C}">
                  <a14:compatExt spid="_x0000_s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3</xdr:row>
          <xdr:rowOff>38299</xdr:rowOff>
        </xdr:from>
        <xdr:to>
          <xdr:col>8</xdr:col>
          <xdr:colOff>19150</xdr:colOff>
          <xdr:row>3</xdr:row>
          <xdr:rowOff>210647</xdr:rowOff>
        </xdr:to>
        <xdr:sp macro="" textlink="">
          <xdr:nvSpPr>
            <xdr:cNvPr id="5366" name="Spinner 246" hidden="1">
              <a:extLst>
                <a:ext uri="{63B3BB69-23CF-44E3-9099-C40C66FF867C}">
                  <a14:compatExt spid="_x0000_s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8</xdr:row>
          <xdr:rowOff>38299</xdr:rowOff>
        </xdr:from>
        <xdr:to>
          <xdr:col>5</xdr:col>
          <xdr:colOff>1201646</xdr:colOff>
          <xdr:row>8</xdr:row>
          <xdr:rowOff>210647</xdr:rowOff>
        </xdr:to>
        <xdr:sp macro="" textlink="">
          <xdr:nvSpPr>
            <xdr:cNvPr id="5367" name="Spinner 247" hidden="1">
              <a:extLst>
                <a:ext uri="{63B3BB69-23CF-44E3-9099-C40C66FF867C}">
                  <a14:compatExt spid="_x0000_s5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8</xdr:row>
          <xdr:rowOff>38299</xdr:rowOff>
        </xdr:from>
        <xdr:to>
          <xdr:col>8</xdr:col>
          <xdr:colOff>19150</xdr:colOff>
          <xdr:row>8</xdr:row>
          <xdr:rowOff>210647</xdr:rowOff>
        </xdr:to>
        <xdr:sp macro="" textlink="">
          <xdr:nvSpPr>
            <xdr:cNvPr id="5368" name="Spinner 248" hidden="1">
              <a:extLst>
                <a:ext uri="{63B3BB69-23CF-44E3-9099-C40C66FF867C}">
                  <a14:compatExt spid="_x0000_s5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8</xdr:row>
          <xdr:rowOff>38299</xdr:rowOff>
        </xdr:from>
        <xdr:to>
          <xdr:col>3</xdr:col>
          <xdr:colOff>742052</xdr:colOff>
          <xdr:row>8</xdr:row>
          <xdr:rowOff>210647</xdr:rowOff>
        </xdr:to>
        <xdr:sp macro="" textlink="">
          <xdr:nvSpPr>
            <xdr:cNvPr id="5369" name="Spinner 249" hidden="1">
              <a:extLst>
                <a:ext uri="{63B3BB69-23CF-44E3-9099-C40C66FF867C}">
                  <a14:compatExt spid="_x0000_s5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8</xdr:row>
          <xdr:rowOff>38299</xdr:rowOff>
        </xdr:from>
        <xdr:to>
          <xdr:col>4</xdr:col>
          <xdr:colOff>923975</xdr:colOff>
          <xdr:row>8</xdr:row>
          <xdr:rowOff>210647</xdr:rowOff>
        </xdr:to>
        <xdr:sp macro="" textlink="">
          <xdr:nvSpPr>
            <xdr:cNvPr id="5370" name="Spinner 250" hidden="1">
              <a:extLst>
                <a:ext uri="{63B3BB69-23CF-44E3-9099-C40C66FF867C}">
                  <a14:compatExt spid="_x0000_s5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22</xdr:row>
          <xdr:rowOff>38299</xdr:rowOff>
        </xdr:from>
        <xdr:to>
          <xdr:col>3</xdr:col>
          <xdr:colOff>742052</xdr:colOff>
          <xdr:row>22</xdr:row>
          <xdr:rowOff>210647</xdr:rowOff>
        </xdr:to>
        <xdr:sp macro="" textlink="">
          <xdr:nvSpPr>
            <xdr:cNvPr id="5373" name="Spinner 253" hidden="1">
              <a:extLst>
                <a:ext uri="{63B3BB69-23CF-44E3-9099-C40C66FF867C}">
                  <a14:compatExt spid="_x0000_s5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627154</xdr:colOff>
          <xdr:row>22</xdr:row>
          <xdr:rowOff>38299</xdr:rowOff>
        </xdr:from>
        <xdr:to>
          <xdr:col>2</xdr:col>
          <xdr:colOff>742052</xdr:colOff>
          <xdr:row>22</xdr:row>
          <xdr:rowOff>210647</xdr:rowOff>
        </xdr:to>
        <xdr:sp macro="" textlink="">
          <xdr:nvSpPr>
            <xdr:cNvPr id="5375" name="Spinner 255" hidden="1">
              <a:extLst>
                <a:ext uri="{63B3BB69-23CF-44E3-9099-C40C66FF867C}">
                  <a14:compatExt spid="_x0000_s5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5</xdr:row>
          <xdr:rowOff>19150</xdr:rowOff>
        </xdr:from>
        <xdr:to>
          <xdr:col>3</xdr:col>
          <xdr:colOff>0</xdr:colOff>
          <xdr:row>5</xdr:row>
          <xdr:rowOff>229797</xdr:rowOff>
        </xdr:to>
        <xdr:sp macro="" textlink="">
          <xdr:nvSpPr>
            <xdr:cNvPr id="18505" name="Spinner 73" hidden="1">
              <a:extLst>
                <a:ext uri="{63B3BB69-23CF-44E3-9099-C40C66FF867C}">
                  <a14:compatExt spid="_x0000_s18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7</xdr:row>
          <xdr:rowOff>19150</xdr:rowOff>
        </xdr:from>
        <xdr:to>
          <xdr:col>3</xdr:col>
          <xdr:colOff>0</xdr:colOff>
          <xdr:row>7</xdr:row>
          <xdr:rowOff>229797</xdr:rowOff>
        </xdr:to>
        <xdr:sp macro="" textlink="">
          <xdr:nvSpPr>
            <xdr:cNvPr id="18556" name="Spinner 124" hidden="1">
              <a:extLst>
                <a:ext uri="{63B3BB69-23CF-44E3-9099-C40C66FF867C}">
                  <a14:compatExt spid="_x0000_s18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9</xdr:row>
          <xdr:rowOff>19150</xdr:rowOff>
        </xdr:from>
        <xdr:to>
          <xdr:col>3</xdr:col>
          <xdr:colOff>0</xdr:colOff>
          <xdr:row>9</xdr:row>
          <xdr:rowOff>229797</xdr:rowOff>
        </xdr:to>
        <xdr:sp macro="" textlink="">
          <xdr:nvSpPr>
            <xdr:cNvPr id="18563" name="Spinner 131" hidden="1">
              <a:extLst>
                <a:ext uri="{63B3BB69-23CF-44E3-9099-C40C66FF867C}">
                  <a14:compatExt spid="_x0000_s18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11</xdr:row>
          <xdr:rowOff>19150</xdr:rowOff>
        </xdr:from>
        <xdr:to>
          <xdr:col>3</xdr:col>
          <xdr:colOff>0</xdr:colOff>
          <xdr:row>11</xdr:row>
          <xdr:rowOff>229797</xdr:rowOff>
        </xdr:to>
        <xdr:sp macro="" textlink="">
          <xdr:nvSpPr>
            <xdr:cNvPr id="18570" name="Spinner 138" hidden="1">
              <a:extLst>
                <a:ext uri="{63B3BB69-23CF-44E3-9099-C40C66FF867C}">
                  <a14:compatExt spid="_x0000_s18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13</xdr:row>
          <xdr:rowOff>19150</xdr:rowOff>
        </xdr:from>
        <xdr:to>
          <xdr:col>3</xdr:col>
          <xdr:colOff>0</xdr:colOff>
          <xdr:row>13</xdr:row>
          <xdr:rowOff>229797</xdr:rowOff>
        </xdr:to>
        <xdr:sp macro="" textlink="">
          <xdr:nvSpPr>
            <xdr:cNvPr id="18577" name="Spinner 145" hidden="1">
              <a:extLst>
                <a:ext uri="{63B3BB69-23CF-44E3-9099-C40C66FF867C}">
                  <a14:compatExt spid="_x0000_s18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15</xdr:row>
          <xdr:rowOff>19150</xdr:rowOff>
        </xdr:from>
        <xdr:to>
          <xdr:col>3</xdr:col>
          <xdr:colOff>0</xdr:colOff>
          <xdr:row>15</xdr:row>
          <xdr:rowOff>229797</xdr:rowOff>
        </xdr:to>
        <xdr:sp macro="" textlink="">
          <xdr:nvSpPr>
            <xdr:cNvPr id="18584" name="Spinner 152" hidden="1">
              <a:extLst>
                <a:ext uri="{63B3BB69-23CF-44E3-9099-C40C66FF867C}">
                  <a14:compatExt spid="_x0000_s18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17</xdr:row>
          <xdr:rowOff>19150</xdr:rowOff>
        </xdr:from>
        <xdr:to>
          <xdr:col>3</xdr:col>
          <xdr:colOff>0</xdr:colOff>
          <xdr:row>17</xdr:row>
          <xdr:rowOff>229797</xdr:rowOff>
        </xdr:to>
        <xdr:sp macro="" textlink="">
          <xdr:nvSpPr>
            <xdr:cNvPr id="18591" name="Spinner 159" hidden="1">
              <a:extLst>
                <a:ext uri="{63B3BB69-23CF-44E3-9099-C40C66FF867C}">
                  <a14:compatExt spid="_x0000_s18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19</xdr:row>
          <xdr:rowOff>19150</xdr:rowOff>
        </xdr:from>
        <xdr:to>
          <xdr:col>3</xdr:col>
          <xdr:colOff>0</xdr:colOff>
          <xdr:row>19</xdr:row>
          <xdr:rowOff>229797</xdr:rowOff>
        </xdr:to>
        <xdr:sp macro="" textlink="">
          <xdr:nvSpPr>
            <xdr:cNvPr id="18598" name="Spinner 166" hidden="1">
              <a:extLst>
                <a:ext uri="{63B3BB69-23CF-44E3-9099-C40C66FF867C}">
                  <a14:compatExt spid="_x0000_s1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21</xdr:row>
          <xdr:rowOff>19150</xdr:rowOff>
        </xdr:from>
        <xdr:to>
          <xdr:col>3</xdr:col>
          <xdr:colOff>0</xdr:colOff>
          <xdr:row>21</xdr:row>
          <xdr:rowOff>229797</xdr:rowOff>
        </xdr:to>
        <xdr:sp macro="" textlink="">
          <xdr:nvSpPr>
            <xdr:cNvPr id="18605" name="Spinner 173" hidden="1">
              <a:extLst>
                <a:ext uri="{63B3BB69-23CF-44E3-9099-C40C66FF867C}">
                  <a14:compatExt spid="_x0000_s18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23</xdr:row>
          <xdr:rowOff>19150</xdr:rowOff>
        </xdr:from>
        <xdr:to>
          <xdr:col>3</xdr:col>
          <xdr:colOff>0</xdr:colOff>
          <xdr:row>23</xdr:row>
          <xdr:rowOff>229797</xdr:rowOff>
        </xdr:to>
        <xdr:sp macro="" textlink="">
          <xdr:nvSpPr>
            <xdr:cNvPr id="18612" name="Spinner 180" hidden="1">
              <a:extLst>
                <a:ext uri="{63B3BB69-23CF-44E3-9099-C40C66FF867C}">
                  <a14:compatExt spid="_x0000_s18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25</xdr:row>
          <xdr:rowOff>19150</xdr:rowOff>
        </xdr:from>
        <xdr:to>
          <xdr:col>3</xdr:col>
          <xdr:colOff>0</xdr:colOff>
          <xdr:row>25</xdr:row>
          <xdr:rowOff>229797</xdr:rowOff>
        </xdr:to>
        <xdr:sp macro="" textlink="">
          <xdr:nvSpPr>
            <xdr:cNvPr id="18696" name="Spinner 264" hidden="1">
              <a:extLst>
                <a:ext uri="{63B3BB69-23CF-44E3-9099-C40C66FF867C}">
                  <a14:compatExt spid="_x0000_s18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27</xdr:row>
          <xdr:rowOff>19150</xdr:rowOff>
        </xdr:from>
        <xdr:to>
          <xdr:col>3</xdr:col>
          <xdr:colOff>0</xdr:colOff>
          <xdr:row>27</xdr:row>
          <xdr:rowOff>229797</xdr:rowOff>
        </xdr:to>
        <xdr:sp macro="" textlink="">
          <xdr:nvSpPr>
            <xdr:cNvPr id="18703" name="Spinner 271" hidden="1">
              <a:extLst>
                <a:ext uri="{63B3BB69-23CF-44E3-9099-C40C66FF867C}">
                  <a14:compatExt spid="_x0000_s18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29</xdr:row>
          <xdr:rowOff>19150</xdr:rowOff>
        </xdr:from>
        <xdr:to>
          <xdr:col>3</xdr:col>
          <xdr:colOff>0</xdr:colOff>
          <xdr:row>29</xdr:row>
          <xdr:rowOff>229797</xdr:rowOff>
        </xdr:to>
        <xdr:sp macro="" textlink="">
          <xdr:nvSpPr>
            <xdr:cNvPr id="18710" name="Spinner 278" hidden="1">
              <a:extLst>
                <a:ext uri="{63B3BB69-23CF-44E3-9099-C40C66FF867C}">
                  <a14:compatExt spid="_x0000_s18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31</xdr:row>
          <xdr:rowOff>19150</xdr:rowOff>
        </xdr:from>
        <xdr:to>
          <xdr:col>3</xdr:col>
          <xdr:colOff>0</xdr:colOff>
          <xdr:row>31</xdr:row>
          <xdr:rowOff>229797</xdr:rowOff>
        </xdr:to>
        <xdr:sp macro="" textlink="">
          <xdr:nvSpPr>
            <xdr:cNvPr id="18717" name="Spinner 285" hidden="1">
              <a:extLst>
                <a:ext uri="{63B3BB69-23CF-44E3-9099-C40C66FF867C}">
                  <a14:compatExt spid="_x0000_s1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33</xdr:row>
          <xdr:rowOff>19150</xdr:rowOff>
        </xdr:from>
        <xdr:to>
          <xdr:col>3</xdr:col>
          <xdr:colOff>0</xdr:colOff>
          <xdr:row>33</xdr:row>
          <xdr:rowOff>229797</xdr:rowOff>
        </xdr:to>
        <xdr:sp macro="" textlink="">
          <xdr:nvSpPr>
            <xdr:cNvPr id="18724" name="Spinner 292" hidden="1">
              <a:extLst>
                <a:ext uri="{63B3BB69-23CF-44E3-9099-C40C66FF867C}">
                  <a14:compatExt spid="_x0000_s18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35</xdr:row>
          <xdr:rowOff>19150</xdr:rowOff>
        </xdr:from>
        <xdr:to>
          <xdr:col>3</xdr:col>
          <xdr:colOff>0</xdr:colOff>
          <xdr:row>35</xdr:row>
          <xdr:rowOff>229797</xdr:rowOff>
        </xdr:to>
        <xdr:sp macro="" textlink="">
          <xdr:nvSpPr>
            <xdr:cNvPr id="18731" name="Spinner 299" hidden="1">
              <a:extLst>
                <a:ext uri="{63B3BB69-23CF-44E3-9099-C40C66FF867C}">
                  <a14:compatExt spid="_x0000_s18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37</xdr:row>
          <xdr:rowOff>19150</xdr:rowOff>
        </xdr:from>
        <xdr:to>
          <xdr:col>3</xdr:col>
          <xdr:colOff>0</xdr:colOff>
          <xdr:row>37</xdr:row>
          <xdr:rowOff>229797</xdr:rowOff>
        </xdr:to>
        <xdr:sp macro="" textlink="">
          <xdr:nvSpPr>
            <xdr:cNvPr id="18738" name="Spinner 306" hidden="1">
              <a:extLst>
                <a:ext uri="{63B3BB69-23CF-44E3-9099-C40C66FF867C}">
                  <a14:compatExt spid="_x0000_s18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39</xdr:row>
          <xdr:rowOff>19150</xdr:rowOff>
        </xdr:from>
        <xdr:to>
          <xdr:col>3</xdr:col>
          <xdr:colOff>0</xdr:colOff>
          <xdr:row>39</xdr:row>
          <xdr:rowOff>229797</xdr:rowOff>
        </xdr:to>
        <xdr:sp macro="" textlink="">
          <xdr:nvSpPr>
            <xdr:cNvPr id="18745" name="Spinner 313" hidden="1">
              <a:extLst>
                <a:ext uri="{63B3BB69-23CF-44E3-9099-C40C66FF867C}">
                  <a14:compatExt spid="_x0000_s18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41</xdr:row>
          <xdr:rowOff>19150</xdr:rowOff>
        </xdr:from>
        <xdr:to>
          <xdr:col>3</xdr:col>
          <xdr:colOff>0</xdr:colOff>
          <xdr:row>41</xdr:row>
          <xdr:rowOff>229797</xdr:rowOff>
        </xdr:to>
        <xdr:sp macro="" textlink="">
          <xdr:nvSpPr>
            <xdr:cNvPr id="18752" name="Spinner 320" hidden="1">
              <a:extLst>
                <a:ext uri="{63B3BB69-23CF-44E3-9099-C40C66FF867C}">
                  <a14:compatExt spid="_x0000_s18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43</xdr:row>
          <xdr:rowOff>19150</xdr:rowOff>
        </xdr:from>
        <xdr:to>
          <xdr:col>3</xdr:col>
          <xdr:colOff>0</xdr:colOff>
          <xdr:row>43</xdr:row>
          <xdr:rowOff>229797</xdr:rowOff>
        </xdr:to>
        <xdr:sp macro="" textlink="">
          <xdr:nvSpPr>
            <xdr:cNvPr id="18759" name="Spinner 327" hidden="1">
              <a:extLst>
                <a:ext uri="{63B3BB69-23CF-44E3-9099-C40C66FF867C}">
                  <a14:compatExt spid="_x0000_s18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104775</xdr:rowOff>
    </xdr:from>
    <xdr:to>
      <xdr:col>7</xdr:col>
      <xdr:colOff>19050</xdr:colOff>
      <xdr:row>24</xdr:row>
      <xdr:rowOff>190500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15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47874</xdr:colOff>
          <xdr:row>2</xdr:row>
          <xdr:rowOff>28725</xdr:rowOff>
        </xdr:from>
        <xdr:to>
          <xdr:col>12</xdr:col>
          <xdr:colOff>210647</xdr:colOff>
          <xdr:row>2</xdr:row>
          <xdr:rowOff>201072</xdr:rowOff>
        </xdr:to>
        <xdr:sp macro="" textlink="">
          <xdr:nvSpPr>
            <xdr:cNvPr id="18883" name="Spinner 451" hidden="1">
              <a:extLst>
                <a:ext uri="{63B3BB69-23CF-44E3-9099-C40C66FF867C}">
                  <a14:compatExt spid="_x0000_s18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5</xdr:col>
          <xdr:colOff>1201646</xdr:colOff>
          <xdr:row>19</xdr:row>
          <xdr:rowOff>0</xdr:rowOff>
        </xdr:to>
        <xdr:sp macro="" textlink="">
          <xdr:nvSpPr>
            <xdr:cNvPr id="11303" name="Drop Down 39" hidden="1">
              <a:extLst>
                <a:ext uri="{63B3BB69-23CF-44E3-9099-C40C66FF867C}">
                  <a14:compatExt spid="_x0000_s1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5</xdr:col>
          <xdr:colOff>1201646</xdr:colOff>
          <xdr:row>20</xdr:row>
          <xdr:rowOff>0</xdr:rowOff>
        </xdr:to>
        <xdr:sp macro="" textlink="">
          <xdr:nvSpPr>
            <xdr:cNvPr id="11304" name="Drop Down 40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20</xdr:row>
          <xdr:rowOff>19150</xdr:rowOff>
        </xdr:from>
        <xdr:to>
          <xdr:col>5</xdr:col>
          <xdr:colOff>1201646</xdr:colOff>
          <xdr:row>21</xdr:row>
          <xdr:rowOff>0</xdr:rowOff>
        </xdr:to>
        <xdr:sp macro="" textlink="">
          <xdr:nvSpPr>
            <xdr:cNvPr id="11305" name="Drop Down 41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5</xdr:col>
          <xdr:colOff>1201646</xdr:colOff>
          <xdr:row>22</xdr:row>
          <xdr:rowOff>0</xdr:rowOff>
        </xdr:to>
        <xdr:sp macro="" textlink="">
          <xdr:nvSpPr>
            <xdr:cNvPr id="11306" name="Drop Down 42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124473</xdr:colOff>
          <xdr:row>2</xdr:row>
          <xdr:rowOff>9575</xdr:rowOff>
        </xdr:from>
        <xdr:to>
          <xdr:col>7</xdr:col>
          <xdr:colOff>287246</xdr:colOff>
          <xdr:row>2</xdr:row>
          <xdr:rowOff>181923</xdr:rowOff>
        </xdr:to>
        <xdr:sp macro="" textlink="">
          <xdr:nvSpPr>
            <xdr:cNvPr id="11309" name="Spinner 45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9525</xdr:colOff>
      <xdr:row>24</xdr:row>
      <xdr:rowOff>0</xdr:rowOff>
    </xdr:from>
    <xdr:to>
      <xdr:col>1</xdr:col>
      <xdr:colOff>142875</xdr:colOff>
      <xdr:row>24</xdr:row>
      <xdr:rowOff>123825</xdr:rowOff>
    </xdr:to>
    <xdr:sp macro="" textlink="">
      <xdr:nvSpPr>
        <xdr:cNvPr id="11315" name="Rectangle 51"/>
        <xdr:cNvSpPr>
          <a:spLocks noChangeArrowheads="1"/>
        </xdr:cNvSpPr>
      </xdr:nvSpPr>
      <xdr:spPr bwMode="auto">
        <a:xfrm>
          <a:off x="9525" y="4924425"/>
          <a:ext cx="504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24</xdr:row>
      <xdr:rowOff>0</xdr:rowOff>
    </xdr:from>
    <xdr:to>
      <xdr:col>6</xdr:col>
      <xdr:colOff>9525</xdr:colOff>
      <xdr:row>27</xdr:row>
      <xdr:rowOff>0</xdr:rowOff>
    </xdr:to>
    <xdr:sp macro="[0]!opmOverig_2" textlink="">
      <xdr:nvSpPr>
        <xdr:cNvPr id="11316" name="Rectangle 52"/>
        <xdr:cNvSpPr>
          <a:spLocks noChangeArrowheads="1"/>
        </xdr:cNvSpPr>
      </xdr:nvSpPr>
      <xdr:spPr bwMode="auto">
        <a:xfrm>
          <a:off x="381000" y="4924425"/>
          <a:ext cx="58864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47625</xdr:rowOff>
    </xdr:from>
    <xdr:to>
      <xdr:col>2</xdr:col>
      <xdr:colOff>314325</xdr:colOff>
      <xdr:row>17</xdr:row>
      <xdr:rowOff>19050</xdr:rowOff>
    </xdr:to>
    <xdr:sp macro="[0]!gaNaarAanvullende" textlink="">
      <xdr:nvSpPr>
        <xdr:cNvPr id="11318" name="Rectangle 54"/>
        <xdr:cNvSpPr>
          <a:spLocks noChangeArrowheads="1"/>
        </xdr:cNvSpPr>
      </xdr:nvSpPr>
      <xdr:spPr bwMode="auto">
        <a:xfrm>
          <a:off x="381000" y="3333750"/>
          <a:ext cx="1409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19150</xdr:rowOff>
        </xdr:from>
        <xdr:to>
          <xdr:col>3</xdr:col>
          <xdr:colOff>473956</xdr:colOff>
          <xdr:row>30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6</xdr:col>
          <xdr:colOff>411719</xdr:colOff>
          <xdr:row>30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32</xdr:row>
          <xdr:rowOff>28725</xdr:rowOff>
        </xdr:from>
        <xdr:to>
          <xdr:col>3</xdr:col>
          <xdr:colOff>0</xdr:colOff>
          <xdr:row>33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34</xdr:row>
          <xdr:rowOff>28725</xdr:rowOff>
        </xdr:from>
        <xdr:to>
          <xdr:col>3</xdr:col>
          <xdr:colOff>0</xdr:colOff>
          <xdr:row>34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35</xdr:row>
          <xdr:rowOff>28725</xdr:rowOff>
        </xdr:from>
        <xdr:to>
          <xdr:col>3</xdr:col>
          <xdr:colOff>0</xdr:colOff>
          <xdr:row>35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37</xdr:row>
          <xdr:rowOff>28725</xdr:rowOff>
        </xdr:from>
        <xdr:to>
          <xdr:col>3</xdr:col>
          <xdr:colOff>0</xdr:colOff>
          <xdr:row>37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39</xdr:row>
          <xdr:rowOff>28725</xdr:rowOff>
        </xdr:from>
        <xdr:to>
          <xdr:col>3</xdr:col>
          <xdr:colOff>0</xdr:colOff>
          <xdr:row>39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40</xdr:row>
          <xdr:rowOff>28725</xdr:rowOff>
        </xdr:from>
        <xdr:to>
          <xdr:col>3</xdr:col>
          <xdr:colOff>0</xdr:colOff>
          <xdr:row>40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67024</xdr:colOff>
          <xdr:row>28</xdr:row>
          <xdr:rowOff>105324</xdr:rowOff>
        </xdr:from>
        <xdr:to>
          <xdr:col>2</xdr:col>
          <xdr:colOff>742052</xdr:colOff>
          <xdr:row>29</xdr:row>
          <xdr:rowOff>47874</xdr:rowOff>
        </xdr:to>
        <xdr:sp macro="" textlink="">
          <xdr:nvSpPr>
            <xdr:cNvPr id="11334" name="Button 70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22</xdr:row>
          <xdr:rowOff>28725</xdr:rowOff>
        </xdr:from>
        <xdr:to>
          <xdr:col>3</xdr:col>
          <xdr:colOff>0</xdr:colOff>
          <xdr:row>22</xdr:row>
          <xdr:rowOff>201072</xdr:rowOff>
        </xdr:to>
        <xdr:sp macro="" textlink="">
          <xdr:nvSpPr>
            <xdr:cNvPr id="11335" name="Spinner 71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36" name="Spinner 72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22</xdr:row>
          <xdr:rowOff>28725</xdr:rowOff>
        </xdr:from>
        <xdr:to>
          <xdr:col>5</xdr:col>
          <xdr:colOff>1153772</xdr:colOff>
          <xdr:row>22</xdr:row>
          <xdr:rowOff>201072</xdr:rowOff>
        </xdr:to>
        <xdr:sp macro="" textlink="">
          <xdr:nvSpPr>
            <xdr:cNvPr id="11338" name="Spinner 74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23</xdr:row>
          <xdr:rowOff>28725</xdr:rowOff>
        </xdr:from>
        <xdr:to>
          <xdr:col>5</xdr:col>
          <xdr:colOff>1153772</xdr:colOff>
          <xdr:row>23</xdr:row>
          <xdr:rowOff>201072</xdr:rowOff>
        </xdr:to>
        <xdr:sp macro="" textlink="">
          <xdr:nvSpPr>
            <xdr:cNvPr id="11339" name="Spinner 75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382995</xdr:colOff>
          <xdr:row>20</xdr:row>
          <xdr:rowOff>28725</xdr:rowOff>
        </xdr:from>
        <xdr:to>
          <xdr:col>8</xdr:col>
          <xdr:colOff>76599</xdr:colOff>
          <xdr:row>21</xdr:row>
          <xdr:rowOff>28725</xdr:rowOff>
        </xdr:to>
        <xdr:sp macro="" textlink="">
          <xdr:nvSpPr>
            <xdr:cNvPr id="11340" name="Check Box 76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7</xdr:row>
          <xdr:rowOff>76599</xdr:rowOff>
        </xdr:from>
        <xdr:to>
          <xdr:col>2</xdr:col>
          <xdr:colOff>856951</xdr:colOff>
          <xdr:row>8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502681</xdr:colOff>
          <xdr:row>7</xdr:row>
          <xdr:rowOff>67024</xdr:rowOff>
        </xdr:from>
        <xdr:to>
          <xdr:col>3</xdr:col>
          <xdr:colOff>627154</xdr:colOff>
          <xdr:row>7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38299</xdr:rowOff>
        </xdr:from>
        <xdr:to>
          <xdr:col>5</xdr:col>
          <xdr:colOff>837801</xdr:colOff>
          <xdr:row>7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14</xdr:row>
          <xdr:rowOff>67024</xdr:rowOff>
        </xdr:from>
        <xdr:to>
          <xdr:col>3</xdr:col>
          <xdr:colOff>933550</xdr:colOff>
          <xdr:row>14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17</xdr:row>
          <xdr:rowOff>28725</xdr:rowOff>
        </xdr:from>
        <xdr:to>
          <xdr:col>5</xdr:col>
          <xdr:colOff>229797</xdr:colOff>
          <xdr:row>17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18</xdr:row>
          <xdr:rowOff>28725</xdr:rowOff>
        </xdr:from>
        <xdr:to>
          <xdr:col>5</xdr:col>
          <xdr:colOff>229797</xdr:colOff>
          <xdr:row>18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17</xdr:row>
          <xdr:rowOff>47874</xdr:rowOff>
        </xdr:from>
        <xdr:to>
          <xdr:col>2</xdr:col>
          <xdr:colOff>124473</xdr:colOff>
          <xdr:row>18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18</xdr:row>
          <xdr:rowOff>47874</xdr:rowOff>
        </xdr:from>
        <xdr:to>
          <xdr:col>2</xdr:col>
          <xdr:colOff>124473</xdr:colOff>
          <xdr:row>19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23</xdr:row>
          <xdr:rowOff>76599</xdr:rowOff>
        </xdr:from>
        <xdr:to>
          <xdr:col>4</xdr:col>
          <xdr:colOff>134048</xdr:colOff>
          <xdr:row>23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25</xdr:row>
          <xdr:rowOff>47874</xdr:rowOff>
        </xdr:from>
        <xdr:to>
          <xdr:col>2</xdr:col>
          <xdr:colOff>124473</xdr:colOff>
          <xdr:row>26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26</xdr:row>
          <xdr:rowOff>47874</xdr:rowOff>
        </xdr:from>
        <xdr:to>
          <xdr:col>2</xdr:col>
          <xdr:colOff>124473</xdr:colOff>
          <xdr:row>27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28725</xdr:rowOff>
        </xdr:from>
        <xdr:to>
          <xdr:col>5</xdr:col>
          <xdr:colOff>229797</xdr:colOff>
          <xdr:row>25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26</xdr:row>
          <xdr:rowOff>28725</xdr:rowOff>
        </xdr:from>
        <xdr:to>
          <xdr:col>5</xdr:col>
          <xdr:colOff>229797</xdr:colOff>
          <xdr:row>26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38299</xdr:rowOff>
        </xdr:from>
        <xdr:to>
          <xdr:col>4</xdr:col>
          <xdr:colOff>296821</xdr:colOff>
          <xdr:row>6</xdr:row>
          <xdr:rowOff>19150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21</xdr:row>
          <xdr:rowOff>47874</xdr:rowOff>
        </xdr:from>
        <xdr:to>
          <xdr:col>2</xdr:col>
          <xdr:colOff>124473</xdr:colOff>
          <xdr:row>22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22</xdr:row>
          <xdr:rowOff>95749</xdr:rowOff>
        </xdr:from>
        <xdr:to>
          <xdr:col>2</xdr:col>
          <xdr:colOff>114898</xdr:colOff>
          <xdr:row>23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21</xdr:row>
          <xdr:rowOff>28725</xdr:rowOff>
        </xdr:from>
        <xdr:to>
          <xdr:col>5</xdr:col>
          <xdr:colOff>229797</xdr:colOff>
          <xdr:row>21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124473</xdr:rowOff>
        </xdr:from>
        <xdr:to>
          <xdr:col>5</xdr:col>
          <xdr:colOff>229797</xdr:colOff>
          <xdr:row>23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15</xdr:row>
          <xdr:rowOff>67024</xdr:rowOff>
        </xdr:from>
        <xdr:to>
          <xdr:col>3</xdr:col>
          <xdr:colOff>440444</xdr:colOff>
          <xdr:row>15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16</xdr:row>
          <xdr:rowOff>67024</xdr:rowOff>
        </xdr:from>
        <xdr:to>
          <xdr:col>3</xdr:col>
          <xdr:colOff>430869</xdr:colOff>
          <xdr:row>16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15</xdr:row>
          <xdr:rowOff>76599</xdr:rowOff>
        </xdr:from>
        <xdr:to>
          <xdr:col>5</xdr:col>
          <xdr:colOff>220222</xdr:colOff>
          <xdr:row>15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8</xdr:row>
          <xdr:rowOff>67024</xdr:rowOff>
        </xdr:from>
        <xdr:to>
          <xdr:col>3</xdr:col>
          <xdr:colOff>799502</xdr:colOff>
          <xdr:row>8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38299</xdr:rowOff>
        </xdr:from>
        <xdr:to>
          <xdr:col>5</xdr:col>
          <xdr:colOff>837801</xdr:colOff>
          <xdr:row>8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15</xdr:row>
          <xdr:rowOff>76599</xdr:rowOff>
        </xdr:from>
        <xdr:to>
          <xdr:col>6</xdr:col>
          <xdr:colOff>655879</xdr:colOff>
          <xdr:row>15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15</xdr:row>
      <xdr:rowOff>114300</xdr:rowOff>
    </xdr:from>
    <xdr:to>
      <xdr:col>4</xdr:col>
      <xdr:colOff>533400</xdr:colOff>
      <xdr:row>16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9</xdr:row>
          <xdr:rowOff>76599</xdr:rowOff>
        </xdr:from>
        <xdr:to>
          <xdr:col>2</xdr:col>
          <xdr:colOff>856951</xdr:colOff>
          <xdr:row>10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9</xdr:row>
          <xdr:rowOff>67024</xdr:rowOff>
        </xdr:from>
        <xdr:to>
          <xdr:col>3</xdr:col>
          <xdr:colOff>799502</xdr:colOff>
          <xdr:row>9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38299</xdr:rowOff>
        </xdr:from>
        <xdr:to>
          <xdr:col>5</xdr:col>
          <xdr:colOff>837801</xdr:colOff>
          <xdr:row>9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38299</xdr:rowOff>
        </xdr:from>
        <xdr:to>
          <xdr:col>5</xdr:col>
          <xdr:colOff>837801</xdr:colOff>
          <xdr:row>10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14</xdr:row>
          <xdr:rowOff>67024</xdr:rowOff>
        </xdr:from>
        <xdr:to>
          <xdr:col>8</xdr:col>
          <xdr:colOff>933550</xdr:colOff>
          <xdr:row>14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17</xdr:row>
          <xdr:rowOff>38299</xdr:rowOff>
        </xdr:from>
        <xdr:to>
          <xdr:col>10</xdr:col>
          <xdr:colOff>450019</xdr:colOff>
          <xdr:row>17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18</xdr:row>
          <xdr:rowOff>28725</xdr:rowOff>
        </xdr:from>
        <xdr:to>
          <xdr:col>10</xdr:col>
          <xdr:colOff>459594</xdr:colOff>
          <xdr:row>18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17</xdr:row>
          <xdr:rowOff>47874</xdr:rowOff>
        </xdr:from>
        <xdr:to>
          <xdr:col>7</xdr:col>
          <xdr:colOff>335120</xdr:colOff>
          <xdr:row>18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18</xdr:row>
          <xdr:rowOff>47874</xdr:rowOff>
        </xdr:from>
        <xdr:to>
          <xdr:col>7</xdr:col>
          <xdr:colOff>335120</xdr:colOff>
          <xdr:row>19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16</xdr:row>
          <xdr:rowOff>67024</xdr:rowOff>
        </xdr:from>
        <xdr:to>
          <xdr:col>8</xdr:col>
          <xdr:colOff>569705</xdr:colOff>
          <xdr:row>16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552450</xdr:colOff>
      <xdr:row>6</xdr:row>
      <xdr:rowOff>28575</xdr:rowOff>
    </xdr:from>
    <xdr:to>
      <xdr:col>14</xdr:col>
      <xdr:colOff>457200</xdr:colOff>
      <xdr:row>20</xdr:row>
      <xdr:rowOff>219075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810625" y="1057275"/>
          <a:ext cx="1733550" cy="382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17</xdr:row>
      <xdr:rowOff>76200</xdr:rowOff>
    </xdr:from>
    <xdr:to>
      <xdr:col>5</xdr:col>
      <xdr:colOff>0</xdr:colOff>
      <xdr:row>18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18</xdr:row>
      <xdr:rowOff>85725</xdr:rowOff>
    </xdr:from>
    <xdr:to>
      <xdr:col>5</xdr:col>
      <xdr:colOff>28575</xdr:colOff>
      <xdr:row>20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124473</xdr:colOff>
          <xdr:row>2</xdr:row>
          <xdr:rowOff>9575</xdr:rowOff>
        </xdr:from>
        <xdr:to>
          <xdr:col>8</xdr:col>
          <xdr:colOff>287246</xdr:colOff>
          <xdr:row>2</xdr:row>
          <xdr:rowOff>181923</xdr:rowOff>
        </xdr:to>
        <xdr:sp macro="" textlink="">
          <xdr:nvSpPr>
            <xdr:cNvPr id="8267" name="Spinner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450019</xdr:colOff>
          <xdr:row>1</xdr:row>
          <xdr:rowOff>143623</xdr:rowOff>
        </xdr:from>
        <xdr:to>
          <xdr:col>11</xdr:col>
          <xdr:colOff>0</xdr:colOff>
          <xdr:row>2</xdr:row>
          <xdr:rowOff>143623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5029200" y="361950"/>
          <a:ext cx="97155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10</xdr:col>
      <xdr:colOff>0</xdr:colOff>
      <xdr:row>3</xdr:row>
      <xdr:rowOff>0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7550" y="342900"/>
          <a:ext cx="58102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12</xdr:row>
      <xdr:rowOff>38100</xdr:rowOff>
    </xdr:from>
    <xdr:to>
      <xdr:col>9</xdr:col>
      <xdr:colOff>0</xdr:colOff>
      <xdr:row>12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28</xdr:row>
      <xdr:rowOff>57150</xdr:rowOff>
    </xdr:from>
    <xdr:to>
      <xdr:col>9</xdr:col>
      <xdr:colOff>0</xdr:colOff>
      <xdr:row>29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20</xdr:row>
      <xdr:rowOff>57150</xdr:rowOff>
    </xdr:from>
    <xdr:to>
      <xdr:col>5</xdr:col>
      <xdr:colOff>19050</xdr:colOff>
      <xdr:row>20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21</xdr:row>
      <xdr:rowOff>57150</xdr:rowOff>
    </xdr:from>
    <xdr:to>
      <xdr:col>5</xdr:col>
      <xdr:colOff>28575</xdr:colOff>
      <xdr:row>21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5</xdr:row>
      <xdr:rowOff>38100</xdr:rowOff>
    </xdr:from>
    <xdr:to>
      <xdr:col>2</xdr:col>
      <xdr:colOff>571500</xdr:colOff>
      <xdr:row>7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13</xdr:row>
      <xdr:rowOff>123825</xdr:rowOff>
    </xdr:from>
    <xdr:to>
      <xdr:col>2</xdr:col>
      <xdr:colOff>476250</xdr:colOff>
      <xdr:row>14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</xdr:row>
          <xdr:rowOff>0</xdr:rowOff>
        </xdr:from>
        <xdr:to>
          <xdr:col>2</xdr:col>
          <xdr:colOff>627154</xdr:colOff>
          <xdr:row>3</xdr:row>
          <xdr:rowOff>220222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</xdr:row>
          <xdr:rowOff>0</xdr:rowOff>
        </xdr:from>
        <xdr:to>
          <xdr:col>2</xdr:col>
          <xdr:colOff>627154</xdr:colOff>
          <xdr:row>4</xdr:row>
          <xdr:rowOff>220222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6</xdr:row>
          <xdr:rowOff>0</xdr:rowOff>
        </xdr:from>
        <xdr:to>
          <xdr:col>2</xdr:col>
          <xdr:colOff>627154</xdr:colOff>
          <xdr:row>6</xdr:row>
          <xdr:rowOff>220222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7</xdr:row>
          <xdr:rowOff>0</xdr:rowOff>
        </xdr:from>
        <xdr:to>
          <xdr:col>2</xdr:col>
          <xdr:colOff>627154</xdr:colOff>
          <xdr:row>7</xdr:row>
          <xdr:rowOff>220222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12</xdr:row>
          <xdr:rowOff>0</xdr:rowOff>
        </xdr:from>
        <xdr:to>
          <xdr:col>2</xdr:col>
          <xdr:colOff>617579</xdr:colOff>
          <xdr:row>12</xdr:row>
          <xdr:rowOff>220222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12295" name="Check Box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10</xdr:row>
          <xdr:rowOff>0</xdr:rowOff>
        </xdr:from>
        <xdr:to>
          <xdr:col>2</xdr:col>
          <xdr:colOff>617579</xdr:colOff>
          <xdr:row>10</xdr:row>
          <xdr:rowOff>220222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19150</xdr:rowOff>
        </xdr:from>
        <xdr:to>
          <xdr:col>2</xdr:col>
          <xdr:colOff>627154</xdr:colOff>
          <xdr:row>26</xdr:row>
          <xdr:rowOff>239372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</xdr:row>
          <xdr:rowOff>0</xdr:rowOff>
        </xdr:from>
        <xdr:to>
          <xdr:col>6</xdr:col>
          <xdr:colOff>627154</xdr:colOff>
          <xdr:row>3</xdr:row>
          <xdr:rowOff>220222</xdr:rowOff>
        </xdr:to>
        <xdr:sp macro="" textlink="">
          <xdr:nvSpPr>
            <xdr:cNvPr id="12302" name="Check Box 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</xdr:row>
          <xdr:rowOff>0</xdr:rowOff>
        </xdr:from>
        <xdr:to>
          <xdr:col>6</xdr:col>
          <xdr:colOff>627154</xdr:colOff>
          <xdr:row>4</xdr:row>
          <xdr:rowOff>220222</xdr:rowOff>
        </xdr:to>
        <xdr:sp macro="" textlink="">
          <xdr:nvSpPr>
            <xdr:cNvPr id="12303" name="Check Box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6</xdr:row>
          <xdr:rowOff>0</xdr:rowOff>
        </xdr:from>
        <xdr:to>
          <xdr:col>6</xdr:col>
          <xdr:colOff>627154</xdr:colOff>
          <xdr:row>6</xdr:row>
          <xdr:rowOff>220222</xdr:rowOff>
        </xdr:to>
        <xdr:sp macro="" textlink="">
          <xdr:nvSpPr>
            <xdr:cNvPr id="12304" name="Check Box 16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7</xdr:row>
          <xdr:rowOff>0</xdr:rowOff>
        </xdr:from>
        <xdr:to>
          <xdr:col>6</xdr:col>
          <xdr:colOff>627154</xdr:colOff>
          <xdr:row>7</xdr:row>
          <xdr:rowOff>220222</xdr:rowOff>
        </xdr:to>
        <xdr:sp macro="" textlink="">
          <xdr:nvSpPr>
            <xdr:cNvPr id="12305" name="Check Box 17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12</xdr:row>
          <xdr:rowOff>0</xdr:rowOff>
        </xdr:from>
        <xdr:to>
          <xdr:col>6</xdr:col>
          <xdr:colOff>617579</xdr:colOff>
          <xdr:row>12</xdr:row>
          <xdr:rowOff>220222</xdr:rowOff>
        </xdr:to>
        <xdr:sp macro="" textlink="">
          <xdr:nvSpPr>
            <xdr:cNvPr id="12306" name="Check Box 18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2307" name="Check Box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12308" name="Check Box 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2309" name="Check Box 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12311" name="Check Box 23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2312" name="Check Box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10</xdr:row>
          <xdr:rowOff>0</xdr:rowOff>
        </xdr:from>
        <xdr:to>
          <xdr:col>6</xdr:col>
          <xdr:colOff>617579</xdr:colOff>
          <xdr:row>10</xdr:row>
          <xdr:rowOff>220222</xdr:rowOff>
        </xdr:to>
        <xdr:sp macro="" textlink="">
          <xdr:nvSpPr>
            <xdr:cNvPr id="12313" name="Check Box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19150</xdr:rowOff>
        </xdr:from>
        <xdr:to>
          <xdr:col>6</xdr:col>
          <xdr:colOff>627154</xdr:colOff>
          <xdr:row>26</xdr:row>
          <xdr:rowOff>239372</xdr:rowOff>
        </xdr:to>
        <xdr:sp macro="" textlink="">
          <xdr:nvSpPr>
            <xdr:cNvPr id="12314" name="Check Box 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</xdr:row>
          <xdr:rowOff>0</xdr:rowOff>
        </xdr:from>
        <xdr:to>
          <xdr:col>8</xdr:col>
          <xdr:colOff>627154</xdr:colOff>
          <xdr:row>3</xdr:row>
          <xdr:rowOff>220222</xdr:rowOff>
        </xdr:to>
        <xdr:sp macro="" textlink="">
          <xdr:nvSpPr>
            <xdr:cNvPr id="12315" name="Check Box 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</xdr:row>
          <xdr:rowOff>0</xdr:rowOff>
        </xdr:from>
        <xdr:to>
          <xdr:col>8</xdr:col>
          <xdr:colOff>627154</xdr:colOff>
          <xdr:row>4</xdr:row>
          <xdr:rowOff>220222</xdr:rowOff>
        </xdr:to>
        <xdr:sp macro="" textlink="">
          <xdr:nvSpPr>
            <xdr:cNvPr id="12316" name="Check Box 28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6</xdr:row>
          <xdr:rowOff>0</xdr:rowOff>
        </xdr:from>
        <xdr:to>
          <xdr:col>8</xdr:col>
          <xdr:colOff>627154</xdr:colOff>
          <xdr:row>6</xdr:row>
          <xdr:rowOff>220222</xdr:rowOff>
        </xdr:to>
        <xdr:sp macro="" textlink="">
          <xdr:nvSpPr>
            <xdr:cNvPr id="12317" name="Check Box 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7</xdr:row>
          <xdr:rowOff>0</xdr:rowOff>
        </xdr:from>
        <xdr:to>
          <xdr:col>8</xdr:col>
          <xdr:colOff>627154</xdr:colOff>
          <xdr:row>7</xdr:row>
          <xdr:rowOff>220222</xdr:rowOff>
        </xdr:to>
        <xdr:sp macro="" textlink="">
          <xdr:nvSpPr>
            <xdr:cNvPr id="12318" name="Check Box 30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12</xdr:row>
          <xdr:rowOff>0</xdr:rowOff>
        </xdr:from>
        <xdr:to>
          <xdr:col>8</xdr:col>
          <xdr:colOff>617579</xdr:colOff>
          <xdr:row>12</xdr:row>
          <xdr:rowOff>220222</xdr:rowOff>
        </xdr:to>
        <xdr:sp macro="" textlink="">
          <xdr:nvSpPr>
            <xdr:cNvPr id="12319" name="Check Box 31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2320" name="Check Box 32" hidden="1">
              <a:extLst>
                <a:ext uri="{63B3BB69-23CF-44E3-9099-C40C66FF867C}">
                  <a14:compatExt spid="_x0000_s1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12321" name="Check Box 33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2322" name="Check Box 34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2323" name="Check Box 35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12324" name="Check Box 36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2325" name="Check Box 37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10</xdr:row>
          <xdr:rowOff>0</xdr:rowOff>
        </xdr:from>
        <xdr:to>
          <xdr:col>8</xdr:col>
          <xdr:colOff>617579</xdr:colOff>
          <xdr:row>10</xdr:row>
          <xdr:rowOff>220222</xdr:rowOff>
        </xdr:to>
        <xdr:sp macro="" textlink="">
          <xdr:nvSpPr>
            <xdr:cNvPr id="12326" name="Check Box 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19150</xdr:rowOff>
        </xdr:from>
        <xdr:to>
          <xdr:col>8</xdr:col>
          <xdr:colOff>627154</xdr:colOff>
          <xdr:row>26</xdr:row>
          <xdr:rowOff>239372</xdr:rowOff>
        </xdr:to>
        <xdr:sp macro="" textlink="">
          <xdr:nvSpPr>
            <xdr:cNvPr id="12327" name="Check Box 39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</xdr:row>
          <xdr:rowOff>0</xdr:rowOff>
        </xdr:from>
        <xdr:to>
          <xdr:col>12</xdr:col>
          <xdr:colOff>627154</xdr:colOff>
          <xdr:row>3</xdr:row>
          <xdr:rowOff>220222</xdr:rowOff>
        </xdr:to>
        <xdr:sp macro="" textlink="">
          <xdr:nvSpPr>
            <xdr:cNvPr id="12351" name="Check Box 63" hidden="1">
              <a:extLst>
                <a:ext uri="{63B3BB69-23CF-44E3-9099-C40C66FF867C}">
                  <a14:compatExt spid="_x0000_s12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</xdr:row>
          <xdr:rowOff>0</xdr:rowOff>
        </xdr:from>
        <xdr:to>
          <xdr:col>12</xdr:col>
          <xdr:colOff>627154</xdr:colOff>
          <xdr:row>4</xdr:row>
          <xdr:rowOff>220222</xdr:rowOff>
        </xdr:to>
        <xdr:sp macro="" textlink="">
          <xdr:nvSpPr>
            <xdr:cNvPr id="12352" name="Check Box 64" hidden="1">
              <a:extLst>
                <a:ext uri="{63B3BB69-23CF-44E3-9099-C40C66FF867C}">
                  <a14:compatExt spid="_x0000_s12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6</xdr:row>
          <xdr:rowOff>0</xdr:rowOff>
        </xdr:from>
        <xdr:to>
          <xdr:col>12</xdr:col>
          <xdr:colOff>627154</xdr:colOff>
          <xdr:row>6</xdr:row>
          <xdr:rowOff>220222</xdr:rowOff>
        </xdr:to>
        <xdr:sp macro="" textlink="">
          <xdr:nvSpPr>
            <xdr:cNvPr id="12353" name="Check Box 65" hidden="1">
              <a:extLst>
                <a:ext uri="{63B3BB69-23CF-44E3-9099-C40C66FF867C}">
                  <a14:compatExt spid="_x0000_s12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7</xdr:row>
          <xdr:rowOff>0</xdr:rowOff>
        </xdr:from>
        <xdr:to>
          <xdr:col>12</xdr:col>
          <xdr:colOff>627154</xdr:colOff>
          <xdr:row>7</xdr:row>
          <xdr:rowOff>220222</xdr:rowOff>
        </xdr:to>
        <xdr:sp macro="" textlink="">
          <xdr:nvSpPr>
            <xdr:cNvPr id="12354" name="Check Box 66" hidden="1">
              <a:extLst>
                <a:ext uri="{63B3BB69-23CF-44E3-9099-C40C66FF867C}">
                  <a14:compatExt spid="_x0000_s12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12</xdr:row>
          <xdr:rowOff>0</xdr:rowOff>
        </xdr:from>
        <xdr:to>
          <xdr:col>12</xdr:col>
          <xdr:colOff>617579</xdr:colOff>
          <xdr:row>12</xdr:row>
          <xdr:rowOff>220222</xdr:rowOff>
        </xdr:to>
        <xdr:sp macro="" textlink="">
          <xdr:nvSpPr>
            <xdr:cNvPr id="12355" name="Check Box 67" hidden="1">
              <a:extLst>
                <a:ext uri="{63B3BB69-23CF-44E3-9099-C40C66FF867C}">
                  <a14:compatExt spid="_x0000_s12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2356" name="Check Box 68" hidden="1">
              <a:extLst>
                <a:ext uri="{63B3BB69-23CF-44E3-9099-C40C66FF867C}">
                  <a14:compatExt spid="_x0000_s12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2359" name="Check Box 71" hidden="1">
              <a:extLst>
                <a:ext uri="{63B3BB69-23CF-44E3-9099-C40C66FF867C}">
                  <a14:compatExt spid="_x0000_s12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12360" name="Check Box 72" hidden="1">
              <a:extLst>
                <a:ext uri="{63B3BB69-23CF-44E3-9099-C40C66FF867C}">
                  <a14:compatExt spid="_x0000_s12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2361" name="Check Box 73" hidden="1">
              <a:extLst>
                <a:ext uri="{63B3BB69-23CF-44E3-9099-C40C66FF867C}">
                  <a14:compatExt spid="_x0000_s12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10</xdr:row>
          <xdr:rowOff>0</xdr:rowOff>
        </xdr:from>
        <xdr:to>
          <xdr:col>12</xdr:col>
          <xdr:colOff>617579</xdr:colOff>
          <xdr:row>10</xdr:row>
          <xdr:rowOff>220222</xdr:rowOff>
        </xdr:to>
        <xdr:sp macro="" textlink="">
          <xdr:nvSpPr>
            <xdr:cNvPr id="12362" name="Check Box 74" hidden="1">
              <a:extLst>
                <a:ext uri="{63B3BB69-23CF-44E3-9099-C40C66FF867C}">
                  <a14:compatExt spid="_x0000_s12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19150</xdr:rowOff>
        </xdr:from>
        <xdr:to>
          <xdr:col>12</xdr:col>
          <xdr:colOff>627154</xdr:colOff>
          <xdr:row>26</xdr:row>
          <xdr:rowOff>239372</xdr:rowOff>
        </xdr:to>
        <xdr:sp macro="" textlink="">
          <xdr:nvSpPr>
            <xdr:cNvPr id="12363" name="Check Box 75" hidden="1">
              <a:extLst>
                <a:ext uri="{63B3BB69-23CF-44E3-9099-C40C66FF867C}">
                  <a14:compatExt spid="_x0000_s12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19150</xdr:rowOff>
        </xdr:from>
        <xdr:to>
          <xdr:col>2</xdr:col>
          <xdr:colOff>627154</xdr:colOff>
          <xdr:row>27</xdr:row>
          <xdr:rowOff>239372</xdr:rowOff>
        </xdr:to>
        <xdr:sp macro="" textlink="">
          <xdr:nvSpPr>
            <xdr:cNvPr id="12364" name="Check Box 76" hidden="1">
              <a:extLst>
                <a:ext uri="{63B3BB69-23CF-44E3-9099-C40C66FF867C}">
                  <a14:compatExt spid="_x0000_s12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19150</xdr:rowOff>
        </xdr:from>
        <xdr:to>
          <xdr:col>6</xdr:col>
          <xdr:colOff>627154</xdr:colOff>
          <xdr:row>27</xdr:row>
          <xdr:rowOff>239372</xdr:rowOff>
        </xdr:to>
        <xdr:sp macro="" textlink="">
          <xdr:nvSpPr>
            <xdr:cNvPr id="12365" name="Check Box 77" hidden="1">
              <a:extLst>
                <a:ext uri="{63B3BB69-23CF-44E3-9099-C40C66FF867C}">
                  <a14:compatExt spid="_x0000_s12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19150</xdr:rowOff>
        </xdr:from>
        <xdr:to>
          <xdr:col>8</xdr:col>
          <xdr:colOff>627154</xdr:colOff>
          <xdr:row>27</xdr:row>
          <xdr:rowOff>239372</xdr:rowOff>
        </xdr:to>
        <xdr:sp macro="" textlink="">
          <xdr:nvSpPr>
            <xdr:cNvPr id="12366" name="Check Box 78" hidden="1">
              <a:extLst>
                <a:ext uri="{63B3BB69-23CF-44E3-9099-C40C66FF867C}">
                  <a14:compatExt spid="_x0000_s12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19150</xdr:rowOff>
        </xdr:from>
        <xdr:to>
          <xdr:col>12</xdr:col>
          <xdr:colOff>627154</xdr:colOff>
          <xdr:row>27</xdr:row>
          <xdr:rowOff>239372</xdr:rowOff>
        </xdr:to>
        <xdr:sp macro="" textlink="">
          <xdr:nvSpPr>
            <xdr:cNvPr id="12368" name="Check Box 80" hidden="1">
              <a:extLst>
                <a:ext uri="{63B3BB69-23CF-44E3-9099-C40C66FF867C}">
                  <a14:compatExt spid="_x0000_s12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5</xdr:row>
          <xdr:rowOff>0</xdr:rowOff>
        </xdr:from>
        <xdr:to>
          <xdr:col>2</xdr:col>
          <xdr:colOff>627154</xdr:colOff>
          <xdr:row>5</xdr:row>
          <xdr:rowOff>220222</xdr:rowOff>
        </xdr:to>
        <xdr:sp macro="" textlink="">
          <xdr:nvSpPr>
            <xdr:cNvPr id="12369" name="Check Box 81" hidden="1">
              <a:extLst>
                <a:ext uri="{63B3BB69-23CF-44E3-9099-C40C66FF867C}">
                  <a14:compatExt spid="_x0000_s12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5</xdr:row>
          <xdr:rowOff>0</xdr:rowOff>
        </xdr:from>
        <xdr:to>
          <xdr:col>6</xdr:col>
          <xdr:colOff>627154</xdr:colOff>
          <xdr:row>5</xdr:row>
          <xdr:rowOff>220222</xdr:rowOff>
        </xdr:to>
        <xdr:sp macro="" textlink="">
          <xdr:nvSpPr>
            <xdr:cNvPr id="12370" name="Check Box 82" hidden="1">
              <a:extLst>
                <a:ext uri="{63B3BB69-23CF-44E3-9099-C40C66FF867C}">
                  <a14:compatExt spid="_x0000_s12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5</xdr:row>
          <xdr:rowOff>0</xdr:rowOff>
        </xdr:from>
        <xdr:to>
          <xdr:col>8</xdr:col>
          <xdr:colOff>627154</xdr:colOff>
          <xdr:row>5</xdr:row>
          <xdr:rowOff>220222</xdr:rowOff>
        </xdr:to>
        <xdr:sp macro="" textlink="">
          <xdr:nvSpPr>
            <xdr:cNvPr id="12371" name="Check Box 83" hidden="1">
              <a:extLst>
                <a:ext uri="{63B3BB69-23CF-44E3-9099-C40C66FF867C}">
                  <a14:compatExt spid="_x0000_s12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5</xdr:row>
          <xdr:rowOff>0</xdr:rowOff>
        </xdr:from>
        <xdr:to>
          <xdr:col>12</xdr:col>
          <xdr:colOff>627154</xdr:colOff>
          <xdr:row>5</xdr:row>
          <xdr:rowOff>220222</xdr:rowOff>
        </xdr:to>
        <xdr:sp macro="" textlink="">
          <xdr:nvSpPr>
            <xdr:cNvPr id="12373" name="Check Box 85" hidden="1">
              <a:extLst>
                <a:ext uri="{63B3BB69-23CF-44E3-9099-C40C66FF867C}">
                  <a14:compatExt spid="_x0000_s12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2374" name="Check Box 86" hidden="1">
              <a:extLst>
                <a:ext uri="{63B3BB69-23CF-44E3-9099-C40C66FF867C}">
                  <a14:compatExt spid="_x0000_s12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2375" name="Check Box 87" hidden="1">
              <a:extLst>
                <a:ext uri="{63B3BB69-23CF-44E3-9099-C40C66FF867C}">
                  <a14:compatExt spid="_x0000_s12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2376" name="Check Box 88" hidden="1">
              <a:extLst>
                <a:ext uri="{63B3BB69-23CF-44E3-9099-C40C66FF867C}">
                  <a14:compatExt spid="_x0000_s12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2378" name="Check Box 90" hidden="1">
              <a:extLst>
                <a:ext uri="{63B3BB69-23CF-44E3-9099-C40C66FF867C}">
                  <a14:compatExt spid="_x0000_s12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</xdr:row>
          <xdr:rowOff>0</xdr:rowOff>
        </xdr:from>
        <xdr:to>
          <xdr:col>4</xdr:col>
          <xdr:colOff>627154</xdr:colOff>
          <xdr:row>3</xdr:row>
          <xdr:rowOff>220222</xdr:rowOff>
        </xdr:to>
        <xdr:sp macro="" textlink="">
          <xdr:nvSpPr>
            <xdr:cNvPr id="12395" name="Check Box 107" hidden="1">
              <a:extLst>
                <a:ext uri="{63B3BB69-23CF-44E3-9099-C40C66FF867C}">
                  <a14:compatExt spid="_x0000_s12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</xdr:row>
          <xdr:rowOff>0</xdr:rowOff>
        </xdr:from>
        <xdr:to>
          <xdr:col>4</xdr:col>
          <xdr:colOff>627154</xdr:colOff>
          <xdr:row>4</xdr:row>
          <xdr:rowOff>220222</xdr:rowOff>
        </xdr:to>
        <xdr:sp macro="" textlink="">
          <xdr:nvSpPr>
            <xdr:cNvPr id="12396" name="Check Box 108" hidden="1">
              <a:extLst>
                <a:ext uri="{63B3BB69-23CF-44E3-9099-C40C66FF867C}">
                  <a14:compatExt spid="_x0000_s12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6</xdr:row>
          <xdr:rowOff>0</xdr:rowOff>
        </xdr:from>
        <xdr:to>
          <xdr:col>4</xdr:col>
          <xdr:colOff>627154</xdr:colOff>
          <xdr:row>6</xdr:row>
          <xdr:rowOff>220222</xdr:rowOff>
        </xdr:to>
        <xdr:sp macro="" textlink="">
          <xdr:nvSpPr>
            <xdr:cNvPr id="12397" name="Check Box 109" hidden="1">
              <a:extLst>
                <a:ext uri="{63B3BB69-23CF-44E3-9099-C40C66FF867C}">
                  <a14:compatExt spid="_x0000_s12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7</xdr:row>
          <xdr:rowOff>0</xdr:rowOff>
        </xdr:from>
        <xdr:to>
          <xdr:col>4</xdr:col>
          <xdr:colOff>627154</xdr:colOff>
          <xdr:row>7</xdr:row>
          <xdr:rowOff>220222</xdr:rowOff>
        </xdr:to>
        <xdr:sp macro="" textlink="">
          <xdr:nvSpPr>
            <xdr:cNvPr id="12398" name="Check Box 110" hidden="1">
              <a:extLst>
                <a:ext uri="{63B3BB69-23CF-44E3-9099-C40C66FF867C}">
                  <a14:compatExt spid="_x0000_s12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12</xdr:row>
          <xdr:rowOff>0</xdr:rowOff>
        </xdr:from>
        <xdr:to>
          <xdr:col>4</xdr:col>
          <xdr:colOff>617579</xdr:colOff>
          <xdr:row>12</xdr:row>
          <xdr:rowOff>220222</xdr:rowOff>
        </xdr:to>
        <xdr:sp macro="" textlink="">
          <xdr:nvSpPr>
            <xdr:cNvPr id="12399" name="Check Box 111" hidden="1">
              <a:extLst>
                <a:ext uri="{63B3BB69-23CF-44E3-9099-C40C66FF867C}">
                  <a14:compatExt spid="_x0000_s12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2400" name="Check Box 112" hidden="1">
              <a:extLst>
                <a:ext uri="{63B3BB69-23CF-44E3-9099-C40C66FF867C}">
                  <a14:compatExt spid="_x0000_s12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12401" name="Check Box 113" hidden="1">
              <a:extLst>
                <a:ext uri="{63B3BB69-23CF-44E3-9099-C40C66FF867C}">
                  <a14:compatExt spid="_x0000_s1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2402" name="Check Box 114" hidden="1">
              <a:extLst>
                <a:ext uri="{63B3BB69-23CF-44E3-9099-C40C66FF867C}">
                  <a14:compatExt spid="_x0000_s1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2403" name="Check Box 115" hidden="1">
              <a:extLst>
                <a:ext uri="{63B3BB69-23CF-44E3-9099-C40C66FF867C}">
                  <a14:compatExt spid="_x0000_s1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12404" name="Check Box 116" hidden="1">
              <a:extLst>
                <a:ext uri="{63B3BB69-23CF-44E3-9099-C40C66FF867C}">
                  <a14:compatExt spid="_x0000_s12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2405" name="Check Box 117" hidden="1">
              <a:extLst>
                <a:ext uri="{63B3BB69-23CF-44E3-9099-C40C66FF867C}">
                  <a14:compatExt spid="_x0000_s12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10</xdr:row>
          <xdr:rowOff>0</xdr:rowOff>
        </xdr:from>
        <xdr:to>
          <xdr:col>4</xdr:col>
          <xdr:colOff>617579</xdr:colOff>
          <xdr:row>10</xdr:row>
          <xdr:rowOff>220222</xdr:rowOff>
        </xdr:to>
        <xdr:sp macro="" textlink="">
          <xdr:nvSpPr>
            <xdr:cNvPr id="12406" name="Check Box 118" hidden="1">
              <a:extLst>
                <a:ext uri="{63B3BB69-23CF-44E3-9099-C40C66FF867C}">
                  <a14:compatExt spid="_x0000_s12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19150</xdr:rowOff>
        </xdr:from>
        <xdr:to>
          <xdr:col>4</xdr:col>
          <xdr:colOff>627154</xdr:colOff>
          <xdr:row>26</xdr:row>
          <xdr:rowOff>239372</xdr:rowOff>
        </xdr:to>
        <xdr:sp macro="" textlink="">
          <xdr:nvSpPr>
            <xdr:cNvPr id="12407" name="Check Box 119" hidden="1">
              <a:extLst>
                <a:ext uri="{63B3BB69-23CF-44E3-9099-C40C66FF867C}">
                  <a14:compatExt spid="_x0000_s12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19150</xdr:rowOff>
        </xdr:from>
        <xdr:to>
          <xdr:col>4</xdr:col>
          <xdr:colOff>627154</xdr:colOff>
          <xdr:row>27</xdr:row>
          <xdr:rowOff>239372</xdr:rowOff>
        </xdr:to>
        <xdr:sp macro="" textlink="">
          <xdr:nvSpPr>
            <xdr:cNvPr id="12408" name="Check Box 120" hidden="1">
              <a:extLst>
                <a:ext uri="{63B3BB69-23CF-44E3-9099-C40C66FF867C}">
                  <a14:compatExt spid="_x0000_s12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5</xdr:row>
          <xdr:rowOff>0</xdr:rowOff>
        </xdr:from>
        <xdr:to>
          <xdr:col>4</xdr:col>
          <xdr:colOff>627154</xdr:colOff>
          <xdr:row>5</xdr:row>
          <xdr:rowOff>220222</xdr:rowOff>
        </xdr:to>
        <xdr:sp macro="" textlink="">
          <xdr:nvSpPr>
            <xdr:cNvPr id="12409" name="Check Box 121" hidden="1">
              <a:extLst>
                <a:ext uri="{63B3BB69-23CF-44E3-9099-C40C66FF867C}">
                  <a14:compatExt spid="_x0000_s12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2410" name="Check Box 122" hidden="1">
              <a:extLst>
                <a:ext uri="{63B3BB69-23CF-44E3-9099-C40C66FF867C}">
                  <a14:compatExt spid="_x0000_s12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32</xdr:row>
      <xdr:rowOff>9525</xdr:rowOff>
    </xdr:from>
    <xdr:to>
      <xdr:col>12</xdr:col>
      <xdr:colOff>704850</xdr:colOff>
      <xdr:row>33</xdr:row>
      <xdr:rowOff>0</xdr:rowOff>
    </xdr:to>
    <xdr:sp macro="[0]!mInvoer.opmOverig_1" textlink="">
      <xdr:nvSpPr>
        <xdr:cNvPr id="12411" name="Rectangle 123"/>
        <xdr:cNvSpPr>
          <a:spLocks noChangeArrowheads="1"/>
        </xdr:cNvSpPr>
      </xdr:nvSpPr>
      <xdr:spPr bwMode="auto">
        <a:xfrm>
          <a:off x="257175" y="9877425"/>
          <a:ext cx="74104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152400</xdr:colOff>
      <xdr:row>0</xdr:row>
      <xdr:rowOff>133350</xdr:rowOff>
    </xdr:to>
    <xdr:sp macro="[0]!gaNaarLaboratorium" textlink="">
      <xdr:nvSpPr>
        <xdr:cNvPr id="12412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3</xdr:row>
          <xdr:rowOff>0</xdr:rowOff>
        </xdr:from>
        <xdr:to>
          <xdr:col>14</xdr:col>
          <xdr:colOff>627154</xdr:colOff>
          <xdr:row>3</xdr:row>
          <xdr:rowOff>220222</xdr:rowOff>
        </xdr:to>
        <xdr:sp macro="" textlink="">
          <xdr:nvSpPr>
            <xdr:cNvPr id="12414" name="Check Box 126" hidden="1">
              <a:extLst>
                <a:ext uri="{63B3BB69-23CF-44E3-9099-C40C66FF867C}">
                  <a14:compatExt spid="_x0000_s12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4</xdr:row>
          <xdr:rowOff>0</xdr:rowOff>
        </xdr:from>
        <xdr:to>
          <xdr:col>14</xdr:col>
          <xdr:colOff>627154</xdr:colOff>
          <xdr:row>4</xdr:row>
          <xdr:rowOff>220222</xdr:rowOff>
        </xdr:to>
        <xdr:sp macro="" textlink="">
          <xdr:nvSpPr>
            <xdr:cNvPr id="12415" name="Check Box 127" hidden="1">
              <a:extLst>
                <a:ext uri="{63B3BB69-23CF-44E3-9099-C40C66FF867C}">
                  <a14:compatExt spid="_x0000_s12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6</xdr:row>
          <xdr:rowOff>0</xdr:rowOff>
        </xdr:from>
        <xdr:to>
          <xdr:col>14</xdr:col>
          <xdr:colOff>627154</xdr:colOff>
          <xdr:row>6</xdr:row>
          <xdr:rowOff>220222</xdr:rowOff>
        </xdr:to>
        <xdr:sp macro="" textlink="">
          <xdr:nvSpPr>
            <xdr:cNvPr id="12416" name="Check Box 128" hidden="1">
              <a:extLst>
                <a:ext uri="{63B3BB69-23CF-44E3-9099-C40C66FF867C}">
                  <a14:compatExt spid="_x0000_s12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7</xdr:row>
          <xdr:rowOff>0</xdr:rowOff>
        </xdr:from>
        <xdr:to>
          <xdr:col>14</xdr:col>
          <xdr:colOff>627154</xdr:colOff>
          <xdr:row>7</xdr:row>
          <xdr:rowOff>220222</xdr:rowOff>
        </xdr:to>
        <xdr:sp macro="" textlink="">
          <xdr:nvSpPr>
            <xdr:cNvPr id="12417" name="Check Box 129" hidden="1">
              <a:extLst>
                <a:ext uri="{63B3BB69-23CF-44E3-9099-C40C66FF867C}">
                  <a14:compatExt spid="_x0000_s12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12</xdr:row>
          <xdr:rowOff>0</xdr:rowOff>
        </xdr:from>
        <xdr:to>
          <xdr:col>14</xdr:col>
          <xdr:colOff>617579</xdr:colOff>
          <xdr:row>12</xdr:row>
          <xdr:rowOff>220222</xdr:rowOff>
        </xdr:to>
        <xdr:sp macro="" textlink="">
          <xdr:nvSpPr>
            <xdr:cNvPr id="12418" name="Check Box 130" hidden="1">
              <a:extLst>
                <a:ext uri="{63B3BB69-23CF-44E3-9099-C40C66FF867C}">
                  <a14:compatExt spid="_x0000_s12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11</xdr:row>
          <xdr:rowOff>0</xdr:rowOff>
        </xdr:from>
        <xdr:to>
          <xdr:col>14</xdr:col>
          <xdr:colOff>627154</xdr:colOff>
          <xdr:row>11</xdr:row>
          <xdr:rowOff>220222</xdr:rowOff>
        </xdr:to>
        <xdr:sp macro="" textlink="">
          <xdr:nvSpPr>
            <xdr:cNvPr id="12419" name="Check Box 131" hidden="1">
              <a:extLst>
                <a:ext uri="{63B3BB69-23CF-44E3-9099-C40C66FF867C}">
                  <a14:compatExt spid="_x0000_s12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25</xdr:row>
          <xdr:rowOff>0</xdr:rowOff>
        </xdr:from>
        <xdr:to>
          <xdr:col>14</xdr:col>
          <xdr:colOff>627154</xdr:colOff>
          <xdr:row>25</xdr:row>
          <xdr:rowOff>220222</xdr:rowOff>
        </xdr:to>
        <xdr:sp macro="" textlink="">
          <xdr:nvSpPr>
            <xdr:cNvPr id="12420" name="Check Box 132" hidden="1">
              <a:extLst>
                <a:ext uri="{63B3BB69-23CF-44E3-9099-C40C66FF867C}">
                  <a14:compatExt spid="_x0000_s12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14</xdr:row>
          <xdr:rowOff>0</xdr:rowOff>
        </xdr:from>
        <xdr:to>
          <xdr:col>14</xdr:col>
          <xdr:colOff>627154</xdr:colOff>
          <xdr:row>14</xdr:row>
          <xdr:rowOff>220222</xdr:rowOff>
        </xdr:to>
        <xdr:sp macro="" textlink="">
          <xdr:nvSpPr>
            <xdr:cNvPr id="12421" name="Check Box 133" hidden="1">
              <a:extLst>
                <a:ext uri="{63B3BB69-23CF-44E3-9099-C40C66FF867C}">
                  <a14:compatExt spid="_x0000_s12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16</xdr:row>
          <xdr:rowOff>0</xdr:rowOff>
        </xdr:from>
        <xdr:to>
          <xdr:col>14</xdr:col>
          <xdr:colOff>627154</xdr:colOff>
          <xdr:row>16</xdr:row>
          <xdr:rowOff>220222</xdr:rowOff>
        </xdr:to>
        <xdr:sp macro="" textlink="">
          <xdr:nvSpPr>
            <xdr:cNvPr id="12422" name="Check Box 134" hidden="1">
              <a:extLst>
                <a:ext uri="{63B3BB69-23CF-44E3-9099-C40C66FF867C}">
                  <a14:compatExt spid="_x0000_s12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17</xdr:row>
          <xdr:rowOff>0</xdr:rowOff>
        </xdr:from>
        <xdr:to>
          <xdr:col>14</xdr:col>
          <xdr:colOff>627154</xdr:colOff>
          <xdr:row>17</xdr:row>
          <xdr:rowOff>220222</xdr:rowOff>
        </xdr:to>
        <xdr:sp macro="" textlink="">
          <xdr:nvSpPr>
            <xdr:cNvPr id="12423" name="Check Box 135" hidden="1">
              <a:extLst>
                <a:ext uri="{63B3BB69-23CF-44E3-9099-C40C66FF867C}">
                  <a14:compatExt spid="_x0000_s12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18</xdr:row>
          <xdr:rowOff>0</xdr:rowOff>
        </xdr:from>
        <xdr:to>
          <xdr:col>14</xdr:col>
          <xdr:colOff>627154</xdr:colOff>
          <xdr:row>18</xdr:row>
          <xdr:rowOff>220222</xdr:rowOff>
        </xdr:to>
        <xdr:sp macro="" textlink="">
          <xdr:nvSpPr>
            <xdr:cNvPr id="12424" name="Check Box 136" hidden="1">
              <a:extLst>
                <a:ext uri="{63B3BB69-23CF-44E3-9099-C40C66FF867C}">
                  <a14:compatExt spid="_x0000_s12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10</xdr:row>
          <xdr:rowOff>0</xdr:rowOff>
        </xdr:from>
        <xdr:to>
          <xdr:col>14</xdr:col>
          <xdr:colOff>617579</xdr:colOff>
          <xdr:row>10</xdr:row>
          <xdr:rowOff>220222</xdr:rowOff>
        </xdr:to>
        <xdr:sp macro="" textlink="">
          <xdr:nvSpPr>
            <xdr:cNvPr id="12425" name="Check Box 137" hidden="1">
              <a:extLst>
                <a:ext uri="{63B3BB69-23CF-44E3-9099-C40C66FF867C}">
                  <a14:compatExt spid="_x0000_s12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26</xdr:row>
          <xdr:rowOff>19150</xdr:rowOff>
        </xdr:from>
        <xdr:to>
          <xdr:col>14</xdr:col>
          <xdr:colOff>627154</xdr:colOff>
          <xdr:row>26</xdr:row>
          <xdr:rowOff>239372</xdr:rowOff>
        </xdr:to>
        <xdr:sp macro="" textlink="">
          <xdr:nvSpPr>
            <xdr:cNvPr id="12426" name="Check Box 138" hidden="1">
              <a:extLst>
                <a:ext uri="{63B3BB69-23CF-44E3-9099-C40C66FF867C}">
                  <a14:compatExt spid="_x0000_s12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27</xdr:row>
          <xdr:rowOff>19150</xdr:rowOff>
        </xdr:from>
        <xdr:to>
          <xdr:col>14</xdr:col>
          <xdr:colOff>627154</xdr:colOff>
          <xdr:row>27</xdr:row>
          <xdr:rowOff>239372</xdr:rowOff>
        </xdr:to>
        <xdr:sp macro="" textlink="">
          <xdr:nvSpPr>
            <xdr:cNvPr id="12427" name="Check Box 139" hidden="1">
              <a:extLst>
                <a:ext uri="{63B3BB69-23CF-44E3-9099-C40C66FF867C}">
                  <a14:compatExt spid="_x0000_s12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5</xdr:row>
          <xdr:rowOff>0</xdr:rowOff>
        </xdr:from>
        <xdr:to>
          <xdr:col>14</xdr:col>
          <xdr:colOff>627154</xdr:colOff>
          <xdr:row>5</xdr:row>
          <xdr:rowOff>220222</xdr:rowOff>
        </xdr:to>
        <xdr:sp macro="" textlink="">
          <xdr:nvSpPr>
            <xdr:cNvPr id="12428" name="Check Box 140" hidden="1">
              <a:extLst>
                <a:ext uri="{63B3BB69-23CF-44E3-9099-C40C66FF867C}">
                  <a14:compatExt spid="_x0000_s12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15</xdr:row>
          <xdr:rowOff>0</xdr:rowOff>
        </xdr:from>
        <xdr:to>
          <xdr:col>14</xdr:col>
          <xdr:colOff>627154</xdr:colOff>
          <xdr:row>15</xdr:row>
          <xdr:rowOff>220222</xdr:rowOff>
        </xdr:to>
        <xdr:sp macro="" textlink="">
          <xdr:nvSpPr>
            <xdr:cNvPr id="12429" name="Check Box 141" hidden="1">
              <a:extLst>
                <a:ext uri="{63B3BB69-23CF-44E3-9099-C40C66FF867C}">
                  <a14:compatExt spid="_x0000_s12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</xdr:row>
          <xdr:rowOff>0</xdr:rowOff>
        </xdr:from>
        <xdr:to>
          <xdr:col>16</xdr:col>
          <xdr:colOff>627154</xdr:colOff>
          <xdr:row>3</xdr:row>
          <xdr:rowOff>220222</xdr:rowOff>
        </xdr:to>
        <xdr:sp macro="" textlink="">
          <xdr:nvSpPr>
            <xdr:cNvPr id="12430" name="Check Box 142" hidden="1">
              <a:extLst>
                <a:ext uri="{63B3BB69-23CF-44E3-9099-C40C66FF867C}">
                  <a14:compatExt spid="_x0000_s12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</xdr:row>
          <xdr:rowOff>0</xdr:rowOff>
        </xdr:from>
        <xdr:to>
          <xdr:col>16</xdr:col>
          <xdr:colOff>627154</xdr:colOff>
          <xdr:row>4</xdr:row>
          <xdr:rowOff>220222</xdr:rowOff>
        </xdr:to>
        <xdr:sp macro="" textlink="">
          <xdr:nvSpPr>
            <xdr:cNvPr id="12431" name="Check Box 143" hidden="1">
              <a:extLst>
                <a:ext uri="{63B3BB69-23CF-44E3-9099-C40C66FF867C}">
                  <a14:compatExt spid="_x0000_s12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6</xdr:row>
          <xdr:rowOff>0</xdr:rowOff>
        </xdr:from>
        <xdr:to>
          <xdr:col>16</xdr:col>
          <xdr:colOff>627154</xdr:colOff>
          <xdr:row>6</xdr:row>
          <xdr:rowOff>220222</xdr:rowOff>
        </xdr:to>
        <xdr:sp macro="" textlink="">
          <xdr:nvSpPr>
            <xdr:cNvPr id="12432" name="Check Box 144" hidden="1">
              <a:extLst>
                <a:ext uri="{63B3BB69-23CF-44E3-9099-C40C66FF867C}">
                  <a14:compatExt spid="_x0000_s12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7</xdr:row>
          <xdr:rowOff>0</xdr:rowOff>
        </xdr:from>
        <xdr:to>
          <xdr:col>16</xdr:col>
          <xdr:colOff>627154</xdr:colOff>
          <xdr:row>7</xdr:row>
          <xdr:rowOff>220222</xdr:rowOff>
        </xdr:to>
        <xdr:sp macro="" textlink="">
          <xdr:nvSpPr>
            <xdr:cNvPr id="12433" name="Check Box 145" hidden="1">
              <a:extLst>
                <a:ext uri="{63B3BB69-23CF-44E3-9099-C40C66FF867C}">
                  <a14:compatExt spid="_x0000_s12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12</xdr:row>
          <xdr:rowOff>0</xdr:rowOff>
        </xdr:from>
        <xdr:to>
          <xdr:col>16</xdr:col>
          <xdr:colOff>617579</xdr:colOff>
          <xdr:row>12</xdr:row>
          <xdr:rowOff>220222</xdr:rowOff>
        </xdr:to>
        <xdr:sp macro="" textlink="">
          <xdr:nvSpPr>
            <xdr:cNvPr id="12434" name="Check Box 146" hidden="1">
              <a:extLst>
                <a:ext uri="{63B3BB69-23CF-44E3-9099-C40C66FF867C}">
                  <a14:compatExt spid="_x0000_s12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12435" name="Check Box 147" hidden="1">
              <a:extLst>
                <a:ext uri="{63B3BB69-23CF-44E3-9099-C40C66FF867C}">
                  <a14:compatExt spid="_x0000_s12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12436" name="Check Box 148" hidden="1">
              <a:extLst>
                <a:ext uri="{63B3BB69-23CF-44E3-9099-C40C66FF867C}">
                  <a14:compatExt spid="_x0000_s12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12437" name="Check Box 149" hidden="1">
              <a:extLst>
                <a:ext uri="{63B3BB69-23CF-44E3-9099-C40C66FF867C}">
                  <a14:compatExt spid="_x0000_s12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12438" name="Check Box 150" hidden="1">
              <a:extLst>
                <a:ext uri="{63B3BB69-23CF-44E3-9099-C40C66FF867C}">
                  <a14:compatExt spid="_x0000_s12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12439" name="Check Box 151" hidden="1">
              <a:extLst>
                <a:ext uri="{63B3BB69-23CF-44E3-9099-C40C66FF867C}">
                  <a14:compatExt spid="_x0000_s12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18</xdr:row>
          <xdr:rowOff>0</xdr:rowOff>
        </xdr:from>
        <xdr:to>
          <xdr:col>16</xdr:col>
          <xdr:colOff>627154</xdr:colOff>
          <xdr:row>18</xdr:row>
          <xdr:rowOff>220222</xdr:rowOff>
        </xdr:to>
        <xdr:sp macro="" textlink="">
          <xdr:nvSpPr>
            <xdr:cNvPr id="12440" name="Check Box 152" hidden="1">
              <a:extLst>
                <a:ext uri="{63B3BB69-23CF-44E3-9099-C40C66FF867C}">
                  <a14:compatExt spid="_x0000_s12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10</xdr:row>
          <xdr:rowOff>0</xdr:rowOff>
        </xdr:from>
        <xdr:to>
          <xdr:col>16</xdr:col>
          <xdr:colOff>617579</xdr:colOff>
          <xdr:row>10</xdr:row>
          <xdr:rowOff>220222</xdr:rowOff>
        </xdr:to>
        <xdr:sp macro="" textlink="">
          <xdr:nvSpPr>
            <xdr:cNvPr id="12441" name="Check Box 153" hidden="1">
              <a:extLst>
                <a:ext uri="{63B3BB69-23CF-44E3-9099-C40C66FF867C}">
                  <a14:compatExt spid="_x0000_s12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19150</xdr:rowOff>
        </xdr:from>
        <xdr:to>
          <xdr:col>16</xdr:col>
          <xdr:colOff>627154</xdr:colOff>
          <xdr:row>26</xdr:row>
          <xdr:rowOff>239372</xdr:rowOff>
        </xdr:to>
        <xdr:sp macro="" textlink="">
          <xdr:nvSpPr>
            <xdr:cNvPr id="12442" name="Check Box 154" hidden="1">
              <a:extLst>
                <a:ext uri="{63B3BB69-23CF-44E3-9099-C40C66FF867C}">
                  <a14:compatExt spid="_x0000_s12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19150</xdr:rowOff>
        </xdr:from>
        <xdr:to>
          <xdr:col>16</xdr:col>
          <xdr:colOff>627154</xdr:colOff>
          <xdr:row>27</xdr:row>
          <xdr:rowOff>239372</xdr:rowOff>
        </xdr:to>
        <xdr:sp macro="" textlink="">
          <xdr:nvSpPr>
            <xdr:cNvPr id="12443" name="Check Box 155" hidden="1">
              <a:extLst>
                <a:ext uri="{63B3BB69-23CF-44E3-9099-C40C66FF867C}">
                  <a14:compatExt spid="_x0000_s12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5</xdr:row>
          <xdr:rowOff>0</xdr:rowOff>
        </xdr:from>
        <xdr:to>
          <xdr:col>16</xdr:col>
          <xdr:colOff>627154</xdr:colOff>
          <xdr:row>5</xdr:row>
          <xdr:rowOff>220222</xdr:rowOff>
        </xdr:to>
        <xdr:sp macro="" textlink="">
          <xdr:nvSpPr>
            <xdr:cNvPr id="12444" name="Check Box 156" hidden="1">
              <a:extLst>
                <a:ext uri="{63B3BB69-23CF-44E3-9099-C40C66FF867C}">
                  <a14:compatExt spid="_x0000_s12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12445" name="Check Box 157" hidden="1">
              <a:extLst>
                <a:ext uri="{63B3BB69-23CF-44E3-9099-C40C66FF867C}">
                  <a14:compatExt spid="_x0000_s12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19150</xdr:rowOff>
        </xdr:from>
        <xdr:to>
          <xdr:col>2</xdr:col>
          <xdr:colOff>627154</xdr:colOff>
          <xdr:row>28</xdr:row>
          <xdr:rowOff>239372</xdr:rowOff>
        </xdr:to>
        <xdr:sp macro="" textlink="">
          <xdr:nvSpPr>
            <xdr:cNvPr id="12486" name="Check Box 198" hidden="1">
              <a:extLst>
                <a:ext uri="{63B3BB69-23CF-44E3-9099-C40C66FF867C}">
                  <a14:compatExt spid="_x0000_s1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19150</xdr:rowOff>
        </xdr:from>
        <xdr:to>
          <xdr:col>6</xdr:col>
          <xdr:colOff>627154</xdr:colOff>
          <xdr:row>28</xdr:row>
          <xdr:rowOff>239372</xdr:rowOff>
        </xdr:to>
        <xdr:sp macro="" textlink="">
          <xdr:nvSpPr>
            <xdr:cNvPr id="12487" name="Check Box 199" hidden="1">
              <a:extLst>
                <a:ext uri="{63B3BB69-23CF-44E3-9099-C40C66FF867C}">
                  <a14:compatExt spid="_x0000_s1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19150</xdr:rowOff>
        </xdr:from>
        <xdr:to>
          <xdr:col>8</xdr:col>
          <xdr:colOff>627154</xdr:colOff>
          <xdr:row>28</xdr:row>
          <xdr:rowOff>239372</xdr:rowOff>
        </xdr:to>
        <xdr:sp macro="" textlink="">
          <xdr:nvSpPr>
            <xdr:cNvPr id="12488" name="Check Box 200" hidden="1">
              <a:extLst>
                <a:ext uri="{63B3BB69-23CF-44E3-9099-C40C66FF867C}">
                  <a14:compatExt spid="_x0000_s1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19150</xdr:rowOff>
        </xdr:from>
        <xdr:to>
          <xdr:col>12</xdr:col>
          <xdr:colOff>627154</xdr:colOff>
          <xdr:row>28</xdr:row>
          <xdr:rowOff>239372</xdr:rowOff>
        </xdr:to>
        <xdr:sp macro="" textlink="">
          <xdr:nvSpPr>
            <xdr:cNvPr id="12490" name="Check Box 202" hidden="1">
              <a:extLst>
                <a:ext uri="{63B3BB69-23CF-44E3-9099-C40C66FF867C}">
                  <a14:compatExt spid="_x0000_s12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19150</xdr:rowOff>
        </xdr:from>
        <xdr:to>
          <xdr:col>4</xdr:col>
          <xdr:colOff>627154</xdr:colOff>
          <xdr:row>28</xdr:row>
          <xdr:rowOff>239372</xdr:rowOff>
        </xdr:to>
        <xdr:sp macro="" textlink="">
          <xdr:nvSpPr>
            <xdr:cNvPr id="12491" name="Check Box 203" hidden="1">
              <a:extLst>
                <a:ext uri="{63B3BB69-23CF-44E3-9099-C40C66FF867C}">
                  <a14:compatExt spid="_x0000_s12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28</xdr:row>
          <xdr:rowOff>19150</xdr:rowOff>
        </xdr:from>
        <xdr:to>
          <xdr:col>14</xdr:col>
          <xdr:colOff>627154</xdr:colOff>
          <xdr:row>28</xdr:row>
          <xdr:rowOff>239372</xdr:rowOff>
        </xdr:to>
        <xdr:sp macro="" textlink="">
          <xdr:nvSpPr>
            <xdr:cNvPr id="12492" name="Check Box 204" hidden="1">
              <a:extLst>
                <a:ext uri="{63B3BB69-23CF-44E3-9099-C40C66FF867C}">
                  <a14:compatExt spid="_x0000_s12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19150</xdr:rowOff>
        </xdr:from>
        <xdr:to>
          <xdr:col>16</xdr:col>
          <xdr:colOff>627154</xdr:colOff>
          <xdr:row>28</xdr:row>
          <xdr:rowOff>239372</xdr:rowOff>
        </xdr:to>
        <xdr:sp macro="" textlink="">
          <xdr:nvSpPr>
            <xdr:cNvPr id="12493" name="Check Box 205" hidden="1">
              <a:extLst>
                <a:ext uri="{63B3BB69-23CF-44E3-9099-C40C66FF867C}">
                  <a14:compatExt spid="_x0000_s12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19150</xdr:rowOff>
        </xdr:from>
        <xdr:to>
          <xdr:col>2</xdr:col>
          <xdr:colOff>627154</xdr:colOff>
          <xdr:row>29</xdr:row>
          <xdr:rowOff>239372</xdr:rowOff>
        </xdr:to>
        <xdr:sp macro="" textlink="">
          <xdr:nvSpPr>
            <xdr:cNvPr id="12494" name="Check Box 206" hidden="1">
              <a:extLst>
                <a:ext uri="{63B3BB69-23CF-44E3-9099-C40C66FF867C}">
                  <a14:compatExt spid="_x0000_s12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19150</xdr:rowOff>
        </xdr:from>
        <xdr:to>
          <xdr:col>6</xdr:col>
          <xdr:colOff>627154</xdr:colOff>
          <xdr:row>29</xdr:row>
          <xdr:rowOff>239372</xdr:rowOff>
        </xdr:to>
        <xdr:sp macro="" textlink="">
          <xdr:nvSpPr>
            <xdr:cNvPr id="12495" name="Check Box 207" hidden="1">
              <a:extLst>
                <a:ext uri="{63B3BB69-23CF-44E3-9099-C40C66FF867C}">
                  <a14:compatExt spid="_x0000_s12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19150</xdr:rowOff>
        </xdr:from>
        <xdr:to>
          <xdr:col>8</xdr:col>
          <xdr:colOff>627154</xdr:colOff>
          <xdr:row>29</xdr:row>
          <xdr:rowOff>239372</xdr:rowOff>
        </xdr:to>
        <xdr:sp macro="" textlink="">
          <xdr:nvSpPr>
            <xdr:cNvPr id="12496" name="Check Box 208" hidden="1">
              <a:extLst>
                <a:ext uri="{63B3BB69-23CF-44E3-9099-C40C66FF867C}">
                  <a14:compatExt spid="_x0000_s12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19150</xdr:rowOff>
        </xdr:from>
        <xdr:to>
          <xdr:col>12</xdr:col>
          <xdr:colOff>627154</xdr:colOff>
          <xdr:row>29</xdr:row>
          <xdr:rowOff>239372</xdr:rowOff>
        </xdr:to>
        <xdr:sp macro="" textlink="">
          <xdr:nvSpPr>
            <xdr:cNvPr id="12498" name="Check Box 210" hidden="1">
              <a:extLst>
                <a:ext uri="{63B3BB69-23CF-44E3-9099-C40C66FF867C}">
                  <a14:compatExt spid="_x0000_s12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19150</xdr:rowOff>
        </xdr:from>
        <xdr:to>
          <xdr:col>4</xdr:col>
          <xdr:colOff>627154</xdr:colOff>
          <xdr:row>29</xdr:row>
          <xdr:rowOff>239372</xdr:rowOff>
        </xdr:to>
        <xdr:sp macro="" textlink="">
          <xdr:nvSpPr>
            <xdr:cNvPr id="12499" name="Check Box 211" hidden="1">
              <a:extLst>
                <a:ext uri="{63B3BB69-23CF-44E3-9099-C40C66FF867C}">
                  <a14:compatExt spid="_x0000_s12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29</xdr:row>
          <xdr:rowOff>19150</xdr:rowOff>
        </xdr:from>
        <xdr:to>
          <xdr:col>14</xdr:col>
          <xdr:colOff>627154</xdr:colOff>
          <xdr:row>29</xdr:row>
          <xdr:rowOff>239372</xdr:rowOff>
        </xdr:to>
        <xdr:sp macro="" textlink="">
          <xdr:nvSpPr>
            <xdr:cNvPr id="12500" name="Check Box 212" hidden="1">
              <a:extLst>
                <a:ext uri="{63B3BB69-23CF-44E3-9099-C40C66FF867C}">
                  <a14:compatExt spid="_x0000_s12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19150</xdr:rowOff>
        </xdr:from>
        <xdr:to>
          <xdr:col>16</xdr:col>
          <xdr:colOff>627154</xdr:colOff>
          <xdr:row>29</xdr:row>
          <xdr:rowOff>239372</xdr:rowOff>
        </xdr:to>
        <xdr:sp macro="" textlink="">
          <xdr:nvSpPr>
            <xdr:cNvPr id="12501" name="Check Box 213" hidden="1">
              <a:extLst>
                <a:ext uri="{63B3BB69-23CF-44E3-9099-C40C66FF867C}">
                  <a14:compatExt spid="_x0000_s12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8</xdr:row>
          <xdr:rowOff>0</xdr:rowOff>
        </xdr:from>
        <xdr:to>
          <xdr:col>2</xdr:col>
          <xdr:colOff>627154</xdr:colOff>
          <xdr:row>8</xdr:row>
          <xdr:rowOff>220222</xdr:rowOff>
        </xdr:to>
        <xdr:sp macro="" textlink="">
          <xdr:nvSpPr>
            <xdr:cNvPr id="12502" name="Check Box 214" hidden="1">
              <a:extLst>
                <a:ext uri="{63B3BB69-23CF-44E3-9099-C40C66FF867C}">
                  <a14:compatExt spid="_x0000_s12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8</xdr:row>
          <xdr:rowOff>0</xdr:rowOff>
        </xdr:from>
        <xdr:to>
          <xdr:col>6</xdr:col>
          <xdr:colOff>627154</xdr:colOff>
          <xdr:row>8</xdr:row>
          <xdr:rowOff>220222</xdr:rowOff>
        </xdr:to>
        <xdr:sp macro="" textlink="">
          <xdr:nvSpPr>
            <xdr:cNvPr id="12503" name="Check Box 215" hidden="1">
              <a:extLst>
                <a:ext uri="{63B3BB69-23CF-44E3-9099-C40C66FF867C}">
                  <a14:compatExt spid="_x0000_s1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8</xdr:row>
          <xdr:rowOff>0</xdr:rowOff>
        </xdr:from>
        <xdr:to>
          <xdr:col>8</xdr:col>
          <xdr:colOff>627154</xdr:colOff>
          <xdr:row>8</xdr:row>
          <xdr:rowOff>220222</xdr:rowOff>
        </xdr:to>
        <xdr:sp macro="" textlink="">
          <xdr:nvSpPr>
            <xdr:cNvPr id="12504" name="Check Box 216" hidden="1">
              <a:extLst>
                <a:ext uri="{63B3BB69-23CF-44E3-9099-C40C66FF867C}">
                  <a14:compatExt spid="_x0000_s12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8</xdr:row>
          <xdr:rowOff>0</xdr:rowOff>
        </xdr:from>
        <xdr:to>
          <xdr:col>12</xdr:col>
          <xdr:colOff>627154</xdr:colOff>
          <xdr:row>8</xdr:row>
          <xdr:rowOff>220222</xdr:rowOff>
        </xdr:to>
        <xdr:sp macro="" textlink="">
          <xdr:nvSpPr>
            <xdr:cNvPr id="12506" name="Check Box 218" hidden="1">
              <a:extLst>
                <a:ext uri="{63B3BB69-23CF-44E3-9099-C40C66FF867C}">
                  <a14:compatExt spid="_x0000_s12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8</xdr:row>
          <xdr:rowOff>0</xdr:rowOff>
        </xdr:from>
        <xdr:to>
          <xdr:col>4</xdr:col>
          <xdr:colOff>627154</xdr:colOff>
          <xdr:row>8</xdr:row>
          <xdr:rowOff>220222</xdr:rowOff>
        </xdr:to>
        <xdr:sp macro="" textlink="">
          <xdr:nvSpPr>
            <xdr:cNvPr id="12507" name="Check Box 219" hidden="1">
              <a:extLst>
                <a:ext uri="{63B3BB69-23CF-44E3-9099-C40C66FF867C}">
                  <a14:compatExt spid="_x0000_s12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8</xdr:row>
          <xdr:rowOff>0</xdr:rowOff>
        </xdr:from>
        <xdr:to>
          <xdr:col>14</xdr:col>
          <xdr:colOff>627154</xdr:colOff>
          <xdr:row>8</xdr:row>
          <xdr:rowOff>220222</xdr:rowOff>
        </xdr:to>
        <xdr:sp macro="" textlink="">
          <xdr:nvSpPr>
            <xdr:cNvPr id="12508" name="Check Box 220" hidden="1">
              <a:extLst>
                <a:ext uri="{63B3BB69-23CF-44E3-9099-C40C66FF867C}">
                  <a14:compatExt spid="_x0000_s12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8</xdr:row>
          <xdr:rowOff>0</xdr:rowOff>
        </xdr:from>
        <xdr:to>
          <xdr:col>16</xdr:col>
          <xdr:colOff>627154</xdr:colOff>
          <xdr:row>8</xdr:row>
          <xdr:rowOff>220222</xdr:rowOff>
        </xdr:to>
        <xdr:sp macro="" textlink="">
          <xdr:nvSpPr>
            <xdr:cNvPr id="12509" name="Check Box 221" hidden="1">
              <a:extLst>
                <a:ext uri="{63B3BB69-23CF-44E3-9099-C40C66FF867C}">
                  <a14:compatExt spid="_x0000_s12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9</xdr:row>
          <xdr:rowOff>0</xdr:rowOff>
        </xdr:from>
        <xdr:to>
          <xdr:col>2</xdr:col>
          <xdr:colOff>627154</xdr:colOff>
          <xdr:row>9</xdr:row>
          <xdr:rowOff>220222</xdr:rowOff>
        </xdr:to>
        <xdr:sp macro="" textlink="">
          <xdr:nvSpPr>
            <xdr:cNvPr id="12510" name="Check Box 222" hidden="1">
              <a:extLst>
                <a:ext uri="{63B3BB69-23CF-44E3-9099-C40C66FF867C}">
                  <a14:compatExt spid="_x0000_s12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9</xdr:row>
          <xdr:rowOff>0</xdr:rowOff>
        </xdr:from>
        <xdr:to>
          <xdr:col>6</xdr:col>
          <xdr:colOff>627154</xdr:colOff>
          <xdr:row>9</xdr:row>
          <xdr:rowOff>220222</xdr:rowOff>
        </xdr:to>
        <xdr:sp macro="" textlink="">
          <xdr:nvSpPr>
            <xdr:cNvPr id="12511" name="Check Box 223" hidden="1">
              <a:extLst>
                <a:ext uri="{63B3BB69-23CF-44E3-9099-C40C66FF867C}">
                  <a14:compatExt spid="_x0000_s12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9</xdr:row>
          <xdr:rowOff>0</xdr:rowOff>
        </xdr:from>
        <xdr:to>
          <xdr:col>8</xdr:col>
          <xdr:colOff>627154</xdr:colOff>
          <xdr:row>9</xdr:row>
          <xdr:rowOff>220222</xdr:rowOff>
        </xdr:to>
        <xdr:sp macro="" textlink="">
          <xdr:nvSpPr>
            <xdr:cNvPr id="12512" name="Check Box 224" hidden="1">
              <a:extLst>
                <a:ext uri="{63B3BB69-23CF-44E3-9099-C40C66FF867C}">
                  <a14:compatExt spid="_x0000_s12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9</xdr:row>
          <xdr:rowOff>0</xdr:rowOff>
        </xdr:from>
        <xdr:to>
          <xdr:col>12</xdr:col>
          <xdr:colOff>627154</xdr:colOff>
          <xdr:row>9</xdr:row>
          <xdr:rowOff>220222</xdr:rowOff>
        </xdr:to>
        <xdr:sp macro="" textlink="">
          <xdr:nvSpPr>
            <xdr:cNvPr id="12514" name="Check Box 226" hidden="1">
              <a:extLst>
                <a:ext uri="{63B3BB69-23CF-44E3-9099-C40C66FF867C}">
                  <a14:compatExt spid="_x0000_s12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9</xdr:row>
          <xdr:rowOff>0</xdr:rowOff>
        </xdr:from>
        <xdr:to>
          <xdr:col>4</xdr:col>
          <xdr:colOff>627154</xdr:colOff>
          <xdr:row>9</xdr:row>
          <xdr:rowOff>220222</xdr:rowOff>
        </xdr:to>
        <xdr:sp macro="" textlink="">
          <xdr:nvSpPr>
            <xdr:cNvPr id="12515" name="Check Box 227" hidden="1">
              <a:extLst>
                <a:ext uri="{63B3BB69-23CF-44E3-9099-C40C66FF867C}">
                  <a14:compatExt spid="_x0000_s12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9</xdr:row>
          <xdr:rowOff>0</xdr:rowOff>
        </xdr:from>
        <xdr:to>
          <xdr:col>14</xdr:col>
          <xdr:colOff>627154</xdr:colOff>
          <xdr:row>9</xdr:row>
          <xdr:rowOff>220222</xdr:rowOff>
        </xdr:to>
        <xdr:sp macro="" textlink="">
          <xdr:nvSpPr>
            <xdr:cNvPr id="12516" name="Check Box 228" hidden="1">
              <a:extLst>
                <a:ext uri="{63B3BB69-23CF-44E3-9099-C40C66FF867C}">
                  <a14:compatExt spid="_x0000_s12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9</xdr:row>
          <xdr:rowOff>0</xdr:rowOff>
        </xdr:from>
        <xdr:to>
          <xdr:col>16</xdr:col>
          <xdr:colOff>627154</xdr:colOff>
          <xdr:row>9</xdr:row>
          <xdr:rowOff>220222</xdr:rowOff>
        </xdr:to>
        <xdr:sp macro="" textlink="">
          <xdr:nvSpPr>
            <xdr:cNvPr id="12517" name="Check Box 229" hidden="1">
              <a:extLst>
                <a:ext uri="{63B3BB69-23CF-44E3-9099-C40C66FF867C}">
                  <a14:compatExt spid="_x0000_s12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13</xdr:row>
          <xdr:rowOff>0</xdr:rowOff>
        </xdr:from>
        <xdr:to>
          <xdr:col>2</xdr:col>
          <xdr:colOff>617579</xdr:colOff>
          <xdr:row>13</xdr:row>
          <xdr:rowOff>220222</xdr:rowOff>
        </xdr:to>
        <xdr:sp macro="" textlink="">
          <xdr:nvSpPr>
            <xdr:cNvPr id="12518" name="Check Box 230" hidden="1">
              <a:extLst>
                <a:ext uri="{63B3BB69-23CF-44E3-9099-C40C66FF867C}">
                  <a14:compatExt spid="_x0000_s12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13</xdr:row>
          <xdr:rowOff>0</xdr:rowOff>
        </xdr:from>
        <xdr:to>
          <xdr:col>6</xdr:col>
          <xdr:colOff>617579</xdr:colOff>
          <xdr:row>13</xdr:row>
          <xdr:rowOff>220222</xdr:rowOff>
        </xdr:to>
        <xdr:sp macro="" textlink="">
          <xdr:nvSpPr>
            <xdr:cNvPr id="12519" name="Check Box 231" hidden="1">
              <a:extLst>
                <a:ext uri="{63B3BB69-23CF-44E3-9099-C40C66FF867C}">
                  <a14:compatExt spid="_x0000_s12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13</xdr:row>
          <xdr:rowOff>0</xdr:rowOff>
        </xdr:from>
        <xdr:to>
          <xdr:col>8</xdr:col>
          <xdr:colOff>617579</xdr:colOff>
          <xdr:row>13</xdr:row>
          <xdr:rowOff>220222</xdr:rowOff>
        </xdr:to>
        <xdr:sp macro="" textlink="">
          <xdr:nvSpPr>
            <xdr:cNvPr id="12520" name="Check Box 232" hidden="1">
              <a:extLst>
                <a:ext uri="{63B3BB69-23CF-44E3-9099-C40C66FF867C}">
                  <a14:compatExt spid="_x0000_s12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13</xdr:row>
          <xdr:rowOff>0</xdr:rowOff>
        </xdr:from>
        <xdr:to>
          <xdr:col>12</xdr:col>
          <xdr:colOff>617579</xdr:colOff>
          <xdr:row>13</xdr:row>
          <xdr:rowOff>220222</xdr:rowOff>
        </xdr:to>
        <xdr:sp macro="" textlink="">
          <xdr:nvSpPr>
            <xdr:cNvPr id="12522" name="Check Box 234" hidden="1">
              <a:extLst>
                <a:ext uri="{63B3BB69-23CF-44E3-9099-C40C66FF867C}">
                  <a14:compatExt spid="_x0000_s12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13</xdr:row>
          <xdr:rowOff>0</xdr:rowOff>
        </xdr:from>
        <xdr:to>
          <xdr:col>4</xdr:col>
          <xdr:colOff>617579</xdr:colOff>
          <xdr:row>13</xdr:row>
          <xdr:rowOff>220222</xdr:rowOff>
        </xdr:to>
        <xdr:sp macro="" textlink="">
          <xdr:nvSpPr>
            <xdr:cNvPr id="12523" name="Check Box 235" hidden="1">
              <a:extLst>
                <a:ext uri="{63B3BB69-23CF-44E3-9099-C40C66FF867C}">
                  <a14:compatExt spid="_x0000_s12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13</xdr:row>
          <xdr:rowOff>0</xdr:rowOff>
        </xdr:from>
        <xdr:to>
          <xdr:col>14</xdr:col>
          <xdr:colOff>617579</xdr:colOff>
          <xdr:row>13</xdr:row>
          <xdr:rowOff>220222</xdr:rowOff>
        </xdr:to>
        <xdr:sp macro="" textlink="">
          <xdr:nvSpPr>
            <xdr:cNvPr id="12524" name="Check Box 236" hidden="1">
              <a:extLst>
                <a:ext uri="{63B3BB69-23CF-44E3-9099-C40C66FF867C}">
                  <a14:compatExt spid="_x0000_s12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13</xdr:row>
          <xdr:rowOff>0</xdr:rowOff>
        </xdr:from>
        <xdr:to>
          <xdr:col>16</xdr:col>
          <xdr:colOff>617579</xdr:colOff>
          <xdr:row>13</xdr:row>
          <xdr:rowOff>220222</xdr:rowOff>
        </xdr:to>
        <xdr:sp macro="" textlink="">
          <xdr:nvSpPr>
            <xdr:cNvPr id="12525" name="Check Box 237" hidden="1">
              <a:extLst>
                <a:ext uri="{63B3BB69-23CF-44E3-9099-C40C66FF867C}">
                  <a14:compatExt spid="_x0000_s12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12526" name="Check Box 238" hidden="1">
              <a:extLst>
                <a:ext uri="{63B3BB69-23CF-44E3-9099-C40C66FF867C}">
                  <a14:compatExt spid="_x0000_s12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12527" name="Check Box 239" hidden="1">
              <a:extLst>
                <a:ext uri="{63B3BB69-23CF-44E3-9099-C40C66FF867C}">
                  <a14:compatExt spid="_x0000_s12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12528" name="Check Box 240" hidden="1">
              <a:extLst>
                <a:ext uri="{63B3BB69-23CF-44E3-9099-C40C66FF867C}">
                  <a14:compatExt spid="_x0000_s12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12530" name="Check Box 242" hidden="1">
              <a:extLst>
                <a:ext uri="{63B3BB69-23CF-44E3-9099-C40C66FF867C}">
                  <a14:compatExt spid="_x0000_s1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12531" name="Check Box 243" hidden="1">
              <a:extLst>
                <a:ext uri="{63B3BB69-23CF-44E3-9099-C40C66FF867C}">
                  <a14:compatExt spid="_x0000_s1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19</xdr:row>
          <xdr:rowOff>0</xdr:rowOff>
        </xdr:from>
        <xdr:to>
          <xdr:col>14</xdr:col>
          <xdr:colOff>627154</xdr:colOff>
          <xdr:row>19</xdr:row>
          <xdr:rowOff>220222</xdr:rowOff>
        </xdr:to>
        <xdr:sp macro="" textlink="">
          <xdr:nvSpPr>
            <xdr:cNvPr id="12532" name="Check Box 244" hidden="1">
              <a:extLst>
                <a:ext uri="{63B3BB69-23CF-44E3-9099-C40C66FF867C}">
                  <a14:compatExt spid="_x0000_s1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12533" name="Check Box 245" hidden="1">
              <a:extLst>
                <a:ext uri="{63B3BB69-23CF-44E3-9099-C40C66FF867C}">
                  <a14:compatExt spid="_x0000_s1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20</xdr:row>
          <xdr:rowOff>0</xdr:rowOff>
        </xdr:from>
        <xdr:to>
          <xdr:col>2</xdr:col>
          <xdr:colOff>627154</xdr:colOff>
          <xdr:row>20</xdr:row>
          <xdr:rowOff>220222</xdr:rowOff>
        </xdr:to>
        <xdr:sp macro="" textlink="">
          <xdr:nvSpPr>
            <xdr:cNvPr id="12534" name="Check Box 246" hidden="1">
              <a:extLst>
                <a:ext uri="{63B3BB69-23CF-44E3-9099-C40C66FF867C}">
                  <a14:compatExt spid="_x0000_s1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20</xdr:row>
          <xdr:rowOff>0</xdr:rowOff>
        </xdr:from>
        <xdr:to>
          <xdr:col>6</xdr:col>
          <xdr:colOff>627154</xdr:colOff>
          <xdr:row>20</xdr:row>
          <xdr:rowOff>220222</xdr:rowOff>
        </xdr:to>
        <xdr:sp macro="" textlink="">
          <xdr:nvSpPr>
            <xdr:cNvPr id="12535" name="Check Box 247" hidden="1">
              <a:extLst>
                <a:ext uri="{63B3BB69-23CF-44E3-9099-C40C66FF867C}">
                  <a14:compatExt spid="_x0000_s1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20</xdr:row>
          <xdr:rowOff>0</xdr:rowOff>
        </xdr:from>
        <xdr:to>
          <xdr:col>8</xdr:col>
          <xdr:colOff>627154</xdr:colOff>
          <xdr:row>20</xdr:row>
          <xdr:rowOff>220222</xdr:rowOff>
        </xdr:to>
        <xdr:sp macro="" textlink="">
          <xdr:nvSpPr>
            <xdr:cNvPr id="12536" name="Check Box 248" hidden="1">
              <a:extLst>
                <a:ext uri="{63B3BB69-23CF-44E3-9099-C40C66FF867C}">
                  <a14:compatExt spid="_x0000_s1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20</xdr:row>
          <xdr:rowOff>0</xdr:rowOff>
        </xdr:from>
        <xdr:to>
          <xdr:col>12</xdr:col>
          <xdr:colOff>627154</xdr:colOff>
          <xdr:row>20</xdr:row>
          <xdr:rowOff>220222</xdr:rowOff>
        </xdr:to>
        <xdr:sp macro="" textlink="">
          <xdr:nvSpPr>
            <xdr:cNvPr id="12538" name="Check Box 250" hidden="1">
              <a:extLst>
                <a:ext uri="{63B3BB69-23CF-44E3-9099-C40C66FF867C}">
                  <a14:compatExt spid="_x0000_s1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20</xdr:row>
          <xdr:rowOff>0</xdr:rowOff>
        </xdr:from>
        <xdr:to>
          <xdr:col>4</xdr:col>
          <xdr:colOff>627154</xdr:colOff>
          <xdr:row>20</xdr:row>
          <xdr:rowOff>220222</xdr:rowOff>
        </xdr:to>
        <xdr:sp macro="" textlink="">
          <xdr:nvSpPr>
            <xdr:cNvPr id="12539" name="Check Box 251" hidden="1">
              <a:extLst>
                <a:ext uri="{63B3BB69-23CF-44E3-9099-C40C66FF867C}">
                  <a14:compatExt spid="_x0000_s1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20</xdr:row>
          <xdr:rowOff>0</xdr:rowOff>
        </xdr:from>
        <xdr:to>
          <xdr:col>14</xdr:col>
          <xdr:colOff>627154</xdr:colOff>
          <xdr:row>20</xdr:row>
          <xdr:rowOff>220222</xdr:rowOff>
        </xdr:to>
        <xdr:sp macro="" textlink="">
          <xdr:nvSpPr>
            <xdr:cNvPr id="12540" name="Check Box 252" hidden="1">
              <a:extLst>
                <a:ext uri="{63B3BB69-23CF-44E3-9099-C40C66FF867C}">
                  <a14:compatExt spid="_x0000_s1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20</xdr:row>
          <xdr:rowOff>0</xdr:rowOff>
        </xdr:from>
        <xdr:to>
          <xdr:col>16</xdr:col>
          <xdr:colOff>627154</xdr:colOff>
          <xdr:row>20</xdr:row>
          <xdr:rowOff>220222</xdr:rowOff>
        </xdr:to>
        <xdr:sp macro="" textlink="">
          <xdr:nvSpPr>
            <xdr:cNvPr id="12541" name="Check Box 253" hidden="1">
              <a:extLst>
                <a:ext uri="{63B3BB69-23CF-44E3-9099-C40C66FF867C}">
                  <a14:compatExt spid="_x0000_s1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2542" name="Check Box 254" hidden="1">
              <a:extLst>
                <a:ext uri="{63B3BB69-23CF-44E3-9099-C40C66FF867C}">
                  <a14:compatExt spid="_x0000_s1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2543" name="Check Box 255" hidden="1">
              <a:extLst>
                <a:ext uri="{63B3BB69-23CF-44E3-9099-C40C66FF867C}">
                  <a14:compatExt spid="_x0000_s1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2544" name="Check Box 256" hidden="1">
              <a:extLst>
                <a:ext uri="{63B3BB69-23CF-44E3-9099-C40C66FF867C}">
                  <a14:compatExt spid="_x0000_s1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2546" name="Check Box 258" hidden="1">
              <a:extLst>
                <a:ext uri="{63B3BB69-23CF-44E3-9099-C40C66FF867C}">
                  <a14:compatExt spid="_x0000_s1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2547" name="Check Box 259" hidden="1">
              <a:extLst>
                <a:ext uri="{63B3BB69-23CF-44E3-9099-C40C66FF867C}">
                  <a14:compatExt spid="_x0000_s1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21</xdr:row>
          <xdr:rowOff>0</xdr:rowOff>
        </xdr:from>
        <xdr:to>
          <xdr:col>14</xdr:col>
          <xdr:colOff>627154</xdr:colOff>
          <xdr:row>21</xdr:row>
          <xdr:rowOff>220222</xdr:rowOff>
        </xdr:to>
        <xdr:sp macro="" textlink="">
          <xdr:nvSpPr>
            <xdr:cNvPr id="12548" name="Check Box 260" hidden="1">
              <a:extLst>
                <a:ext uri="{63B3BB69-23CF-44E3-9099-C40C66FF867C}">
                  <a14:compatExt spid="_x0000_s1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21</xdr:row>
          <xdr:rowOff>0</xdr:rowOff>
        </xdr:from>
        <xdr:to>
          <xdr:col>16</xdr:col>
          <xdr:colOff>627154</xdr:colOff>
          <xdr:row>21</xdr:row>
          <xdr:rowOff>220222</xdr:rowOff>
        </xdr:to>
        <xdr:sp macro="" textlink="">
          <xdr:nvSpPr>
            <xdr:cNvPr id="12549" name="Check Box 261" hidden="1">
              <a:extLst>
                <a:ext uri="{63B3BB69-23CF-44E3-9099-C40C66FF867C}">
                  <a14:compatExt spid="_x0000_s12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2550" name="Check Box 262" hidden="1">
              <a:extLst>
                <a:ext uri="{63B3BB69-23CF-44E3-9099-C40C66FF867C}">
                  <a14:compatExt spid="_x0000_s1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2551" name="Check Box 263" hidden="1">
              <a:extLst>
                <a:ext uri="{63B3BB69-23CF-44E3-9099-C40C66FF867C}">
                  <a14:compatExt spid="_x0000_s1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2552" name="Check Box 264" hidden="1">
              <a:extLst>
                <a:ext uri="{63B3BB69-23CF-44E3-9099-C40C66FF867C}">
                  <a14:compatExt spid="_x0000_s1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2554" name="Check Box 266" hidden="1">
              <a:extLst>
                <a:ext uri="{63B3BB69-23CF-44E3-9099-C40C66FF867C}">
                  <a14:compatExt spid="_x0000_s1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2555" name="Check Box 267" hidden="1">
              <a:extLst>
                <a:ext uri="{63B3BB69-23CF-44E3-9099-C40C66FF867C}">
                  <a14:compatExt spid="_x0000_s1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22</xdr:row>
          <xdr:rowOff>0</xdr:rowOff>
        </xdr:from>
        <xdr:to>
          <xdr:col>14</xdr:col>
          <xdr:colOff>627154</xdr:colOff>
          <xdr:row>22</xdr:row>
          <xdr:rowOff>220222</xdr:rowOff>
        </xdr:to>
        <xdr:sp macro="" textlink="">
          <xdr:nvSpPr>
            <xdr:cNvPr id="12556" name="Check Box 268" hidden="1">
              <a:extLst>
                <a:ext uri="{63B3BB69-23CF-44E3-9099-C40C66FF867C}">
                  <a14:compatExt spid="_x0000_s1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12557" name="Check Box 269" hidden="1">
              <a:extLst>
                <a:ext uri="{63B3BB69-23CF-44E3-9099-C40C66FF867C}">
                  <a14:compatExt spid="_x0000_s1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12558" name="Check Box 270" hidden="1">
              <a:extLst>
                <a:ext uri="{63B3BB69-23CF-44E3-9099-C40C66FF867C}">
                  <a14:compatExt spid="_x0000_s1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12559" name="Check Box 271" hidden="1">
              <a:extLst>
                <a:ext uri="{63B3BB69-23CF-44E3-9099-C40C66FF867C}">
                  <a14:compatExt spid="_x0000_s1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12560" name="Check Box 272" hidden="1">
              <a:extLst>
                <a:ext uri="{63B3BB69-23CF-44E3-9099-C40C66FF867C}">
                  <a14:compatExt spid="_x0000_s1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12562" name="Check Box 274" hidden="1">
              <a:extLst>
                <a:ext uri="{63B3BB69-23CF-44E3-9099-C40C66FF867C}">
                  <a14:compatExt spid="_x0000_s1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12563" name="Check Box 275" hidden="1">
              <a:extLst>
                <a:ext uri="{63B3BB69-23CF-44E3-9099-C40C66FF867C}">
                  <a14:compatExt spid="_x0000_s1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23</xdr:row>
          <xdr:rowOff>0</xdr:rowOff>
        </xdr:from>
        <xdr:to>
          <xdr:col>14</xdr:col>
          <xdr:colOff>627154</xdr:colOff>
          <xdr:row>23</xdr:row>
          <xdr:rowOff>220222</xdr:rowOff>
        </xdr:to>
        <xdr:sp macro="" textlink="">
          <xdr:nvSpPr>
            <xdr:cNvPr id="12564" name="Check Box 276" hidden="1">
              <a:extLst>
                <a:ext uri="{63B3BB69-23CF-44E3-9099-C40C66FF867C}">
                  <a14:compatExt spid="_x0000_s1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12565" name="Check Box 277" hidden="1">
              <a:extLst>
                <a:ext uri="{63B3BB69-23CF-44E3-9099-C40C66FF867C}">
                  <a14:compatExt spid="_x0000_s1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220222</xdr:rowOff>
        </xdr:to>
        <xdr:sp macro="" textlink="">
          <xdr:nvSpPr>
            <xdr:cNvPr id="12566" name="Check Box 278" hidden="1">
              <a:extLst>
                <a:ext uri="{63B3BB69-23CF-44E3-9099-C40C66FF867C}">
                  <a14:compatExt spid="_x0000_s1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220222</xdr:rowOff>
        </xdr:to>
        <xdr:sp macro="" textlink="">
          <xdr:nvSpPr>
            <xdr:cNvPr id="12567" name="Check Box 279" hidden="1">
              <a:extLst>
                <a:ext uri="{63B3BB69-23CF-44E3-9099-C40C66FF867C}">
                  <a14:compatExt spid="_x0000_s1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220222</xdr:rowOff>
        </xdr:to>
        <xdr:sp macro="" textlink="">
          <xdr:nvSpPr>
            <xdr:cNvPr id="12568" name="Check Box 280" hidden="1">
              <a:extLst>
                <a:ext uri="{63B3BB69-23CF-44E3-9099-C40C66FF867C}">
                  <a14:compatExt spid="_x0000_s1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220222</xdr:rowOff>
        </xdr:to>
        <xdr:sp macro="" textlink="">
          <xdr:nvSpPr>
            <xdr:cNvPr id="12570" name="Check Box 282" hidden="1">
              <a:extLst>
                <a:ext uri="{63B3BB69-23CF-44E3-9099-C40C66FF867C}">
                  <a14:compatExt spid="_x0000_s1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220222</xdr:rowOff>
        </xdr:to>
        <xdr:sp macro="" textlink="">
          <xdr:nvSpPr>
            <xdr:cNvPr id="12571" name="Check Box 283" hidden="1">
              <a:extLst>
                <a:ext uri="{63B3BB69-23CF-44E3-9099-C40C66FF867C}">
                  <a14:compatExt spid="_x0000_s1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24</xdr:row>
          <xdr:rowOff>0</xdr:rowOff>
        </xdr:from>
        <xdr:to>
          <xdr:col>14</xdr:col>
          <xdr:colOff>627154</xdr:colOff>
          <xdr:row>24</xdr:row>
          <xdr:rowOff>220222</xdr:rowOff>
        </xdr:to>
        <xdr:sp macro="" textlink="">
          <xdr:nvSpPr>
            <xdr:cNvPr id="12572" name="Check Box 284" hidden="1">
              <a:extLst>
                <a:ext uri="{63B3BB69-23CF-44E3-9099-C40C66FF867C}">
                  <a14:compatExt spid="_x0000_s1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0</xdr:rowOff>
        </xdr:from>
        <xdr:to>
          <xdr:col>16</xdr:col>
          <xdr:colOff>627154</xdr:colOff>
          <xdr:row>24</xdr:row>
          <xdr:rowOff>220222</xdr:rowOff>
        </xdr:to>
        <xdr:sp macro="" textlink="">
          <xdr:nvSpPr>
            <xdr:cNvPr id="12573" name="Check Box 285" hidden="1">
              <a:extLst>
                <a:ext uri="{63B3BB69-23CF-44E3-9099-C40C66FF867C}">
                  <a14:compatExt spid="_x0000_s1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2.xml"/><Relationship Id="rId21" Type="http://schemas.openxmlformats.org/officeDocument/2006/relationships/ctrlProp" Target="../ctrlProps/ctrlProp67.xml"/><Relationship Id="rId42" Type="http://schemas.openxmlformats.org/officeDocument/2006/relationships/ctrlProp" Target="../ctrlProps/ctrlProp88.xml"/><Relationship Id="rId47" Type="http://schemas.openxmlformats.org/officeDocument/2006/relationships/ctrlProp" Target="../ctrlProps/ctrlProp93.xml"/><Relationship Id="rId63" Type="http://schemas.openxmlformats.org/officeDocument/2006/relationships/ctrlProp" Target="../ctrlProps/ctrlProp109.xml"/><Relationship Id="rId68" Type="http://schemas.openxmlformats.org/officeDocument/2006/relationships/ctrlProp" Target="../ctrlProps/ctrlProp114.xml"/><Relationship Id="rId84" Type="http://schemas.openxmlformats.org/officeDocument/2006/relationships/ctrlProp" Target="../ctrlProps/ctrlProp130.xml"/><Relationship Id="rId89" Type="http://schemas.openxmlformats.org/officeDocument/2006/relationships/ctrlProp" Target="../ctrlProps/ctrlProp135.xml"/><Relationship Id="rId16" Type="http://schemas.openxmlformats.org/officeDocument/2006/relationships/ctrlProp" Target="../ctrlProps/ctrlProp62.xml"/><Relationship Id="rId11" Type="http://schemas.openxmlformats.org/officeDocument/2006/relationships/ctrlProp" Target="../ctrlProps/ctrlProp57.xml"/><Relationship Id="rId32" Type="http://schemas.openxmlformats.org/officeDocument/2006/relationships/ctrlProp" Target="../ctrlProps/ctrlProp78.xml"/><Relationship Id="rId37" Type="http://schemas.openxmlformats.org/officeDocument/2006/relationships/ctrlProp" Target="../ctrlProps/ctrlProp83.xml"/><Relationship Id="rId53" Type="http://schemas.openxmlformats.org/officeDocument/2006/relationships/ctrlProp" Target="../ctrlProps/ctrlProp99.xml"/><Relationship Id="rId58" Type="http://schemas.openxmlformats.org/officeDocument/2006/relationships/ctrlProp" Target="../ctrlProps/ctrlProp104.xml"/><Relationship Id="rId74" Type="http://schemas.openxmlformats.org/officeDocument/2006/relationships/ctrlProp" Target="../ctrlProps/ctrlProp120.xml"/><Relationship Id="rId79" Type="http://schemas.openxmlformats.org/officeDocument/2006/relationships/ctrlProp" Target="../ctrlProps/ctrlProp125.xml"/><Relationship Id="rId5" Type="http://schemas.openxmlformats.org/officeDocument/2006/relationships/ctrlProp" Target="../ctrlProps/ctrlProp51.xml"/><Relationship Id="rId90" Type="http://schemas.openxmlformats.org/officeDocument/2006/relationships/ctrlProp" Target="../ctrlProps/ctrlProp136.xml"/><Relationship Id="rId22" Type="http://schemas.openxmlformats.org/officeDocument/2006/relationships/ctrlProp" Target="../ctrlProps/ctrlProp68.xml"/><Relationship Id="rId27" Type="http://schemas.openxmlformats.org/officeDocument/2006/relationships/ctrlProp" Target="../ctrlProps/ctrlProp73.xml"/><Relationship Id="rId43" Type="http://schemas.openxmlformats.org/officeDocument/2006/relationships/ctrlProp" Target="../ctrlProps/ctrlProp89.xml"/><Relationship Id="rId48" Type="http://schemas.openxmlformats.org/officeDocument/2006/relationships/ctrlProp" Target="../ctrlProps/ctrlProp94.xml"/><Relationship Id="rId64" Type="http://schemas.openxmlformats.org/officeDocument/2006/relationships/ctrlProp" Target="../ctrlProps/ctrlProp110.xml"/><Relationship Id="rId69" Type="http://schemas.openxmlformats.org/officeDocument/2006/relationships/ctrlProp" Target="../ctrlProps/ctrlProp115.xml"/><Relationship Id="rId8" Type="http://schemas.openxmlformats.org/officeDocument/2006/relationships/ctrlProp" Target="../ctrlProps/ctrlProp54.xml"/><Relationship Id="rId51" Type="http://schemas.openxmlformats.org/officeDocument/2006/relationships/ctrlProp" Target="../ctrlProps/ctrlProp97.xml"/><Relationship Id="rId72" Type="http://schemas.openxmlformats.org/officeDocument/2006/relationships/ctrlProp" Target="../ctrlProps/ctrlProp118.xml"/><Relationship Id="rId80" Type="http://schemas.openxmlformats.org/officeDocument/2006/relationships/ctrlProp" Target="../ctrlProps/ctrlProp126.xml"/><Relationship Id="rId85" Type="http://schemas.openxmlformats.org/officeDocument/2006/relationships/ctrlProp" Target="../ctrlProps/ctrlProp131.xml"/><Relationship Id="rId93" Type="http://schemas.openxmlformats.org/officeDocument/2006/relationships/ctrlProp" Target="../ctrlProps/ctrlProp139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58.xml"/><Relationship Id="rId17" Type="http://schemas.openxmlformats.org/officeDocument/2006/relationships/ctrlProp" Target="../ctrlProps/ctrlProp63.xml"/><Relationship Id="rId25" Type="http://schemas.openxmlformats.org/officeDocument/2006/relationships/ctrlProp" Target="../ctrlProps/ctrlProp71.xml"/><Relationship Id="rId33" Type="http://schemas.openxmlformats.org/officeDocument/2006/relationships/ctrlProp" Target="../ctrlProps/ctrlProp79.xml"/><Relationship Id="rId38" Type="http://schemas.openxmlformats.org/officeDocument/2006/relationships/ctrlProp" Target="../ctrlProps/ctrlProp84.xml"/><Relationship Id="rId46" Type="http://schemas.openxmlformats.org/officeDocument/2006/relationships/ctrlProp" Target="../ctrlProps/ctrlProp92.xml"/><Relationship Id="rId59" Type="http://schemas.openxmlformats.org/officeDocument/2006/relationships/ctrlProp" Target="../ctrlProps/ctrlProp105.xml"/><Relationship Id="rId67" Type="http://schemas.openxmlformats.org/officeDocument/2006/relationships/ctrlProp" Target="../ctrlProps/ctrlProp113.xml"/><Relationship Id="rId20" Type="http://schemas.openxmlformats.org/officeDocument/2006/relationships/ctrlProp" Target="../ctrlProps/ctrlProp66.xml"/><Relationship Id="rId41" Type="http://schemas.openxmlformats.org/officeDocument/2006/relationships/ctrlProp" Target="../ctrlProps/ctrlProp87.xml"/><Relationship Id="rId54" Type="http://schemas.openxmlformats.org/officeDocument/2006/relationships/ctrlProp" Target="../ctrlProps/ctrlProp100.xml"/><Relationship Id="rId62" Type="http://schemas.openxmlformats.org/officeDocument/2006/relationships/ctrlProp" Target="../ctrlProps/ctrlProp108.xml"/><Relationship Id="rId70" Type="http://schemas.openxmlformats.org/officeDocument/2006/relationships/ctrlProp" Target="../ctrlProps/ctrlProp116.xml"/><Relationship Id="rId75" Type="http://schemas.openxmlformats.org/officeDocument/2006/relationships/ctrlProp" Target="../ctrlProps/ctrlProp121.xml"/><Relationship Id="rId83" Type="http://schemas.openxmlformats.org/officeDocument/2006/relationships/ctrlProp" Target="../ctrlProps/ctrlProp129.xml"/><Relationship Id="rId88" Type="http://schemas.openxmlformats.org/officeDocument/2006/relationships/ctrlProp" Target="../ctrlProps/ctrlProp134.xml"/><Relationship Id="rId91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52.xml"/><Relationship Id="rId15" Type="http://schemas.openxmlformats.org/officeDocument/2006/relationships/ctrlProp" Target="../ctrlProps/ctrlProp61.xml"/><Relationship Id="rId23" Type="http://schemas.openxmlformats.org/officeDocument/2006/relationships/ctrlProp" Target="../ctrlProps/ctrlProp69.xml"/><Relationship Id="rId28" Type="http://schemas.openxmlformats.org/officeDocument/2006/relationships/ctrlProp" Target="../ctrlProps/ctrlProp74.xml"/><Relationship Id="rId36" Type="http://schemas.openxmlformats.org/officeDocument/2006/relationships/ctrlProp" Target="../ctrlProps/ctrlProp82.xml"/><Relationship Id="rId49" Type="http://schemas.openxmlformats.org/officeDocument/2006/relationships/ctrlProp" Target="../ctrlProps/ctrlProp95.xml"/><Relationship Id="rId57" Type="http://schemas.openxmlformats.org/officeDocument/2006/relationships/ctrlProp" Target="../ctrlProps/ctrlProp103.xml"/><Relationship Id="rId10" Type="http://schemas.openxmlformats.org/officeDocument/2006/relationships/ctrlProp" Target="../ctrlProps/ctrlProp56.xml"/><Relationship Id="rId31" Type="http://schemas.openxmlformats.org/officeDocument/2006/relationships/ctrlProp" Target="../ctrlProps/ctrlProp77.xml"/><Relationship Id="rId44" Type="http://schemas.openxmlformats.org/officeDocument/2006/relationships/ctrlProp" Target="../ctrlProps/ctrlProp90.xml"/><Relationship Id="rId52" Type="http://schemas.openxmlformats.org/officeDocument/2006/relationships/ctrlProp" Target="../ctrlProps/ctrlProp98.xml"/><Relationship Id="rId60" Type="http://schemas.openxmlformats.org/officeDocument/2006/relationships/ctrlProp" Target="../ctrlProps/ctrlProp106.xml"/><Relationship Id="rId65" Type="http://schemas.openxmlformats.org/officeDocument/2006/relationships/ctrlProp" Target="../ctrlProps/ctrlProp111.xml"/><Relationship Id="rId73" Type="http://schemas.openxmlformats.org/officeDocument/2006/relationships/ctrlProp" Target="../ctrlProps/ctrlProp119.xml"/><Relationship Id="rId78" Type="http://schemas.openxmlformats.org/officeDocument/2006/relationships/ctrlProp" Target="../ctrlProps/ctrlProp124.xml"/><Relationship Id="rId81" Type="http://schemas.openxmlformats.org/officeDocument/2006/relationships/ctrlProp" Target="../ctrlProps/ctrlProp127.xml"/><Relationship Id="rId86" Type="http://schemas.openxmlformats.org/officeDocument/2006/relationships/ctrlProp" Target="../ctrlProps/ctrlProp132.xml"/><Relationship Id="rId94" Type="http://schemas.openxmlformats.org/officeDocument/2006/relationships/ctrlProp" Target="../ctrlProps/ctrlProp140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Relationship Id="rId13" Type="http://schemas.openxmlformats.org/officeDocument/2006/relationships/ctrlProp" Target="../ctrlProps/ctrlProp59.xml"/><Relationship Id="rId18" Type="http://schemas.openxmlformats.org/officeDocument/2006/relationships/ctrlProp" Target="../ctrlProps/ctrlProp64.xml"/><Relationship Id="rId39" Type="http://schemas.openxmlformats.org/officeDocument/2006/relationships/ctrlProp" Target="../ctrlProps/ctrlProp85.xml"/><Relationship Id="rId34" Type="http://schemas.openxmlformats.org/officeDocument/2006/relationships/ctrlProp" Target="../ctrlProps/ctrlProp80.xml"/><Relationship Id="rId50" Type="http://schemas.openxmlformats.org/officeDocument/2006/relationships/ctrlProp" Target="../ctrlProps/ctrlProp96.xml"/><Relationship Id="rId55" Type="http://schemas.openxmlformats.org/officeDocument/2006/relationships/ctrlProp" Target="../ctrlProps/ctrlProp101.xml"/><Relationship Id="rId76" Type="http://schemas.openxmlformats.org/officeDocument/2006/relationships/ctrlProp" Target="../ctrlProps/ctrlProp122.xml"/><Relationship Id="rId7" Type="http://schemas.openxmlformats.org/officeDocument/2006/relationships/ctrlProp" Target="../ctrlProps/ctrlProp53.xml"/><Relationship Id="rId71" Type="http://schemas.openxmlformats.org/officeDocument/2006/relationships/ctrlProp" Target="../ctrlProps/ctrlProp117.xml"/><Relationship Id="rId92" Type="http://schemas.openxmlformats.org/officeDocument/2006/relationships/ctrlProp" Target="../ctrlProps/ctrlProp138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75.xml"/><Relationship Id="rId24" Type="http://schemas.openxmlformats.org/officeDocument/2006/relationships/ctrlProp" Target="../ctrlProps/ctrlProp70.xml"/><Relationship Id="rId40" Type="http://schemas.openxmlformats.org/officeDocument/2006/relationships/ctrlProp" Target="../ctrlProps/ctrlProp86.xml"/><Relationship Id="rId45" Type="http://schemas.openxmlformats.org/officeDocument/2006/relationships/ctrlProp" Target="../ctrlProps/ctrlProp91.xml"/><Relationship Id="rId66" Type="http://schemas.openxmlformats.org/officeDocument/2006/relationships/ctrlProp" Target="../ctrlProps/ctrlProp112.xml"/><Relationship Id="rId87" Type="http://schemas.openxmlformats.org/officeDocument/2006/relationships/ctrlProp" Target="../ctrlProps/ctrlProp133.xml"/><Relationship Id="rId61" Type="http://schemas.openxmlformats.org/officeDocument/2006/relationships/ctrlProp" Target="../ctrlProps/ctrlProp107.xml"/><Relationship Id="rId82" Type="http://schemas.openxmlformats.org/officeDocument/2006/relationships/ctrlProp" Target="../ctrlProps/ctrlProp128.xml"/><Relationship Id="rId19" Type="http://schemas.openxmlformats.org/officeDocument/2006/relationships/ctrlProp" Target="../ctrlProps/ctrlProp65.xml"/><Relationship Id="rId14" Type="http://schemas.openxmlformats.org/officeDocument/2006/relationships/ctrlProp" Target="../ctrlProps/ctrlProp60.xml"/><Relationship Id="rId30" Type="http://schemas.openxmlformats.org/officeDocument/2006/relationships/ctrlProp" Target="../ctrlProps/ctrlProp76.xml"/><Relationship Id="rId35" Type="http://schemas.openxmlformats.org/officeDocument/2006/relationships/ctrlProp" Target="../ctrlProps/ctrlProp81.xml"/><Relationship Id="rId56" Type="http://schemas.openxmlformats.org/officeDocument/2006/relationships/ctrlProp" Target="../ctrlProps/ctrlProp102.xml"/><Relationship Id="rId77" Type="http://schemas.openxmlformats.org/officeDocument/2006/relationships/ctrlProp" Target="../ctrlProps/ctrlProp123.xml"/></Relationships>
</file>

<file path=xl/worksheets/_rels/sheet1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63.xml"/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47" Type="http://schemas.openxmlformats.org/officeDocument/2006/relationships/ctrlProp" Target="../ctrlProps/ctrlProp184.xml"/><Relationship Id="rId63" Type="http://schemas.openxmlformats.org/officeDocument/2006/relationships/ctrlProp" Target="../ctrlProps/ctrlProp200.xml"/><Relationship Id="rId68" Type="http://schemas.openxmlformats.org/officeDocument/2006/relationships/ctrlProp" Target="../ctrlProps/ctrlProp205.xml"/><Relationship Id="rId84" Type="http://schemas.openxmlformats.org/officeDocument/2006/relationships/ctrlProp" Target="../ctrlProps/ctrlProp221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6" Type="http://schemas.openxmlformats.org/officeDocument/2006/relationships/ctrlProp" Target="../ctrlProps/ctrlProp153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3" Type="http://schemas.openxmlformats.org/officeDocument/2006/relationships/vmlDrawing" Target="../drawings/vmlDrawing3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8.xml"/><Relationship Id="rId13" Type="http://schemas.openxmlformats.org/officeDocument/2006/relationships/ctrlProp" Target="../ctrlProps/ctrlProp273.xml"/><Relationship Id="rId18" Type="http://schemas.openxmlformats.org/officeDocument/2006/relationships/ctrlProp" Target="../ctrlProps/ctrlProp278.xml"/><Relationship Id="rId26" Type="http://schemas.openxmlformats.org/officeDocument/2006/relationships/ctrlProp" Target="../ctrlProps/ctrlProp286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281.xml"/><Relationship Id="rId7" Type="http://schemas.openxmlformats.org/officeDocument/2006/relationships/ctrlProp" Target="../ctrlProps/ctrlProp267.xml"/><Relationship Id="rId12" Type="http://schemas.openxmlformats.org/officeDocument/2006/relationships/ctrlProp" Target="../ctrlProps/ctrlProp272.xml"/><Relationship Id="rId17" Type="http://schemas.openxmlformats.org/officeDocument/2006/relationships/ctrlProp" Target="../ctrlProps/ctrlProp277.xml"/><Relationship Id="rId25" Type="http://schemas.openxmlformats.org/officeDocument/2006/relationships/ctrlProp" Target="../ctrlProps/ctrlProp285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276.xml"/><Relationship Id="rId20" Type="http://schemas.openxmlformats.org/officeDocument/2006/relationships/ctrlProp" Target="../ctrlProps/ctrlProp280.xml"/><Relationship Id="rId29" Type="http://schemas.openxmlformats.org/officeDocument/2006/relationships/ctrlProp" Target="../ctrlProps/ctrlProp289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266.xml"/><Relationship Id="rId11" Type="http://schemas.openxmlformats.org/officeDocument/2006/relationships/ctrlProp" Target="../ctrlProps/ctrlProp271.xml"/><Relationship Id="rId24" Type="http://schemas.openxmlformats.org/officeDocument/2006/relationships/ctrlProp" Target="../ctrlProps/ctrlProp284.xml"/><Relationship Id="rId5" Type="http://schemas.openxmlformats.org/officeDocument/2006/relationships/ctrlProp" Target="../ctrlProps/ctrlProp265.xml"/><Relationship Id="rId15" Type="http://schemas.openxmlformats.org/officeDocument/2006/relationships/ctrlProp" Target="../ctrlProps/ctrlProp275.xml"/><Relationship Id="rId23" Type="http://schemas.openxmlformats.org/officeDocument/2006/relationships/ctrlProp" Target="../ctrlProps/ctrlProp283.xml"/><Relationship Id="rId28" Type="http://schemas.openxmlformats.org/officeDocument/2006/relationships/ctrlProp" Target="../ctrlProps/ctrlProp288.xml"/><Relationship Id="rId10" Type="http://schemas.openxmlformats.org/officeDocument/2006/relationships/ctrlProp" Target="../ctrlProps/ctrlProp270.xml"/><Relationship Id="rId19" Type="http://schemas.openxmlformats.org/officeDocument/2006/relationships/ctrlProp" Target="../ctrlProps/ctrlProp279.xml"/><Relationship Id="rId4" Type="http://schemas.openxmlformats.org/officeDocument/2006/relationships/ctrlProp" Target="../ctrlProps/ctrlProp264.xml"/><Relationship Id="rId9" Type="http://schemas.openxmlformats.org/officeDocument/2006/relationships/ctrlProp" Target="../ctrlProps/ctrlProp269.xml"/><Relationship Id="rId14" Type="http://schemas.openxmlformats.org/officeDocument/2006/relationships/ctrlProp" Target="../ctrlProps/ctrlProp274.xml"/><Relationship Id="rId22" Type="http://schemas.openxmlformats.org/officeDocument/2006/relationships/ctrlProp" Target="../ctrlProps/ctrlProp282.xml"/><Relationship Id="rId27" Type="http://schemas.openxmlformats.org/officeDocument/2006/relationships/ctrlProp" Target="../ctrlProps/ctrlProp287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9.xml"/><Relationship Id="rId18" Type="http://schemas.openxmlformats.org/officeDocument/2006/relationships/ctrlProp" Target="../ctrlProps/ctrlProp304.xml"/><Relationship Id="rId26" Type="http://schemas.openxmlformats.org/officeDocument/2006/relationships/ctrlProp" Target="../ctrlProps/ctrlProp312.xml"/><Relationship Id="rId39" Type="http://schemas.openxmlformats.org/officeDocument/2006/relationships/ctrlProp" Target="../ctrlProps/ctrlProp325.xml"/><Relationship Id="rId21" Type="http://schemas.openxmlformats.org/officeDocument/2006/relationships/ctrlProp" Target="../ctrlProps/ctrlProp307.xml"/><Relationship Id="rId34" Type="http://schemas.openxmlformats.org/officeDocument/2006/relationships/ctrlProp" Target="../ctrlProps/ctrlProp320.xml"/><Relationship Id="rId42" Type="http://schemas.openxmlformats.org/officeDocument/2006/relationships/ctrlProp" Target="../ctrlProps/ctrlProp328.xml"/><Relationship Id="rId7" Type="http://schemas.openxmlformats.org/officeDocument/2006/relationships/ctrlProp" Target="../ctrlProps/ctrlProp293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302.xml"/><Relationship Id="rId20" Type="http://schemas.openxmlformats.org/officeDocument/2006/relationships/ctrlProp" Target="../ctrlProps/ctrlProp306.xml"/><Relationship Id="rId29" Type="http://schemas.openxmlformats.org/officeDocument/2006/relationships/ctrlProp" Target="../ctrlProps/ctrlProp315.xml"/><Relationship Id="rId41" Type="http://schemas.openxmlformats.org/officeDocument/2006/relationships/ctrlProp" Target="../ctrlProps/ctrlProp327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92.xml"/><Relationship Id="rId11" Type="http://schemas.openxmlformats.org/officeDocument/2006/relationships/ctrlProp" Target="../ctrlProps/ctrlProp297.xml"/><Relationship Id="rId24" Type="http://schemas.openxmlformats.org/officeDocument/2006/relationships/ctrlProp" Target="../ctrlProps/ctrlProp310.xml"/><Relationship Id="rId32" Type="http://schemas.openxmlformats.org/officeDocument/2006/relationships/ctrlProp" Target="../ctrlProps/ctrlProp318.xml"/><Relationship Id="rId37" Type="http://schemas.openxmlformats.org/officeDocument/2006/relationships/ctrlProp" Target="../ctrlProps/ctrlProp323.xml"/><Relationship Id="rId40" Type="http://schemas.openxmlformats.org/officeDocument/2006/relationships/ctrlProp" Target="../ctrlProps/ctrlProp326.xml"/><Relationship Id="rId5" Type="http://schemas.openxmlformats.org/officeDocument/2006/relationships/ctrlProp" Target="../ctrlProps/ctrlProp291.xml"/><Relationship Id="rId15" Type="http://schemas.openxmlformats.org/officeDocument/2006/relationships/ctrlProp" Target="../ctrlProps/ctrlProp301.xml"/><Relationship Id="rId23" Type="http://schemas.openxmlformats.org/officeDocument/2006/relationships/ctrlProp" Target="../ctrlProps/ctrlProp309.xml"/><Relationship Id="rId28" Type="http://schemas.openxmlformats.org/officeDocument/2006/relationships/ctrlProp" Target="../ctrlProps/ctrlProp314.xml"/><Relationship Id="rId36" Type="http://schemas.openxmlformats.org/officeDocument/2006/relationships/ctrlProp" Target="../ctrlProps/ctrlProp322.xml"/><Relationship Id="rId10" Type="http://schemas.openxmlformats.org/officeDocument/2006/relationships/ctrlProp" Target="../ctrlProps/ctrlProp296.xml"/><Relationship Id="rId19" Type="http://schemas.openxmlformats.org/officeDocument/2006/relationships/ctrlProp" Target="../ctrlProps/ctrlProp305.xml"/><Relationship Id="rId31" Type="http://schemas.openxmlformats.org/officeDocument/2006/relationships/ctrlProp" Target="../ctrlProps/ctrlProp317.xml"/><Relationship Id="rId44" Type="http://schemas.openxmlformats.org/officeDocument/2006/relationships/ctrlProp" Target="../ctrlProps/ctrlProp330.xml"/><Relationship Id="rId4" Type="http://schemas.openxmlformats.org/officeDocument/2006/relationships/ctrlProp" Target="../ctrlProps/ctrlProp290.xml"/><Relationship Id="rId9" Type="http://schemas.openxmlformats.org/officeDocument/2006/relationships/ctrlProp" Target="../ctrlProps/ctrlProp295.xml"/><Relationship Id="rId14" Type="http://schemas.openxmlformats.org/officeDocument/2006/relationships/ctrlProp" Target="../ctrlProps/ctrlProp300.xml"/><Relationship Id="rId22" Type="http://schemas.openxmlformats.org/officeDocument/2006/relationships/ctrlProp" Target="../ctrlProps/ctrlProp308.xml"/><Relationship Id="rId27" Type="http://schemas.openxmlformats.org/officeDocument/2006/relationships/ctrlProp" Target="../ctrlProps/ctrlProp313.xml"/><Relationship Id="rId30" Type="http://schemas.openxmlformats.org/officeDocument/2006/relationships/ctrlProp" Target="../ctrlProps/ctrlProp316.xml"/><Relationship Id="rId35" Type="http://schemas.openxmlformats.org/officeDocument/2006/relationships/ctrlProp" Target="../ctrlProps/ctrlProp321.xml"/><Relationship Id="rId43" Type="http://schemas.openxmlformats.org/officeDocument/2006/relationships/ctrlProp" Target="../ctrlProps/ctrlProp329.xml"/><Relationship Id="rId8" Type="http://schemas.openxmlformats.org/officeDocument/2006/relationships/ctrlProp" Target="../ctrlProps/ctrlProp294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8.xml"/><Relationship Id="rId17" Type="http://schemas.openxmlformats.org/officeDocument/2006/relationships/ctrlProp" Target="../ctrlProps/ctrlProp303.xml"/><Relationship Id="rId25" Type="http://schemas.openxmlformats.org/officeDocument/2006/relationships/ctrlProp" Target="../ctrlProps/ctrlProp311.xml"/><Relationship Id="rId33" Type="http://schemas.openxmlformats.org/officeDocument/2006/relationships/ctrlProp" Target="../ctrlProps/ctrlProp319.xml"/><Relationship Id="rId38" Type="http://schemas.openxmlformats.org/officeDocument/2006/relationships/ctrlProp" Target="../ctrlProps/ctrlProp3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44.xml"/><Relationship Id="rId21" Type="http://schemas.openxmlformats.org/officeDocument/2006/relationships/ctrlProp" Target="../ctrlProps/ctrlProp348.xml"/><Relationship Id="rId42" Type="http://schemas.openxmlformats.org/officeDocument/2006/relationships/ctrlProp" Target="../ctrlProps/ctrlProp369.xml"/><Relationship Id="rId63" Type="http://schemas.openxmlformats.org/officeDocument/2006/relationships/ctrlProp" Target="../ctrlProps/ctrlProp390.xml"/><Relationship Id="rId84" Type="http://schemas.openxmlformats.org/officeDocument/2006/relationships/ctrlProp" Target="../ctrlProps/ctrlProp411.xml"/><Relationship Id="rId138" Type="http://schemas.openxmlformats.org/officeDocument/2006/relationships/ctrlProp" Target="../ctrlProps/ctrlProp465.xml"/><Relationship Id="rId159" Type="http://schemas.openxmlformats.org/officeDocument/2006/relationships/ctrlProp" Target="../ctrlProps/ctrlProp486.xml"/><Relationship Id="rId170" Type="http://schemas.openxmlformats.org/officeDocument/2006/relationships/ctrlProp" Target="../ctrlProps/ctrlProp497.xml"/><Relationship Id="rId191" Type="http://schemas.openxmlformats.org/officeDocument/2006/relationships/ctrlProp" Target="../ctrlProps/ctrlProp518.xml"/><Relationship Id="rId107" Type="http://schemas.openxmlformats.org/officeDocument/2006/relationships/ctrlProp" Target="../ctrlProps/ctrlProp434.xml"/><Relationship Id="rId11" Type="http://schemas.openxmlformats.org/officeDocument/2006/relationships/ctrlProp" Target="../ctrlProps/ctrlProp338.xml"/><Relationship Id="rId32" Type="http://schemas.openxmlformats.org/officeDocument/2006/relationships/ctrlProp" Target="../ctrlProps/ctrlProp359.xml"/><Relationship Id="rId53" Type="http://schemas.openxmlformats.org/officeDocument/2006/relationships/ctrlProp" Target="../ctrlProps/ctrlProp380.xml"/><Relationship Id="rId74" Type="http://schemas.openxmlformats.org/officeDocument/2006/relationships/ctrlProp" Target="../ctrlProps/ctrlProp401.xml"/><Relationship Id="rId128" Type="http://schemas.openxmlformats.org/officeDocument/2006/relationships/ctrlProp" Target="../ctrlProps/ctrlProp455.xml"/><Relationship Id="rId149" Type="http://schemas.openxmlformats.org/officeDocument/2006/relationships/ctrlProp" Target="../ctrlProps/ctrlProp476.xml"/><Relationship Id="rId5" Type="http://schemas.openxmlformats.org/officeDocument/2006/relationships/ctrlProp" Target="../ctrlProps/ctrlProp332.xml"/><Relationship Id="rId95" Type="http://schemas.openxmlformats.org/officeDocument/2006/relationships/ctrlProp" Target="../ctrlProps/ctrlProp422.xml"/><Relationship Id="rId160" Type="http://schemas.openxmlformats.org/officeDocument/2006/relationships/ctrlProp" Target="../ctrlProps/ctrlProp487.xml"/><Relationship Id="rId181" Type="http://schemas.openxmlformats.org/officeDocument/2006/relationships/ctrlProp" Target="../ctrlProps/ctrlProp508.xml"/><Relationship Id="rId22" Type="http://schemas.openxmlformats.org/officeDocument/2006/relationships/ctrlProp" Target="../ctrlProps/ctrlProp349.xml"/><Relationship Id="rId43" Type="http://schemas.openxmlformats.org/officeDocument/2006/relationships/ctrlProp" Target="../ctrlProps/ctrlProp370.xml"/><Relationship Id="rId64" Type="http://schemas.openxmlformats.org/officeDocument/2006/relationships/ctrlProp" Target="../ctrlProps/ctrlProp391.xml"/><Relationship Id="rId118" Type="http://schemas.openxmlformats.org/officeDocument/2006/relationships/ctrlProp" Target="../ctrlProps/ctrlProp445.xml"/><Relationship Id="rId139" Type="http://schemas.openxmlformats.org/officeDocument/2006/relationships/ctrlProp" Target="../ctrlProps/ctrlProp466.xml"/><Relationship Id="rId85" Type="http://schemas.openxmlformats.org/officeDocument/2006/relationships/ctrlProp" Target="../ctrlProps/ctrlProp412.xml"/><Relationship Id="rId150" Type="http://schemas.openxmlformats.org/officeDocument/2006/relationships/ctrlProp" Target="../ctrlProps/ctrlProp477.xml"/><Relationship Id="rId171" Type="http://schemas.openxmlformats.org/officeDocument/2006/relationships/ctrlProp" Target="../ctrlProps/ctrlProp498.xml"/><Relationship Id="rId192" Type="http://schemas.openxmlformats.org/officeDocument/2006/relationships/ctrlProp" Target="../ctrlProps/ctrlProp519.xml"/><Relationship Id="rId12" Type="http://schemas.openxmlformats.org/officeDocument/2006/relationships/ctrlProp" Target="../ctrlProps/ctrlProp339.xml"/><Relationship Id="rId33" Type="http://schemas.openxmlformats.org/officeDocument/2006/relationships/ctrlProp" Target="../ctrlProps/ctrlProp360.xml"/><Relationship Id="rId108" Type="http://schemas.openxmlformats.org/officeDocument/2006/relationships/ctrlProp" Target="../ctrlProps/ctrlProp435.xml"/><Relationship Id="rId129" Type="http://schemas.openxmlformats.org/officeDocument/2006/relationships/ctrlProp" Target="../ctrlProps/ctrlProp456.xml"/><Relationship Id="rId54" Type="http://schemas.openxmlformats.org/officeDocument/2006/relationships/ctrlProp" Target="../ctrlProps/ctrlProp381.xml"/><Relationship Id="rId75" Type="http://schemas.openxmlformats.org/officeDocument/2006/relationships/ctrlProp" Target="../ctrlProps/ctrlProp402.xml"/><Relationship Id="rId96" Type="http://schemas.openxmlformats.org/officeDocument/2006/relationships/ctrlProp" Target="../ctrlProps/ctrlProp423.xml"/><Relationship Id="rId140" Type="http://schemas.openxmlformats.org/officeDocument/2006/relationships/ctrlProp" Target="../ctrlProps/ctrlProp467.xml"/><Relationship Id="rId161" Type="http://schemas.openxmlformats.org/officeDocument/2006/relationships/ctrlProp" Target="../ctrlProps/ctrlProp488.xml"/><Relationship Id="rId182" Type="http://schemas.openxmlformats.org/officeDocument/2006/relationships/ctrlProp" Target="../ctrlProps/ctrlProp509.xml"/><Relationship Id="rId6" Type="http://schemas.openxmlformats.org/officeDocument/2006/relationships/ctrlProp" Target="../ctrlProps/ctrlProp333.xml"/><Relationship Id="rId23" Type="http://schemas.openxmlformats.org/officeDocument/2006/relationships/ctrlProp" Target="../ctrlProps/ctrlProp350.xml"/><Relationship Id="rId119" Type="http://schemas.openxmlformats.org/officeDocument/2006/relationships/ctrlProp" Target="../ctrlProps/ctrlProp446.xml"/><Relationship Id="rId44" Type="http://schemas.openxmlformats.org/officeDocument/2006/relationships/ctrlProp" Target="../ctrlProps/ctrlProp371.xml"/><Relationship Id="rId65" Type="http://schemas.openxmlformats.org/officeDocument/2006/relationships/ctrlProp" Target="../ctrlProps/ctrlProp392.xml"/><Relationship Id="rId86" Type="http://schemas.openxmlformats.org/officeDocument/2006/relationships/ctrlProp" Target="../ctrlProps/ctrlProp413.xml"/><Relationship Id="rId130" Type="http://schemas.openxmlformats.org/officeDocument/2006/relationships/ctrlProp" Target="../ctrlProps/ctrlProp457.xml"/><Relationship Id="rId151" Type="http://schemas.openxmlformats.org/officeDocument/2006/relationships/ctrlProp" Target="../ctrlProps/ctrlProp478.xml"/><Relationship Id="rId172" Type="http://schemas.openxmlformats.org/officeDocument/2006/relationships/ctrlProp" Target="../ctrlProps/ctrlProp499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9" Type="http://schemas.openxmlformats.org/officeDocument/2006/relationships/ctrlProp" Target="../ctrlProps/ctrlProp366.xml"/><Relationship Id="rId109" Type="http://schemas.openxmlformats.org/officeDocument/2006/relationships/ctrlProp" Target="../ctrlProps/ctrlProp436.xml"/><Relationship Id="rId34" Type="http://schemas.openxmlformats.org/officeDocument/2006/relationships/ctrlProp" Target="../ctrlProps/ctrlProp361.xml"/><Relationship Id="rId50" Type="http://schemas.openxmlformats.org/officeDocument/2006/relationships/ctrlProp" Target="../ctrlProps/ctrlProp377.xml"/><Relationship Id="rId55" Type="http://schemas.openxmlformats.org/officeDocument/2006/relationships/ctrlProp" Target="../ctrlProps/ctrlProp382.xml"/><Relationship Id="rId76" Type="http://schemas.openxmlformats.org/officeDocument/2006/relationships/ctrlProp" Target="../ctrlProps/ctrlProp403.xml"/><Relationship Id="rId97" Type="http://schemas.openxmlformats.org/officeDocument/2006/relationships/ctrlProp" Target="../ctrlProps/ctrlProp424.xml"/><Relationship Id="rId104" Type="http://schemas.openxmlformats.org/officeDocument/2006/relationships/ctrlProp" Target="../ctrlProps/ctrlProp431.xml"/><Relationship Id="rId120" Type="http://schemas.openxmlformats.org/officeDocument/2006/relationships/ctrlProp" Target="../ctrlProps/ctrlProp447.xml"/><Relationship Id="rId125" Type="http://schemas.openxmlformats.org/officeDocument/2006/relationships/ctrlProp" Target="../ctrlProps/ctrlProp452.xml"/><Relationship Id="rId141" Type="http://schemas.openxmlformats.org/officeDocument/2006/relationships/ctrlProp" Target="../ctrlProps/ctrlProp468.xml"/><Relationship Id="rId146" Type="http://schemas.openxmlformats.org/officeDocument/2006/relationships/ctrlProp" Target="../ctrlProps/ctrlProp473.xml"/><Relationship Id="rId167" Type="http://schemas.openxmlformats.org/officeDocument/2006/relationships/ctrlProp" Target="../ctrlProps/ctrlProp494.xml"/><Relationship Id="rId188" Type="http://schemas.openxmlformats.org/officeDocument/2006/relationships/ctrlProp" Target="../ctrlProps/ctrlProp515.xml"/><Relationship Id="rId7" Type="http://schemas.openxmlformats.org/officeDocument/2006/relationships/ctrlProp" Target="../ctrlProps/ctrlProp334.xml"/><Relationship Id="rId71" Type="http://schemas.openxmlformats.org/officeDocument/2006/relationships/ctrlProp" Target="../ctrlProps/ctrlProp398.xml"/><Relationship Id="rId92" Type="http://schemas.openxmlformats.org/officeDocument/2006/relationships/ctrlProp" Target="../ctrlProps/ctrlProp419.xml"/><Relationship Id="rId162" Type="http://schemas.openxmlformats.org/officeDocument/2006/relationships/ctrlProp" Target="../ctrlProps/ctrlProp489.xml"/><Relationship Id="rId183" Type="http://schemas.openxmlformats.org/officeDocument/2006/relationships/ctrlProp" Target="../ctrlProps/ctrlProp51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356.xml"/><Relationship Id="rId24" Type="http://schemas.openxmlformats.org/officeDocument/2006/relationships/ctrlProp" Target="../ctrlProps/ctrlProp351.xml"/><Relationship Id="rId40" Type="http://schemas.openxmlformats.org/officeDocument/2006/relationships/ctrlProp" Target="../ctrlProps/ctrlProp367.xml"/><Relationship Id="rId45" Type="http://schemas.openxmlformats.org/officeDocument/2006/relationships/ctrlProp" Target="../ctrlProps/ctrlProp372.xml"/><Relationship Id="rId66" Type="http://schemas.openxmlformats.org/officeDocument/2006/relationships/ctrlProp" Target="../ctrlProps/ctrlProp393.xml"/><Relationship Id="rId87" Type="http://schemas.openxmlformats.org/officeDocument/2006/relationships/ctrlProp" Target="../ctrlProps/ctrlProp414.xml"/><Relationship Id="rId110" Type="http://schemas.openxmlformats.org/officeDocument/2006/relationships/ctrlProp" Target="../ctrlProps/ctrlProp437.xml"/><Relationship Id="rId115" Type="http://schemas.openxmlformats.org/officeDocument/2006/relationships/ctrlProp" Target="../ctrlProps/ctrlProp442.xml"/><Relationship Id="rId131" Type="http://schemas.openxmlformats.org/officeDocument/2006/relationships/ctrlProp" Target="../ctrlProps/ctrlProp458.xml"/><Relationship Id="rId136" Type="http://schemas.openxmlformats.org/officeDocument/2006/relationships/ctrlProp" Target="../ctrlProps/ctrlProp463.xml"/><Relationship Id="rId157" Type="http://schemas.openxmlformats.org/officeDocument/2006/relationships/ctrlProp" Target="../ctrlProps/ctrlProp484.xml"/><Relationship Id="rId178" Type="http://schemas.openxmlformats.org/officeDocument/2006/relationships/ctrlProp" Target="../ctrlProps/ctrlProp505.xml"/><Relationship Id="rId61" Type="http://schemas.openxmlformats.org/officeDocument/2006/relationships/ctrlProp" Target="../ctrlProps/ctrlProp388.xml"/><Relationship Id="rId82" Type="http://schemas.openxmlformats.org/officeDocument/2006/relationships/ctrlProp" Target="../ctrlProps/ctrlProp409.xml"/><Relationship Id="rId152" Type="http://schemas.openxmlformats.org/officeDocument/2006/relationships/ctrlProp" Target="../ctrlProps/ctrlProp479.xml"/><Relationship Id="rId173" Type="http://schemas.openxmlformats.org/officeDocument/2006/relationships/ctrlProp" Target="../ctrlProps/ctrlProp500.xml"/><Relationship Id="rId19" Type="http://schemas.openxmlformats.org/officeDocument/2006/relationships/ctrlProp" Target="../ctrlProps/ctrlProp346.xml"/><Relationship Id="rId14" Type="http://schemas.openxmlformats.org/officeDocument/2006/relationships/ctrlProp" Target="../ctrlProps/ctrlProp341.xml"/><Relationship Id="rId30" Type="http://schemas.openxmlformats.org/officeDocument/2006/relationships/ctrlProp" Target="../ctrlProps/ctrlProp357.xml"/><Relationship Id="rId35" Type="http://schemas.openxmlformats.org/officeDocument/2006/relationships/ctrlProp" Target="../ctrlProps/ctrlProp362.xml"/><Relationship Id="rId56" Type="http://schemas.openxmlformats.org/officeDocument/2006/relationships/ctrlProp" Target="../ctrlProps/ctrlProp383.xml"/><Relationship Id="rId77" Type="http://schemas.openxmlformats.org/officeDocument/2006/relationships/ctrlProp" Target="../ctrlProps/ctrlProp404.xml"/><Relationship Id="rId100" Type="http://schemas.openxmlformats.org/officeDocument/2006/relationships/ctrlProp" Target="../ctrlProps/ctrlProp427.xml"/><Relationship Id="rId105" Type="http://schemas.openxmlformats.org/officeDocument/2006/relationships/ctrlProp" Target="../ctrlProps/ctrlProp432.xml"/><Relationship Id="rId126" Type="http://schemas.openxmlformats.org/officeDocument/2006/relationships/ctrlProp" Target="../ctrlProps/ctrlProp453.xml"/><Relationship Id="rId147" Type="http://schemas.openxmlformats.org/officeDocument/2006/relationships/ctrlProp" Target="../ctrlProps/ctrlProp474.xml"/><Relationship Id="rId168" Type="http://schemas.openxmlformats.org/officeDocument/2006/relationships/ctrlProp" Target="../ctrlProps/ctrlProp495.xml"/><Relationship Id="rId8" Type="http://schemas.openxmlformats.org/officeDocument/2006/relationships/ctrlProp" Target="../ctrlProps/ctrlProp335.xml"/><Relationship Id="rId51" Type="http://schemas.openxmlformats.org/officeDocument/2006/relationships/ctrlProp" Target="../ctrlProps/ctrlProp378.xml"/><Relationship Id="rId72" Type="http://schemas.openxmlformats.org/officeDocument/2006/relationships/ctrlProp" Target="../ctrlProps/ctrlProp399.xml"/><Relationship Id="rId93" Type="http://schemas.openxmlformats.org/officeDocument/2006/relationships/ctrlProp" Target="../ctrlProps/ctrlProp420.xml"/><Relationship Id="rId98" Type="http://schemas.openxmlformats.org/officeDocument/2006/relationships/ctrlProp" Target="../ctrlProps/ctrlProp425.xml"/><Relationship Id="rId121" Type="http://schemas.openxmlformats.org/officeDocument/2006/relationships/ctrlProp" Target="../ctrlProps/ctrlProp448.xml"/><Relationship Id="rId142" Type="http://schemas.openxmlformats.org/officeDocument/2006/relationships/ctrlProp" Target="../ctrlProps/ctrlProp469.xml"/><Relationship Id="rId163" Type="http://schemas.openxmlformats.org/officeDocument/2006/relationships/ctrlProp" Target="../ctrlProps/ctrlProp490.xml"/><Relationship Id="rId184" Type="http://schemas.openxmlformats.org/officeDocument/2006/relationships/ctrlProp" Target="../ctrlProps/ctrlProp511.xml"/><Relationship Id="rId189" Type="http://schemas.openxmlformats.org/officeDocument/2006/relationships/ctrlProp" Target="../ctrlProps/ctrlProp516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352.xml"/><Relationship Id="rId46" Type="http://schemas.openxmlformats.org/officeDocument/2006/relationships/ctrlProp" Target="../ctrlProps/ctrlProp373.xml"/><Relationship Id="rId67" Type="http://schemas.openxmlformats.org/officeDocument/2006/relationships/ctrlProp" Target="../ctrlProps/ctrlProp394.xml"/><Relationship Id="rId116" Type="http://schemas.openxmlformats.org/officeDocument/2006/relationships/ctrlProp" Target="../ctrlProps/ctrlProp443.xml"/><Relationship Id="rId137" Type="http://schemas.openxmlformats.org/officeDocument/2006/relationships/ctrlProp" Target="../ctrlProps/ctrlProp464.xml"/><Relationship Id="rId158" Type="http://schemas.openxmlformats.org/officeDocument/2006/relationships/ctrlProp" Target="../ctrlProps/ctrlProp485.xml"/><Relationship Id="rId20" Type="http://schemas.openxmlformats.org/officeDocument/2006/relationships/ctrlProp" Target="../ctrlProps/ctrlProp347.xml"/><Relationship Id="rId41" Type="http://schemas.openxmlformats.org/officeDocument/2006/relationships/ctrlProp" Target="../ctrlProps/ctrlProp368.xml"/><Relationship Id="rId62" Type="http://schemas.openxmlformats.org/officeDocument/2006/relationships/ctrlProp" Target="../ctrlProps/ctrlProp389.xml"/><Relationship Id="rId83" Type="http://schemas.openxmlformats.org/officeDocument/2006/relationships/ctrlProp" Target="../ctrlProps/ctrlProp410.xml"/><Relationship Id="rId88" Type="http://schemas.openxmlformats.org/officeDocument/2006/relationships/ctrlProp" Target="../ctrlProps/ctrlProp415.xml"/><Relationship Id="rId111" Type="http://schemas.openxmlformats.org/officeDocument/2006/relationships/ctrlProp" Target="../ctrlProps/ctrlProp438.xml"/><Relationship Id="rId132" Type="http://schemas.openxmlformats.org/officeDocument/2006/relationships/ctrlProp" Target="../ctrlProps/ctrlProp459.xml"/><Relationship Id="rId153" Type="http://schemas.openxmlformats.org/officeDocument/2006/relationships/ctrlProp" Target="../ctrlProps/ctrlProp480.xml"/><Relationship Id="rId174" Type="http://schemas.openxmlformats.org/officeDocument/2006/relationships/ctrlProp" Target="../ctrlProps/ctrlProp501.xml"/><Relationship Id="rId179" Type="http://schemas.openxmlformats.org/officeDocument/2006/relationships/ctrlProp" Target="../ctrlProps/ctrlProp506.xml"/><Relationship Id="rId190" Type="http://schemas.openxmlformats.org/officeDocument/2006/relationships/ctrlProp" Target="../ctrlProps/ctrlProp517.xml"/><Relationship Id="rId15" Type="http://schemas.openxmlformats.org/officeDocument/2006/relationships/ctrlProp" Target="../ctrlProps/ctrlProp342.xml"/><Relationship Id="rId36" Type="http://schemas.openxmlformats.org/officeDocument/2006/relationships/ctrlProp" Target="../ctrlProps/ctrlProp363.xml"/><Relationship Id="rId57" Type="http://schemas.openxmlformats.org/officeDocument/2006/relationships/ctrlProp" Target="../ctrlProps/ctrlProp384.xml"/><Relationship Id="rId106" Type="http://schemas.openxmlformats.org/officeDocument/2006/relationships/ctrlProp" Target="../ctrlProps/ctrlProp433.xml"/><Relationship Id="rId127" Type="http://schemas.openxmlformats.org/officeDocument/2006/relationships/ctrlProp" Target="../ctrlProps/ctrlProp454.xml"/><Relationship Id="rId10" Type="http://schemas.openxmlformats.org/officeDocument/2006/relationships/ctrlProp" Target="../ctrlProps/ctrlProp337.xml"/><Relationship Id="rId31" Type="http://schemas.openxmlformats.org/officeDocument/2006/relationships/ctrlProp" Target="../ctrlProps/ctrlProp358.xml"/><Relationship Id="rId52" Type="http://schemas.openxmlformats.org/officeDocument/2006/relationships/ctrlProp" Target="../ctrlProps/ctrlProp379.xml"/><Relationship Id="rId73" Type="http://schemas.openxmlformats.org/officeDocument/2006/relationships/ctrlProp" Target="../ctrlProps/ctrlProp400.xml"/><Relationship Id="rId78" Type="http://schemas.openxmlformats.org/officeDocument/2006/relationships/ctrlProp" Target="../ctrlProps/ctrlProp405.xml"/><Relationship Id="rId94" Type="http://schemas.openxmlformats.org/officeDocument/2006/relationships/ctrlProp" Target="../ctrlProps/ctrlProp421.xml"/><Relationship Id="rId99" Type="http://schemas.openxmlformats.org/officeDocument/2006/relationships/ctrlProp" Target="../ctrlProps/ctrlProp426.xml"/><Relationship Id="rId101" Type="http://schemas.openxmlformats.org/officeDocument/2006/relationships/ctrlProp" Target="../ctrlProps/ctrlProp428.xml"/><Relationship Id="rId122" Type="http://schemas.openxmlformats.org/officeDocument/2006/relationships/ctrlProp" Target="../ctrlProps/ctrlProp449.xml"/><Relationship Id="rId143" Type="http://schemas.openxmlformats.org/officeDocument/2006/relationships/ctrlProp" Target="../ctrlProps/ctrlProp470.xml"/><Relationship Id="rId148" Type="http://schemas.openxmlformats.org/officeDocument/2006/relationships/ctrlProp" Target="../ctrlProps/ctrlProp475.xml"/><Relationship Id="rId164" Type="http://schemas.openxmlformats.org/officeDocument/2006/relationships/ctrlProp" Target="../ctrlProps/ctrlProp491.xml"/><Relationship Id="rId169" Type="http://schemas.openxmlformats.org/officeDocument/2006/relationships/ctrlProp" Target="../ctrlProps/ctrlProp496.xml"/><Relationship Id="rId185" Type="http://schemas.openxmlformats.org/officeDocument/2006/relationships/ctrlProp" Target="../ctrlProps/ctrlProp512.xml"/><Relationship Id="rId4" Type="http://schemas.openxmlformats.org/officeDocument/2006/relationships/ctrlProp" Target="../ctrlProps/ctrlProp331.xml"/><Relationship Id="rId9" Type="http://schemas.openxmlformats.org/officeDocument/2006/relationships/ctrlProp" Target="../ctrlProps/ctrlProp336.xml"/><Relationship Id="rId180" Type="http://schemas.openxmlformats.org/officeDocument/2006/relationships/ctrlProp" Target="../ctrlProps/ctrlProp507.xml"/><Relationship Id="rId26" Type="http://schemas.openxmlformats.org/officeDocument/2006/relationships/ctrlProp" Target="../ctrlProps/ctrlProp353.xml"/><Relationship Id="rId47" Type="http://schemas.openxmlformats.org/officeDocument/2006/relationships/ctrlProp" Target="../ctrlProps/ctrlProp374.xml"/><Relationship Id="rId68" Type="http://schemas.openxmlformats.org/officeDocument/2006/relationships/ctrlProp" Target="../ctrlProps/ctrlProp395.xml"/><Relationship Id="rId89" Type="http://schemas.openxmlformats.org/officeDocument/2006/relationships/ctrlProp" Target="../ctrlProps/ctrlProp416.xml"/><Relationship Id="rId112" Type="http://schemas.openxmlformats.org/officeDocument/2006/relationships/ctrlProp" Target="../ctrlProps/ctrlProp439.xml"/><Relationship Id="rId133" Type="http://schemas.openxmlformats.org/officeDocument/2006/relationships/ctrlProp" Target="../ctrlProps/ctrlProp460.xml"/><Relationship Id="rId154" Type="http://schemas.openxmlformats.org/officeDocument/2006/relationships/ctrlProp" Target="../ctrlProps/ctrlProp481.xml"/><Relationship Id="rId175" Type="http://schemas.openxmlformats.org/officeDocument/2006/relationships/ctrlProp" Target="../ctrlProps/ctrlProp502.xml"/><Relationship Id="rId16" Type="http://schemas.openxmlformats.org/officeDocument/2006/relationships/ctrlProp" Target="../ctrlProps/ctrlProp343.xml"/><Relationship Id="rId37" Type="http://schemas.openxmlformats.org/officeDocument/2006/relationships/ctrlProp" Target="../ctrlProps/ctrlProp364.xml"/><Relationship Id="rId58" Type="http://schemas.openxmlformats.org/officeDocument/2006/relationships/ctrlProp" Target="../ctrlProps/ctrlProp385.xml"/><Relationship Id="rId79" Type="http://schemas.openxmlformats.org/officeDocument/2006/relationships/ctrlProp" Target="../ctrlProps/ctrlProp406.xml"/><Relationship Id="rId102" Type="http://schemas.openxmlformats.org/officeDocument/2006/relationships/ctrlProp" Target="../ctrlProps/ctrlProp429.xml"/><Relationship Id="rId123" Type="http://schemas.openxmlformats.org/officeDocument/2006/relationships/ctrlProp" Target="../ctrlProps/ctrlProp450.xml"/><Relationship Id="rId144" Type="http://schemas.openxmlformats.org/officeDocument/2006/relationships/ctrlProp" Target="../ctrlProps/ctrlProp471.xml"/><Relationship Id="rId90" Type="http://schemas.openxmlformats.org/officeDocument/2006/relationships/ctrlProp" Target="../ctrlProps/ctrlProp417.xml"/><Relationship Id="rId165" Type="http://schemas.openxmlformats.org/officeDocument/2006/relationships/ctrlProp" Target="../ctrlProps/ctrlProp492.xml"/><Relationship Id="rId186" Type="http://schemas.openxmlformats.org/officeDocument/2006/relationships/ctrlProp" Target="../ctrlProps/ctrlProp513.xml"/><Relationship Id="rId27" Type="http://schemas.openxmlformats.org/officeDocument/2006/relationships/ctrlProp" Target="../ctrlProps/ctrlProp354.xml"/><Relationship Id="rId48" Type="http://schemas.openxmlformats.org/officeDocument/2006/relationships/ctrlProp" Target="../ctrlProps/ctrlProp375.xml"/><Relationship Id="rId69" Type="http://schemas.openxmlformats.org/officeDocument/2006/relationships/ctrlProp" Target="../ctrlProps/ctrlProp396.xml"/><Relationship Id="rId113" Type="http://schemas.openxmlformats.org/officeDocument/2006/relationships/ctrlProp" Target="../ctrlProps/ctrlProp440.xml"/><Relationship Id="rId134" Type="http://schemas.openxmlformats.org/officeDocument/2006/relationships/ctrlProp" Target="../ctrlProps/ctrlProp461.xml"/><Relationship Id="rId80" Type="http://schemas.openxmlformats.org/officeDocument/2006/relationships/ctrlProp" Target="../ctrlProps/ctrlProp407.xml"/><Relationship Id="rId155" Type="http://schemas.openxmlformats.org/officeDocument/2006/relationships/ctrlProp" Target="../ctrlProps/ctrlProp482.xml"/><Relationship Id="rId176" Type="http://schemas.openxmlformats.org/officeDocument/2006/relationships/ctrlProp" Target="../ctrlProps/ctrlProp503.xml"/><Relationship Id="rId17" Type="http://schemas.openxmlformats.org/officeDocument/2006/relationships/ctrlProp" Target="../ctrlProps/ctrlProp344.xml"/><Relationship Id="rId38" Type="http://schemas.openxmlformats.org/officeDocument/2006/relationships/ctrlProp" Target="../ctrlProps/ctrlProp365.xml"/><Relationship Id="rId59" Type="http://schemas.openxmlformats.org/officeDocument/2006/relationships/ctrlProp" Target="../ctrlProps/ctrlProp386.xml"/><Relationship Id="rId103" Type="http://schemas.openxmlformats.org/officeDocument/2006/relationships/ctrlProp" Target="../ctrlProps/ctrlProp430.xml"/><Relationship Id="rId124" Type="http://schemas.openxmlformats.org/officeDocument/2006/relationships/ctrlProp" Target="../ctrlProps/ctrlProp451.xml"/><Relationship Id="rId70" Type="http://schemas.openxmlformats.org/officeDocument/2006/relationships/ctrlProp" Target="../ctrlProps/ctrlProp397.xml"/><Relationship Id="rId91" Type="http://schemas.openxmlformats.org/officeDocument/2006/relationships/ctrlProp" Target="../ctrlProps/ctrlProp418.xml"/><Relationship Id="rId145" Type="http://schemas.openxmlformats.org/officeDocument/2006/relationships/ctrlProp" Target="../ctrlProps/ctrlProp472.xml"/><Relationship Id="rId166" Type="http://schemas.openxmlformats.org/officeDocument/2006/relationships/ctrlProp" Target="../ctrlProps/ctrlProp493.xml"/><Relationship Id="rId187" Type="http://schemas.openxmlformats.org/officeDocument/2006/relationships/ctrlProp" Target="../ctrlProps/ctrlProp514.xml"/><Relationship Id="rId1" Type="http://schemas.openxmlformats.org/officeDocument/2006/relationships/printerSettings" Target="../printerSettings/printerSettings20.bin"/><Relationship Id="rId28" Type="http://schemas.openxmlformats.org/officeDocument/2006/relationships/ctrlProp" Target="../ctrlProps/ctrlProp355.xml"/><Relationship Id="rId49" Type="http://schemas.openxmlformats.org/officeDocument/2006/relationships/ctrlProp" Target="../ctrlProps/ctrlProp376.xml"/><Relationship Id="rId114" Type="http://schemas.openxmlformats.org/officeDocument/2006/relationships/ctrlProp" Target="../ctrlProps/ctrlProp441.xml"/><Relationship Id="rId60" Type="http://schemas.openxmlformats.org/officeDocument/2006/relationships/ctrlProp" Target="../ctrlProps/ctrlProp387.xml"/><Relationship Id="rId81" Type="http://schemas.openxmlformats.org/officeDocument/2006/relationships/ctrlProp" Target="../ctrlProps/ctrlProp408.xml"/><Relationship Id="rId135" Type="http://schemas.openxmlformats.org/officeDocument/2006/relationships/ctrlProp" Target="../ctrlProps/ctrlProp462.xml"/><Relationship Id="rId156" Type="http://schemas.openxmlformats.org/officeDocument/2006/relationships/ctrlProp" Target="../ctrlProps/ctrlProp483.xml"/><Relationship Id="rId177" Type="http://schemas.openxmlformats.org/officeDocument/2006/relationships/ctrlProp" Target="../ctrlProps/ctrlProp504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N49"/>
  <sheetViews>
    <sheetView workbookViewId="0">
      <selection activeCell="C25" sqref="C25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14" ht="25.65" x14ac:dyDescent="0.35">
      <c r="A1" s="37" t="s">
        <v>98</v>
      </c>
      <c r="B1" s="37" t="s">
        <v>98</v>
      </c>
      <c r="C1" s="37" t="s">
        <v>99</v>
      </c>
      <c r="I1" t="s">
        <v>101</v>
      </c>
    </row>
    <row r="2" spans="1:14" x14ac:dyDescent="0.35">
      <c r="A2">
        <v>0</v>
      </c>
      <c r="B2">
        <v>0</v>
      </c>
      <c r="C2">
        <v>0</v>
      </c>
      <c r="D2">
        <v>3.73</v>
      </c>
      <c r="E2">
        <v>3.04</v>
      </c>
      <c r="F2">
        <v>3.21</v>
      </c>
      <c r="G2">
        <v>3.41</v>
      </c>
      <c r="H2">
        <v>3.71</v>
      </c>
      <c r="I2">
        <v>4</v>
      </c>
      <c r="J2">
        <v>4.25</v>
      </c>
      <c r="K2">
        <v>4.53</v>
      </c>
      <c r="L2" s="276"/>
      <c r="M2" t="s">
        <v>102</v>
      </c>
      <c r="N2">
        <f ca="1">TRUNC((AfspraakDatum-GebDatum)/365,0)*12+TRUNC(((AfspraakDatum-GebDatum)-365*TRUNC((AfspraakDatum-GebDatum)/365,0))/30,0)</f>
        <v>42</v>
      </c>
    </row>
    <row r="3" spans="1:14" x14ac:dyDescent="0.35">
      <c r="A3">
        <v>5.8000000000000003E-2</v>
      </c>
      <c r="B3">
        <f t="shared" ref="B3:B49" si="0">ROUND(A3,1)</f>
        <v>0.1</v>
      </c>
      <c r="C3">
        <f t="shared" ref="C3:C49" si="1">ROUND(A3*12,1)</f>
        <v>0.7</v>
      </c>
      <c r="D3">
        <v>3.73</v>
      </c>
      <c r="E3">
        <v>3.04</v>
      </c>
      <c r="F3">
        <v>3.21</v>
      </c>
      <c r="G3">
        <v>3.41</v>
      </c>
      <c r="H3">
        <v>3.71</v>
      </c>
      <c r="I3">
        <v>4</v>
      </c>
      <c r="J3">
        <v>4.25</v>
      </c>
      <c r="K3">
        <v>4.53</v>
      </c>
      <c r="L3" s="276"/>
      <c r="M3" t="s">
        <v>103</v>
      </c>
      <c r="N3">
        <v>1.5</v>
      </c>
    </row>
    <row r="4" spans="1:14" x14ac:dyDescent="0.35">
      <c r="A4">
        <v>0.115</v>
      </c>
      <c r="B4">
        <f t="shared" si="0"/>
        <v>0.1</v>
      </c>
      <c r="C4">
        <f t="shared" si="1"/>
        <v>1.4</v>
      </c>
      <c r="D4">
        <v>4.3</v>
      </c>
      <c r="E4">
        <v>3.54</v>
      </c>
      <c r="F4">
        <v>3.74</v>
      </c>
      <c r="G4">
        <v>3.97</v>
      </c>
      <c r="H4">
        <v>4.29</v>
      </c>
      <c r="I4">
        <v>4.63</v>
      </c>
      <c r="J4">
        <v>4.91</v>
      </c>
      <c r="K4">
        <v>5.22</v>
      </c>
      <c r="L4" s="276"/>
      <c r="M4" t="s">
        <v>104</v>
      </c>
    </row>
    <row r="5" spans="1:14" x14ac:dyDescent="0.35">
      <c r="A5">
        <v>0.17299999999999999</v>
      </c>
      <c r="B5">
        <f t="shared" si="0"/>
        <v>0.2</v>
      </c>
      <c r="C5">
        <f t="shared" si="1"/>
        <v>2.1</v>
      </c>
      <c r="D5">
        <v>4.8499999999999996</v>
      </c>
      <c r="E5">
        <v>3.99</v>
      </c>
      <c r="F5">
        <v>4.22</v>
      </c>
      <c r="G5">
        <v>4.49</v>
      </c>
      <c r="H5">
        <v>4.82</v>
      </c>
      <c r="I5">
        <v>5.19</v>
      </c>
      <c r="J5">
        <v>5.52</v>
      </c>
      <c r="K5">
        <v>5.87</v>
      </c>
      <c r="L5" s="277"/>
      <c r="M5" t="s">
        <v>105</v>
      </c>
    </row>
    <row r="6" spans="1:14" x14ac:dyDescent="0.35">
      <c r="A6">
        <v>0.23100000000000001</v>
      </c>
      <c r="B6">
        <f t="shared" si="0"/>
        <v>0.2</v>
      </c>
      <c r="C6">
        <f t="shared" si="1"/>
        <v>2.8</v>
      </c>
      <c r="D6">
        <v>5.35</v>
      </c>
      <c r="E6">
        <v>4.4000000000000004</v>
      </c>
      <c r="F6">
        <v>4.6500000000000004</v>
      </c>
      <c r="G6">
        <v>4.99</v>
      </c>
      <c r="H6">
        <v>5.33</v>
      </c>
      <c r="I6">
        <v>5.75</v>
      </c>
      <c r="J6">
        <v>6.11</v>
      </c>
      <c r="K6">
        <v>6.49</v>
      </c>
      <c r="L6" s="277"/>
      <c r="M6" t="s">
        <v>106</v>
      </c>
    </row>
    <row r="7" spans="1:14" x14ac:dyDescent="0.35">
      <c r="A7">
        <v>0.34599999999999997</v>
      </c>
      <c r="B7">
        <f t="shared" si="0"/>
        <v>0.3</v>
      </c>
      <c r="C7">
        <f t="shared" si="1"/>
        <v>4.2</v>
      </c>
      <c r="D7">
        <v>6.26</v>
      </c>
      <c r="E7">
        <v>5.0999999999999996</v>
      </c>
      <c r="F7">
        <v>5.47</v>
      </c>
      <c r="G7">
        <v>5.84</v>
      </c>
      <c r="H7">
        <v>6.2</v>
      </c>
      <c r="I7">
        <v>6.68</v>
      </c>
      <c r="J7">
        <v>7.09</v>
      </c>
      <c r="K7">
        <v>7.55</v>
      </c>
      <c r="L7" s="277"/>
      <c r="M7" t="s">
        <v>107</v>
      </c>
    </row>
    <row r="8" spans="1:14" x14ac:dyDescent="0.35">
      <c r="A8">
        <v>0.5</v>
      </c>
      <c r="B8">
        <f t="shared" si="0"/>
        <v>0.5</v>
      </c>
      <c r="C8">
        <f t="shared" si="1"/>
        <v>6</v>
      </c>
      <c r="D8">
        <v>7.18</v>
      </c>
      <c r="E8">
        <v>5.82</v>
      </c>
      <c r="F8">
        <v>6.31</v>
      </c>
      <c r="G8">
        <v>6.68</v>
      </c>
      <c r="H8">
        <v>7.15</v>
      </c>
      <c r="I8">
        <v>7.64</v>
      </c>
      <c r="J8">
        <v>8.1199999999999992</v>
      </c>
      <c r="K8">
        <v>8.66</v>
      </c>
      <c r="L8" s="277"/>
    </row>
    <row r="9" spans="1:14" x14ac:dyDescent="0.35">
      <c r="A9">
        <v>0.61499999999999999</v>
      </c>
      <c r="B9">
        <f t="shared" si="0"/>
        <v>0.6</v>
      </c>
      <c r="C9">
        <f t="shared" si="1"/>
        <v>7.4</v>
      </c>
      <c r="D9">
        <v>7.8</v>
      </c>
      <c r="E9">
        <v>6.34</v>
      </c>
      <c r="F9">
        <v>6.83</v>
      </c>
      <c r="G9">
        <v>7.25</v>
      </c>
      <c r="H9">
        <v>7.8</v>
      </c>
      <c r="I9">
        <v>8.3000000000000007</v>
      </c>
      <c r="J9">
        <v>8.83</v>
      </c>
      <c r="K9">
        <v>9.41</v>
      </c>
      <c r="L9" s="277"/>
    </row>
    <row r="10" spans="1:14" x14ac:dyDescent="0.35">
      <c r="A10">
        <v>0.76900000000000002</v>
      </c>
      <c r="B10">
        <f t="shared" si="0"/>
        <v>0.8</v>
      </c>
      <c r="C10">
        <f t="shared" si="1"/>
        <v>9.1999999999999993</v>
      </c>
      <c r="D10">
        <v>8.5500000000000007</v>
      </c>
      <c r="E10">
        <v>6.92</v>
      </c>
      <c r="F10">
        <v>7.45</v>
      </c>
      <c r="G10">
        <v>7.95</v>
      </c>
      <c r="H10">
        <v>8.5299999999999994</v>
      </c>
      <c r="I10">
        <v>9.09</v>
      </c>
      <c r="J10">
        <v>9.6199999999999992</v>
      </c>
      <c r="K10">
        <v>10.3</v>
      </c>
      <c r="L10" s="277"/>
    </row>
    <row r="11" spans="1:14" x14ac:dyDescent="0.35">
      <c r="A11">
        <v>0.92300000000000004</v>
      </c>
      <c r="B11">
        <f t="shared" si="0"/>
        <v>0.9</v>
      </c>
      <c r="C11">
        <f t="shared" si="1"/>
        <v>11.1</v>
      </c>
      <c r="D11">
        <v>9.1999999999999993</v>
      </c>
      <c r="E11">
        <v>7.48</v>
      </c>
      <c r="F11">
        <v>8.01</v>
      </c>
      <c r="G11">
        <v>8.52</v>
      </c>
      <c r="H11">
        <v>9.16</v>
      </c>
      <c r="I11">
        <v>9.76</v>
      </c>
      <c r="J11">
        <v>10.33</v>
      </c>
      <c r="K11">
        <v>11.06</v>
      </c>
      <c r="L11" s="277"/>
    </row>
    <row r="12" spans="1:14" x14ac:dyDescent="0.35">
      <c r="A12">
        <v>1</v>
      </c>
      <c r="B12">
        <f t="shared" si="0"/>
        <v>1</v>
      </c>
      <c r="C12">
        <f t="shared" si="1"/>
        <v>12</v>
      </c>
      <c r="D12">
        <v>9.5</v>
      </c>
      <c r="E12">
        <v>7.8</v>
      </c>
      <c r="F12">
        <v>8.3000000000000007</v>
      </c>
      <c r="G12">
        <v>8.8000000000000007</v>
      </c>
      <c r="H12">
        <v>9.5</v>
      </c>
      <c r="I12">
        <v>10.1</v>
      </c>
      <c r="J12">
        <v>10.7</v>
      </c>
      <c r="K12">
        <v>11.4</v>
      </c>
      <c r="L12" s="277"/>
    </row>
    <row r="13" spans="1:14" x14ac:dyDescent="0.35">
      <c r="A13">
        <v>1.5</v>
      </c>
      <c r="B13">
        <f t="shared" si="0"/>
        <v>1.5</v>
      </c>
      <c r="C13">
        <f t="shared" si="1"/>
        <v>18</v>
      </c>
      <c r="D13">
        <v>11.2</v>
      </c>
      <c r="E13">
        <v>9.1999999999999993</v>
      </c>
      <c r="F13">
        <v>9.6999999999999993</v>
      </c>
      <c r="G13">
        <v>10.4</v>
      </c>
      <c r="H13">
        <v>11.3</v>
      </c>
      <c r="I13">
        <v>12</v>
      </c>
      <c r="J13">
        <v>12.8</v>
      </c>
      <c r="K13">
        <v>13.5</v>
      </c>
      <c r="L13" s="277"/>
    </row>
    <row r="14" spans="1:14" x14ac:dyDescent="0.35">
      <c r="A14">
        <v>2</v>
      </c>
      <c r="B14">
        <f t="shared" si="0"/>
        <v>2</v>
      </c>
      <c r="C14">
        <f t="shared" si="1"/>
        <v>24</v>
      </c>
      <c r="D14">
        <v>12.5</v>
      </c>
      <c r="E14">
        <v>10.3</v>
      </c>
      <c r="F14">
        <v>10.8</v>
      </c>
      <c r="G14">
        <v>11.7</v>
      </c>
      <c r="H14">
        <v>12.6</v>
      </c>
      <c r="I14">
        <v>13.5</v>
      </c>
      <c r="J14">
        <v>14.3</v>
      </c>
      <c r="K14">
        <v>15.2</v>
      </c>
      <c r="L14" s="277"/>
    </row>
    <row r="15" spans="1:14" x14ac:dyDescent="0.35">
      <c r="A15">
        <v>2.5</v>
      </c>
      <c r="B15">
        <f t="shared" si="0"/>
        <v>2.5</v>
      </c>
      <c r="C15">
        <f t="shared" si="1"/>
        <v>30</v>
      </c>
      <c r="D15">
        <v>13.8</v>
      </c>
      <c r="E15">
        <v>11.2</v>
      </c>
      <c r="F15">
        <v>11.8</v>
      </c>
      <c r="G15">
        <v>12.8</v>
      </c>
      <c r="H15">
        <v>13.8</v>
      </c>
      <c r="I15">
        <v>14.7</v>
      </c>
      <c r="J15">
        <v>15.7</v>
      </c>
      <c r="K15">
        <v>16.899999999999999</v>
      </c>
      <c r="L15" s="277"/>
    </row>
    <row r="16" spans="1:14" x14ac:dyDescent="0.35">
      <c r="A16">
        <v>3</v>
      </c>
      <c r="B16">
        <f t="shared" si="0"/>
        <v>3</v>
      </c>
      <c r="C16">
        <f t="shared" si="1"/>
        <v>36</v>
      </c>
      <c r="D16">
        <v>15</v>
      </c>
      <c r="E16">
        <v>12</v>
      </c>
      <c r="F16">
        <v>12.8</v>
      </c>
      <c r="G16">
        <v>13.8</v>
      </c>
      <c r="H16">
        <v>14.9</v>
      </c>
      <c r="I16">
        <v>15.9</v>
      </c>
      <c r="J16">
        <v>17.2</v>
      </c>
      <c r="K16">
        <v>18.5</v>
      </c>
      <c r="L16" s="277"/>
    </row>
    <row r="17" spans="1:12" x14ac:dyDescent="0.35">
      <c r="A17">
        <v>3.5</v>
      </c>
      <c r="B17">
        <f t="shared" si="0"/>
        <v>3.5</v>
      </c>
      <c r="C17">
        <f t="shared" si="1"/>
        <v>42</v>
      </c>
      <c r="D17">
        <v>16.100000000000001</v>
      </c>
      <c r="E17">
        <v>12.8</v>
      </c>
      <c r="F17">
        <v>13.7</v>
      </c>
      <c r="G17">
        <v>14.7</v>
      </c>
      <c r="H17">
        <v>16</v>
      </c>
      <c r="I17">
        <v>17.100000000000001</v>
      </c>
      <c r="J17">
        <v>18.5</v>
      </c>
      <c r="K17">
        <v>20</v>
      </c>
      <c r="L17" s="277"/>
    </row>
    <row r="18" spans="1:12" x14ac:dyDescent="0.35">
      <c r="A18">
        <v>4</v>
      </c>
      <c r="B18">
        <f t="shared" si="0"/>
        <v>4</v>
      </c>
      <c r="C18">
        <f t="shared" si="1"/>
        <v>48</v>
      </c>
      <c r="D18">
        <v>17.2</v>
      </c>
      <c r="E18">
        <v>13.6</v>
      </c>
      <c r="F18">
        <v>14.6</v>
      </c>
      <c r="G18">
        <v>15.6</v>
      </c>
      <c r="H18">
        <v>17</v>
      </c>
      <c r="I18">
        <v>18.3</v>
      </c>
      <c r="J18">
        <v>19.8</v>
      </c>
      <c r="K18">
        <v>21.5</v>
      </c>
      <c r="L18" s="277"/>
    </row>
    <row r="19" spans="1:12" x14ac:dyDescent="0.35">
      <c r="A19">
        <v>4.5</v>
      </c>
      <c r="B19">
        <f t="shared" si="0"/>
        <v>4.5</v>
      </c>
      <c r="C19">
        <f t="shared" si="1"/>
        <v>54</v>
      </c>
      <c r="D19">
        <v>18.3</v>
      </c>
      <c r="E19">
        <v>14.4</v>
      </c>
      <c r="F19">
        <v>15.5</v>
      </c>
      <c r="G19">
        <v>16.5</v>
      </c>
      <c r="H19">
        <v>18</v>
      </c>
      <c r="I19">
        <v>19.399999999999999</v>
      </c>
      <c r="J19">
        <v>21</v>
      </c>
      <c r="K19">
        <v>22.9</v>
      </c>
      <c r="L19" s="277"/>
    </row>
    <row r="20" spans="1:12" x14ac:dyDescent="0.35">
      <c r="A20">
        <v>5</v>
      </c>
      <c r="B20">
        <f t="shared" si="0"/>
        <v>5</v>
      </c>
      <c r="C20">
        <f t="shared" si="1"/>
        <v>60</v>
      </c>
      <c r="D20">
        <v>19.3</v>
      </c>
      <c r="E20">
        <v>15.2</v>
      </c>
      <c r="F20">
        <v>16.3</v>
      </c>
      <c r="G20">
        <v>17.399999999999999</v>
      </c>
      <c r="H20">
        <v>19</v>
      </c>
      <c r="I20">
        <v>20.5</v>
      </c>
      <c r="J20">
        <v>22.2</v>
      </c>
      <c r="K20">
        <v>24.2</v>
      </c>
      <c r="L20" s="277"/>
    </row>
    <row r="21" spans="1:12" x14ac:dyDescent="0.35">
      <c r="A21">
        <v>5.5</v>
      </c>
      <c r="B21">
        <f t="shared" si="0"/>
        <v>5.5</v>
      </c>
      <c r="C21">
        <f t="shared" si="1"/>
        <v>66</v>
      </c>
      <c r="D21">
        <v>20.3</v>
      </c>
      <c r="E21">
        <v>15.9</v>
      </c>
      <c r="F21">
        <v>17.100000000000001</v>
      </c>
      <c r="G21">
        <v>18.399999999999999</v>
      </c>
      <c r="H21">
        <v>20</v>
      </c>
      <c r="I21">
        <v>21.6</v>
      </c>
      <c r="J21">
        <v>23.6</v>
      </c>
      <c r="K21">
        <v>25.7</v>
      </c>
      <c r="L21" s="277"/>
    </row>
    <row r="22" spans="1:12" x14ac:dyDescent="0.35">
      <c r="A22">
        <v>6</v>
      </c>
      <c r="B22">
        <f t="shared" si="0"/>
        <v>6</v>
      </c>
      <c r="C22">
        <f t="shared" si="1"/>
        <v>72</v>
      </c>
      <c r="D22">
        <v>21.4</v>
      </c>
      <c r="E22">
        <v>16.7</v>
      </c>
      <c r="F22">
        <v>17.899999999999999</v>
      </c>
      <c r="G22">
        <v>19.399999999999999</v>
      </c>
      <c r="H22">
        <v>21</v>
      </c>
      <c r="I22">
        <v>22.9</v>
      </c>
      <c r="J22">
        <v>25</v>
      </c>
      <c r="K22">
        <v>27.4</v>
      </c>
      <c r="L22" s="277"/>
    </row>
    <row r="23" spans="1:12" x14ac:dyDescent="0.35">
      <c r="A23">
        <v>6.5</v>
      </c>
      <c r="B23">
        <f t="shared" si="0"/>
        <v>6.5</v>
      </c>
      <c r="C23">
        <f t="shared" si="1"/>
        <v>78</v>
      </c>
      <c r="D23">
        <v>22.7</v>
      </c>
      <c r="E23">
        <v>17.600000000000001</v>
      </c>
      <c r="F23">
        <v>18.8</v>
      </c>
      <c r="G23">
        <v>20.5</v>
      </c>
      <c r="H23">
        <v>22.2</v>
      </c>
      <c r="I23">
        <v>24.2</v>
      </c>
      <c r="J23">
        <v>26.6</v>
      </c>
      <c r="K23">
        <v>29.3</v>
      </c>
      <c r="L23" s="277"/>
    </row>
    <row r="24" spans="1:12" x14ac:dyDescent="0.35">
      <c r="A24">
        <v>7</v>
      </c>
      <c r="B24">
        <f t="shared" si="0"/>
        <v>7</v>
      </c>
      <c r="C24">
        <f t="shared" si="1"/>
        <v>84</v>
      </c>
      <c r="D24">
        <v>24.1</v>
      </c>
      <c r="E24">
        <v>18.600000000000001</v>
      </c>
      <c r="F24">
        <v>19.899999999999999</v>
      </c>
      <c r="G24">
        <v>21.6</v>
      </c>
      <c r="H24">
        <v>23.4</v>
      </c>
      <c r="I24">
        <v>25.7</v>
      </c>
      <c r="J24">
        <v>28.3</v>
      </c>
      <c r="K24">
        <v>31.3</v>
      </c>
      <c r="L24" s="277"/>
    </row>
    <row r="25" spans="1:12" x14ac:dyDescent="0.35">
      <c r="A25">
        <v>7.5</v>
      </c>
      <c r="B25">
        <f t="shared" si="0"/>
        <v>7.5</v>
      </c>
      <c r="C25">
        <f t="shared" si="1"/>
        <v>90</v>
      </c>
      <c r="D25">
        <v>25.5</v>
      </c>
      <c r="E25">
        <v>19.600000000000001</v>
      </c>
      <c r="F25">
        <v>21.1</v>
      </c>
      <c r="G25">
        <v>22.8</v>
      </c>
      <c r="H25">
        <v>24.8</v>
      </c>
      <c r="I25">
        <v>27.2</v>
      </c>
      <c r="J25">
        <v>30.2</v>
      </c>
      <c r="K25">
        <v>33.4</v>
      </c>
      <c r="L25" s="277"/>
    </row>
    <row r="26" spans="1:12" x14ac:dyDescent="0.35">
      <c r="A26">
        <v>8</v>
      </c>
      <c r="B26">
        <f t="shared" si="0"/>
        <v>8</v>
      </c>
      <c r="C26">
        <f t="shared" si="1"/>
        <v>96</v>
      </c>
      <c r="D26">
        <v>26.9</v>
      </c>
      <c r="E26">
        <v>20.7</v>
      </c>
      <c r="F26">
        <v>22.3</v>
      </c>
      <c r="G26">
        <v>24</v>
      </c>
      <c r="H26">
        <v>26.2</v>
      </c>
      <c r="I26">
        <v>28.8</v>
      </c>
      <c r="J26">
        <v>32.1</v>
      </c>
      <c r="K26">
        <v>35.5</v>
      </c>
      <c r="L26" s="277"/>
    </row>
    <row r="27" spans="1:12" x14ac:dyDescent="0.35">
      <c r="A27">
        <v>8.5</v>
      </c>
      <c r="B27">
        <f t="shared" si="0"/>
        <v>8.5</v>
      </c>
      <c r="C27">
        <f t="shared" si="1"/>
        <v>102</v>
      </c>
      <c r="D27">
        <v>28.3</v>
      </c>
      <c r="E27">
        <v>21.7</v>
      </c>
      <c r="F27">
        <v>23.5</v>
      </c>
      <c r="G27">
        <v>25.2</v>
      </c>
      <c r="H27">
        <v>27.6</v>
      </c>
      <c r="I27">
        <v>30.5</v>
      </c>
      <c r="J27">
        <v>34</v>
      </c>
      <c r="K27">
        <v>37.9</v>
      </c>
      <c r="L27" s="277"/>
    </row>
    <row r="28" spans="1:12" x14ac:dyDescent="0.35">
      <c r="A28">
        <v>9</v>
      </c>
      <c r="B28">
        <f t="shared" si="0"/>
        <v>9</v>
      </c>
      <c r="C28">
        <f t="shared" si="1"/>
        <v>108</v>
      </c>
      <c r="D28">
        <v>29.8</v>
      </c>
      <c r="E28">
        <v>22.8</v>
      </c>
      <c r="F28">
        <v>24.7</v>
      </c>
      <c r="G28">
        <v>26.5</v>
      </c>
      <c r="H28">
        <v>29</v>
      </c>
      <c r="I28">
        <v>32.200000000000003</v>
      </c>
      <c r="J28">
        <v>36</v>
      </c>
      <c r="K28">
        <v>40.299999999999997</v>
      </c>
      <c r="L28" s="277"/>
    </row>
    <row r="29" spans="1:12" x14ac:dyDescent="0.35">
      <c r="A29">
        <v>9.5</v>
      </c>
      <c r="B29">
        <f t="shared" si="0"/>
        <v>9.5</v>
      </c>
      <c r="C29">
        <f t="shared" si="1"/>
        <v>114</v>
      </c>
      <c r="D29">
        <v>31.4</v>
      </c>
      <c r="E29">
        <v>23.8</v>
      </c>
      <c r="F29">
        <v>25.9</v>
      </c>
      <c r="G29">
        <v>27.8</v>
      </c>
      <c r="H29">
        <v>30.5</v>
      </c>
      <c r="I29">
        <v>34</v>
      </c>
      <c r="J29">
        <v>38</v>
      </c>
      <c r="K29">
        <v>42.7</v>
      </c>
      <c r="L29" s="277"/>
    </row>
    <row r="30" spans="1:12" x14ac:dyDescent="0.35">
      <c r="A30">
        <v>10</v>
      </c>
      <c r="B30">
        <f t="shared" si="0"/>
        <v>10</v>
      </c>
      <c r="C30">
        <f t="shared" si="1"/>
        <v>120</v>
      </c>
      <c r="D30">
        <v>33.200000000000003</v>
      </c>
      <c r="E30">
        <v>24.8</v>
      </c>
      <c r="F30">
        <v>27.1</v>
      </c>
      <c r="G30">
        <v>29.1</v>
      </c>
      <c r="H30">
        <v>32.1</v>
      </c>
      <c r="I30">
        <v>35.799999999999997</v>
      </c>
      <c r="J30">
        <v>40.4</v>
      </c>
      <c r="K30">
        <v>45.4</v>
      </c>
      <c r="L30" s="277"/>
    </row>
    <row r="31" spans="1:12" x14ac:dyDescent="0.35">
      <c r="A31">
        <v>10.5</v>
      </c>
      <c r="B31">
        <f t="shared" si="0"/>
        <v>10.5</v>
      </c>
      <c r="C31">
        <f t="shared" si="1"/>
        <v>126</v>
      </c>
      <c r="D31">
        <v>35.1</v>
      </c>
      <c r="E31">
        <v>25.9</v>
      </c>
      <c r="F31">
        <v>28.3</v>
      </c>
      <c r="G31">
        <v>30.5</v>
      </c>
      <c r="H31">
        <v>33.9</v>
      </c>
      <c r="I31">
        <v>37.9</v>
      </c>
      <c r="J31">
        <v>43</v>
      </c>
      <c r="K31">
        <v>48.4</v>
      </c>
      <c r="L31" s="277"/>
    </row>
    <row r="32" spans="1:12" x14ac:dyDescent="0.35">
      <c r="A32">
        <v>11</v>
      </c>
      <c r="B32">
        <f t="shared" si="0"/>
        <v>11</v>
      </c>
      <c r="C32">
        <f t="shared" si="1"/>
        <v>132</v>
      </c>
      <c r="D32">
        <v>37.200000000000003</v>
      </c>
      <c r="E32">
        <v>27.1</v>
      </c>
      <c r="F32">
        <v>29.6</v>
      </c>
      <c r="G32">
        <v>32.5</v>
      </c>
      <c r="H32">
        <v>36.200000000000003</v>
      </c>
      <c r="I32">
        <v>40.5</v>
      </c>
      <c r="J32">
        <v>46.1</v>
      </c>
      <c r="K32">
        <v>51.6</v>
      </c>
      <c r="L32" s="277"/>
    </row>
    <row r="33" spans="1:12" x14ac:dyDescent="0.35">
      <c r="A33">
        <v>11.5</v>
      </c>
      <c r="B33">
        <f t="shared" si="0"/>
        <v>11.5</v>
      </c>
      <c r="C33">
        <f t="shared" si="1"/>
        <v>138</v>
      </c>
      <c r="D33">
        <v>39.6</v>
      </c>
      <c r="E33">
        <v>28.5</v>
      </c>
      <c r="F33">
        <v>31.2</v>
      </c>
      <c r="G33">
        <v>34.5</v>
      </c>
      <c r="H33">
        <v>38.799999999999997</v>
      </c>
      <c r="I33">
        <v>43.5</v>
      </c>
      <c r="J33">
        <v>49.9</v>
      </c>
      <c r="K33">
        <v>55.5</v>
      </c>
      <c r="L33" s="277"/>
    </row>
    <row r="34" spans="1:12" x14ac:dyDescent="0.35">
      <c r="A34">
        <v>12</v>
      </c>
      <c r="B34">
        <f t="shared" si="0"/>
        <v>12</v>
      </c>
      <c r="C34">
        <f t="shared" si="1"/>
        <v>144</v>
      </c>
      <c r="D34">
        <v>42.4</v>
      </c>
      <c r="E34">
        <v>30.2</v>
      </c>
      <c r="F34">
        <v>33.1</v>
      </c>
      <c r="G34">
        <v>36.9</v>
      </c>
      <c r="H34">
        <v>41.6</v>
      </c>
      <c r="I34">
        <v>46.8</v>
      </c>
      <c r="J34">
        <v>53.9</v>
      </c>
      <c r="K34">
        <v>59.7</v>
      </c>
      <c r="L34" s="277"/>
    </row>
    <row r="35" spans="1:12" x14ac:dyDescent="0.35">
      <c r="A35">
        <v>12.5</v>
      </c>
      <c r="B35">
        <f t="shared" si="0"/>
        <v>12.5</v>
      </c>
      <c r="C35">
        <f t="shared" si="1"/>
        <v>150</v>
      </c>
      <c r="D35">
        <v>45.3</v>
      </c>
      <c r="E35">
        <v>31.9</v>
      </c>
      <c r="F35">
        <v>35.200000000000003</v>
      </c>
      <c r="G35">
        <v>39.299999999999997</v>
      </c>
      <c r="H35">
        <v>44.2</v>
      </c>
      <c r="I35">
        <v>50</v>
      </c>
      <c r="J35">
        <v>56.7</v>
      </c>
      <c r="K35">
        <v>63.7</v>
      </c>
      <c r="L35" s="277"/>
    </row>
    <row r="36" spans="1:12" x14ac:dyDescent="0.35">
      <c r="A36">
        <v>13</v>
      </c>
      <c r="B36">
        <f t="shared" si="0"/>
        <v>13</v>
      </c>
      <c r="C36">
        <f t="shared" si="1"/>
        <v>156</v>
      </c>
      <c r="D36">
        <v>47.8</v>
      </c>
      <c r="E36">
        <v>33.700000000000003</v>
      </c>
      <c r="F36">
        <v>37.5</v>
      </c>
      <c r="G36">
        <v>41.7</v>
      </c>
      <c r="H36">
        <v>46.6</v>
      </c>
      <c r="I36">
        <v>52.7</v>
      </c>
      <c r="J36">
        <v>58.9</v>
      </c>
      <c r="K36">
        <v>66.400000000000006</v>
      </c>
      <c r="L36" s="277"/>
    </row>
    <row r="37" spans="1:12" x14ac:dyDescent="0.35">
      <c r="A37">
        <v>13.5</v>
      </c>
      <c r="B37">
        <f t="shared" si="0"/>
        <v>13.5</v>
      </c>
      <c r="C37">
        <f t="shared" si="1"/>
        <v>162</v>
      </c>
      <c r="D37">
        <v>50</v>
      </c>
      <c r="E37">
        <v>35.5</v>
      </c>
      <c r="F37">
        <v>39.799999999999997</v>
      </c>
      <c r="G37">
        <v>44.1</v>
      </c>
      <c r="H37">
        <v>49</v>
      </c>
      <c r="I37">
        <v>55.2</v>
      </c>
      <c r="J37">
        <v>60.9</v>
      </c>
      <c r="K37">
        <v>68.2</v>
      </c>
      <c r="L37" s="277"/>
    </row>
    <row r="38" spans="1:12" x14ac:dyDescent="0.35">
      <c r="A38">
        <v>14</v>
      </c>
      <c r="B38">
        <f t="shared" si="0"/>
        <v>14</v>
      </c>
      <c r="C38">
        <f t="shared" si="1"/>
        <v>168</v>
      </c>
      <c r="D38">
        <v>52.1</v>
      </c>
      <c r="E38">
        <v>37.299999999999997</v>
      </c>
      <c r="F38">
        <v>41.9</v>
      </c>
      <c r="G38">
        <v>46.3</v>
      </c>
      <c r="H38">
        <v>51.2</v>
      </c>
      <c r="I38">
        <v>57.4</v>
      </c>
      <c r="J38">
        <v>63</v>
      </c>
      <c r="K38">
        <v>70</v>
      </c>
      <c r="L38" s="277"/>
    </row>
    <row r="39" spans="1:12" x14ac:dyDescent="0.35">
      <c r="A39">
        <v>14.5</v>
      </c>
      <c r="B39">
        <f t="shared" si="0"/>
        <v>14.5</v>
      </c>
      <c r="C39">
        <f t="shared" si="1"/>
        <v>174</v>
      </c>
      <c r="D39">
        <v>54.1</v>
      </c>
      <c r="E39">
        <v>39.299999999999997</v>
      </c>
      <c r="F39">
        <v>43.7</v>
      </c>
      <c r="G39">
        <v>48.1</v>
      </c>
      <c r="H39">
        <v>53</v>
      </c>
      <c r="I39">
        <v>59.1</v>
      </c>
      <c r="J39">
        <v>64.8</v>
      </c>
      <c r="K39">
        <v>71.3</v>
      </c>
      <c r="L39" s="277"/>
    </row>
    <row r="40" spans="1:12" x14ac:dyDescent="0.35">
      <c r="A40">
        <v>15</v>
      </c>
      <c r="B40">
        <f t="shared" si="0"/>
        <v>15</v>
      </c>
      <c r="C40">
        <f t="shared" si="1"/>
        <v>180</v>
      </c>
      <c r="D40">
        <v>55.6</v>
      </c>
      <c r="E40">
        <v>41.3</v>
      </c>
      <c r="F40">
        <v>45.3</v>
      </c>
      <c r="G40">
        <v>49.6</v>
      </c>
      <c r="H40">
        <v>54.5</v>
      </c>
      <c r="I40">
        <v>60.5</v>
      </c>
      <c r="J40">
        <v>66.3</v>
      </c>
      <c r="K40">
        <v>72.400000000000006</v>
      </c>
      <c r="L40" s="277"/>
    </row>
    <row r="41" spans="1:12" x14ac:dyDescent="0.35">
      <c r="A41">
        <v>15.5</v>
      </c>
      <c r="B41">
        <f t="shared" si="0"/>
        <v>15.5</v>
      </c>
      <c r="C41">
        <f t="shared" si="1"/>
        <v>186</v>
      </c>
      <c r="D41">
        <v>56.7</v>
      </c>
      <c r="E41">
        <v>43</v>
      </c>
      <c r="F41">
        <v>46.9</v>
      </c>
      <c r="G41">
        <v>50.9</v>
      </c>
      <c r="H41">
        <v>55.8</v>
      </c>
      <c r="I41">
        <v>61.6</v>
      </c>
      <c r="J41">
        <v>67.2</v>
      </c>
      <c r="K41">
        <v>73.2</v>
      </c>
      <c r="L41" s="277"/>
    </row>
    <row r="42" spans="1:12" x14ac:dyDescent="0.35">
      <c r="A42">
        <v>16</v>
      </c>
      <c r="B42">
        <f t="shared" si="0"/>
        <v>16</v>
      </c>
      <c r="C42">
        <f t="shared" si="1"/>
        <v>192</v>
      </c>
      <c r="D42">
        <v>57.5</v>
      </c>
      <c r="E42">
        <v>44.4</v>
      </c>
      <c r="F42">
        <v>48.2</v>
      </c>
      <c r="G42">
        <v>51.8</v>
      </c>
      <c r="H42">
        <v>56.6</v>
      </c>
      <c r="I42">
        <v>62.2</v>
      </c>
      <c r="J42">
        <v>67.599999999999994</v>
      </c>
      <c r="K42">
        <v>73.8</v>
      </c>
      <c r="L42" s="277"/>
    </row>
    <row r="43" spans="1:12" x14ac:dyDescent="0.35">
      <c r="A43">
        <v>16.5</v>
      </c>
      <c r="B43">
        <f t="shared" si="0"/>
        <v>16.5</v>
      </c>
      <c r="C43">
        <f t="shared" si="1"/>
        <v>198</v>
      </c>
      <c r="D43">
        <v>58</v>
      </c>
      <c r="E43">
        <v>45.6</v>
      </c>
      <c r="F43">
        <v>49.2</v>
      </c>
      <c r="G43">
        <v>52.5</v>
      </c>
      <c r="H43">
        <v>57.3</v>
      </c>
      <c r="I43">
        <v>62.6</v>
      </c>
      <c r="J43">
        <v>67.8</v>
      </c>
      <c r="K43">
        <v>74</v>
      </c>
      <c r="L43" s="277"/>
    </row>
    <row r="44" spans="1:12" x14ac:dyDescent="0.35">
      <c r="A44">
        <v>17</v>
      </c>
      <c r="B44">
        <f t="shared" si="0"/>
        <v>17</v>
      </c>
      <c r="C44">
        <f t="shared" si="1"/>
        <v>204</v>
      </c>
      <c r="D44">
        <v>58.5</v>
      </c>
      <c r="E44">
        <v>46.3</v>
      </c>
      <c r="F44">
        <v>49.9</v>
      </c>
      <c r="G44">
        <v>52.9</v>
      </c>
      <c r="H44">
        <v>57.7</v>
      </c>
      <c r="I44">
        <v>62.9</v>
      </c>
      <c r="J44">
        <v>68</v>
      </c>
      <c r="K44">
        <v>74.099999999999994</v>
      </c>
      <c r="L44" s="277"/>
    </row>
    <row r="45" spans="1:12" x14ac:dyDescent="0.35">
      <c r="A45">
        <v>17.5</v>
      </c>
      <c r="B45">
        <f t="shared" si="0"/>
        <v>17.5</v>
      </c>
      <c r="C45">
        <f t="shared" si="1"/>
        <v>210</v>
      </c>
      <c r="D45">
        <v>59</v>
      </c>
      <c r="E45">
        <v>46.8</v>
      </c>
      <c r="F45">
        <v>50.2</v>
      </c>
      <c r="G45">
        <v>53.3</v>
      </c>
      <c r="H45">
        <v>58</v>
      </c>
      <c r="I45">
        <v>63.1</v>
      </c>
      <c r="J45">
        <v>68.2</v>
      </c>
      <c r="K45">
        <v>74.099999999999994</v>
      </c>
      <c r="L45" s="277"/>
    </row>
    <row r="46" spans="1:12" x14ac:dyDescent="0.35">
      <c r="A46">
        <v>18</v>
      </c>
      <c r="B46">
        <f t="shared" si="0"/>
        <v>18</v>
      </c>
      <c r="C46">
        <f t="shared" si="1"/>
        <v>216</v>
      </c>
      <c r="D46">
        <v>59.4</v>
      </c>
      <c r="E46">
        <v>47</v>
      </c>
      <c r="F46">
        <v>50.5</v>
      </c>
      <c r="G46">
        <v>53.6</v>
      </c>
      <c r="H46">
        <v>58.3</v>
      </c>
      <c r="I46">
        <v>63.3</v>
      </c>
      <c r="J46">
        <v>68.400000000000006</v>
      </c>
      <c r="K46">
        <v>74</v>
      </c>
      <c r="L46" s="277"/>
    </row>
    <row r="47" spans="1:12" x14ac:dyDescent="0.35">
      <c r="A47">
        <v>18.5</v>
      </c>
      <c r="B47">
        <f t="shared" si="0"/>
        <v>18.5</v>
      </c>
      <c r="C47">
        <f t="shared" si="1"/>
        <v>222</v>
      </c>
      <c r="D47">
        <v>59.8</v>
      </c>
      <c r="E47">
        <v>47.2</v>
      </c>
      <c r="F47">
        <v>50.7</v>
      </c>
      <c r="G47">
        <v>53.8</v>
      </c>
      <c r="H47">
        <v>58.5</v>
      </c>
      <c r="I47">
        <v>63.5</v>
      </c>
      <c r="J47">
        <v>68.5</v>
      </c>
      <c r="K47">
        <v>73.8</v>
      </c>
      <c r="L47" s="277"/>
    </row>
    <row r="48" spans="1:12" x14ac:dyDescent="0.35">
      <c r="A48">
        <v>19</v>
      </c>
      <c r="B48">
        <f t="shared" si="0"/>
        <v>19</v>
      </c>
      <c r="C48">
        <f t="shared" si="1"/>
        <v>228</v>
      </c>
      <c r="D48">
        <v>60.2</v>
      </c>
      <c r="E48">
        <v>47.3</v>
      </c>
      <c r="F48">
        <v>50.8</v>
      </c>
      <c r="G48">
        <v>53.9</v>
      </c>
      <c r="H48">
        <v>58.6</v>
      </c>
      <c r="I48">
        <v>63.7</v>
      </c>
      <c r="J48">
        <v>68.5</v>
      </c>
      <c r="K48">
        <v>73.8</v>
      </c>
      <c r="L48" s="277"/>
    </row>
    <row r="49" spans="1:12" x14ac:dyDescent="0.35">
      <c r="A49">
        <v>19.5</v>
      </c>
      <c r="B49">
        <f t="shared" si="0"/>
        <v>19.5</v>
      </c>
      <c r="C49">
        <f t="shared" si="1"/>
        <v>234</v>
      </c>
      <c r="D49">
        <v>60.2</v>
      </c>
      <c r="E49">
        <v>47.3</v>
      </c>
      <c r="F49">
        <v>50.8</v>
      </c>
      <c r="G49">
        <v>53.9</v>
      </c>
      <c r="H49">
        <v>58.6</v>
      </c>
      <c r="I49">
        <v>63.7</v>
      </c>
      <c r="J49">
        <v>68.5</v>
      </c>
      <c r="K49">
        <v>73.8</v>
      </c>
      <c r="L49" s="277"/>
    </row>
  </sheetData>
  <phoneticPr fontId="2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K18"/>
  <sheetViews>
    <sheetView workbookViewId="0"/>
  </sheetViews>
  <sheetFormatPr defaultRowHeight="12.85" x14ac:dyDescent="0.35"/>
  <sheetData>
    <row r="1" spans="1:11" ht="38.450000000000003" x14ac:dyDescent="0.35">
      <c r="A1" s="37" t="s">
        <v>98</v>
      </c>
      <c r="B1" s="37" t="s">
        <v>98</v>
      </c>
      <c r="C1" s="37" t="s">
        <v>99</v>
      </c>
      <c r="I1" t="s">
        <v>100</v>
      </c>
    </row>
    <row r="2" spans="1:11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</row>
    <row r="3" spans="1:11" x14ac:dyDescent="0.35">
      <c r="A3">
        <v>5.8000000000000003E-2</v>
      </c>
      <c r="B3">
        <f t="shared" ref="B3:B12" si="0">ROUND(A3,1)</f>
        <v>0.1</v>
      </c>
      <c r="C3">
        <f t="shared" ref="C3:C12" si="1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</row>
    <row r="4" spans="1:11" x14ac:dyDescent="0.35">
      <c r="A4">
        <v>0.115</v>
      </c>
      <c r="B4">
        <f t="shared" si="0"/>
        <v>0.1</v>
      </c>
      <c r="C4">
        <f t="shared" si="1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</row>
    <row r="5" spans="1:11" x14ac:dyDescent="0.35">
      <c r="A5">
        <v>0.17299999999999999</v>
      </c>
      <c r="B5">
        <f t="shared" si="0"/>
        <v>0.2</v>
      </c>
      <c r="C5">
        <f t="shared" si="1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</row>
    <row r="6" spans="1:11" x14ac:dyDescent="0.35">
      <c r="A6">
        <v>0.23100000000000001</v>
      </c>
      <c r="B6">
        <f t="shared" si="0"/>
        <v>0.2</v>
      </c>
      <c r="C6">
        <f t="shared" si="1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</row>
    <row r="7" spans="1:11" x14ac:dyDescent="0.35">
      <c r="A7">
        <v>0.34599999999999997</v>
      </c>
      <c r="B7">
        <f t="shared" si="0"/>
        <v>0.3</v>
      </c>
      <c r="C7">
        <f t="shared" si="1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</row>
    <row r="8" spans="1:11" x14ac:dyDescent="0.35">
      <c r="A8">
        <v>0.5</v>
      </c>
      <c r="B8">
        <f t="shared" si="0"/>
        <v>0.5</v>
      </c>
      <c r="C8">
        <f t="shared" si="1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</row>
    <row r="9" spans="1:11" x14ac:dyDescent="0.35">
      <c r="A9">
        <v>0.61499999999999999</v>
      </c>
      <c r="B9">
        <f t="shared" si="0"/>
        <v>0.6</v>
      </c>
      <c r="C9">
        <f t="shared" si="1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</row>
    <row r="10" spans="1:11" x14ac:dyDescent="0.35">
      <c r="A10">
        <v>0.76900000000000002</v>
      </c>
      <c r="B10">
        <f t="shared" si="0"/>
        <v>0.8</v>
      </c>
      <c r="C10">
        <f t="shared" si="1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</row>
    <row r="11" spans="1:11" x14ac:dyDescent="0.35">
      <c r="A11">
        <v>0.92300000000000004</v>
      </c>
      <c r="B11">
        <f t="shared" si="0"/>
        <v>0.9</v>
      </c>
      <c r="C11">
        <f t="shared" si="1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</row>
    <row r="12" spans="1:11" x14ac:dyDescent="0.35">
      <c r="A12">
        <v>1</v>
      </c>
      <c r="B12">
        <f t="shared" si="0"/>
        <v>1</v>
      </c>
      <c r="C12">
        <f t="shared" si="1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</row>
    <row r="13" spans="1:11" x14ac:dyDescent="0.35">
      <c r="B13" t="s">
        <v>102</v>
      </c>
      <c r="C13">
        <f ca="1">TRUNC((AfspraakDatum-GebDatum)/365,0)*12+TRUNC(((AfspraakDatum-GebDatum)-365*TRUNC((AfspraakDatum-GebDatum)/365,0))/30,0)</f>
        <v>42</v>
      </c>
      <c r="D13">
        <f>Gewicht/10</f>
        <v>10</v>
      </c>
    </row>
    <row r="14" spans="1:11" x14ac:dyDescent="0.35">
      <c r="B14" t="s">
        <v>103</v>
      </c>
      <c r="C14">
        <v>1.5</v>
      </c>
      <c r="D14">
        <v>3.4</v>
      </c>
    </row>
    <row r="15" spans="1:11" x14ac:dyDescent="0.35">
      <c r="B15" t="s">
        <v>104</v>
      </c>
    </row>
    <row r="16" spans="1:11" x14ac:dyDescent="0.35">
      <c r="B16" t="s">
        <v>105</v>
      </c>
    </row>
    <row r="17" spans="2:2" x14ac:dyDescent="0.35">
      <c r="B17" t="s">
        <v>106</v>
      </c>
    </row>
    <row r="18" spans="2:2" x14ac:dyDescent="0.35">
      <c r="B18" t="s">
        <v>107</v>
      </c>
    </row>
  </sheetData>
  <phoneticPr fontId="26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D45"/>
  <sheetViews>
    <sheetView workbookViewId="0">
      <selection activeCell="I8" sqref="I8"/>
    </sheetView>
  </sheetViews>
  <sheetFormatPr defaultRowHeight="12.85" x14ac:dyDescent="0.35"/>
  <sheetData>
    <row r="1" spans="1:4" ht="25.65" x14ac:dyDescent="0.35">
      <c r="A1" s="37" t="s">
        <v>98</v>
      </c>
      <c r="B1" t="s">
        <v>100</v>
      </c>
      <c r="C1" t="s">
        <v>101</v>
      </c>
    </row>
    <row r="2" spans="1:4" x14ac:dyDescent="0.35">
      <c r="A2" s="37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phoneticPr fontId="26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T49"/>
  <sheetViews>
    <sheetView workbookViewId="0">
      <selection sqref="A1:C65536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37" t="s">
        <v>98</v>
      </c>
      <c r="B1" s="37" t="s">
        <v>98</v>
      </c>
      <c r="C1" s="37" t="s">
        <v>99</v>
      </c>
      <c r="I1" t="s">
        <v>100</v>
      </c>
      <c r="P1" t="s">
        <v>101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276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276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276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277">
        <f t="shared" si="0"/>
        <v>4.99</v>
      </c>
    </row>
    <row r="6" spans="1:20" x14ac:dyDescent="0.35">
      <c r="A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277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277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277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277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277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277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277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277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277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277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277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277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277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277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277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277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277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277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277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277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277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277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277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277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277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277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277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277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277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277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277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277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277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277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277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277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277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277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277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277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277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277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277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277">
        <f t="shared" si="0"/>
        <v>66.099999999999994</v>
      </c>
    </row>
  </sheetData>
  <phoneticPr fontId="26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cuteOpvang">
    <outlinePr showOutlineSymbols="0"/>
    <pageSetUpPr autoPageBreaks="0"/>
  </sheetPr>
  <dimension ref="B1:FIO452"/>
  <sheetViews>
    <sheetView showGridLines="0" showRowColHeaders="0" tabSelected="1" showOutlineSymbols="0" zoomScaleNormal="100" workbookViewId="0">
      <selection activeCell="A21" sqref="A21"/>
    </sheetView>
  </sheetViews>
  <sheetFormatPr defaultColWidth="9.1328125" defaultRowHeight="12.85" x14ac:dyDescent="0.35"/>
  <cols>
    <col min="1" max="1" width="9.1328125" style="80"/>
    <col min="2" max="2" width="10.265625" style="11" customWidth="1"/>
    <col min="3" max="3" width="19.73046875" style="80" customWidth="1"/>
    <col min="4" max="5" width="17.73046875" style="80" customWidth="1"/>
    <col min="6" max="7" width="18.73046875" style="80" customWidth="1"/>
    <col min="8" max="16384" width="9.1328125" style="80"/>
  </cols>
  <sheetData>
    <row r="1" spans="2:25 4305:4305" x14ac:dyDescent="0.35">
      <c r="J1" s="273"/>
      <c r="K1" s="273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273"/>
      <c r="X1" s="273"/>
      <c r="Y1" s="273"/>
    </row>
    <row r="2" spans="2:25 4305:4305" ht="15" customHeight="1" x14ac:dyDescent="0.4">
      <c r="B2" s="264" t="str">
        <f>"Patient: "&amp;AchterNaam&amp;", "&amp;VoorNaam</f>
        <v>Patient: Achternaam, Voornaam</v>
      </c>
      <c r="C2" s="262"/>
      <c r="D2" s="200"/>
      <c r="E2" s="265" t="str">
        <f ca="1">"Geschatte lengte: "&amp;VLOOKUP(C5+D5/12,HEIGHTNL.CRF!A2:D45,4)&amp;" cm"</f>
        <v>Geschatte lengte: 101.55 cm</v>
      </c>
      <c r="F2" s="200"/>
      <c r="G2" s="222"/>
      <c r="H2" s="81"/>
      <c r="I2" s="81"/>
      <c r="J2" s="273"/>
      <c r="K2" s="273"/>
      <c r="L2" s="199">
        <v>0</v>
      </c>
      <c r="M2" s="199">
        <v>40</v>
      </c>
      <c r="N2" s="199">
        <v>3.5</v>
      </c>
      <c r="O2" s="199">
        <v>0</v>
      </c>
      <c r="P2" s="199">
        <v>3.5</v>
      </c>
      <c r="Q2" s="199">
        <v>51</v>
      </c>
      <c r="R2" s="199"/>
      <c r="S2" s="199">
        <v>1</v>
      </c>
      <c r="T2" s="199">
        <v>1</v>
      </c>
      <c r="U2" s="199">
        <v>1</v>
      </c>
      <c r="V2" s="199"/>
      <c r="W2" s="273"/>
      <c r="X2" s="273"/>
      <c r="Y2" s="273"/>
      <c r="FIO2" s="80">
        <v>30</v>
      </c>
    </row>
    <row r="3" spans="2:25 4305:4305" ht="15" customHeight="1" x14ac:dyDescent="0.35">
      <c r="B3" s="264" t="str">
        <f>"Geb datum.: "</f>
        <v xml:space="preserve">Geb datum.: </v>
      </c>
      <c r="C3" s="278">
        <f>GebDatum</f>
        <v>40909</v>
      </c>
      <c r="D3" s="200"/>
      <c r="E3" s="265" t="str">
        <f ca="1">"Geschat gewicht: "&amp;VLOOKUP(C5+D5/12,WEIGHTNL.CRF!A2:T49,20)&amp;" kg"</f>
        <v>Geschat gewicht: 16.3 kg</v>
      </c>
      <c r="F3" s="258"/>
      <c r="G3" s="222"/>
      <c r="H3" s="81"/>
      <c r="I3" s="81"/>
      <c r="J3" s="273"/>
      <c r="K3" s="273"/>
      <c r="L3" s="199">
        <v>1</v>
      </c>
      <c r="M3" s="199">
        <v>30</v>
      </c>
      <c r="N3" s="199">
        <v>4.5</v>
      </c>
      <c r="O3" s="199">
        <v>1</v>
      </c>
      <c r="P3" s="199">
        <v>4.2</v>
      </c>
      <c r="Q3" s="199">
        <v>54</v>
      </c>
      <c r="R3" s="199"/>
      <c r="S3" s="199">
        <v>2</v>
      </c>
      <c r="T3" s="199">
        <v>2</v>
      </c>
      <c r="U3" s="199">
        <v>2</v>
      </c>
      <c r="V3" s="199"/>
      <c r="W3" s="273"/>
      <c r="X3" s="273"/>
      <c r="Y3" s="273"/>
    </row>
    <row r="4" spans="2:25 4305:4305" ht="15.75" customHeight="1" x14ac:dyDescent="0.4">
      <c r="B4" s="251"/>
      <c r="C4" s="260" t="s">
        <v>2094</v>
      </c>
      <c r="D4" s="260" t="s">
        <v>2095</v>
      </c>
      <c r="E4" s="260" t="s">
        <v>1303</v>
      </c>
      <c r="F4" s="260" t="s">
        <v>632</v>
      </c>
      <c r="G4" s="260" t="s">
        <v>291</v>
      </c>
      <c r="H4" s="81"/>
      <c r="J4" s="274"/>
      <c r="K4" s="274"/>
      <c r="L4" s="199">
        <v>2</v>
      </c>
      <c r="M4" s="199">
        <v>25</v>
      </c>
      <c r="N4" s="199">
        <v>4.5</v>
      </c>
      <c r="O4" s="199">
        <v>2</v>
      </c>
      <c r="P4" s="199">
        <v>5</v>
      </c>
      <c r="Q4" s="199">
        <v>57</v>
      </c>
      <c r="R4" s="199"/>
      <c r="S4" s="199">
        <v>3</v>
      </c>
      <c r="T4" s="199">
        <v>3</v>
      </c>
      <c r="U4" s="199">
        <v>3</v>
      </c>
      <c r="V4" s="199"/>
      <c r="W4" s="273"/>
      <c r="X4" s="273"/>
      <c r="Y4" s="273"/>
    </row>
    <row r="5" spans="2:25 4305:4305" ht="15" customHeight="1" x14ac:dyDescent="0.4">
      <c r="B5" s="251"/>
      <c r="C5" s="260">
        <f ca="1">TRUNC((AfspraakDatum-GebDatum)/365,0)</f>
        <v>3</v>
      </c>
      <c r="D5" s="260">
        <f ca="1">TRUNC(((AfspraakDatum-GebDatum)-365*TRUNC((AfspraakDatum-GebDatum)/365,0))/30,0)</f>
        <v>6</v>
      </c>
      <c r="E5" s="260">
        <f>Gewicht/10</f>
        <v>10</v>
      </c>
      <c r="F5" s="260">
        <f>Lengte</f>
        <v>80</v>
      </c>
      <c r="G5" s="260">
        <f>ROUND(POWER(E5,0.425)*POWER(((F5/100)*100),0.725)*0.007184,2)</f>
        <v>0.46</v>
      </c>
      <c r="H5" s="81"/>
      <c r="J5" s="274"/>
      <c r="K5" s="274"/>
      <c r="L5" s="199">
        <v>3</v>
      </c>
      <c r="M5" s="199">
        <v>25</v>
      </c>
      <c r="N5" s="199">
        <v>5</v>
      </c>
      <c r="O5" s="199">
        <v>3</v>
      </c>
      <c r="P5" s="199">
        <v>5.7</v>
      </c>
      <c r="Q5" s="199">
        <v>60</v>
      </c>
      <c r="R5" s="199"/>
      <c r="S5" s="199">
        <v>4</v>
      </c>
      <c r="T5" s="199">
        <v>3</v>
      </c>
      <c r="U5" s="199"/>
      <c r="V5" s="199"/>
      <c r="W5" s="273"/>
      <c r="X5" s="273"/>
      <c r="Y5" s="273"/>
    </row>
    <row r="6" spans="2:25 4305:4305" ht="15" customHeight="1" thickBot="1" x14ac:dyDescent="0.45">
      <c r="B6" s="29"/>
      <c r="C6" s="263"/>
      <c r="D6" s="263"/>
      <c r="E6" s="263"/>
      <c r="F6" s="263"/>
      <c r="G6" s="263"/>
      <c r="H6" s="81"/>
      <c r="J6" s="274"/>
      <c r="K6" s="274"/>
      <c r="L6" s="199">
        <v>4</v>
      </c>
      <c r="M6" s="199">
        <v>25</v>
      </c>
      <c r="N6" s="199">
        <v>5</v>
      </c>
      <c r="O6" s="199">
        <v>4</v>
      </c>
      <c r="P6" s="199">
        <v>6.5</v>
      </c>
      <c r="Q6" s="199">
        <v>63</v>
      </c>
      <c r="R6" s="199"/>
      <c r="S6" s="199">
        <v>5</v>
      </c>
      <c r="T6" s="199">
        <v>5</v>
      </c>
      <c r="U6" s="199">
        <v>5</v>
      </c>
      <c r="V6" s="199"/>
      <c r="W6" s="273"/>
      <c r="X6" s="273"/>
      <c r="Y6" s="273"/>
    </row>
    <row r="7" spans="2:25 4305:4305" ht="20.100000000000001" customHeight="1" x14ac:dyDescent="0.4">
      <c r="B7" s="251" t="s">
        <v>1490</v>
      </c>
      <c r="C7" s="266" t="s">
        <v>292</v>
      </c>
      <c r="D7" s="267" t="str">
        <f ca="1">"Maat: "&amp;VLOOKUP(C5,L2:N20,3)&amp;", Lengte: "&amp;IF(C5&gt;1,ROUND((C5/2+15)/2,0)*2,IF(C5=0,12,15))&amp;" cm"&amp;" nasaal, "&amp;ROUND((C5/2+12)/2,0)*2&amp;" cm oraal"</f>
        <v>Maat: 5, Lengte: 16 cm nasaal, 14 cm oraal</v>
      </c>
      <c r="E7" s="268"/>
      <c r="F7" s="268"/>
      <c r="G7" s="350"/>
      <c r="H7" s="81"/>
      <c r="I7" s="81"/>
      <c r="J7" s="273"/>
      <c r="K7" s="273"/>
      <c r="L7" s="199">
        <v>5</v>
      </c>
      <c r="M7" s="199">
        <v>25</v>
      </c>
      <c r="N7" s="199">
        <v>5.5</v>
      </c>
      <c r="O7" s="199">
        <v>5</v>
      </c>
      <c r="P7" s="199">
        <v>7</v>
      </c>
      <c r="Q7" s="199">
        <v>65</v>
      </c>
      <c r="R7" s="199"/>
      <c r="S7" s="199">
        <v>6</v>
      </c>
      <c r="T7" s="199">
        <v>5</v>
      </c>
      <c r="U7" s="199"/>
      <c r="V7" s="199"/>
      <c r="W7" s="273"/>
      <c r="X7" s="273"/>
      <c r="Y7" s="273"/>
    </row>
    <row r="8" spans="2:25 4305:4305" ht="20.100000000000001" customHeight="1" x14ac:dyDescent="0.4">
      <c r="B8" s="251"/>
      <c r="C8" s="250" t="s">
        <v>293</v>
      </c>
      <c r="D8" s="82" t="str">
        <f>IF(ROUND((E5)*4,0)&gt;150,150,VLOOKUP(ROUND(E5*4,0),S2:T362,2))&amp;" Joules Asynchroon"</f>
        <v>50 Joules Asynchroon</v>
      </c>
      <c r="E8" s="81"/>
      <c r="F8" s="81"/>
      <c r="G8" s="351" t="s">
        <v>18</v>
      </c>
      <c r="H8" s="81"/>
      <c r="I8" s="81"/>
      <c r="J8" s="273"/>
      <c r="K8" s="273"/>
      <c r="L8" s="199">
        <v>6</v>
      </c>
      <c r="M8" s="199">
        <v>20</v>
      </c>
      <c r="N8" s="199">
        <v>5.5</v>
      </c>
      <c r="O8" s="199">
        <v>6</v>
      </c>
      <c r="P8" s="199">
        <v>7.7</v>
      </c>
      <c r="Q8" s="199">
        <v>67</v>
      </c>
      <c r="R8" s="199"/>
      <c r="S8" s="199">
        <v>7</v>
      </c>
      <c r="T8" s="199">
        <v>7</v>
      </c>
      <c r="U8" s="199">
        <v>7</v>
      </c>
      <c r="V8" s="199"/>
      <c r="W8" s="273"/>
      <c r="X8" s="273"/>
      <c r="Y8" s="273"/>
    </row>
    <row r="9" spans="2:25 4305:4305" ht="20.100000000000001" customHeight="1" x14ac:dyDescent="0.4">
      <c r="B9" s="251"/>
      <c r="C9" s="250" t="s">
        <v>608</v>
      </c>
      <c r="D9" s="82" t="str">
        <f ca="1">IF(OR(ROUND(0.01*(E5),2)&gt;1,C5&gt;=18),"1 mg iv",ROUND(0.01*(E5),2)&amp;" mg iv")</f>
        <v>0.1 mg iv</v>
      </c>
      <c r="E9" s="81" t="str">
        <f>"= "&amp;IF(ROUND(0.01*(E5),2)&gt;1,"1 ml van 1mg = 10 ml (1:10.000)",ROUND(0.1*(E5),1)&amp;" ml van 1mg = 10 ml (1:10.000)")</f>
        <v>= 1 ml van 1mg = 10 ml (1:10.000)</v>
      </c>
      <c r="F9" s="81"/>
      <c r="G9" s="351" t="s">
        <v>19</v>
      </c>
      <c r="H9" s="81"/>
      <c r="I9" s="81"/>
      <c r="J9" s="273"/>
      <c r="K9" s="273"/>
      <c r="L9" s="199">
        <v>7</v>
      </c>
      <c r="M9" s="199">
        <v>20</v>
      </c>
      <c r="N9" s="199">
        <v>6</v>
      </c>
      <c r="O9" s="199">
        <v>7</v>
      </c>
      <c r="P9" s="199">
        <v>8.1999999999999993</v>
      </c>
      <c r="Q9" s="199">
        <v>69</v>
      </c>
      <c r="R9" s="199"/>
      <c r="S9" s="199">
        <v>8</v>
      </c>
      <c r="T9" s="199">
        <v>7</v>
      </c>
      <c r="U9" s="199"/>
      <c r="V9" s="199"/>
      <c r="W9" s="273"/>
      <c r="X9" s="273"/>
      <c r="Y9" s="273"/>
    </row>
    <row r="10" spans="2:25 4305:4305" ht="20.100000000000001" customHeight="1" x14ac:dyDescent="0.4">
      <c r="B10" s="251"/>
      <c r="C10" s="250" t="s">
        <v>294</v>
      </c>
      <c r="D10" s="82" t="str">
        <f>ROUND(IF(E5&gt;50,50,0.5*E5),0)&amp;" ml iv"</f>
        <v>5 ml iv</v>
      </c>
      <c r="E10" s="81"/>
      <c r="F10" s="81"/>
      <c r="G10" s="351" t="s">
        <v>20</v>
      </c>
      <c r="H10" s="81"/>
      <c r="I10" s="81"/>
      <c r="J10" s="273"/>
      <c r="K10" s="273"/>
      <c r="L10" s="199">
        <v>8</v>
      </c>
      <c r="M10" s="199">
        <v>20</v>
      </c>
      <c r="N10" s="199">
        <v>6</v>
      </c>
      <c r="O10" s="199">
        <v>8</v>
      </c>
      <c r="P10" s="199">
        <v>8.5</v>
      </c>
      <c r="Q10" s="199">
        <v>70</v>
      </c>
      <c r="R10" s="199"/>
      <c r="S10" s="199">
        <v>9</v>
      </c>
      <c r="T10" s="199">
        <v>7</v>
      </c>
      <c r="U10" s="199"/>
      <c r="V10" s="199"/>
      <c r="W10" s="273"/>
      <c r="X10" s="273"/>
      <c r="Y10" s="273"/>
    </row>
    <row r="11" spans="2:25 4305:4305" ht="20.100000000000001" customHeight="1" x14ac:dyDescent="0.4">
      <c r="B11" s="251"/>
      <c r="C11" s="250" t="s">
        <v>941</v>
      </c>
      <c r="D11" s="82" t="str">
        <f>IF(0.2*E5&lt;=25,0.2*E5&amp;" gram iv","25 gram iv")</f>
        <v>2 gram iv</v>
      </c>
      <c r="E11" s="81" t="str">
        <f>"="&amp;" "&amp;IF(2*E5&lt;=250,ROUND(2*E5,0)&amp;" ml glucose 10%","250 ml glucose 10%")</f>
        <v>= 20 ml glucose 10%</v>
      </c>
      <c r="F11" s="81"/>
      <c r="G11" s="351" t="s">
        <v>21</v>
      </c>
      <c r="H11" s="81"/>
      <c r="I11" s="81"/>
      <c r="J11" s="273"/>
      <c r="K11" s="273"/>
      <c r="L11" s="199">
        <v>9</v>
      </c>
      <c r="M11" s="199">
        <v>20</v>
      </c>
      <c r="N11" s="199">
        <v>6.5</v>
      </c>
      <c r="O11" s="199">
        <v>9</v>
      </c>
      <c r="P11" s="199">
        <v>9</v>
      </c>
      <c r="Q11" s="199">
        <v>72</v>
      </c>
      <c r="R11" s="199"/>
      <c r="S11" s="199">
        <v>10</v>
      </c>
      <c r="T11" s="199">
        <v>10</v>
      </c>
      <c r="U11" s="199">
        <v>10</v>
      </c>
      <c r="V11" s="199"/>
      <c r="W11" s="273"/>
      <c r="X11" s="273"/>
      <c r="Y11" s="273"/>
    </row>
    <row r="12" spans="2:25 4305:4305" ht="20.100000000000001" customHeight="1" thickBot="1" x14ac:dyDescent="0.45">
      <c r="B12" s="251"/>
      <c r="C12" s="269" t="s">
        <v>295</v>
      </c>
      <c r="D12" s="270" t="str">
        <f>IF(ROUND(20*E5/10,0)*10&gt;500,500,ROUND(20*E5/10,0)*10)&amp;" ml fysiologisch zout iv per bolus"</f>
        <v>200 ml fysiologisch zout iv per bolus</v>
      </c>
      <c r="E12" s="271"/>
      <c r="F12" s="271"/>
      <c r="G12" s="352" t="s">
        <v>22</v>
      </c>
      <c r="H12" s="81"/>
      <c r="I12" s="81"/>
      <c r="J12" s="273"/>
      <c r="K12" s="273"/>
      <c r="L12" s="199">
        <v>10</v>
      </c>
      <c r="M12" s="199">
        <v>20</v>
      </c>
      <c r="N12" s="199">
        <v>6.5</v>
      </c>
      <c r="O12" s="199">
        <v>10</v>
      </c>
      <c r="P12" s="199">
        <v>9.3000000000000007</v>
      </c>
      <c r="Q12" s="199">
        <v>73</v>
      </c>
      <c r="R12" s="199"/>
      <c r="S12" s="199">
        <v>11</v>
      </c>
      <c r="T12" s="199">
        <v>10</v>
      </c>
      <c r="U12" s="199"/>
      <c r="V12" s="199"/>
      <c r="W12" s="273"/>
      <c r="X12" s="273"/>
      <c r="Y12" s="273"/>
    </row>
    <row r="13" spans="2:25 4305:4305" ht="20.100000000000001" customHeight="1" thickBot="1" x14ac:dyDescent="0.45">
      <c r="B13" s="29"/>
      <c r="C13" s="81"/>
      <c r="D13" s="82"/>
      <c r="E13" s="81"/>
      <c r="F13" s="81"/>
      <c r="G13" s="351"/>
      <c r="H13" s="81"/>
      <c r="I13" s="81"/>
      <c r="J13" s="273"/>
      <c r="K13" s="273"/>
      <c r="L13" s="199">
        <v>11</v>
      </c>
      <c r="M13" s="199">
        <v>20</v>
      </c>
      <c r="N13" s="199">
        <v>7</v>
      </c>
      <c r="O13" s="199">
        <v>11</v>
      </c>
      <c r="P13" s="199">
        <v>9.5</v>
      </c>
      <c r="Q13" s="199">
        <v>74</v>
      </c>
      <c r="R13" s="199"/>
      <c r="S13" s="199">
        <v>12</v>
      </c>
      <c r="T13" s="199">
        <v>10</v>
      </c>
      <c r="U13" s="199"/>
      <c r="V13" s="199"/>
      <c r="W13" s="273"/>
      <c r="X13" s="273"/>
      <c r="Y13" s="273"/>
    </row>
    <row r="14" spans="2:25 4305:4305" ht="20.100000000000001" customHeight="1" x14ac:dyDescent="0.4">
      <c r="B14" s="251" t="s">
        <v>1873</v>
      </c>
      <c r="C14" s="266" t="s">
        <v>1531</v>
      </c>
      <c r="D14" s="267" t="str">
        <f>IF(0.5*E5&gt;20,"20 mg iv",0.5*E5&amp;" mg iv")</f>
        <v>5 mg iv</v>
      </c>
      <c r="E14" s="268" t="str">
        <f>"= "&amp;IF(0.5*E5&gt;20,"10 ml van een 2 mg/ml oplossing",ROUND(0.5*E5*0.5,1)&amp;" ml van een 2 mg/ml oplossing")</f>
        <v>= 2.5 ml van een 2 mg/ml oplossing</v>
      </c>
      <c r="F14" s="268"/>
      <c r="G14" s="350" t="s">
        <v>23</v>
      </c>
      <c r="H14" s="81"/>
      <c r="I14" s="81"/>
      <c r="J14" s="273"/>
      <c r="K14" s="273"/>
      <c r="L14" s="199">
        <v>12</v>
      </c>
      <c r="M14" s="199">
        <v>15</v>
      </c>
      <c r="N14" s="199">
        <v>7</v>
      </c>
      <c r="O14" s="199">
        <v>12</v>
      </c>
      <c r="P14" s="199">
        <v>10</v>
      </c>
      <c r="Q14" s="199">
        <v>76</v>
      </c>
      <c r="R14" s="199"/>
      <c r="S14" s="199">
        <v>13</v>
      </c>
      <c r="T14" s="199">
        <v>10</v>
      </c>
      <c r="U14" s="199"/>
      <c r="V14" s="199"/>
      <c r="W14" s="273"/>
      <c r="X14" s="273"/>
      <c r="Y14" s="273"/>
    </row>
    <row r="15" spans="2:25 4305:4305" ht="20.100000000000001" customHeight="1" x14ac:dyDescent="0.4">
      <c r="B15" s="251"/>
      <c r="C15" s="250" t="s">
        <v>1300</v>
      </c>
      <c r="D15" s="82" t="str">
        <f>IF(ROUND(1*(E5),1)&gt;100,"100 mg iv",ROUND(1*(E5),1)&amp;" mg iv")</f>
        <v>10 mg iv</v>
      </c>
      <c r="E15" s="81" t="str">
        <f>"= "&amp;IF(ROUND(1*(E5),1)&gt;100,"10 ml"&amp;" van een 1mg/ml oplossing",ROUND(0.1*(E5),1)&amp;" ml"&amp;" van een 10 mg/ml oplossing")</f>
        <v>= 1 ml van een 10 mg/ml oplossing</v>
      </c>
      <c r="F15" s="81"/>
      <c r="G15" s="351" t="s">
        <v>24</v>
      </c>
      <c r="H15" s="81"/>
      <c r="I15" s="81"/>
      <c r="J15" s="273"/>
      <c r="K15" s="273"/>
      <c r="L15" s="199">
        <v>13</v>
      </c>
      <c r="M15" s="199">
        <v>15</v>
      </c>
      <c r="N15" s="199">
        <v>7</v>
      </c>
      <c r="O15" s="199"/>
      <c r="P15" s="199"/>
      <c r="Q15" s="199"/>
      <c r="R15" s="199"/>
      <c r="S15" s="199">
        <v>14</v>
      </c>
      <c r="T15" s="199">
        <v>10</v>
      </c>
      <c r="U15" s="199"/>
      <c r="V15" s="199"/>
      <c r="W15" s="273"/>
      <c r="X15" s="273"/>
      <c r="Y15" s="273"/>
    </row>
    <row r="16" spans="2:25 4305:4305" ht="20.100000000000001" customHeight="1" x14ac:dyDescent="0.4">
      <c r="B16" s="251"/>
      <c r="C16" s="250" t="s">
        <v>1532</v>
      </c>
      <c r="D16" s="82" t="str">
        <f>IF(ROUND(0.02*(E5),1)&lt;0.1,"0,1 mg iv",IF(ROUND(0.02*(E5),1)&gt;0.5,"0,5 mg iv",ROUND(0.02*(E5),1)&amp;" mg iv"))</f>
        <v>0.2 mg iv</v>
      </c>
      <c r="E16" s="362" t="str">
        <f>"= "&amp;IF(ROUND(0.02*(E5),1)&lt;0.1,0.1,IF(ROUND(0.02*(E5),1)&gt;0.5,0.5,ROUND(0.02*(E5),1)))*2&amp;" ml van 0,5 mg/ml (min 0,1 mg)"</f>
        <v>= 0.4 ml van 0,5 mg/ml (min 0,1 mg)</v>
      </c>
      <c r="F16" s="362"/>
      <c r="G16" s="351" t="s">
        <v>25</v>
      </c>
      <c r="H16" s="81"/>
      <c r="I16" s="81"/>
      <c r="J16" s="273"/>
      <c r="K16" s="273"/>
      <c r="L16" s="199">
        <v>14</v>
      </c>
      <c r="M16" s="199">
        <v>15</v>
      </c>
      <c r="N16" s="199">
        <v>7</v>
      </c>
      <c r="O16" s="199"/>
      <c r="P16" s="199"/>
      <c r="Q16" s="199"/>
      <c r="R16" s="199"/>
      <c r="S16" s="199">
        <v>15</v>
      </c>
      <c r="T16" s="199">
        <v>10</v>
      </c>
      <c r="U16" s="199"/>
      <c r="V16" s="199"/>
      <c r="W16" s="273"/>
      <c r="X16" s="273"/>
      <c r="Y16" s="273"/>
    </row>
    <row r="17" spans="2:25" ht="20.100000000000001" customHeight="1" thickBot="1" x14ac:dyDescent="0.45">
      <c r="B17" s="251"/>
      <c r="C17" s="269"/>
      <c r="D17" s="270"/>
      <c r="E17" s="363"/>
      <c r="F17" s="363"/>
      <c r="G17" s="352"/>
      <c r="H17" s="81"/>
      <c r="I17" s="81"/>
      <c r="J17" s="273"/>
      <c r="K17" s="273"/>
      <c r="L17" s="199">
        <v>15</v>
      </c>
      <c r="M17" s="199">
        <v>15</v>
      </c>
      <c r="N17" s="199">
        <v>7</v>
      </c>
      <c r="O17" s="199"/>
      <c r="P17" s="199"/>
      <c r="Q17" s="199"/>
      <c r="R17" s="199"/>
      <c r="S17" s="199">
        <v>16</v>
      </c>
      <c r="T17" s="199">
        <v>20</v>
      </c>
      <c r="U17" s="199"/>
      <c r="V17" s="199"/>
      <c r="W17" s="273"/>
      <c r="X17" s="273"/>
      <c r="Y17" s="273"/>
    </row>
    <row r="18" spans="2:25" ht="15.75" customHeight="1" thickBot="1" x14ac:dyDescent="0.45">
      <c r="B18" s="29"/>
      <c r="C18" s="225"/>
      <c r="D18" s="82"/>
      <c r="E18" s="261"/>
      <c r="F18" s="261"/>
      <c r="G18" s="351"/>
      <c r="H18" s="259"/>
      <c r="I18" s="259"/>
      <c r="J18" s="275"/>
      <c r="K18" s="273"/>
      <c r="L18" s="199">
        <v>16</v>
      </c>
      <c r="M18" s="199">
        <v>15</v>
      </c>
      <c r="N18" s="199">
        <v>7</v>
      </c>
      <c r="O18" s="199"/>
      <c r="P18" s="199"/>
      <c r="Q18" s="199"/>
      <c r="R18" s="199"/>
      <c r="S18" s="199">
        <v>17</v>
      </c>
      <c r="T18" s="199">
        <v>20</v>
      </c>
      <c r="U18" s="199"/>
      <c r="V18" s="199"/>
      <c r="W18" s="273"/>
      <c r="X18" s="273"/>
      <c r="Y18" s="273"/>
    </row>
    <row r="19" spans="2:25" ht="20.100000000000001" customHeight="1" x14ac:dyDescent="0.4">
      <c r="B19" s="251" t="s">
        <v>1274</v>
      </c>
      <c r="C19" s="266" t="s">
        <v>475</v>
      </c>
      <c r="D19" s="267" t="str">
        <f>IF(0.02*E5&gt;0.3,"0,3 mg iv",0.02*E5&amp;" mg iv")</f>
        <v>0.2 mg iv</v>
      </c>
      <c r="E19" s="268" t="str">
        <f>"= "&amp;IF(0.02*E5&gt;1,"10 ml van anexate 0,1 mg/ml",ROUND((0.02*E5)/0.1,1)&amp;" ml van anexate 0,1 mg/ml")</f>
        <v>= 2 ml van anexate 0,1 mg/ml</v>
      </c>
      <c r="F19" s="268"/>
      <c r="G19" s="350" t="s">
        <v>26</v>
      </c>
      <c r="H19" s="259"/>
      <c r="I19" s="259"/>
      <c r="J19" s="275"/>
      <c r="K19" s="273"/>
      <c r="L19" s="199">
        <v>17</v>
      </c>
      <c r="M19" s="199">
        <v>15</v>
      </c>
      <c r="N19" s="199">
        <v>7</v>
      </c>
      <c r="O19" s="199"/>
      <c r="P19" s="199"/>
      <c r="Q19" s="199"/>
      <c r="R19" s="199"/>
      <c r="S19" s="199">
        <v>18</v>
      </c>
      <c r="T19" s="199">
        <v>20</v>
      </c>
      <c r="U19" s="199"/>
      <c r="V19" s="199"/>
      <c r="W19" s="273"/>
      <c r="X19" s="273"/>
      <c r="Y19" s="273"/>
    </row>
    <row r="20" spans="2:25" ht="20.100000000000001" customHeight="1" x14ac:dyDescent="0.4">
      <c r="B20" s="251"/>
      <c r="C20" s="250" t="s">
        <v>1533</v>
      </c>
      <c r="D20" s="82" t="str">
        <f>IF(0.01*E5&gt;0.4,"0,4 mg iv",0.01*E5&amp;" mg iv")</f>
        <v>0.1 mg iv</v>
      </c>
      <c r="E20" s="362" t="str">
        <f>"= "&amp;IF(0.01*E5&gt;0.4,"20 ml van naloxon 20 mcg/ml of "&amp;"1 ml van 0,4 mg/ml",ROUND((0.01*E5)/0.02,1)&amp;" ml van naloxon 20 mcg/ml of "&amp;ROUND((0.01*E5)/0.4,1)&amp;" ml van 0,4 mg/ml")</f>
        <v>= 5 ml van naloxon 20 mcg/ml of 0.3 ml van 0,4 mg/ml</v>
      </c>
      <c r="F20" s="362"/>
      <c r="G20" s="351" t="s">
        <v>27</v>
      </c>
      <c r="H20" s="81"/>
      <c r="I20" s="81"/>
      <c r="J20" s="273"/>
      <c r="K20" s="273"/>
      <c r="L20" s="199">
        <v>18</v>
      </c>
      <c r="M20" s="199">
        <v>15</v>
      </c>
      <c r="N20" s="199">
        <v>7</v>
      </c>
      <c r="O20" s="199"/>
      <c r="P20" s="199"/>
      <c r="Q20" s="199"/>
      <c r="R20" s="199"/>
      <c r="S20" s="199">
        <v>19</v>
      </c>
      <c r="T20" s="199">
        <v>20</v>
      </c>
      <c r="U20" s="199"/>
      <c r="V20" s="199"/>
      <c r="W20" s="273"/>
      <c r="X20" s="273"/>
      <c r="Y20" s="273"/>
    </row>
    <row r="21" spans="2:25" ht="20.100000000000001" customHeight="1" thickBot="1" x14ac:dyDescent="0.45">
      <c r="B21" s="251"/>
      <c r="C21" s="269"/>
      <c r="D21" s="270"/>
      <c r="E21" s="363"/>
      <c r="F21" s="363"/>
      <c r="G21" s="352"/>
      <c r="H21" s="81"/>
      <c r="I21" s="81"/>
      <c r="J21" s="273"/>
      <c r="K21" s="273"/>
      <c r="L21" s="199"/>
      <c r="M21" s="199"/>
      <c r="N21" s="199"/>
      <c r="O21" s="199"/>
      <c r="P21" s="199"/>
      <c r="Q21" s="199"/>
      <c r="R21" s="199"/>
      <c r="S21" s="199">
        <v>20</v>
      </c>
      <c r="T21" s="199">
        <v>20</v>
      </c>
      <c r="U21" s="199">
        <v>20</v>
      </c>
      <c r="V21" s="199"/>
      <c r="W21" s="273"/>
      <c r="X21" s="273"/>
      <c r="Y21" s="273"/>
    </row>
    <row r="22" spans="2:25" ht="20.100000000000001" customHeight="1" thickBot="1" x14ac:dyDescent="0.45">
      <c r="B22" s="29"/>
      <c r="C22" s="225"/>
      <c r="D22" s="82"/>
      <c r="E22" s="261"/>
      <c r="F22" s="261"/>
      <c r="G22" s="351"/>
      <c r="H22" s="81"/>
      <c r="I22" s="81"/>
      <c r="J22" s="273"/>
      <c r="K22" s="273"/>
      <c r="L22" s="199"/>
      <c r="M22" s="199"/>
      <c r="N22" s="199"/>
      <c r="O22" s="199"/>
      <c r="P22" s="199"/>
      <c r="Q22" s="199"/>
      <c r="R22" s="199"/>
      <c r="S22" s="199">
        <v>21</v>
      </c>
      <c r="T22" s="199">
        <v>30</v>
      </c>
      <c r="U22" s="199"/>
      <c r="V22" s="199"/>
      <c r="W22" s="273"/>
      <c r="X22" s="273"/>
      <c r="Y22" s="273"/>
    </row>
    <row r="23" spans="2:25" ht="20.100000000000001" customHeight="1" x14ac:dyDescent="0.4">
      <c r="B23" s="251" t="s">
        <v>1275</v>
      </c>
      <c r="C23" s="266" t="str">
        <f ca="1">IF(C5=0,"alprostadil (Prostin)","")</f>
        <v/>
      </c>
      <c r="D23" s="267" t="str">
        <f ca="1">IF(C5=0,"0,5 mg in 50 ml FZ","")</f>
        <v/>
      </c>
      <c r="E23" s="268" t="str">
        <f ca="1">IF(C5=0,"1 ml/uur = "&amp;ROUND(1000*(0.5/50)*24/(E5)/1.44,0)&amp;" nanog/kg/min iv","")</f>
        <v/>
      </c>
      <c r="F23" s="268"/>
      <c r="G23" s="350" t="s">
        <v>1496</v>
      </c>
      <c r="H23" s="81"/>
      <c r="I23" s="81"/>
      <c r="J23" s="273"/>
      <c r="K23" s="273"/>
      <c r="L23" s="199"/>
      <c r="M23" s="199"/>
      <c r="N23" s="199"/>
      <c r="O23" s="199"/>
      <c r="P23" s="199"/>
      <c r="Q23" s="199"/>
      <c r="R23" s="199"/>
      <c r="S23" s="199">
        <v>22</v>
      </c>
      <c r="T23" s="199">
        <v>30</v>
      </c>
      <c r="U23" s="199"/>
      <c r="V23" s="199"/>
      <c r="W23" s="273"/>
      <c r="X23" s="273"/>
      <c r="Y23" s="273"/>
    </row>
    <row r="24" spans="2:25" ht="20.100000000000001" customHeight="1" x14ac:dyDescent="0.4">
      <c r="B24" s="251"/>
      <c r="C24" s="250" t="s">
        <v>521</v>
      </c>
      <c r="D24" s="82" t="str">
        <f>IF(E5&gt;5,"200 mg in 50 ml FZ",ROUND(((E5)*24*60*(10/1000)/(24/50))/50,0)*50&amp;" mg in 50 ml FZ")</f>
        <v>200 mg in 50 ml FZ</v>
      </c>
      <c r="E24" s="81" t="str">
        <f>"1 ml/uur = "&amp;IF(E5&gt;5,ROUND((200/50/E5/60)*1000,1),ROUND(24*ROUND(((E5)*24*60*(10/1000)/(24/50))/50,0)*50/50/1.44/E5,1))&amp;" mcg/kg/min"</f>
        <v>1 ml/uur = 6.7 mcg/kg/min</v>
      </c>
      <c r="F24" s="81"/>
      <c r="G24" s="351" t="s">
        <v>1595</v>
      </c>
      <c r="H24" s="81"/>
      <c r="I24" s="81"/>
      <c r="J24" s="273"/>
      <c r="K24" s="273"/>
      <c r="L24" s="199"/>
      <c r="M24" s="199"/>
      <c r="N24" s="199"/>
      <c r="O24" s="199"/>
      <c r="P24" s="199"/>
      <c r="Q24" s="199"/>
      <c r="R24" s="199"/>
      <c r="S24" s="199">
        <v>23</v>
      </c>
      <c r="T24" s="199">
        <v>30</v>
      </c>
      <c r="U24" s="199"/>
      <c r="V24" s="199"/>
      <c r="W24" s="273"/>
      <c r="X24" s="273"/>
      <c r="Y24" s="273"/>
    </row>
    <row r="25" spans="2:25" ht="20.100000000000001" customHeight="1" thickBot="1" x14ac:dyDescent="0.45">
      <c r="B25" s="251"/>
      <c r="C25" s="269" t="s">
        <v>522</v>
      </c>
      <c r="D25" s="270" t="str">
        <f>IF(Gewicht/15&gt;5,"10 mg in 50 ml FZ",ROUND((E5)*24*60*(0.1/1000)/(24/50)/5,1)*5&amp;" mg in 50 ml FZ")</f>
        <v>10 mg in 50 ml FZ</v>
      </c>
      <c r="E25" s="271" t="str">
        <f>"1 ml/uur = "&amp;IF(E5&gt;5,ROUND((10/50/E5/60)*1000,2),ROUND(24*ROUND((E5)*24*60*(0.1/1000)/(24/50)/5,1)*5/50/1.44/E5,2))&amp;" mcg/kg/min"</f>
        <v>1 ml/uur = 0.33 mcg/kg/min</v>
      </c>
      <c r="F25" s="271"/>
      <c r="G25" s="352" t="s">
        <v>1976</v>
      </c>
      <c r="H25" s="81"/>
      <c r="I25" s="81"/>
      <c r="J25" s="273"/>
      <c r="K25" s="273"/>
      <c r="L25" s="199"/>
      <c r="M25" s="199"/>
      <c r="N25" s="199"/>
      <c r="O25" s="199"/>
      <c r="P25" s="199"/>
      <c r="Q25" s="199"/>
      <c r="R25" s="199"/>
      <c r="S25" s="199">
        <v>24</v>
      </c>
      <c r="T25" s="199">
        <v>30</v>
      </c>
      <c r="U25" s="199"/>
      <c r="V25" s="199"/>
      <c r="W25" s="273"/>
      <c r="X25" s="273"/>
      <c r="Y25" s="273"/>
    </row>
    <row r="26" spans="2:25" ht="20.100000000000001" customHeight="1" thickBot="1" x14ac:dyDescent="0.45">
      <c r="B26" s="29"/>
      <c r="C26" s="81"/>
      <c r="D26" s="82"/>
      <c r="E26" s="81"/>
      <c r="F26" s="81"/>
      <c r="G26" s="351"/>
      <c r="H26" s="81"/>
      <c r="I26" s="81"/>
      <c r="J26" s="273"/>
      <c r="K26" s="273"/>
      <c r="L26" s="199"/>
      <c r="M26" s="199"/>
      <c r="N26" s="199"/>
      <c r="O26" s="199"/>
      <c r="P26" s="199"/>
      <c r="Q26" s="199"/>
      <c r="R26" s="199"/>
      <c r="S26" s="199">
        <v>25</v>
      </c>
      <c r="T26" s="199">
        <v>30</v>
      </c>
      <c r="U26" s="199"/>
      <c r="V26" s="199"/>
      <c r="W26" s="273"/>
      <c r="X26" s="273"/>
      <c r="Y26" s="273"/>
    </row>
    <row r="27" spans="2:25" ht="20.100000000000001" customHeight="1" x14ac:dyDescent="0.4">
      <c r="B27" s="360" t="s">
        <v>1276</v>
      </c>
      <c r="C27" s="266" t="s">
        <v>2123</v>
      </c>
      <c r="D27" s="267" t="str">
        <f>IF(ROUND(E5/2,0)*2&gt;50,"300 mg iv",ROUND(E5*5,0)&amp;" mg iv")</f>
        <v>50 mg iv</v>
      </c>
      <c r="E27" s="268" t="str">
        <f>IF(ROUND(E5/2,0)*2&gt;50,"6 ml van amiodarone 50 mg/ml iv",ROUND(E5*0.1,1)&amp;" ml van amiodarone 50 mg/ml iv")</f>
        <v>1 ml van amiodarone 50 mg/ml iv</v>
      </c>
      <c r="F27" s="268"/>
      <c r="G27" s="350" t="s">
        <v>28</v>
      </c>
      <c r="H27" s="81"/>
      <c r="I27" s="81"/>
      <c r="J27" s="273"/>
      <c r="K27" s="273"/>
      <c r="L27" s="199"/>
      <c r="M27" s="199"/>
      <c r="N27" s="199"/>
      <c r="O27" s="199"/>
      <c r="P27" s="199"/>
      <c r="Q27" s="199"/>
      <c r="R27" s="199"/>
      <c r="S27" s="199">
        <v>26</v>
      </c>
      <c r="T27" s="199">
        <v>30</v>
      </c>
      <c r="U27" s="199"/>
      <c r="V27" s="199"/>
      <c r="W27" s="273"/>
      <c r="X27" s="273"/>
      <c r="Y27" s="273"/>
    </row>
    <row r="28" spans="2:25" ht="20.100000000000001" customHeight="1" thickBot="1" x14ac:dyDescent="0.45">
      <c r="B28" s="361"/>
      <c r="C28" s="269" t="s">
        <v>1489</v>
      </c>
      <c r="D28" s="270" t="str">
        <f>IF(E5/10&gt;10,"10 ml iv",E5/10 &amp;" ml iv")</f>
        <v>1 ml iv</v>
      </c>
      <c r="E28" s="271" t="s">
        <v>1059</v>
      </c>
      <c r="F28" s="271"/>
      <c r="G28" s="352" t="s">
        <v>29</v>
      </c>
      <c r="H28" s="81"/>
      <c r="I28" s="81"/>
      <c r="J28" s="273"/>
      <c r="K28" s="273"/>
      <c r="L28" s="199"/>
      <c r="M28" s="199"/>
      <c r="N28" s="199"/>
      <c r="O28" s="199"/>
      <c r="P28" s="199"/>
      <c r="Q28" s="199"/>
      <c r="R28" s="199"/>
      <c r="S28" s="199">
        <v>27</v>
      </c>
      <c r="T28" s="199">
        <v>30</v>
      </c>
      <c r="U28" s="199"/>
      <c r="V28" s="199"/>
      <c r="W28" s="273"/>
      <c r="X28" s="273"/>
      <c r="Y28" s="273"/>
    </row>
    <row r="29" spans="2:25" ht="20.100000000000001" customHeight="1" thickBot="1" x14ac:dyDescent="0.45">
      <c r="B29" s="29"/>
      <c r="C29" s="81"/>
      <c r="D29" s="82"/>
      <c r="E29" s="81"/>
      <c r="F29" s="81"/>
      <c r="G29" s="351"/>
      <c r="H29" s="81"/>
      <c r="I29" s="81"/>
      <c r="J29" s="273"/>
      <c r="K29" s="273"/>
      <c r="L29" s="199"/>
      <c r="M29" s="199"/>
      <c r="N29" s="199"/>
      <c r="O29" s="199"/>
      <c r="P29" s="199"/>
      <c r="Q29" s="199"/>
      <c r="R29" s="199"/>
      <c r="S29" s="199">
        <v>28</v>
      </c>
      <c r="T29" s="199">
        <v>30</v>
      </c>
      <c r="U29" s="199"/>
      <c r="V29" s="199"/>
      <c r="W29" s="273"/>
      <c r="X29" s="273"/>
      <c r="Y29" s="273"/>
    </row>
    <row r="30" spans="2:25" ht="20.100000000000001" customHeight="1" x14ac:dyDescent="0.4">
      <c r="B30" s="359" t="s">
        <v>468</v>
      </c>
      <c r="C30" s="266" t="s">
        <v>523</v>
      </c>
      <c r="D30" s="267" t="str">
        <f>IF((0.5*E5)&gt;10,"10 mg rect",(0.5*E5)&amp;" mg rect")</f>
        <v>5 mg rect</v>
      </c>
      <c r="E30" s="268" t="str">
        <f>"= "&amp;IF((0.5*E5)&gt;10,"5 ml van diazepam 2 mg/ml",ROUND((0.5*E5)/2,1)&amp;" ml van diazepam 2 mg/ml")</f>
        <v>= 2.5 ml van diazepam 2 mg/ml</v>
      </c>
      <c r="F30" s="268"/>
      <c r="G30" s="350" t="s">
        <v>30</v>
      </c>
      <c r="H30" s="81"/>
      <c r="I30" s="81"/>
      <c r="J30" s="273"/>
      <c r="K30" s="273"/>
      <c r="L30" s="199"/>
      <c r="M30" s="199"/>
      <c r="N30" s="199"/>
      <c r="O30" s="199"/>
      <c r="P30" s="199"/>
      <c r="Q30" s="199"/>
      <c r="R30" s="199"/>
      <c r="S30" s="199">
        <v>29</v>
      </c>
      <c r="T30" s="199">
        <v>30</v>
      </c>
      <c r="U30" s="199"/>
      <c r="V30" s="199"/>
      <c r="W30" s="273"/>
      <c r="X30" s="273"/>
      <c r="Y30" s="273"/>
    </row>
    <row r="31" spans="2:25" ht="20.100000000000001" customHeight="1" x14ac:dyDescent="0.4">
      <c r="B31" s="359"/>
      <c r="C31" s="250" t="s">
        <v>1287</v>
      </c>
      <c r="D31" s="82" t="str">
        <f>IF((20*E5)&gt;1500,"1500 mg iv",20*E5&amp;" mg iv")</f>
        <v>200 mg iv</v>
      </c>
      <c r="E31" s="362" t="str">
        <f>"= "&amp;IF((20*E5)&gt;750,"15 ml van fenytoine 50 mg/ml in 20 ml FZ langzaam iv",ROUND((15*E5)/50,1)&amp;" ml van fenytoine 50 mg/ml in 20 ml FZ langzaam iv")</f>
        <v>= 3 ml van fenytoine 50 mg/ml in 20 ml FZ langzaam iv</v>
      </c>
      <c r="F31" s="362"/>
      <c r="G31" s="353" t="s">
        <v>170</v>
      </c>
      <c r="H31" s="81"/>
      <c r="I31" s="81"/>
      <c r="J31" s="273"/>
      <c r="L31" s="199"/>
      <c r="M31" s="199"/>
      <c r="N31" s="199"/>
      <c r="O31" s="199"/>
      <c r="P31" s="199"/>
      <c r="Q31" s="199"/>
      <c r="R31" s="199"/>
      <c r="S31" s="199">
        <v>30</v>
      </c>
      <c r="T31" s="199">
        <v>30</v>
      </c>
      <c r="U31" s="199">
        <v>30</v>
      </c>
      <c r="V31" s="199"/>
      <c r="W31" s="273"/>
      <c r="X31" s="273"/>
      <c r="Y31" s="273"/>
    </row>
    <row r="32" spans="2:25" ht="20.100000000000001" customHeight="1" x14ac:dyDescent="0.4">
      <c r="B32" s="251"/>
      <c r="C32" s="250"/>
      <c r="D32" s="82"/>
      <c r="E32" s="362"/>
      <c r="F32" s="362"/>
      <c r="G32" s="351"/>
      <c r="H32" s="81"/>
      <c r="I32" s="81"/>
      <c r="L32" s="199"/>
      <c r="M32" s="199"/>
      <c r="N32" s="199"/>
      <c r="O32" s="199"/>
      <c r="P32" s="199"/>
      <c r="Q32" s="199"/>
      <c r="R32" s="199"/>
      <c r="S32" s="199">
        <v>31</v>
      </c>
      <c r="T32" s="199">
        <v>50</v>
      </c>
      <c r="U32" s="199"/>
      <c r="V32" s="199"/>
      <c r="W32" s="273"/>
      <c r="X32" s="273"/>
      <c r="Y32" s="273"/>
    </row>
    <row r="33" spans="2:25" ht="12.75" customHeight="1" thickBot="1" x14ac:dyDescent="0.45">
      <c r="B33" s="251"/>
      <c r="C33" s="269" t="s">
        <v>1711</v>
      </c>
      <c r="D33" s="270" t="str">
        <f>IF((0.1*E5)&gt;10,"10 mg iv",0.1*E5&amp;" mg iv")</f>
        <v>1 mg iv</v>
      </c>
      <c r="E33" s="271" t="str">
        <f>"= "&amp;IF((0.1*E5)&gt;15,10,ROUND((0.1*E5),1))&amp;" ml van dormicum 1 mg/ml iv"</f>
        <v>= 1 ml van dormicum 1 mg/ml iv</v>
      </c>
      <c r="F33" s="271"/>
      <c r="G33" s="354" t="s">
        <v>31</v>
      </c>
      <c r="H33" s="81"/>
      <c r="I33" s="81"/>
      <c r="L33" s="199"/>
      <c r="M33" s="199"/>
      <c r="N33" s="199"/>
      <c r="O33" s="199"/>
      <c r="P33" s="199"/>
      <c r="Q33" s="199"/>
      <c r="R33" s="199"/>
      <c r="S33" s="199">
        <v>32</v>
      </c>
      <c r="T33" s="199">
        <v>50</v>
      </c>
      <c r="U33" s="199"/>
      <c r="V33" s="199"/>
      <c r="W33" s="273"/>
      <c r="X33" s="273"/>
      <c r="Y33" s="273"/>
    </row>
    <row r="34" spans="2:25" ht="13.5" customHeight="1" thickBot="1" x14ac:dyDescent="0.45">
      <c r="B34" s="29"/>
      <c r="C34" s="81"/>
      <c r="D34" s="82"/>
      <c r="E34" s="81"/>
      <c r="F34" s="81"/>
      <c r="G34" s="355"/>
      <c r="H34" s="81"/>
      <c r="I34" s="81"/>
      <c r="L34" s="199"/>
      <c r="M34" s="199"/>
      <c r="N34" s="199"/>
      <c r="O34" s="199"/>
      <c r="P34" s="199"/>
      <c r="Q34" s="199"/>
      <c r="R34" s="199"/>
      <c r="S34" s="199">
        <v>33</v>
      </c>
      <c r="T34" s="199">
        <v>50</v>
      </c>
      <c r="U34" s="199"/>
      <c r="V34" s="199"/>
      <c r="W34" s="273"/>
      <c r="X34" s="273"/>
      <c r="Y34" s="273"/>
    </row>
    <row r="35" spans="2:25" ht="19.55" customHeight="1" x14ac:dyDescent="0.4">
      <c r="B35" s="251" t="s">
        <v>469</v>
      </c>
      <c r="C35" s="266" t="s">
        <v>2038</v>
      </c>
      <c r="D35" s="267" t="str">
        <f>IF(1*(E5&gt;25),"25 mg iv",1*(E5)&amp;" mg iv")</f>
        <v>10 mg iv</v>
      </c>
      <c r="E35" s="268"/>
      <c r="F35" s="268"/>
      <c r="G35" s="350" t="s">
        <v>32</v>
      </c>
      <c r="H35" s="81"/>
      <c r="I35" s="81"/>
      <c r="L35" s="199"/>
      <c r="M35" s="199"/>
      <c r="N35" s="199"/>
      <c r="O35" s="199"/>
      <c r="P35" s="199"/>
      <c r="Q35" s="199"/>
      <c r="R35" s="199"/>
      <c r="S35" s="199">
        <v>34</v>
      </c>
      <c r="T35" s="199">
        <v>50</v>
      </c>
      <c r="U35" s="199"/>
      <c r="V35" s="199"/>
      <c r="W35" s="273"/>
      <c r="X35" s="273"/>
      <c r="Y35" s="273"/>
    </row>
    <row r="36" spans="2:25" ht="19.55" customHeight="1" thickBot="1" x14ac:dyDescent="0.45">
      <c r="B36" s="251"/>
      <c r="C36" s="269" t="s">
        <v>524</v>
      </c>
      <c r="D36" s="270" t="str">
        <f>IF(ROUND((0.5*E5),1)&gt;50,"50 gram iv",ROUND((0.5*E5),1)&amp;" gram iv")</f>
        <v>5 gram iv</v>
      </c>
      <c r="E36" s="271" t="str">
        <f>"= "&amp;IF(ROUND((0.5*E5),1)&gt;50,ROUND(50/0.15,0),ROUND((0.5*E5)/0.15,0))&amp;" ml van mannitol 15% in 30 min iv"</f>
        <v>= 33 ml van mannitol 15% in 30 min iv</v>
      </c>
      <c r="F36" s="271"/>
      <c r="G36" s="352" t="s">
        <v>33</v>
      </c>
      <c r="H36" s="81"/>
      <c r="I36" s="81"/>
      <c r="L36" s="199"/>
      <c r="M36" s="199"/>
      <c r="N36" s="199"/>
      <c r="O36" s="199"/>
      <c r="P36" s="199"/>
      <c r="Q36" s="199"/>
      <c r="R36" s="199"/>
      <c r="S36" s="199">
        <v>35</v>
      </c>
      <c r="T36" s="199">
        <v>50</v>
      </c>
      <c r="U36" s="199"/>
      <c r="V36" s="199"/>
      <c r="W36" s="273"/>
      <c r="X36" s="273"/>
      <c r="Y36" s="273"/>
    </row>
    <row r="37" spans="2:25" ht="25.55" customHeight="1" thickBot="1" x14ac:dyDescent="0.45">
      <c r="B37" s="29"/>
      <c r="C37" s="81"/>
      <c r="D37" s="82"/>
      <c r="E37" s="81"/>
      <c r="F37" s="81"/>
      <c r="G37" s="356"/>
      <c r="H37" s="81"/>
      <c r="I37" s="81"/>
      <c r="L37" s="199"/>
      <c r="M37" s="199"/>
      <c r="N37" s="199"/>
      <c r="O37" s="199"/>
      <c r="P37" s="199"/>
      <c r="Q37" s="199"/>
      <c r="R37" s="199"/>
      <c r="S37" s="199">
        <v>36</v>
      </c>
      <c r="T37" s="199">
        <v>50</v>
      </c>
      <c r="U37" s="199"/>
      <c r="V37" s="199"/>
      <c r="W37" s="273"/>
      <c r="X37" s="273"/>
      <c r="Y37" s="273"/>
    </row>
    <row r="38" spans="2:25" ht="19.55" customHeight="1" x14ac:dyDescent="0.4">
      <c r="B38" s="251" t="s">
        <v>525</v>
      </c>
      <c r="C38" s="349" t="s">
        <v>1422</v>
      </c>
      <c r="D38" s="267" t="str">
        <f ca="1">"AMV "&amp;ROUND(E5*8*VLOOKUP(C5,L2:M20,2)/1000,1)&amp;" L/min"</f>
        <v>AMV 2 L/min</v>
      </c>
      <c r="E38" s="268"/>
      <c r="F38" s="267" t="s">
        <v>526</v>
      </c>
      <c r="G38" s="268"/>
      <c r="H38" s="81"/>
      <c r="I38" s="81"/>
      <c r="L38" s="199"/>
      <c r="M38" s="199"/>
      <c r="N38" s="199"/>
      <c r="O38" s="199"/>
      <c r="P38" s="199"/>
      <c r="Q38" s="199"/>
      <c r="R38" s="199"/>
      <c r="S38" s="199"/>
      <c r="T38" s="199"/>
      <c r="U38" s="199"/>
      <c r="V38" s="199"/>
      <c r="W38" s="273"/>
      <c r="X38" s="273"/>
      <c r="Y38" s="273"/>
    </row>
    <row r="39" spans="2:25" ht="19.55" customHeight="1" x14ac:dyDescent="0.4">
      <c r="B39" s="251"/>
      <c r="C39" s="84"/>
      <c r="D39" s="82" t="str">
        <f ca="1">"frequentie "&amp;VLOOKUP(C5,L2:M20,2)&amp;"/min"</f>
        <v>frequentie 25/min</v>
      </c>
      <c r="E39" s="81"/>
      <c r="F39" s="82" t="s">
        <v>527</v>
      </c>
      <c r="G39" s="81"/>
      <c r="H39" s="81"/>
      <c r="I39" s="81"/>
      <c r="L39" s="199"/>
      <c r="M39" s="199"/>
      <c r="N39" s="199"/>
      <c r="O39" s="199"/>
      <c r="P39" s="199"/>
      <c r="Q39" s="199"/>
      <c r="R39" s="199"/>
      <c r="S39" s="199">
        <v>37</v>
      </c>
      <c r="T39" s="199">
        <v>50</v>
      </c>
      <c r="U39" s="199"/>
      <c r="V39" s="199"/>
      <c r="W39" s="273"/>
      <c r="X39" s="273"/>
      <c r="Y39" s="273"/>
    </row>
    <row r="40" spans="2:25" ht="19.55" customHeight="1" x14ac:dyDescent="0.4">
      <c r="B40" s="251"/>
      <c r="C40" s="84"/>
      <c r="D40" s="82" t="s">
        <v>2124</v>
      </c>
      <c r="E40" s="81"/>
      <c r="F40" s="82" t="s">
        <v>2089</v>
      </c>
      <c r="G40" s="81"/>
      <c r="H40" s="81"/>
      <c r="I40" s="81"/>
      <c r="L40" s="199"/>
      <c r="M40" s="199"/>
      <c r="N40" s="199"/>
      <c r="O40" s="199"/>
      <c r="P40" s="199"/>
      <c r="Q40" s="199"/>
      <c r="R40" s="199"/>
      <c r="S40" s="199">
        <v>38</v>
      </c>
      <c r="T40" s="199">
        <v>50</v>
      </c>
      <c r="U40" s="199"/>
      <c r="V40" s="199"/>
      <c r="W40" s="273"/>
      <c r="X40" s="273"/>
      <c r="Y40" s="273"/>
    </row>
    <row r="41" spans="2:25" ht="19.55" customHeight="1" x14ac:dyDescent="0.4">
      <c r="B41" s="251"/>
      <c r="C41" s="84"/>
      <c r="D41" s="82" t="s">
        <v>2090</v>
      </c>
      <c r="E41" s="81"/>
      <c r="F41" s="82"/>
      <c r="G41" s="81"/>
      <c r="H41" s="81"/>
      <c r="I41" s="81"/>
      <c r="L41" s="199"/>
      <c r="M41" s="199"/>
      <c r="N41" s="199"/>
      <c r="O41" s="199"/>
      <c r="P41" s="199"/>
      <c r="Q41" s="199"/>
      <c r="R41" s="199"/>
      <c r="S41" s="199">
        <v>39</v>
      </c>
      <c r="T41" s="199">
        <v>50</v>
      </c>
      <c r="U41" s="199"/>
      <c r="V41" s="199"/>
      <c r="W41" s="273"/>
      <c r="X41" s="273"/>
      <c r="Y41" s="273"/>
    </row>
    <row r="42" spans="2:25" ht="19.55" customHeight="1" thickBot="1" x14ac:dyDescent="0.45">
      <c r="B42" s="251"/>
      <c r="C42" s="272"/>
      <c r="D42" s="270"/>
      <c r="E42" s="271"/>
      <c r="F42" s="270"/>
      <c r="G42" s="271"/>
      <c r="H42" s="81"/>
      <c r="I42" s="81"/>
      <c r="L42" s="199"/>
      <c r="M42" s="199"/>
      <c r="N42" s="199"/>
      <c r="O42" s="199"/>
      <c r="P42" s="199"/>
      <c r="Q42" s="199"/>
      <c r="R42" s="199"/>
      <c r="S42" s="199">
        <v>40</v>
      </c>
      <c r="T42" s="199">
        <v>50</v>
      </c>
      <c r="U42" s="199"/>
      <c r="V42" s="199"/>
      <c r="W42" s="273"/>
      <c r="X42" s="273"/>
      <c r="Y42" s="273"/>
    </row>
    <row r="43" spans="2:25" ht="19.55" customHeight="1" x14ac:dyDescent="0.35">
      <c r="B43" s="26"/>
      <c r="C43" s="81"/>
      <c r="D43" s="81"/>
      <c r="E43" s="81"/>
      <c r="F43" s="81"/>
      <c r="G43" s="81"/>
      <c r="H43" s="81"/>
      <c r="I43" s="81"/>
      <c r="L43" s="199"/>
      <c r="M43" s="199"/>
      <c r="N43" s="199"/>
      <c r="O43" s="199"/>
      <c r="P43" s="199"/>
      <c r="Q43" s="199"/>
      <c r="R43" s="199"/>
      <c r="S43" s="199">
        <v>41</v>
      </c>
      <c r="T43" s="199">
        <v>50</v>
      </c>
      <c r="U43" s="199"/>
      <c r="V43" s="199"/>
      <c r="W43" s="273"/>
      <c r="X43" s="273"/>
      <c r="Y43" s="273"/>
    </row>
    <row r="44" spans="2:25" ht="19.55" customHeight="1" x14ac:dyDescent="0.35">
      <c r="B44" s="222" t="s">
        <v>457</v>
      </c>
      <c r="C44" s="83"/>
      <c r="D44" s="81"/>
      <c r="E44" s="81"/>
      <c r="F44" s="81"/>
      <c r="G44" s="81"/>
      <c r="H44" s="81"/>
      <c r="I44" s="81"/>
      <c r="L44" s="199"/>
      <c r="M44" s="199"/>
      <c r="N44" s="199"/>
      <c r="O44" s="199"/>
      <c r="P44" s="199"/>
      <c r="Q44" s="199"/>
      <c r="R44" s="199"/>
      <c r="S44" s="199">
        <v>42</v>
      </c>
      <c r="T44" s="199">
        <v>50</v>
      </c>
      <c r="U44" s="199"/>
      <c r="V44" s="199"/>
      <c r="W44" s="273"/>
      <c r="X44" s="273"/>
      <c r="Y44" s="273"/>
    </row>
    <row r="45" spans="2:25" ht="19.55" customHeight="1" x14ac:dyDescent="0.35">
      <c r="B45" s="98"/>
      <c r="C45" s="81"/>
      <c r="D45" s="81"/>
      <c r="E45" s="81"/>
      <c r="F45" s="81"/>
      <c r="G45" s="81"/>
      <c r="H45" s="81"/>
      <c r="I45" s="81"/>
      <c r="L45" s="199"/>
      <c r="M45" s="199"/>
      <c r="N45" s="199"/>
      <c r="O45" s="199"/>
      <c r="P45" s="199"/>
      <c r="Q45" s="199"/>
      <c r="R45" s="199"/>
      <c r="S45" s="199">
        <v>43</v>
      </c>
      <c r="T45" s="199">
        <v>50</v>
      </c>
      <c r="U45" s="199"/>
      <c r="V45" s="199"/>
      <c r="W45" s="273"/>
      <c r="X45" s="273"/>
      <c r="Y45" s="273"/>
    </row>
    <row r="46" spans="2:25" ht="19.55" customHeight="1" x14ac:dyDescent="0.35">
      <c r="B46" s="98"/>
      <c r="C46" s="81"/>
      <c r="D46" s="81"/>
      <c r="E46" s="81"/>
      <c r="F46" s="81"/>
      <c r="G46" s="81"/>
      <c r="H46" s="81"/>
      <c r="I46" s="81"/>
      <c r="L46" s="199"/>
      <c r="M46" s="199"/>
      <c r="N46" s="199"/>
      <c r="O46" s="199"/>
      <c r="P46" s="199"/>
      <c r="Q46" s="199"/>
      <c r="R46" s="199"/>
      <c r="S46" s="199">
        <v>44</v>
      </c>
      <c r="T46" s="199">
        <v>50</v>
      </c>
      <c r="U46" s="199"/>
      <c r="V46" s="199"/>
      <c r="W46" s="273"/>
      <c r="X46" s="273"/>
      <c r="Y46" s="273"/>
    </row>
    <row r="47" spans="2:25" x14ac:dyDescent="0.35">
      <c r="B47" s="98"/>
      <c r="C47" s="81"/>
      <c r="D47" s="81"/>
      <c r="E47" s="81"/>
      <c r="F47" s="81"/>
      <c r="G47" s="81"/>
      <c r="H47" s="81"/>
      <c r="I47" s="81"/>
      <c r="L47" s="199"/>
      <c r="M47" s="199"/>
      <c r="N47" s="199"/>
      <c r="O47" s="199"/>
      <c r="P47" s="199"/>
      <c r="Q47" s="199"/>
      <c r="R47" s="199"/>
      <c r="S47" s="199">
        <v>45</v>
      </c>
      <c r="T47" s="199">
        <v>50</v>
      </c>
      <c r="U47" s="199"/>
      <c r="V47" s="199"/>
      <c r="W47" s="273"/>
      <c r="X47" s="273"/>
      <c r="Y47" s="273"/>
    </row>
    <row r="48" spans="2:25" x14ac:dyDescent="0.35">
      <c r="B48" s="98"/>
      <c r="C48" s="81"/>
      <c r="D48" s="81"/>
      <c r="E48" s="81"/>
      <c r="F48" s="81"/>
      <c r="G48" s="81"/>
      <c r="H48" s="81"/>
      <c r="I48" s="81"/>
      <c r="L48" s="199"/>
      <c r="M48" s="199"/>
      <c r="N48" s="199"/>
      <c r="O48" s="199"/>
      <c r="P48" s="199"/>
      <c r="Q48" s="199"/>
      <c r="R48" s="199"/>
      <c r="S48" s="199">
        <v>46</v>
      </c>
      <c r="T48" s="199">
        <v>50</v>
      </c>
      <c r="U48" s="199"/>
      <c r="V48" s="199"/>
      <c r="W48" s="273"/>
      <c r="X48" s="273"/>
      <c r="Y48" s="273"/>
    </row>
    <row r="49" spans="2:25" x14ac:dyDescent="0.35">
      <c r="B49" s="98"/>
      <c r="C49" s="81"/>
      <c r="D49" s="81"/>
      <c r="E49" s="81"/>
      <c r="F49" s="81"/>
      <c r="G49" s="81"/>
      <c r="H49" s="81"/>
      <c r="I49" s="81"/>
      <c r="L49" s="199"/>
      <c r="M49" s="199"/>
      <c r="N49" s="199"/>
      <c r="O49" s="199"/>
      <c r="P49" s="199"/>
      <c r="Q49" s="199"/>
      <c r="R49" s="199"/>
      <c r="S49" s="199">
        <v>47</v>
      </c>
      <c r="T49" s="199">
        <v>50</v>
      </c>
      <c r="U49" s="199"/>
      <c r="V49" s="199"/>
      <c r="W49" s="273"/>
      <c r="X49" s="273"/>
      <c r="Y49" s="273"/>
    </row>
    <row r="50" spans="2:25" x14ac:dyDescent="0.35">
      <c r="B50" s="98"/>
      <c r="C50" s="81"/>
      <c r="D50" s="81"/>
      <c r="E50" s="81"/>
      <c r="F50" s="81"/>
      <c r="G50" s="81"/>
      <c r="H50" s="81"/>
      <c r="I50" s="81"/>
      <c r="L50" s="199"/>
      <c r="M50" s="199"/>
      <c r="N50" s="199"/>
      <c r="O50" s="199"/>
      <c r="P50" s="199"/>
      <c r="Q50" s="199"/>
      <c r="R50" s="199"/>
      <c r="S50" s="199">
        <v>48</v>
      </c>
      <c r="T50" s="199">
        <v>50</v>
      </c>
      <c r="U50" s="199"/>
      <c r="V50" s="199"/>
      <c r="W50" s="273"/>
      <c r="X50" s="273"/>
      <c r="Y50" s="273"/>
    </row>
    <row r="51" spans="2:25" x14ac:dyDescent="0.35">
      <c r="B51" s="98"/>
      <c r="C51" s="81"/>
      <c r="D51" s="81"/>
      <c r="E51" s="81"/>
      <c r="F51" s="81"/>
      <c r="G51" s="81"/>
      <c r="H51" s="81"/>
      <c r="I51" s="81"/>
      <c r="L51" s="199"/>
      <c r="M51" s="199"/>
      <c r="N51" s="199"/>
      <c r="O51" s="199"/>
      <c r="P51" s="199"/>
      <c r="Q51" s="199"/>
      <c r="R51" s="199"/>
      <c r="S51" s="199">
        <v>49</v>
      </c>
      <c r="T51" s="199">
        <v>50</v>
      </c>
      <c r="U51" s="199"/>
      <c r="V51" s="199"/>
      <c r="W51" s="273"/>
      <c r="X51" s="273"/>
      <c r="Y51" s="273"/>
    </row>
    <row r="52" spans="2:25" x14ac:dyDescent="0.35">
      <c r="B52" s="98"/>
      <c r="C52" s="81"/>
      <c r="D52" s="81"/>
      <c r="E52" s="81"/>
      <c r="F52" s="81"/>
      <c r="G52" s="81"/>
      <c r="H52" s="81"/>
      <c r="I52" s="81"/>
      <c r="L52" s="199"/>
      <c r="M52" s="199"/>
      <c r="N52" s="199"/>
      <c r="O52" s="199"/>
      <c r="P52" s="199"/>
      <c r="Q52" s="199"/>
      <c r="R52" s="199"/>
      <c r="S52" s="199">
        <v>50</v>
      </c>
      <c r="T52" s="199">
        <v>50</v>
      </c>
      <c r="U52" s="199">
        <v>50</v>
      </c>
      <c r="V52" s="199"/>
      <c r="W52" s="273"/>
      <c r="X52" s="273"/>
      <c r="Y52" s="273"/>
    </row>
    <row r="53" spans="2:25" x14ac:dyDescent="0.35">
      <c r="B53" s="98"/>
      <c r="C53" s="81"/>
      <c r="D53" s="81"/>
      <c r="E53" s="81"/>
      <c r="F53" s="81"/>
      <c r="G53" s="81"/>
      <c r="H53" s="81"/>
      <c r="I53" s="81"/>
      <c r="L53" s="199"/>
      <c r="M53" s="199"/>
      <c r="N53" s="199"/>
      <c r="O53" s="199"/>
      <c r="P53" s="199"/>
      <c r="Q53" s="199"/>
      <c r="R53" s="199"/>
      <c r="S53" s="199">
        <v>51</v>
      </c>
      <c r="T53" s="199">
        <v>70</v>
      </c>
      <c r="U53" s="199"/>
      <c r="V53" s="199"/>
      <c r="W53" s="273"/>
      <c r="X53" s="273"/>
      <c r="Y53" s="273"/>
    </row>
    <row r="54" spans="2:25" x14ac:dyDescent="0.35">
      <c r="B54" s="98"/>
      <c r="C54" s="81"/>
      <c r="D54" s="81"/>
      <c r="E54" s="81"/>
      <c r="F54" s="81"/>
      <c r="G54" s="81"/>
      <c r="H54" s="81"/>
      <c r="I54" s="81"/>
      <c r="L54" s="199"/>
      <c r="M54" s="199"/>
      <c r="N54" s="199"/>
      <c r="O54" s="199"/>
      <c r="P54" s="199"/>
      <c r="Q54" s="199"/>
      <c r="R54" s="199"/>
      <c r="S54" s="199">
        <v>52</v>
      </c>
      <c r="T54" s="199">
        <v>70</v>
      </c>
      <c r="U54" s="199"/>
      <c r="V54" s="199"/>
      <c r="W54" s="273"/>
      <c r="X54" s="273"/>
      <c r="Y54" s="273"/>
    </row>
    <row r="55" spans="2:25" x14ac:dyDescent="0.35">
      <c r="B55" s="98"/>
      <c r="C55" s="81"/>
      <c r="D55" s="81"/>
      <c r="E55" s="81"/>
      <c r="F55" s="81"/>
      <c r="G55" s="81"/>
      <c r="H55" s="81"/>
      <c r="I55" s="81"/>
      <c r="L55" s="199"/>
      <c r="M55" s="199"/>
      <c r="N55" s="199"/>
      <c r="O55" s="199"/>
      <c r="P55" s="199"/>
      <c r="Q55" s="199"/>
      <c r="R55" s="199"/>
      <c r="S55" s="199">
        <v>53</v>
      </c>
      <c r="T55" s="199">
        <v>70</v>
      </c>
      <c r="U55" s="199"/>
      <c r="V55" s="199"/>
      <c r="W55" s="273"/>
      <c r="X55" s="273"/>
      <c r="Y55" s="273"/>
    </row>
    <row r="56" spans="2:25" x14ac:dyDescent="0.35">
      <c r="B56" s="98"/>
      <c r="C56" s="81"/>
      <c r="D56" s="81"/>
      <c r="E56" s="81"/>
      <c r="F56" s="81"/>
      <c r="G56" s="81"/>
      <c r="H56" s="81"/>
      <c r="I56" s="81"/>
      <c r="L56" s="199"/>
      <c r="M56" s="199"/>
      <c r="N56" s="199"/>
      <c r="O56" s="199"/>
      <c r="P56" s="199"/>
      <c r="Q56" s="199"/>
      <c r="R56" s="199"/>
      <c r="S56" s="199">
        <v>54</v>
      </c>
      <c r="T56" s="199">
        <v>70</v>
      </c>
      <c r="U56" s="199"/>
      <c r="V56" s="199"/>
      <c r="W56" s="273"/>
      <c r="X56" s="273"/>
      <c r="Y56" s="273"/>
    </row>
    <row r="57" spans="2:25" x14ac:dyDescent="0.35">
      <c r="B57" s="98"/>
      <c r="C57" s="81"/>
      <c r="D57" s="81"/>
      <c r="E57" s="81"/>
      <c r="F57" s="81"/>
      <c r="G57" s="81"/>
      <c r="H57" s="81"/>
      <c r="I57" s="81"/>
      <c r="L57" s="199"/>
      <c r="M57" s="199"/>
      <c r="N57" s="199"/>
      <c r="O57" s="199"/>
      <c r="P57" s="199"/>
      <c r="Q57" s="199"/>
      <c r="R57" s="199"/>
      <c r="S57" s="199">
        <v>55</v>
      </c>
      <c r="T57" s="199">
        <v>70</v>
      </c>
      <c r="U57" s="199"/>
      <c r="V57" s="199"/>
      <c r="W57" s="273"/>
      <c r="X57" s="273"/>
      <c r="Y57" s="273"/>
    </row>
    <row r="58" spans="2:25" x14ac:dyDescent="0.35">
      <c r="B58" s="98"/>
      <c r="C58" s="81"/>
      <c r="D58" s="81"/>
      <c r="E58" s="81"/>
      <c r="F58" s="81"/>
      <c r="G58" s="81"/>
      <c r="H58" s="81"/>
      <c r="I58" s="81"/>
      <c r="L58" s="199"/>
      <c r="M58" s="199"/>
      <c r="N58" s="199"/>
      <c r="O58" s="199"/>
      <c r="P58" s="199"/>
      <c r="Q58" s="199"/>
      <c r="R58" s="199"/>
      <c r="S58" s="199">
        <v>56</v>
      </c>
      <c r="T58" s="199">
        <v>70</v>
      </c>
      <c r="U58" s="199"/>
      <c r="V58" s="199"/>
      <c r="W58" s="273"/>
      <c r="X58" s="273"/>
      <c r="Y58" s="273"/>
    </row>
    <row r="59" spans="2:25" x14ac:dyDescent="0.35">
      <c r="B59" s="98"/>
      <c r="C59" s="81"/>
      <c r="D59" s="81"/>
      <c r="E59" s="81"/>
      <c r="F59" s="81"/>
      <c r="G59" s="81"/>
      <c r="H59" s="81"/>
      <c r="I59" s="81"/>
      <c r="L59" s="199"/>
      <c r="M59" s="199"/>
      <c r="N59" s="199"/>
      <c r="O59" s="199"/>
      <c r="P59" s="199"/>
      <c r="Q59" s="199"/>
      <c r="R59" s="199"/>
      <c r="S59" s="199">
        <v>57</v>
      </c>
      <c r="T59" s="199">
        <v>70</v>
      </c>
      <c r="U59" s="199"/>
      <c r="V59" s="199"/>
      <c r="W59" s="273"/>
      <c r="X59" s="273"/>
      <c r="Y59" s="273"/>
    </row>
    <row r="60" spans="2:25" x14ac:dyDescent="0.35">
      <c r="B60" s="98"/>
      <c r="C60" s="81"/>
      <c r="D60" s="81"/>
      <c r="E60" s="81"/>
      <c r="F60" s="81"/>
      <c r="G60" s="81"/>
      <c r="H60" s="81"/>
      <c r="I60" s="81"/>
      <c r="L60" s="199"/>
      <c r="M60" s="199"/>
      <c r="N60" s="199"/>
      <c r="O60" s="199"/>
      <c r="P60" s="199"/>
      <c r="Q60" s="199"/>
      <c r="R60" s="199"/>
      <c r="S60" s="199">
        <v>58</v>
      </c>
      <c r="T60" s="199">
        <v>70</v>
      </c>
      <c r="U60" s="199"/>
      <c r="V60" s="199"/>
      <c r="W60" s="273"/>
      <c r="X60" s="273"/>
      <c r="Y60" s="273"/>
    </row>
    <row r="61" spans="2:25" x14ac:dyDescent="0.35">
      <c r="B61" s="98"/>
      <c r="C61" s="81"/>
      <c r="D61" s="81"/>
      <c r="E61" s="81"/>
      <c r="F61" s="81"/>
      <c r="G61" s="81"/>
      <c r="H61" s="81"/>
      <c r="I61" s="81"/>
      <c r="L61" s="199"/>
      <c r="M61" s="199"/>
      <c r="N61" s="199"/>
      <c r="O61" s="199"/>
      <c r="P61" s="199"/>
      <c r="Q61" s="199"/>
      <c r="R61" s="199"/>
      <c r="S61" s="199">
        <v>59</v>
      </c>
      <c r="T61" s="199">
        <v>70</v>
      </c>
      <c r="U61" s="199"/>
      <c r="V61" s="199"/>
      <c r="W61" s="273"/>
      <c r="X61" s="273"/>
      <c r="Y61" s="273"/>
    </row>
    <row r="62" spans="2:25" x14ac:dyDescent="0.35">
      <c r="B62" s="98"/>
      <c r="C62" s="81"/>
      <c r="D62" s="81"/>
      <c r="E62" s="81"/>
      <c r="F62" s="81"/>
      <c r="G62" s="81"/>
      <c r="H62" s="81"/>
      <c r="I62" s="81"/>
      <c r="L62" s="199"/>
      <c r="M62" s="199"/>
      <c r="N62" s="199"/>
      <c r="O62" s="199"/>
      <c r="P62" s="199"/>
      <c r="Q62" s="199"/>
      <c r="R62" s="199"/>
      <c r="S62" s="199">
        <v>60</v>
      </c>
      <c r="T62" s="199">
        <v>70</v>
      </c>
      <c r="U62" s="199"/>
      <c r="V62" s="199"/>
      <c r="W62" s="273"/>
      <c r="X62" s="273"/>
      <c r="Y62" s="273"/>
    </row>
    <row r="63" spans="2:25" x14ac:dyDescent="0.35">
      <c r="B63" s="98"/>
      <c r="C63" s="81"/>
      <c r="D63" s="81"/>
      <c r="E63" s="81"/>
      <c r="F63" s="81"/>
      <c r="G63" s="81"/>
      <c r="H63" s="81"/>
      <c r="I63" s="81"/>
      <c r="L63" s="199"/>
      <c r="M63" s="199"/>
      <c r="N63" s="199"/>
      <c r="O63" s="199"/>
      <c r="P63" s="199"/>
      <c r="Q63" s="199"/>
      <c r="R63" s="199"/>
      <c r="S63" s="199">
        <v>61</v>
      </c>
      <c r="T63" s="199">
        <v>70</v>
      </c>
      <c r="U63" s="199"/>
      <c r="V63" s="199"/>
      <c r="W63" s="273"/>
      <c r="X63" s="273"/>
      <c r="Y63" s="273"/>
    </row>
    <row r="64" spans="2:25" x14ac:dyDescent="0.35">
      <c r="B64" s="98"/>
      <c r="C64" s="81"/>
      <c r="D64" s="81"/>
      <c r="E64" s="81"/>
      <c r="F64" s="81"/>
      <c r="G64" s="81"/>
      <c r="H64" s="81"/>
      <c r="I64" s="81"/>
      <c r="L64" s="199"/>
      <c r="M64" s="199"/>
      <c r="N64" s="199"/>
      <c r="O64" s="199"/>
      <c r="P64" s="199"/>
      <c r="Q64" s="199"/>
      <c r="R64" s="199"/>
      <c r="S64" s="199">
        <v>62</v>
      </c>
      <c r="T64" s="199">
        <v>70</v>
      </c>
      <c r="U64" s="199"/>
      <c r="V64" s="199"/>
      <c r="W64" s="273"/>
      <c r="X64" s="273"/>
      <c r="Y64" s="273"/>
    </row>
    <row r="65" spans="2:25" x14ac:dyDescent="0.35">
      <c r="B65" s="98"/>
      <c r="C65" s="81"/>
      <c r="D65" s="81"/>
      <c r="E65" s="81"/>
      <c r="F65" s="81"/>
      <c r="G65" s="81"/>
      <c r="H65" s="81"/>
      <c r="I65" s="81"/>
      <c r="L65" s="199"/>
      <c r="M65" s="199"/>
      <c r="N65" s="199"/>
      <c r="O65" s="199"/>
      <c r="P65" s="199"/>
      <c r="Q65" s="199"/>
      <c r="R65" s="199"/>
      <c r="S65" s="199">
        <v>63</v>
      </c>
      <c r="T65" s="199">
        <v>70</v>
      </c>
      <c r="U65" s="199"/>
      <c r="V65" s="199"/>
      <c r="W65" s="273"/>
      <c r="X65" s="273"/>
      <c r="Y65" s="273"/>
    </row>
    <row r="66" spans="2:25" x14ac:dyDescent="0.35">
      <c r="B66" s="98"/>
      <c r="C66" s="81"/>
      <c r="D66" s="81"/>
      <c r="E66" s="81"/>
      <c r="F66" s="81"/>
      <c r="G66" s="81"/>
      <c r="H66" s="81"/>
      <c r="I66" s="81"/>
      <c r="L66" s="199"/>
      <c r="M66" s="199"/>
      <c r="N66" s="199"/>
      <c r="O66" s="199"/>
      <c r="P66" s="199"/>
      <c r="Q66" s="199"/>
      <c r="R66" s="199"/>
      <c r="S66" s="199">
        <v>64</v>
      </c>
      <c r="T66" s="199">
        <v>70</v>
      </c>
      <c r="U66" s="199"/>
      <c r="V66" s="199"/>
      <c r="W66" s="273"/>
      <c r="X66" s="273"/>
      <c r="Y66" s="273"/>
    </row>
    <row r="67" spans="2:25" x14ac:dyDescent="0.35">
      <c r="B67" s="98"/>
      <c r="C67" s="81"/>
      <c r="D67" s="81"/>
      <c r="E67" s="81"/>
      <c r="F67" s="81"/>
      <c r="G67" s="81"/>
      <c r="H67" s="81"/>
      <c r="I67" s="81"/>
      <c r="L67" s="199"/>
      <c r="M67" s="199"/>
      <c r="N67" s="199"/>
      <c r="O67" s="199"/>
      <c r="P67" s="199"/>
      <c r="Q67" s="199"/>
      <c r="R67" s="199"/>
      <c r="S67" s="199">
        <v>65</v>
      </c>
      <c r="T67" s="199">
        <v>70</v>
      </c>
      <c r="U67" s="199"/>
      <c r="V67" s="199"/>
      <c r="W67" s="273"/>
      <c r="X67" s="273"/>
      <c r="Y67" s="273"/>
    </row>
    <row r="68" spans="2:25" x14ac:dyDescent="0.35">
      <c r="B68" s="98"/>
      <c r="C68" s="81"/>
      <c r="D68" s="81"/>
      <c r="E68" s="81"/>
      <c r="F68" s="81"/>
      <c r="G68" s="81"/>
      <c r="H68" s="81"/>
      <c r="I68" s="81"/>
      <c r="L68" s="199"/>
      <c r="M68" s="199"/>
      <c r="N68" s="199"/>
      <c r="O68" s="199"/>
      <c r="P68" s="199"/>
      <c r="Q68" s="199"/>
      <c r="R68" s="199"/>
      <c r="S68" s="199">
        <v>66</v>
      </c>
      <c r="T68" s="199">
        <v>70</v>
      </c>
      <c r="U68" s="199"/>
      <c r="V68" s="199"/>
      <c r="W68" s="273"/>
      <c r="X68" s="273"/>
      <c r="Y68" s="273"/>
    </row>
    <row r="69" spans="2:25" x14ac:dyDescent="0.35">
      <c r="B69" s="98"/>
      <c r="C69" s="81"/>
      <c r="D69" s="81"/>
      <c r="E69" s="81"/>
      <c r="F69" s="81"/>
      <c r="G69" s="81"/>
      <c r="H69" s="81"/>
      <c r="I69" s="81"/>
      <c r="L69" s="199"/>
      <c r="M69" s="199"/>
      <c r="N69" s="199"/>
      <c r="O69" s="199"/>
      <c r="P69" s="199"/>
      <c r="Q69" s="199"/>
      <c r="R69" s="199"/>
      <c r="S69" s="199">
        <v>67</v>
      </c>
      <c r="T69" s="199">
        <v>70</v>
      </c>
      <c r="U69" s="199"/>
      <c r="V69" s="199"/>
      <c r="W69" s="273"/>
      <c r="X69" s="273"/>
      <c r="Y69" s="273"/>
    </row>
    <row r="70" spans="2:25" x14ac:dyDescent="0.35">
      <c r="B70" s="98"/>
      <c r="C70" s="81"/>
      <c r="D70" s="81"/>
      <c r="E70" s="81"/>
      <c r="F70" s="81"/>
      <c r="G70" s="81"/>
      <c r="H70" s="81"/>
      <c r="I70" s="81"/>
      <c r="L70" s="199"/>
      <c r="M70" s="199"/>
      <c r="N70" s="199"/>
      <c r="O70" s="199"/>
      <c r="P70" s="199"/>
      <c r="Q70" s="199"/>
      <c r="R70" s="199"/>
      <c r="S70" s="199">
        <v>68</v>
      </c>
      <c r="T70" s="199">
        <v>70</v>
      </c>
      <c r="U70" s="199"/>
      <c r="V70" s="199"/>
      <c r="W70" s="273"/>
      <c r="X70" s="273"/>
      <c r="Y70" s="273"/>
    </row>
    <row r="71" spans="2:25" x14ac:dyDescent="0.35">
      <c r="B71" s="98"/>
      <c r="C71" s="81"/>
      <c r="D71" s="81"/>
      <c r="E71" s="81"/>
      <c r="F71" s="81"/>
      <c r="G71" s="81"/>
      <c r="H71" s="81"/>
      <c r="I71" s="81"/>
      <c r="L71" s="199"/>
      <c r="M71" s="199"/>
      <c r="N71" s="199"/>
      <c r="O71" s="199"/>
      <c r="P71" s="199"/>
      <c r="Q71" s="199"/>
      <c r="R71" s="199"/>
      <c r="S71" s="199">
        <v>69</v>
      </c>
      <c r="T71" s="199">
        <v>70</v>
      </c>
      <c r="U71" s="199"/>
      <c r="V71" s="199"/>
      <c r="W71" s="273"/>
      <c r="X71" s="273"/>
      <c r="Y71" s="273"/>
    </row>
    <row r="72" spans="2:25" x14ac:dyDescent="0.35">
      <c r="B72" s="98"/>
      <c r="C72" s="81"/>
      <c r="D72" s="81"/>
      <c r="E72" s="81"/>
      <c r="F72" s="81"/>
      <c r="G72" s="81"/>
      <c r="H72" s="81"/>
      <c r="I72" s="81"/>
      <c r="L72" s="199"/>
      <c r="M72" s="199"/>
      <c r="N72" s="199"/>
      <c r="O72" s="199"/>
      <c r="P72" s="199"/>
      <c r="Q72" s="199"/>
      <c r="R72" s="199"/>
      <c r="S72" s="199">
        <v>70</v>
      </c>
      <c r="T72" s="199">
        <v>70</v>
      </c>
      <c r="U72" s="199">
        <v>70</v>
      </c>
      <c r="V72" s="199"/>
      <c r="W72" s="273"/>
      <c r="X72" s="273"/>
      <c r="Y72" s="273"/>
    </row>
    <row r="73" spans="2:25" x14ac:dyDescent="0.35">
      <c r="B73" s="98"/>
      <c r="C73" s="81"/>
      <c r="D73" s="81"/>
      <c r="E73" s="81"/>
      <c r="F73" s="81"/>
      <c r="G73" s="81"/>
      <c r="H73" s="81"/>
      <c r="I73" s="81"/>
      <c r="L73" s="199"/>
      <c r="M73" s="199"/>
      <c r="N73" s="199"/>
      <c r="O73" s="199"/>
      <c r="P73" s="199"/>
      <c r="Q73" s="199"/>
      <c r="R73" s="199"/>
      <c r="S73" s="199">
        <v>71</v>
      </c>
      <c r="T73" s="199">
        <v>100</v>
      </c>
      <c r="U73" s="199"/>
      <c r="V73" s="199"/>
      <c r="W73" s="273"/>
      <c r="X73" s="273"/>
      <c r="Y73" s="273"/>
    </row>
    <row r="74" spans="2:25" x14ac:dyDescent="0.35">
      <c r="B74" s="98"/>
      <c r="C74" s="81"/>
      <c r="D74" s="81"/>
      <c r="E74" s="81"/>
      <c r="F74" s="81"/>
      <c r="G74" s="81"/>
      <c r="H74" s="81"/>
      <c r="I74" s="81"/>
      <c r="L74" s="199"/>
      <c r="M74" s="199"/>
      <c r="N74" s="199"/>
      <c r="O74" s="199"/>
      <c r="P74" s="199"/>
      <c r="Q74" s="199"/>
      <c r="R74" s="199"/>
      <c r="S74" s="199">
        <v>72</v>
      </c>
      <c r="T74" s="199">
        <v>100</v>
      </c>
      <c r="U74" s="199"/>
      <c r="V74" s="199"/>
      <c r="W74" s="273"/>
      <c r="X74" s="273"/>
      <c r="Y74" s="273"/>
    </row>
    <row r="75" spans="2:25" x14ac:dyDescent="0.35">
      <c r="B75" s="98"/>
      <c r="C75" s="81"/>
      <c r="D75" s="81"/>
      <c r="E75" s="81"/>
      <c r="F75" s="81"/>
      <c r="G75" s="81"/>
      <c r="H75" s="81"/>
      <c r="I75" s="81"/>
      <c r="L75" s="199"/>
      <c r="M75" s="199"/>
      <c r="N75" s="199"/>
      <c r="O75" s="199"/>
      <c r="P75" s="199"/>
      <c r="Q75" s="199"/>
      <c r="R75" s="199"/>
      <c r="S75" s="199">
        <v>73</v>
      </c>
      <c r="T75" s="199">
        <v>100</v>
      </c>
      <c r="U75" s="199"/>
      <c r="V75" s="199"/>
      <c r="W75" s="273"/>
      <c r="X75" s="273"/>
      <c r="Y75" s="273"/>
    </row>
    <row r="76" spans="2:25" x14ac:dyDescent="0.35">
      <c r="B76" s="98"/>
      <c r="C76" s="81"/>
      <c r="D76" s="81"/>
      <c r="E76" s="81"/>
      <c r="F76" s="81"/>
      <c r="G76" s="81"/>
      <c r="H76" s="81"/>
      <c r="I76" s="81"/>
      <c r="L76" s="199"/>
      <c r="M76" s="199"/>
      <c r="N76" s="199"/>
      <c r="O76" s="199"/>
      <c r="P76" s="199"/>
      <c r="Q76" s="199"/>
      <c r="R76" s="199"/>
      <c r="S76" s="199">
        <v>74</v>
      </c>
      <c r="T76" s="199">
        <v>100</v>
      </c>
      <c r="U76" s="199"/>
      <c r="V76" s="199"/>
      <c r="W76" s="273"/>
      <c r="X76" s="273"/>
      <c r="Y76" s="273"/>
    </row>
    <row r="77" spans="2:25" x14ac:dyDescent="0.35">
      <c r="H77" s="81"/>
      <c r="I77" s="81"/>
      <c r="L77" s="199"/>
      <c r="M77" s="199"/>
      <c r="N77" s="199"/>
      <c r="O77" s="199"/>
      <c r="P77" s="199"/>
      <c r="Q77" s="199"/>
      <c r="R77" s="199"/>
      <c r="S77" s="199">
        <v>75</v>
      </c>
      <c r="T77" s="199">
        <v>100</v>
      </c>
      <c r="U77" s="199"/>
      <c r="V77" s="199"/>
      <c r="W77" s="273"/>
      <c r="X77" s="273"/>
      <c r="Y77" s="273"/>
    </row>
    <row r="78" spans="2:25" x14ac:dyDescent="0.35">
      <c r="L78" s="199"/>
      <c r="M78" s="199"/>
      <c r="N78" s="199"/>
      <c r="O78" s="199"/>
      <c r="P78" s="199"/>
      <c r="Q78" s="199"/>
      <c r="R78" s="199"/>
      <c r="S78" s="199">
        <v>76</v>
      </c>
      <c r="T78" s="199">
        <v>100</v>
      </c>
      <c r="U78" s="199"/>
      <c r="V78" s="199"/>
      <c r="W78" s="273"/>
      <c r="X78" s="273"/>
      <c r="Y78" s="273"/>
    </row>
    <row r="79" spans="2:25" x14ac:dyDescent="0.35">
      <c r="L79" s="199"/>
      <c r="M79" s="199"/>
      <c r="N79" s="199"/>
      <c r="O79" s="199"/>
      <c r="P79" s="199"/>
      <c r="Q79" s="199"/>
      <c r="R79" s="199"/>
      <c r="S79" s="199">
        <v>77</v>
      </c>
      <c r="T79" s="199">
        <v>100</v>
      </c>
      <c r="U79" s="199"/>
      <c r="V79" s="199"/>
      <c r="W79" s="273"/>
      <c r="X79" s="273"/>
      <c r="Y79" s="273"/>
    </row>
    <row r="80" spans="2:25" x14ac:dyDescent="0.35">
      <c r="L80" s="199"/>
      <c r="M80" s="199"/>
      <c r="N80" s="199"/>
      <c r="O80" s="199"/>
      <c r="P80" s="199"/>
      <c r="Q80" s="199"/>
      <c r="R80" s="199"/>
      <c r="S80" s="199">
        <v>78</v>
      </c>
      <c r="T80" s="199">
        <v>100</v>
      </c>
      <c r="U80" s="199"/>
      <c r="V80" s="199"/>
      <c r="W80" s="273"/>
      <c r="X80" s="273"/>
      <c r="Y80" s="273"/>
    </row>
    <row r="81" spans="12:25" x14ac:dyDescent="0.35">
      <c r="L81" s="199"/>
      <c r="M81" s="199"/>
      <c r="N81" s="199"/>
      <c r="O81" s="199"/>
      <c r="P81" s="199"/>
      <c r="Q81" s="199"/>
      <c r="R81" s="199"/>
      <c r="S81" s="199">
        <v>79</v>
      </c>
      <c r="T81" s="199">
        <v>100</v>
      </c>
      <c r="U81" s="199"/>
      <c r="V81" s="199"/>
      <c r="W81" s="273"/>
      <c r="X81" s="273"/>
      <c r="Y81" s="273"/>
    </row>
    <row r="82" spans="12:25" x14ac:dyDescent="0.35">
      <c r="L82" s="199"/>
      <c r="M82" s="199"/>
      <c r="N82" s="199"/>
      <c r="O82" s="199"/>
      <c r="P82" s="199"/>
      <c r="Q82" s="199"/>
      <c r="R82" s="199"/>
      <c r="S82" s="199">
        <v>80</v>
      </c>
      <c r="T82" s="199">
        <v>100</v>
      </c>
      <c r="U82" s="199"/>
      <c r="V82" s="199"/>
      <c r="W82" s="273"/>
      <c r="X82" s="273"/>
      <c r="Y82" s="273"/>
    </row>
    <row r="83" spans="12:25" x14ac:dyDescent="0.35">
      <c r="L83" s="199"/>
      <c r="M83" s="199"/>
      <c r="N83" s="199"/>
      <c r="O83" s="199"/>
      <c r="P83" s="199"/>
      <c r="Q83" s="199"/>
      <c r="R83" s="199"/>
      <c r="S83" s="199">
        <v>81</v>
      </c>
      <c r="T83" s="199">
        <v>100</v>
      </c>
      <c r="U83" s="199"/>
      <c r="V83" s="199"/>
      <c r="W83" s="273"/>
      <c r="X83" s="273"/>
      <c r="Y83" s="273"/>
    </row>
    <row r="84" spans="12:25" x14ac:dyDescent="0.35">
      <c r="L84" s="199"/>
      <c r="M84" s="199"/>
      <c r="N84" s="199"/>
      <c r="O84" s="199"/>
      <c r="P84" s="199"/>
      <c r="Q84" s="199"/>
      <c r="R84" s="199"/>
      <c r="S84" s="199">
        <v>82</v>
      </c>
      <c r="T84" s="199">
        <v>100</v>
      </c>
      <c r="U84" s="199"/>
      <c r="V84" s="199"/>
      <c r="W84" s="273"/>
      <c r="X84" s="273"/>
      <c r="Y84" s="273"/>
    </row>
    <row r="85" spans="12:25" x14ac:dyDescent="0.35">
      <c r="L85" s="199"/>
      <c r="M85" s="199"/>
      <c r="N85" s="199"/>
      <c r="O85" s="199"/>
      <c r="P85" s="199"/>
      <c r="Q85" s="199"/>
      <c r="R85" s="199"/>
      <c r="S85" s="199">
        <v>83</v>
      </c>
      <c r="T85" s="199">
        <v>100</v>
      </c>
      <c r="U85" s="199"/>
      <c r="V85" s="199"/>
      <c r="W85" s="273"/>
      <c r="X85" s="273"/>
      <c r="Y85" s="273"/>
    </row>
    <row r="86" spans="12:25" x14ac:dyDescent="0.35">
      <c r="L86" s="199"/>
      <c r="M86" s="199"/>
      <c r="N86" s="199"/>
      <c r="O86" s="199"/>
      <c r="P86" s="199"/>
      <c r="Q86" s="199"/>
      <c r="R86" s="199"/>
      <c r="S86" s="199">
        <v>84</v>
      </c>
      <c r="T86" s="199">
        <v>100</v>
      </c>
      <c r="U86" s="199"/>
      <c r="V86" s="199"/>
      <c r="W86" s="273"/>
      <c r="X86" s="273"/>
      <c r="Y86" s="273"/>
    </row>
    <row r="87" spans="12:25" x14ac:dyDescent="0.35">
      <c r="L87" s="199"/>
      <c r="M87" s="199"/>
      <c r="N87" s="199"/>
      <c r="O87" s="199"/>
      <c r="P87" s="199"/>
      <c r="Q87" s="199"/>
      <c r="R87" s="199"/>
      <c r="S87" s="199">
        <v>85</v>
      </c>
      <c r="T87" s="199">
        <v>100</v>
      </c>
      <c r="U87" s="199"/>
      <c r="V87" s="199"/>
      <c r="W87" s="273"/>
      <c r="X87" s="273"/>
      <c r="Y87" s="273"/>
    </row>
    <row r="88" spans="12:25" x14ac:dyDescent="0.35">
      <c r="L88" s="199"/>
      <c r="M88" s="199"/>
      <c r="N88" s="199"/>
      <c r="O88" s="199"/>
      <c r="P88" s="199"/>
      <c r="Q88" s="199"/>
      <c r="R88" s="199"/>
      <c r="S88" s="199">
        <v>86</v>
      </c>
      <c r="T88" s="199">
        <v>100</v>
      </c>
      <c r="U88" s="199"/>
      <c r="V88" s="199"/>
      <c r="W88" s="273"/>
      <c r="X88" s="273"/>
      <c r="Y88" s="273"/>
    </row>
    <row r="89" spans="12:25" x14ac:dyDescent="0.35">
      <c r="L89" s="199"/>
      <c r="M89" s="199"/>
      <c r="N89" s="199"/>
      <c r="O89" s="199"/>
      <c r="P89" s="199"/>
      <c r="Q89" s="199"/>
      <c r="R89" s="199"/>
      <c r="S89" s="199">
        <v>87</v>
      </c>
      <c r="T89" s="199">
        <v>100</v>
      </c>
      <c r="U89" s="199"/>
      <c r="V89" s="199"/>
      <c r="W89" s="273"/>
      <c r="X89" s="273"/>
      <c r="Y89" s="273"/>
    </row>
    <row r="90" spans="12:25" x14ac:dyDescent="0.35">
      <c r="L90" s="199"/>
      <c r="M90" s="199"/>
      <c r="N90" s="199"/>
      <c r="O90" s="199"/>
      <c r="P90" s="199"/>
      <c r="Q90" s="199"/>
      <c r="R90" s="199"/>
      <c r="S90" s="199">
        <v>88</v>
      </c>
      <c r="T90" s="199">
        <v>100</v>
      </c>
      <c r="U90" s="199"/>
      <c r="V90" s="199"/>
      <c r="W90" s="273"/>
      <c r="X90" s="273"/>
      <c r="Y90" s="273"/>
    </row>
    <row r="91" spans="12:25" x14ac:dyDescent="0.35">
      <c r="L91" s="199"/>
      <c r="M91" s="199"/>
      <c r="N91" s="199"/>
      <c r="O91" s="199"/>
      <c r="P91" s="199"/>
      <c r="Q91" s="199"/>
      <c r="R91" s="199"/>
      <c r="S91" s="199">
        <v>89</v>
      </c>
      <c r="T91" s="199">
        <v>100</v>
      </c>
      <c r="U91" s="199"/>
      <c r="V91" s="199"/>
      <c r="W91" s="273"/>
      <c r="X91" s="273"/>
      <c r="Y91" s="273"/>
    </row>
    <row r="92" spans="12:25" x14ac:dyDescent="0.35">
      <c r="L92" s="199"/>
      <c r="M92" s="199"/>
      <c r="N92" s="199"/>
      <c r="O92" s="199"/>
      <c r="P92" s="199"/>
      <c r="Q92" s="199"/>
      <c r="R92" s="199"/>
      <c r="S92" s="199">
        <v>90</v>
      </c>
      <c r="T92" s="199">
        <v>100</v>
      </c>
      <c r="U92" s="199"/>
      <c r="V92" s="199"/>
      <c r="W92" s="273"/>
      <c r="X92" s="273"/>
      <c r="Y92" s="273"/>
    </row>
    <row r="93" spans="12:25" x14ac:dyDescent="0.35">
      <c r="L93" s="199"/>
      <c r="M93" s="199"/>
      <c r="N93" s="199"/>
      <c r="O93" s="199"/>
      <c r="P93" s="199"/>
      <c r="Q93" s="199"/>
      <c r="R93" s="199"/>
      <c r="S93" s="199">
        <v>91</v>
      </c>
      <c r="T93" s="199">
        <v>100</v>
      </c>
      <c r="U93" s="199"/>
      <c r="V93" s="199"/>
      <c r="W93" s="273"/>
      <c r="X93" s="273"/>
      <c r="Y93" s="273"/>
    </row>
    <row r="94" spans="12:25" x14ac:dyDescent="0.35">
      <c r="L94" s="199"/>
      <c r="M94" s="199"/>
      <c r="N94" s="199"/>
      <c r="O94" s="199"/>
      <c r="P94" s="199"/>
      <c r="Q94" s="199"/>
      <c r="R94" s="199"/>
      <c r="S94" s="199">
        <v>92</v>
      </c>
      <c r="T94" s="199">
        <v>100</v>
      </c>
      <c r="U94" s="199"/>
      <c r="V94" s="199"/>
      <c r="W94" s="273"/>
      <c r="X94" s="273"/>
      <c r="Y94" s="273"/>
    </row>
    <row r="95" spans="12:25" x14ac:dyDescent="0.35">
      <c r="L95" s="199"/>
      <c r="M95" s="199"/>
      <c r="N95" s="199"/>
      <c r="O95" s="199"/>
      <c r="P95" s="199"/>
      <c r="Q95" s="199"/>
      <c r="R95" s="199"/>
      <c r="S95" s="199">
        <v>93</v>
      </c>
      <c r="T95" s="199">
        <v>100</v>
      </c>
      <c r="U95" s="199"/>
      <c r="V95" s="199"/>
      <c r="W95" s="273"/>
      <c r="X95" s="273"/>
      <c r="Y95" s="273"/>
    </row>
    <row r="96" spans="12:25" x14ac:dyDescent="0.35">
      <c r="L96" s="199"/>
      <c r="M96" s="199"/>
      <c r="N96" s="199"/>
      <c r="O96" s="199"/>
      <c r="P96" s="199"/>
      <c r="Q96" s="199"/>
      <c r="R96" s="199"/>
      <c r="S96" s="199">
        <v>94</v>
      </c>
      <c r="T96" s="199">
        <v>100</v>
      </c>
      <c r="U96" s="199"/>
      <c r="V96" s="199"/>
      <c r="W96" s="273"/>
      <c r="X96" s="273"/>
      <c r="Y96" s="273"/>
    </row>
    <row r="97" spans="12:25" x14ac:dyDescent="0.35">
      <c r="L97" s="199"/>
      <c r="M97" s="199"/>
      <c r="N97" s="199"/>
      <c r="O97" s="199"/>
      <c r="P97" s="199"/>
      <c r="Q97" s="199"/>
      <c r="R97" s="199"/>
      <c r="S97" s="199">
        <v>95</v>
      </c>
      <c r="T97" s="199">
        <v>100</v>
      </c>
      <c r="U97" s="199"/>
      <c r="V97" s="199"/>
      <c r="W97" s="273"/>
      <c r="X97" s="273"/>
      <c r="Y97" s="273"/>
    </row>
    <row r="98" spans="12:25" x14ac:dyDescent="0.35">
      <c r="L98" s="199"/>
      <c r="M98" s="199"/>
      <c r="N98" s="199"/>
      <c r="O98" s="199"/>
      <c r="P98" s="199"/>
      <c r="Q98" s="199"/>
      <c r="R98" s="199"/>
      <c r="S98" s="199">
        <v>96</v>
      </c>
      <c r="T98" s="199">
        <v>100</v>
      </c>
      <c r="U98" s="199"/>
      <c r="V98" s="199"/>
      <c r="W98" s="273"/>
      <c r="X98" s="273"/>
      <c r="Y98" s="273"/>
    </row>
    <row r="99" spans="12:25" x14ac:dyDescent="0.35">
      <c r="L99" s="199"/>
      <c r="M99" s="199"/>
      <c r="N99" s="199"/>
      <c r="O99" s="199"/>
      <c r="P99" s="199"/>
      <c r="Q99" s="199"/>
      <c r="R99" s="199"/>
      <c r="S99" s="199">
        <v>97</v>
      </c>
      <c r="T99" s="199">
        <v>100</v>
      </c>
      <c r="U99" s="199"/>
      <c r="V99" s="199"/>
      <c r="W99" s="273"/>
      <c r="X99" s="273"/>
      <c r="Y99" s="273"/>
    </row>
    <row r="100" spans="12:25" x14ac:dyDescent="0.35">
      <c r="L100" s="199"/>
      <c r="M100" s="199"/>
      <c r="N100" s="199"/>
      <c r="O100" s="199"/>
      <c r="P100" s="199"/>
      <c r="Q100" s="199"/>
      <c r="R100" s="199"/>
      <c r="S100" s="199">
        <v>98</v>
      </c>
      <c r="T100" s="199">
        <v>100</v>
      </c>
      <c r="U100" s="199"/>
      <c r="V100" s="199"/>
      <c r="W100" s="273"/>
      <c r="X100" s="273"/>
      <c r="Y100" s="273"/>
    </row>
    <row r="101" spans="12:25" x14ac:dyDescent="0.35">
      <c r="L101" s="199"/>
      <c r="M101" s="199"/>
      <c r="N101" s="199"/>
      <c r="O101" s="199"/>
      <c r="P101" s="199"/>
      <c r="Q101" s="199"/>
      <c r="R101" s="199"/>
      <c r="S101" s="199">
        <v>99</v>
      </c>
      <c r="T101" s="199">
        <v>100</v>
      </c>
      <c r="U101" s="199"/>
      <c r="V101" s="199"/>
      <c r="W101" s="273"/>
      <c r="X101" s="273"/>
      <c r="Y101" s="273"/>
    </row>
    <row r="102" spans="12:25" x14ac:dyDescent="0.35">
      <c r="L102" s="199"/>
      <c r="M102" s="199"/>
      <c r="N102" s="199"/>
      <c r="O102" s="199"/>
      <c r="P102" s="199"/>
      <c r="Q102" s="199"/>
      <c r="R102" s="199"/>
      <c r="S102" s="199">
        <v>100</v>
      </c>
      <c r="T102" s="199">
        <v>100</v>
      </c>
      <c r="U102" s="199">
        <v>100</v>
      </c>
      <c r="V102" s="199"/>
      <c r="W102" s="273"/>
      <c r="X102" s="273"/>
      <c r="Y102" s="273"/>
    </row>
    <row r="103" spans="12:25" x14ac:dyDescent="0.35">
      <c r="L103" s="199"/>
      <c r="M103" s="199"/>
      <c r="N103" s="199"/>
      <c r="O103" s="199"/>
      <c r="P103" s="199"/>
      <c r="Q103" s="199"/>
      <c r="R103" s="199"/>
      <c r="S103" s="199">
        <v>101</v>
      </c>
      <c r="T103" s="199">
        <v>150</v>
      </c>
      <c r="U103" s="199"/>
      <c r="V103" s="199"/>
      <c r="W103" s="273"/>
      <c r="X103" s="273"/>
      <c r="Y103" s="273"/>
    </row>
    <row r="104" spans="12:25" x14ac:dyDescent="0.35">
      <c r="L104" s="199"/>
      <c r="M104" s="199"/>
      <c r="N104" s="199"/>
      <c r="O104" s="199"/>
      <c r="P104" s="199"/>
      <c r="Q104" s="199"/>
      <c r="R104" s="199"/>
      <c r="S104" s="199">
        <v>102</v>
      </c>
      <c r="T104" s="199">
        <v>150</v>
      </c>
      <c r="U104" s="199"/>
      <c r="V104" s="199"/>
      <c r="W104" s="273"/>
      <c r="X104" s="273"/>
      <c r="Y104" s="273"/>
    </row>
    <row r="105" spans="12:25" x14ac:dyDescent="0.35">
      <c r="L105" s="199"/>
      <c r="M105" s="199"/>
      <c r="N105" s="199"/>
      <c r="O105" s="199"/>
      <c r="P105" s="199"/>
      <c r="Q105" s="199"/>
      <c r="R105" s="199"/>
      <c r="S105" s="199">
        <v>103</v>
      </c>
      <c r="T105" s="199">
        <v>150</v>
      </c>
      <c r="U105" s="199"/>
      <c r="V105" s="199"/>
      <c r="W105" s="273"/>
      <c r="X105" s="273"/>
      <c r="Y105" s="273"/>
    </row>
    <row r="106" spans="12:25" x14ac:dyDescent="0.35">
      <c r="L106" s="199"/>
      <c r="M106" s="199"/>
      <c r="N106" s="199"/>
      <c r="O106" s="199"/>
      <c r="P106" s="199"/>
      <c r="Q106" s="199"/>
      <c r="R106" s="199"/>
      <c r="S106" s="199">
        <v>104</v>
      </c>
      <c r="T106" s="199">
        <v>150</v>
      </c>
      <c r="U106" s="199"/>
      <c r="V106" s="199"/>
      <c r="W106" s="273"/>
      <c r="X106" s="273"/>
      <c r="Y106" s="273"/>
    </row>
    <row r="107" spans="12:25" x14ac:dyDescent="0.35">
      <c r="L107" s="199"/>
      <c r="M107" s="199"/>
      <c r="N107" s="199"/>
      <c r="O107" s="199"/>
      <c r="P107" s="199"/>
      <c r="Q107" s="199"/>
      <c r="R107" s="199"/>
      <c r="S107" s="199">
        <v>105</v>
      </c>
      <c r="T107" s="199">
        <v>150</v>
      </c>
      <c r="U107" s="199"/>
      <c r="V107" s="199"/>
      <c r="W107" s="273"/>
      <c r="X107" s="273"/>
      <c r="Y107" s="273"/>
    </row>
    <row r="108" spans="12:25" x14ac:dyDescent="0.35">
      <c r="L108" s="199"/>
      <c r="M108" s="199"/>
      <c r="N108" s="199"/>
      <c r="O108" s="199"/>
      <c r="P108" s="199"/>
      <c r="Q108" s="199"/>
      <c r="R108" s="199"/>
      <c r="S108" s="199">
        <v>106</v>
      </c>
      <c r="T108" s="199">
        <v>150</v>
      </c>
      <c r="U108" s="199"/>
      <c r="V108" s="199"/>
      <c r="W108" s="273"/>
      <c r="X108" s="273"/>
      <c r="Y108" s="273"/>
    </row>
    <row r="109" spans="12:25" x14ac:dyDescent="0.35">
      <c r="L109" s="199"/>
      <c r="M109" s="199"/>
      <c r="N109" s="199"/>
      <c r="O109" s="199"/>
      <c r="P109" s="199"/>
      <c r="Q109" s="199"/>
      <c r="R109" s="199"/>
      <c r="S109" s="199">
        <v>107</v>
      </c>
      <c r="T109" s="199">
        <v>150</v>
      </c>
      <c r="U109" s="199"/>
      <c r="V109" s="199"/>
      <c r="W109" s="273"/>
      <c r="X109" s="273"/>
      <c r="Y109" s="273"/>
    </row>
    <row r="110" spans="12:25" x14ac:dyDescent="0.35">
      <c r="L110" s="199"/>
      <c r="M110" s="199"/>
      <c r="N110" s="199"/>
      <c r="O110" s="199"/>
      <c r="P110" s="199"/>
      <c r="Q110" s="199"/>
      <c r="R110" s="199"/>
      <c r="S110" s="199">
        <v>108</v>
      </c>
      <c r="T110" s="199">
        <v>150</v>
      </c>
      <c r="U110" s="199"/>
      <c r="V110" s="199"/>
      <c r="W110" s="273"/>
      <c r="X110" s="273"/>
      <c r="Y110" s="273"/>
    </row>
    <row r="111" spans="12:25" x14ac:dyDescent="0.35">
      <c r="L111" s="199"/>
      <c r="M111" s="199"/>
      <c r="N111" s="199"/>
      <c r="O111" s="199"/>
      <c r="P111" s="199"/>
      <c r="Q111" s="199"/>
      <c r="R111" s="199"/>
      <c r="S111" s="199">
        <v>109</v>
      </c>
      <c r="T111" s="199">
        <v>150</v>
      </c>
      <c r="U111" s="199"/>
      <c r="V111" s="199"/>
      <c r="W111" s="273"/>
      <c r="X111" s="273"/>
      <c r="Y111" s="273"/>
    </row>
    <row r="112" spans="12:25" x14ac:dyDescent="0.35">
      <c r="L112" s="199"/>
      <c r="M112" s="199"/>
      <c r="N112" s="199"/>
      <c r="O112" s="199"/>
      <c r="P112" s="199"/>
      <c r="Q112" s="199"/>
      <c r="R112" s="199"/>
      <c r="S112" s="199">
        <v>110</v>
      </c>
      <c r="T112" s="199">
        <v>150</v>
      </c>
      <c r="U112" s="199"/>
      <c r="V112" s="199"/>
      <c r="W112" s="273"/>
      <c r="X112" s="273"/>
      <c r="Y112" s="273"/>
    </row>
    <row r="113" spans="12:25" x14ac:dyDescent="0.35">
      <c r="L113" s="199"/>
      <c r="M113" s="199"/>
      <c r="N113" s="199"/>
      <c r="O113" s="199"/>
      <c r="P113" s="199"/>
      <c r="Q113" s="199"/>
      <c r="R113" s="199"/>
      <c r="S113" s="199">
        <v>111</v>
      </c>
      <c r="T113" s="199">
        <v>150</v>
      </c>
      <c r="U113" s="199"/>
      <c r="V113" s="199"/>
      <c r="W113" s="273"/>
      <c r="X113" s="273"/>
      <c r="Y113" s="273"/>
    </row>
    <row r="114" spans="12:25" x14ac:dyDescent="0.35">
      <c r="L114" s="199"/>
      <c r="M114" s="199"/>
      <c r="N114" s="199"/>
      <c r="O114" s="199"/>
      <c r="P114" s="199"/>
      <c r="Q114" s="199"/>
      <c r="R114" s="199"/>
      <c r="S114" s="199">
        <v>112</v>
      </c>
      <c r="T114" s="199">
        <v>150</v>
      </c>
      <c r="U114" s="199"/>
      <c r="V114" s="199"/>
      <c r="W114" s="273"/>
      <c r="X114" s="273"/>
      <c r="Y114" s="273"/>
    </row>
    <row r="115" spans="12:25" x14ac:dyDescent="0.35">
      <c r="L115" s="199"/>
      <c r="M115" s="199"/>
      <c r="N115" s="199"/>
      <c r="O115" s="199"/>
      <c r="P115" s="199"/>
      <c r="Q115" s="199"/>
      <c r="R115" s="199"/>
      <c r="S115" s="199">
        <v>113</v>
      </c>
      <c r="T115" s="199">
        <v>150</v>
      </c>
      <c r="U115" s="199"/>
      <c r="V115" s="199"/>
      <c r="W115" s="273"/>
      <c r="X115" s="273"/>
      <c r="Y115" s="273"/>
    </row>
    <row r="116" spans="12:25" x14ac:dyDescent="0.35">
      <c r="L116" s="199"/>
      <c r="M116" s="199"/>
      <c r="N116" s="199"/>
      <c r="O116" s="199"/>
      <c r="P116" s="199"/>
      <c r="Q116" s="199"/>
      <c r="R116" s="199"/>
      <c r="S116" s="199">
        <v>114</v>
      </c>
      <c r="T116" s="199">
        <v>150</v>
      </c>
      <c r="U116" s="199"/>
      <c r="V116" s="199"/>
      <c r="W116" s="273"/>
      <c r="X116" s="273"/>
      <c r="Y116" s="273"/>
    </row>
    <row r="117" spans="12:25" x14ac:dyDescent="0.35">
      <c r="L117" s="199"/>
      <c r="M117" s="199"/>
      <c r="N117" s="199"/>
      <c r="O117" s="199"/>
      <c r="P117" s="199"/>
      <c r="Q117" s="199"/>
      <c r="R117" s="199"/>
      <c r="S117" s="199">
        <v>115</v>
      </c>
      <c r="T117" s="199">
        <v>150</v>
      </c>
      <c r="U117" s="199"/>
      <c r="V117" s="199"/>
      <c r="W117" s="273"/>
      <c r="X117" s="273"/>
      <c r="Y117" s="273"/>
    </row>
    <row r="118" spans="12:25" x14ac:dyDescent="0.35">
      <c r="L118" s="199"/>
      <c r="M118" s="199"/>
      <c r="N118" s="199"/>
      <c r="O118" s="199"/>
      <c r="P118" s="199"/>
      <c r="Q118" s="199"/>
      <c r="R118" s="199"/>
      <c r="S118" s="199">
        <v>116</v>
      </c>
      <c r="T118" s="199">
        <v>150</v>
      </c>
      <c r="U118" s="199"/>
      <c r="V118" s="199"/>
      <c r="W118" s="273"/>
      <c r="X118" s="273"/>
      <c r="Y118" s="273"/>
    </row>
    <row r="119" spans="12:25" x14ac:dyDescent="0.35">
      <c r="L119" s="199"/>
      <c r="M119" s="199"/>
      <c r="N119" s="199"/>
      <c r="O119" s="199"/>
      <c r="P119" s="199"/>
      <c r="Q119" s="199"/>
      <c r="R119" s="199"/>
      <c r="S119" s="199">
        <v>117</v>
      </c>
      <c r="T119" s="199">
        <v>150</v>
      </c>
      <c r="U119" s="199"/>
      <c r="V119" s="199"/>
      <c r="W119" s="273"/>
      <c r="X119" s="273"/>
      <c r="Y119" s="273"/>
    </row>
    <row r="120" spans="12:25" x14ac:dyDescent="0.35">
      <c r="L120" s="199"/>
      <c r="M120" s="199"/>
      <c r="N120" s="199"/>
      <c r="O120" s="199"/>
      <c r="P120" s="199"/>
      <c r="Q120" s="199"/>
      <c r="R120" s="199"/>
      <c r="S120" s="199">
        <v>118</v>
      </c>
      <c r="T120" s="199">
        <v>150</v>
      </c>
      <c r="U120" s="199"/>
      <c r="V120" s="199"/>
      <c r="W120" s="273"/>
      <c r="X120" s="273"/>
      <c r="Y120" s="273"/>
    </row>
    <row r="121" spans="12:25" x14ac:dyDescent="0.35">
      <c r="L121" s="199"/>
      <c r="M121" s="199"/>
      <c r="N121" s="199"/>
      <c r="O121" s="199"/>
      <c r="P121" s="199"/>
      <c r="Q121" s="199"/>
      <c r="R121" s="199"/>
      <c r="S121" s="199">
        <v>119</v>
      </c>
      <c r="T121" s="199">
        <v>150</v>
      </c>
      <c r="U121" s="199"/>
      <c r="V121" s="199"/>
      <c r="W121" s="273"/>
      <c r="X121" s="273"/>
      <c r="Y121" s="273"/>
    </row>
    <row r="122" spans="12:25" x14ac:dyDescent="0.35">
      <c r="L122" s="199"/>
      <c r="M122" s="199"/>
      <c r="N122" s="199"/>
      <c r="O122" s="199"/>
      <c r="P122" s="199"/>
      <c r="Q122" s="199"/>
      <c r="R122" s="199"/>
      <c r="S122" s="199">
        <v>120</v>
      </c>
      <c r="T122" s="199">
        <v>150</v>
      </c>
      <c r="U122" s="199"/>
      <c r="V122" s="199"/>
      <c r="W122" s="273"/>
      <c r="X122" s="273"/>
      <c r="Y122" s="273"/>
    </row>
    <row r="123" spans="12:25" x14ac:dyDescent="0.35">
      <c r="L123" s="199"/>
      <c r="M123" s="199"/>
      <c r="N123" s="199"/>
      <c r="O123" s="199"/>
      <c r="P123" s="199"/>
      <c r="Q123" s="199"/>
      <c r="R123" s="199"/>
      <c r="S123" s="199">
        <v>121</v>
      </c>
      <c r="T123" s="199">
        <v>150</v>
      </c>
      <c r="U123" s="199"/>
      <c r="V123" s="199"/>
      <c r="W123" s="273"/>
      <c r="X123" s="273"/>
      <c r="Y123" s="273"/>
    </row>
    <row r="124" spans="12:25" x14ac:dyDescent="0.35">
      <c r="L124" s="199"/>
      <c r="M124" s="199"/>
      <c r="N124" s="199"/>
      <c r="O124" s="199"/>
      <c r="P124" s="199"/>
      <c r="Q124" s="199"/>
      <c r="R124" s="199"/>
      <c r="S124" s="199">
        <v>122</v>
      </c>
      <c r="T124" s="199">
        <v>150</v>
      </c>
      <c r="U124" s="199"/>
      <c r="V124" s="199"/>
      <c r="W124" s="273"/>
      <c r="X124" s="273"/>
      <c r="Y124" s="273"/>
    </row>
    <row r="125" spans="12:25" x14ac:dyDescent="0.35">
      <c r="L125" s="199"/>
      <c r="M125" s="199"/>
      <c r="N125" s="199"/>
      <c r="O125" s="199"/>
      <c r="P125" s="199"/>
      <c r="Q125" s="199"/>
      <c r="R125" s="199"/>
      <c r="S125" s="199">
        <v>123</v>
      </c>
      <c r="T125" s="199">
        <v>150</v>
      </c>
      <c r="U125" s="199"/>
      <c r="V125" s="199"/>
      <c r="W125" s="273"/>
      <c r="X125" s="273"/>
      <c r="Y125" s="273"/>
    </row>
    <row r="126" spans="12:25" x14ac:dyDescent="0.35">
      <c r="L126" s="199"/>
      <c r="M126" s="199"/>
      <c r="N126" s="199"/>
      <c r="O126" s="199"/>
      <c r="P126" s="199"/>
      <c r="Q126" s="199"/>
      <c r="R126" s="199"/>
      <c r="S126" s="199">
        <v>124</v>
      </c>
      <c r="T126" s="199">
        <v>150</v>
      </c>
      <c r="U126" s="199"/>
      <c r="V126" s="199"/>
      <c r="W126" s="273"/>
      <c r="X126" s="273"/>
      <c r="Y126" s="273"/>
    </row>
    <row r="127" spans="12:25" x14ac:dyDescent="0.35">
      <c r="L127" s="199"/>
      <c r="M127" s="199"/>
      <c r="N127" s="199"/>
      <c r="O127" s="199"/>
      <c r="P127" s="199"/>
      <c r="Q127" s="199"/>
      <c r="R127" s="199"/>
      <c r="S127" s="199">
        <v>125</v>
      </c>
      <c r="T127" s="199">
        <v>150</v>
      </c>
      <c r="U127" s="199"/>
      <c r="V127" s="199"/>
      <c r="W127" s="273"/>
      <c r="X127" s="273"/>
      <c r="Y127" s="273"/>
    </row>
    <row r="128" spans="12:25" x14ac:dyDescent="0.35">
      <c r="L128" s="199"/>
      <c r="M128" s="199"/>
      <c r="N128" s="199"/>
      <c r="O128" s="199"/>
      <c r="P128" s="199"/>
      <c r="Q128" s="199"/>
      <c r="R128" s="199"/>
      <c r="S128" s="199">
        <v>126</v>
      </c>
      <c r="T128" s="199">
        <v>150</v>
      </c>
      <c r="U128" s="199"/>
      <c r="V128" s="199"/>
      <c r="W128" s="273"/>
      <c r="X128" s="273"/>
      <c r="Y128" s="273"/>
    </row>
    <row r="129" spans="12:25" x14ac:dyDescent="0.35">
      <c r="L129" s="199"/>
      <c r="M129" s="199"/>
      <c r="N129" s="199"/>
      <c r="O129" s="199"/>
      <c r="P129" s="199"/>
      <c r="Q129" s="199"/>
      <c r="R129" s="199"/>
      <c r="S129" s="199">
        <v>127</v>
      </c>
      <c r="T129" s="199">
        <v>150</v>
      </c>
      <c r="U129" s="199"/>
      <c r="V129" s="199"/>
      <c r="W129" s="273"/>
      <c r="X129" s="273"/>
      <c r="Y129" s="273"/>
    </row>
    <row r="130" spans="12:25" x14ac:dyDescent="0.35">
      <c r="L130" s="199"/>
      <c r="M130" s="199"/>
      <c r="N130" s="199"/>
      <c r="O130" s="199"/>
      <c r="P130" s="199"/>
      <c r="Q130" s="199"/>
      <c r="R130" s="199"/>
      <c r="S130" s="199">
        <v>128</v>
      </c>
      <c r="T130" s="199">
        <v>150</v>
      </c>
      <c r="U130" s="199"/>
      <c r="V130" s="199"/>
      <c r="W130" s="273"/>
      <c r="X130" s="273"/>
      <c r="Y130" s="273"/>
    </row>
    <row r="131" spans="12:25" x14ac:dyDescent="0.35">
      <c r="L131" s="199"/>
      <c r="M131" s="199"/>
      <c r="N131" s="199"/>
      <c r="O131" s="199"/>
      <c r="P131" s="199"/>
      <c r="Q131" s="199"/>
      <c r="R131" s="199"/>
      <c r="S131" s="199">
        <v>129</v>
      </c>
      <c r="T131" s="199">
        <v>150</v>
      </c>
      <c r="U131" s="199"/>
      <c r="V131" s="199"/>
      <c r="W131" s="273"/>
      <c r="X131" s="273"/>
      <c r="Y131" s="273"/>
    </row>
    <row r="132" spans="12:25" x14ac:dyDescent="0.35">
      <c r="L132" s="199"/>
      <c r="M132" s="199"/>
      <c r="N132" s="199"/>
      <c r="O132" s="199"/>
      <c r="P132" s="199"/>
      <c r="Q132" s="199"/>
      <c r="R132" s="199"/>
      <c r="S132" s="199">
        <v>130</v>
      </c>
      <c r="T132" s="199">
        <v>150</v>
      </c>
      <c r="U132" s="199"/>
      <c r="V132" s="199"/>
      <c r="W132" s="273"/>
      <c r="X132" s="273"/>
      <c r="Y132" s="273"/>
    </row>
    <row r="133" spans="12:25" x14ac:dyDescent="0.35">
      <c r="L133" s="199"/>
      <c r="M133" s="199"/>
      <c r="N133" s="199"/>
      <c r="O133" s="199"/>
      <c r="P133" s="199"/>
      <c r="Q133" s="199"/>
      <c r="R133" s="199"/>
      <c r="S133" s="199">
        <v>131</v>
      </c>
      <c r="T133" s="199">
        <v>150</v>
      </c>
      <c r="U133" s="199"/>
      <c r="V133" s="199"/>
      <c r="W133" s="273"/>
      <c r="X133" s="273"/>
      <c r="Y133" s="273"/>
    </row>
    <row r="134" spans="12:25" x14ac:dyDescent="0.35">
      <c r="L134" s="199"/>
      <c r="M134" s="199"/>
      <c r="N134" s="199"/>
      <c r="O134" s="199"/>
      <c r="P134" s="199"/>
      <c r="Q134" s="199"/>
      <c r="R134" s="199"/>
      <c r="S134" s="199">
        <v>132</v>
      </c>
      <c r="T134" s="199">
        <v>150</v>
      </c>
      <c r="U134" s="199"/>
      <c r="V134" s="199"/>
      <c r="W134" s="273"/>
      <c r="X134" s="273"/>
      <c r="Y134" s="273"/>
    </row>
    <row r="135" spans="12:25" x14ac:dyDescent="0.35">
      <c r="L135" s="199"/>
      <c r="M135" s="199"/>
      <c r="N135" s="199"/>
      <c r="O135" s="199"/>
      <c r="P135" s="199"/>
      <c r="Q135" s="199"/>
      <c r="R135" s="199"/>
      <c r="S135" s="199">
        <v>133</v>
      </c>
      <c r="T135" s="199">
        <v>150</v>
      </c>
      <c r="U135" s="199"/>
      <c r="V135" s="199"/>
      <c r="W135" s="273"/>
      <c r="X135" s="273"/>
      <c r="Y135" s="273"/>
    </row>
    <row r="136" spans="12:25" x14ac:dyDescent="0.35">
      <c r="L136" s="199"/>
      <c r="M136" s="199"/>
      <c r="N136" s="199"/>
      <c r="O136" s="199"/>
      <c r="P136" s="199"/>
      <c r="Q136" s="199"/>
      <c r="R136" s="199"/>
      <c r="S136" s="199">
        <v>134</v>
      </c>
      <c r="T136" s="199">
        <v>150</v>
      </c>
      <c r="U136" s="199"/>
      <c r="V136" s="199"/>
      <c r="W136" s="273"/>
      <c r="X136" s="273"/>
      <c r="Y136" s="273"/>
    </row>
    <row r="137" spans="12:25" x14ac:dyDescent="0.35">
      <c r="L137" s="199"/>
      <c r="M137" s="199"/>
      <c r="N137" s="199"/>
      <c r="O137" s="199"/>
      <c r="P137" s="199"/>
      <c r="Q137" s="199"/>
      <c r="R137" s="199"/>
      <c r="S137" s="199">
        <v>135</v>
      </c>
      <c r="T137" s="199">
        <v>150</v>
      </c>
      <c r="U137" s="199"/>
      <c r="V137" s="199"/>
      <c r="W137" s="273"/>
      <c r="X137" s="273"/>
      <c r="Y137" s="273"/>
    </row>
    <row r="138" spans="12:25" x14ac:dyDescent="0.35">
      <c r="L138" s="199"/>
      <c r="M138" s="199"/>
      <c r="N138" s="199"/>
      <c r="O138" s="199"/>
      <c r="P138" s="199"/>
      <c r="Q138" s="199"/>
      <c r="R138" s="199"/>
      <c r="S138" s="199">
        <v>136</v>
      </c>
      <c r="T138" s="199">
        <v>150</v>
      </c>
      <c r="U138" s="199"/>
      <c r="V138" s="199"/>
      <c r="W138" s="273"/>
      <c r="X138" s="273"/>
      <c r="Y138" s="273"/>
    </row>
    <row r="139" spans="12:25" x14ac:dyDescent="0.35">
      <c r="L139" s="199"/>
      <c r="M139" s="199"/>
      <c r="N139" s="199"/>
      <c r="O139" s="199"/>
      <c r="P139" s="199"/>
      <c r="Q139" s="199"/>
      <c r="R139" s="199"/>
      <c r="S139" s="199">
        <v>137</v>
      </c>
      <c r="T139" s="199">
        <v>150</v>
      </c>
      <c r="U139" s="199"/>
      <c r="V139" s="199"/>
      <c r="W139" s="273"/>
      <c r="X139" s="273"/>
      <c r="Y139" s="273"/>
    </row>
    <row r="140" spans="12:25" x14ac:dyDescent="0.35">
      <c r="L140" s="199"/>
      <c r="M140" s="199"/>
      <c r="N140" s="199"/>
      <c r="O140" s="199"/>
      <c r="P140" s="199"/>
      <c r="Q140" s="199"/>
      <c r="R140" s="199"/>
      <c r="S140" s="199">
        <v>138</v>
      </c>
      <c r="T140" s="199">
        <v>150</v>
      </c>
      <c r="U140" s="199"/>
      <c r="V140" s="199"/>
      <c r="W140" s="273"/>
      <c r="X140" s="273"/>
      <c r="Y140" s="273"/>
    </row>
    <row r="141" spans="12:25" x14ac:dyDescent="0.35">
      <c r="L141" s="199"/>
      <c r="M141" s="199"/>
      <c r="N141" s="199"/>
      <c r="O141" s="199"/>
      <c r="P141" s="199"/>
      <c r="Q141" s="199"/>
      <c r="R141" s="199"/>
      <c r="S141" s="199">
        <v>139</v>
      </c>
      <c r="T141" s="199">
        <v>150</v>
      </c>
      <c r="U141" s="199"/>
      <c r="V141" s="199"/>
      <c r="W141" s="273"/>
      <c r="X141" s="273"/>
      <c r="Y141" s="273"/>
    </row>
    <row r="142" spans="12:25" x14ac:dyDescent="0.35">
      <c r="L142" s="199"/>
      <c r="M142" s="199"/>
      <c r="N142" s="199"/>
      <c r="O142" s="199"/>
      <c r="P142" s="199"/>
      <c r="Q142" s="199"/>
      <c r="R142" s="199"/>
      <c r="S142" s="199">
        <v>140</v>
      </c>
      <c r="T142" s="199">
        <v>150</v>
      </c>
      <c r="U142" s="199"/>
      <c r="V142" s="199"/>
      <c r="W142" s="273"/>
      <c r="X142" s="273"/>
      <c r="Y142" s="273"/>
    </row>
    <row r="143" spans="12:25" x14ac:dyDescent="0.35">
      <c r="L143" s="199"/>
      <c r="M143" s="199"/>
      <c r="N143" s="199"/>
      <c r="O143" s="199"/>
      <c r="P143" s="199"/>
      <c r="Q143" s="199"/>
      <c r="R143" s="199"/>
      <c r="S143" s="199">
        <v>141</v>
      </c>
      <c r="T143" s="199">
        <v>150</v>
      </c>
      <c r="U143" s="199"/>
      <c r="V143" s="199"/>
      <c r="W143" s="273"/>
      <c r="X143" s="273"/>
      <c r="Y143" s="273"/>
    </row>
    <row r="144" spans="12:25" x14ac:dyDescent="0.35">
      <c r="L144" s="199"/>
      <c r="M144" s="199"/>
      <c r="N144" s="199"/>
      <c r="O144" s="199"/>
      <c r="P144" s="199"/>
      <c r="Q144" s="199"/>
      <c r="R144" s="199"/>
      <c r="S144" s="199">
        <v>142</v>
      </c>
      <c r="T144" s="199">
        <v>150</v>
      </c>
      <c r="U144" s="199"/>
      <c r="V144" s="199"/>
      <c r="W144" s="273"/>
      <c r="X144" s="273"/>
      <c r="Y144" s="273"/>
    </row>
    <row r="145" spans="12:25" x14ac:dyDescent="0.35">
      <c r="L145" s="199"/>
      <c r="M145" s="199"/>
      <c r="N145" s="199"/>
      <c r="O145" s="199"/>
      <c r="P145" s="199"/>
      <c r="Q145" s="199"/>
      <c r="R145" s="199"/>
      <c r="S145" s="199">
        <v>143</v>
      </c>
      <c r="T145" s="199">
        <v>150</v>
      </c>
      <c r="U145" s="199"/>
      <c r="V145" s="199"/>
      <c r="W145" s="273"/>
      <c r="X145" s="273"/>
      <c r="Y145" s="273"/>
    </row>
    <row r="146" spans="12:25" x14ac:dyDescent="0.35">
      <c r="L146" s="199"/>
      <c r="M146" s="199"/>
      <c r="N146" s="199"/>
      <c r="O146" s="199"/>
      <c r="P146" s="199"/>
      <c r="Q146" s="199"/>
      <c r="R146" s="199"/>
      <c r="S146" s="199">
        <v>144</v>
      </c>
      <c r="T146" s="199">
        <v>150</v>
      </c>
      <c r="U146" s="199"/>
      <c r="V146" s="199"/>
      <c r="W146" s="273"/>
      <c r="X146" s="273"/>
      <c r="Y146" s="273"/>
    </row>
    <row r="147" spans="12:25" x14ac:dyDescent="0.35">
      <c r="L147" s="199"/>
      <c r="M147" s="199"/>
      <c r="N147" s="199"/>
      <c r="O147" s="199"/>
      <c r="P147" s="199"/>
      <c r="Q147" s="199"/>
      <c r="R147" s="199"/>
      <c r="S147" s="199">
        <v>145</v>
      </c>
      <c r="T147" s="199">
        <v>150</v>
      </c>
      <c r="U147" s="199"/>
      <c r="V147" s="199"/>
      <c r="W147" s="273"/>
      <c r="X147" s="273"/>
      <c r="Y147" s="273"/>
    </row>
    <row r="148" spans="12:25" x14ac:dyDescent="0.35">
      <c r="L148" s="199"/>
      <c r="M148" s="199"/>
      <c r="N148" s="199"/>
      <c r="O148" s="199"/>
      <c r="P148" s="199"/>
      <c r="Q148" s="199"/>
      <c r="R148" s="199"/>
      <c r="S148" s="199">
        <v>146</v>
      </c>
      <c r="T148" s="199">
        <v>150</v>
      </c>
      <c r="U148" s="199"/>
      <c r="V148" s="199"/>
      <c r="W148" s="273"/>
      <c r="X148" s="273"/>
      <c r="Y148" s="273"/>
    </row>
    <row r="149" spans="12:25" x14ac:dyDescent="0.35">
      <c r="L149" s="199"/>
      <c r="M149" s="199"/>
      <c r="N149" s="199"/>
      <c r="O149" s="199"/>
      <c r="P149" s="199"/>
      <c r="Q149" s="199"/>
      <c r="R149" s="199"/>
      <c r="S149" s="199">
        <v>147</v>
      </c>
      <c r="T149" s="199">
        <v>150</v>
      </c>
      <c r="U149" s="199"/>
      <c r="V149" s="199"/>
      <c r="W149" s="273"/>
      <c r="X149" s="273"/>
      <c r="Y149" s="273"/>
    </row>
    <row r="150" spans="12:25" x14ac:dyDescent="0.35">
      <c r="L150" s="199"/>
      <c r="M150" s="199"/>
      <c r="N150" s="199"/>
      <c r="O150" s="199"/>
      <c r="P150" s="199"/>
      <c r="Q150" s="199"/>
      <c r="R150" s="199"/>
      <c r="S150" s="199">
        <v>148</v>
      </c>
      <c r="T150" s="199">
        <v>150</v>
      </c>
      <c r="U150" s="199"/>
      <c r="V150" s="199"/>
      <c r="W150" s="273"/>
      <c r="X150" s="273"/>
      <c r="Y150" s="273"/>
    </row>
    <row r="151" spans="12:25" x14ac:dyDescent="0.35">
      <c r="L151" s="199"/>
      <c r="M151" s="199"/>
      <c r="N151" s="199"/>
      <c r="O151" s="199"/>
      <c r="P151" s="199"/>
      <c r="Q151" s="199"/>
      <c r="R151" s="199"/>
      <c r="S151" s="199">
        <v>149</v>
      </c>
      <c r="T151" s="199">
        <v>150</v>
      </c>
      <c r="U151" s="199"/>
      <c r="V151" s="199"/>
      <c r="W151" s="273"/>
      <c r="X151" s="273"/>
      <c r="Y151" s="273"/>
    </row>
    <row r="152" spans="12:25" x14ac:dyDescent="0.35">
      <c r="L152" s="199"/>
      <c r="M152" s="199"/>
      <c r="N152" s="199"/>
      <c r="O152" s="199"/>
      <c r="P152" s="199"/>
      <c r="Q152" s="199"/>
      <c r="R152" s="199"/>
      <c r="S152" s="199">
        <v>150</v>
      </c>
      <c r="T152" s="199">
        <v>150</v>
      </c>
      <c r="U152" s="199">
        <v>150</v>
      </c>
      <c r="V152" s="199"/>
      <c r="W152" s="273"/>
      <c r="X152" s="273"/>
      <c r="Y152" s="273"/>
    </row>
    <row r="153" spans="12:25" x14ac:dyDescent="0.35">
      <c r="L153" s="199"/>
      <c r="M153" s="199"/>
      <c r="N153" s="199"/>
      <c r="O153" s="199"/>
      <c r="P153" s="199"/>
      <c r="Q153" s="199"/>
      <c r="R153" s="199"/>
      <c r="S153" s="199">
        <v>151</v>
      </c>
      <c r="T153" s="199">
        <v>150</v>
      </c>
      <c r="U153" s="199"/>
      <c r="V153" s="199"/>
      <c r="W153" s="273"/>
      <c r="X153" s="273"/>
      <c r="Y153" s="273"/>
    </row>
    <row r="154" spans="12:25" x14ac:dyDescent="0.35">
      <c r="L154" s="199"/>
      <c r="M154" s="199"/>
      <c r="N154" s="199"/>
      <c r="O154" s="199"/>
      <c r="P154" s="199"/>
      <c r="Q154" s="199"/>
      <c r="R154" s="199"/>
      <c r="S154" s="199">
        <v>152</v>
      </c>
      <c r="T154" s="199">
        <v>150</v>
      </c>
      <c r="U154" s="199"/>
      <c r="V154" s="199"/>
      <c r="W154" s="273"/>
      <c r="X154" s="273"/>
      <c r="Y154" s="273"/>
    </row>
    <row r="155" spans="12:25" x14ac:dyDescent="0.35">
      <c r="L155" s="199"/>
      <c r="M155" s="199"/>
      <c r="N155" s="199"/>
      <c r="O155" s="199"/>
      <c r="P155" s="199"/>
      <c r="Q155" s="199"/>
      <c r="R155" s="199"/>
      <c r="S155" s="199">
        <v>153</v>
      </c>
      <c r="T155" s="199">
        <v>150</v>
      </c>
      <c r="U155" s="199"/>
      <c r="V155" s="199"/>
      <c r="W155" s="273"/>
      <c r="X155" s="273"/>
      <c r="Y155" s="273"/>
    </row>
    <row r="156" spans="12:25" x14ac:dyDescent="0.35">
      <c r="L156" s="199"/>
      <c r="M156" s="199"/>
      <c r="N156" s="199"/>
      <c r="O156" s="199"/>
      <c r="P156" s="199"/>
      <c r="Q156" s="199"/>
      <c r="R156" s="199"/>
      <c r="S156" s="199">
        <v>154</v>
      </c>
      <c r="T156" s="199">
        <v>150</v>
      </c>
      <c r="U156" s="199"/>
      <c r="V156" s="199"/>
      <c r="W156" s="273"/>
      <c r="X156" s="273"/>
      <c r="Y156" s="273"/>
    </row>
    <row r="157" spans="12:25" x14ac:dyDescent="0.35">
      <c r="L157" s="199"/>
      <c r="M157" s="199"/>
      <c r="N157" s="199"/>
      <c r="O157" s="199"/>
      <c r="P157" s="199"/>
      <c r="Q157" s="199"/>
      <c r="R157" s="199"/>
      <c r="S157" s="199">
        <v>155</v>
      </c>
      <c r="T157" s="199">
        <v>150</v>
      </c>
      <c r="U157" s="199"/>
      <c r="V157" s="199"/>
      <c r="W157" s="273"/>
      <c r="X157" s="273"/>
      <c r="Y157" s="273"/>
    </row>
    <row r="158" spans="12:25" x14ac:dyDescent="0.35">
      <c r="L158" s="199"/>
      <c r="M158" s="199"/>
      <c r="N158" s="199"/>
      <c r="O158" s="199"/>
      <c r="P158" s="199"/>
      <c r="Q158" s="199"/>
      <c r="R158" s="199"/>
      <c r="S158" s="199">
        <v>156</v>
      </c>
      <c r="T158" s="199">
        <v>150</v>
      </c>
      <c r="U158" s="199"/>
      <c r="V158" s="199"/>
      <c r="W158" s="273"/>
      <c r="X158" s="273"/>
      <c r="Y158" s="273"/>
    </row>
    <row r="159" spans="12:25" x14ac:dyDescent="0.35">
      <c r="L159" s="199"/>
      <c r="M159" s="199"/>
      <c r="N159" s="199"/>
      <c r="O159" s="199"/>
      <c r="P159" s="199"/>
      <c r="Q159" s="199"/>
      <c r="R159" s="199"/>
      <c r="S159" s="199">
        <v>157</v>
      </c>
      <c r="T159" s="199">
        <v>150</v>
      </c>
      <c r="U159" s="199"/>
      <c r="V159" s="199"/>
      <c r="W159" s="273"/>
      <c r="X159" s="273"/>
      <c r="Y159" s="273"/>
    </row>
    <row r="160" spans="12:25" x14ac:dyDescent="0.35">
      <c r="L160" s="199"/>
      <c r="M160" s="199"/>
      <c r="N160" s="199"/>
      <c r="O160" s="199"/>
      <c r="P160" s="199"/>
      <c r="Q160" s="199"/>
      <c r="R160" s="199"/>
      <c r="S160" s="199">
        <v>158</v>
      </c>
      <c r="T160" s="199">
        <v>150</v>
      </c>
      <c r="U160" s="199"/>
      <c r="V160" s="199"/>
      <c r="W160" s="273"/>
      <c r="X160" s="273"/>
      <c r="Y160" s="273"/>
    </row>
    <row r="161" spans="12:25" x14ac:dyDescent="0.35">
      <c r="L161" s="199"/>
      <c r="M161" s="199"/>
      <c r="N161" s="199"/>
      <c r="O161" s="199"/>
      <c r="P161" s="199"/>
      <c r="Q161" s="199"/>
      <c r="R161" s="199"/>
      <c r="S161" s="199">
        <v>159</v>
      </c>
      <c r="T161" s="199">
        <v>150</v>
      </c>
      <c r="U161" s="199"/>
      <c r="V161" s="199"/>
      <c r="W161" s="273"/>
      <c r="X161" s="273"/>
      <c r="Y161" s="273"/>
    </row>
    <row r="162" spans="12:25" x14ac:dyDescent="0.35">
      <c r="L162" s="199"/>
      <c r="M162" s="199"/>
      <c r="N162" s="199"/>
      <c r="O162" s="199"/>
      <c r="P162" s="199"/>
      <c r="Q162" s="199"/>
      <c r="R162" s="199"/>
      <c r="S162" s="199">
        <v>160</v>
      </c>
      <c r="T162" s="199">
        <v>150</v>
      </c>
      <c r="U162" s="199"/>
      <c r="V162" s="199"/>
      <c r="W162" s="273"/>
      <c r="X162" s="273"/>
      <c r="Y162" s="273"/>
    </row>
    <row r="163" spans="12:25" x14ac:dyDescent="0.35">
      <c r="L163" s="199"/>
      <c r="M163" s="199"/>
      <c r="N163" s="199"/>
      <c r="O163" s="199"/>
      <c r="P163" s="199"/>
      <c r="Q163" s="199"/>
      <c r="R163" s="199"/>
      <c r="S163" s="199">
        <v>161</v>
      </c>
      <c r="T163" s="199">
        <v>150</v>
      </c>
      <c r="U163" s="199"/>
      <c r="V163" s="199"/>
      <c r="W163" s="273"/>
      <c r="X163" s="273"/>
      <c r="Y163" s="273"/>
    </row>
    <row r="164" spans="12:25" x14ac:dyDescent="0.35">
      <c r="L164" s="199"/>
      <c r="M164" s="199"/>
      <c r="N164" s="199"/>
      <c r="O164" s="199"/>
      <c r="P164" s="199"/>
      <c r="Q164" s="199"/>
      <c r="R164" s="199"/>
      <c r="S164" s="199">
        <v>162</v>
      </c>
      <c r="T164" s="199">
        <v>150</v>
      </c>
      <c r="U164" s="199"/>
      <c r="V164" s="199"/>
      <c r="W164" s="273"/>
      <c r="X164" s="273"/>
      <c r="Y164" s="273"/>
    </row>
    <row r="165" spans="12:25" x14ac:dyDescent="0.35">
      <c r="L165" s="199"/>
      <c r="M165" s="199"/>
      <c r="N165" s="199"/>
      <c r="O165" s="199"/>
      <c r="P165" s="199"/>
      <c r="Q165" s="199"/>
      <c r="R165" s="199"/>
      <c r="S165" s="199">
        <v>163</v>
      </c>
      <c r="T165" s="199">
        <v>150</v>
      </c>
      <c r="U165" s="199"/>
      <c r="V165" s="199"/>
      <c r="W165" s="273"/>
      <c r="X165" s="273"/>
      <c r="Y165" s="273"/>
    </row>
    <row r="166" spans="12:25" x14ac:dyDescent="0.35">
      <c r="L166" s="199"/>
      <c r="M166" s="199"/>
      <c r="N166" s="199"/>
      <c r="O166" s="199"/>
      <c r="P166" s="199"/>
      <c r="Q166" s="199"/>
      <c r="R166" s="199"/>
      <c r="S166" s="199">
        <v>164</v>
      </c>
      <c r="T166" s="199">
        <v>150</v>
      </c>
      <c r="U166" s="199"/>
      <c r="V166" s="199"/>
      <c r="W166" s="273"/>
      <c r="X166" s="273"/>
      <c r="Y166" s="273"/>
    </row>
    <row r="167" spans="12:25" x14ac:dyDescent="0.35">
      <c r="L167" s="199"/>
      <c r="M167" s="199"/>
      <c r="N167" s="199"/>
      <c r="O167" s="199"/>
      <c r="P167" s="199"/>
      <c r="Q167" s="199"/>
      <c r="R167" s="199"/>
      <c r="S167" s="199">
        <v>165</v>
      </c>
      <c r="T167" s="199">
        <v>150</v>
      </c>
      <c r="U167" s="199"/>
      <c r="V167" s="199"/>
      <c r="W167" s="273"/>
      <c r="X167" s="273"/>
      <c r="Y167" s="273"/>
    </row>
    <row r="168" spans="12:25" x14ac:dyDescent="0.35">
      <c r="L168" s="199"/>
      <c r="M168" s="199"/>
      <c r="N168" s="199"/>
      <c r="O168" s="199"/>
      <c r="P168" s="199"/>
      <c r="Q168" s="199"/>
      <c r="R168" s="199"/>
      <c r="S168" s="199">
        <v>166</v>
      </c>
      <c r="T168" s="199">
        <v>150</v>
      </c>
      <c r="U168" s="199"/>
      <c r="V168" s="199"/>
      <c r="W168" s="273"/>
      <c r="X168" s="273"/>
      <c r="Y168" s="273"/>
    </row>
    <row r="169" spans="12:25" x14ac:dyDescent="0.35">
      <c r="L169" s="199"/>
      <c r="M169" s="199"/>
      <c r="N169" s="199"/>
      <c r="O169" s="199"/>
      <c r="P169" s="199"/>
      <c r="Q169" s="199"/>
      <c r="R169" s="199"/>
      <c r="S169" s="199">
        <v>167</v>
      </c>
      <c r="T169" s="199">
        <v>150</v>
      </c>
      <c r="U169" s="199"/>
      <c r="V169" s="199"/>
      <c r="W169" s="273"/>
      <c r="X169" s="273"/>
      <c r="Y169" s="273"/>
    </row>
    <row r="170" spans="12:25" x14ac:dyDescent="0.35">
      <c r="L170" s="199"/>
      <c r="M170" s="199"/>
      <c r="N170" s="199"/>
      <c r="O170" s="199"/>
      <c r="P170" s="199"/>
      <c r="Q170" s="199"/>
      <c r="R170" s="199"/>
      <c r="S170" s="199">
        <v>168</v>
      </c>
      <c r="T170" s="199">
        <v>150</v>
      </c>
      <c r="U170" s="199"/>
      <c r="V170" s="199"/>
      <c r="W170" s="273"/>
      <c r="X170" s="273"/>
      <c r="Y170" s="273"/>
    </row>
    <row r="171" spans="12:25" x14ac:dyDescent="0.35">
      <c r="L171" s="199"/>
      <c r="M171" s="199"/>
      <c r="N171" s="199"/>
      <c r="O171" s="199"/>
      <c r="P171" s="199"/>
      <c r="Q171" s="199"/>
      <c r="R171" s="199"/>
      <c r="S171" s="199">
        <v>169</v>
      </c>
      <c r="T171" s="199">
        <v>150</v>
      </c>
      <c r="U171" s="199"/>
      <c r="V171" s="199"/>
      <c r="W171" s="273"/>
      <c r="X171" s="273"/>
      <c r="Y171" s="273"/>
    </row>
    <row r="172" spans="12:25" x14ac:dyDescent="0.35">
      <c r="L172" s="199"/>
      <c r="M172" s="199"/>
      <c r="N172" s="199"/>
      <c r="O172" s="199"/>
      <c r="P172" s="199"/>
      <c r="Q172" s="199"/>
      <c r="R172" s="199"/>
      <c r="S172" s="199">
        <v>170</v>
      </c>
      <c r="T172" s="199">
        <v>150</v>
      </c>
      <c r="U172" s="199"/>
      <c r="V172" s="199"/>
      <c r="W172" s="273"/>
      <c r="X172" s="273"/>
      <c r="Y172" s="273"/>
    </row>
    <row r="173" spans="12:25" x14ac:dyDescent="0.35">
      <c r="L173" s="199"/>
      <c r="M173" s="199"/>
      <c r="N173" s="199"/>
      <c r="O173" s="199"/>
      <c r="P173" s="199"/>
      <c r="Q173" s="199"/>
      <c r="R173" s="199"/>
      <c r="S173" s="199">
        <v>171</v>
      </c>
      <c r="T173" s="199">
        <v>150</v>
      </c>
      <c r="U173" s="199"/>
      <c r="V173" s="199"/>
      <c r="W173" s="273"/>
      <c r="X173" s="273"/>
      <c r="Y173" s="273"/>
    </row>
    <row r="174" spans="12:25" x14ac:dyDescent="0.35">
      <c r="L174" s="199"/>
      <c r="M174" s="199"/>
      <c r="N174" s="199"/>
      <c r="O174" s="199"/>
      <c r="P174" s="199"/>
      <c r="Q174" s="199"/>
      <c r="R174" s="199"/>
      <c r="S174" s="199">
        <v>172</v>
      </c>
      <c r="T174" s="199">
        <v>150</v>
      </c>
      <c r="U174" s="199"/>
      <c r="V174" s="199"/>
      <c r="W174" s="273"/>
      <c r="X174" s="273"/>
      <c r="Y174" s="273"/>
    </row>
    <row r="175" spans="12:25" x14ac:dyDescent="0.35">
      <c r="L175" s="199"/>
      <c r="M175" s="199"/>
      <c r="N175" s="199"/>
      <c r="O175" s="199"/>
      <c r="P175" s="199"/>
      <c r="Q175" s="199"/>
      <c r="R175" s="199"/>
      <c r="S175" s="199">
        <v>173</v>
      </c>
      <c r="T175" s="199">
        <v>150</v>
      </c>
      <c r="U175" s="199"/>
      <c r="V175" s="199"/>
      <c r="W175" s="273"/>
      <c r="X175" s="273"/>
      <c r="Y175" s="273"/>
    </row>
    <row r="176" spans="12:25" x14ac:dyDescent="0.35">
      <c r="L176" s="199"/>
      <c r="M176" s="199"/>
      <c r="N176" s="199"/>
      <c r="O176" s="199"/>
      <c r="P176" s="199"/>
      <c r="Q176" s="199"/>
      <c r="R176" s="199"/>
      <c r="S176" s="199">
        <v>174</v>
      </c>
      <c r="T176" s="199">
        <v>150</v>
      </c>
      <c r="U176" s="199"/>
      <c r="V176" s="199"/>
      <c r="W176" s="273"/>
      <c r="X176" s="273"/>
      <c r="Y176" s="273"/>
    </row>
    <row r="177" spans="12:25" x14ac:dyDescent="0.35">
      <c r="L177" s="199"/>
      <c r="M177" s="199"/>
      <c r="N177" s="199"/>
      <c r="O177" s="199"/>
      <c r="P177" s="199"/>
      <c r="Q177" s="199"/>
      <c r="R177" s="199"/>
      <c r="S177" s="199">
        <v>175</v>
      </c>
      <c r="T177" s="199">
        <v>150</v>
      </c>
      <c r="U177" s="199"/>
      <c r="V177" s="199"/>
      <c r="W177" s="273"/>
      <c r="X177" s="273"/>
      <c r="Y177" s="273"/>
    </row>
    <row r="178" spans="12:25" x14ac:dyDescent="0.35">
      <c r="L178" s="199"/>
      <c r="M178" s="199"/>
      <c r="N178" s="199"/>
      <c r="O178" s="199"/>
      <c r="P178" s="199"/>
      <c r="Q178" s="199"/>
      <c r="R178" s="199"/>
      <c r="S178" s="199">
        <v>176</v>
      </c>
      <c r="T178" s="199">
        <v>150</v>
      </c>
      <c r="U178" s="199"/>
      <c r="V178" s="199"/>
      <c r="W178" s="273"/>
      <c r="X178" s="273"/>
      <c r="Y178" s="273"/>
    </row>
    <row r="179" spans="12:25" x14ac:dyDescent="0.35">
      <c r="L179" s="199"/>
      <c r="M179" s="199"/>
      <c r="N179" s="199"/>
      <c r="O179" s="199"/>
      <c r="P179" s="199"/>
      <c r="Q179" s="199"/>
      <c r="R179" s="199"/>
      <c r="S179" s="199">
        <v>177</v>
      </c>
      <c r="T179" s="199">
        <v>150</v>
      </c>
      <c r="U179" s="199"/>
      <c r="V179" s="199"/>
      <c r="W179" s="273"/>
      <c r="X179" s="273"/>
      <c r="Y179" s="273"/>
    </row>
    <row r="180" spans="12:25" x14ac:dyDescent="0.35">
      <c r="L180" s="199"/>
      <c r="M180" s="199"/>
      <c r="N180" s="199"/>
      <c r="O180" s="199"/>
      <c r="P180" s="199"/>
      <c r="Q180" s="199"/>
      <c r="R180" s="199"/>
      <c r="S180" s="199">
        <v>178</v>
      </c>
      <c r="T180" s="199">
        <v>150</v>
      </c>
      <c r="U180" s="199"/>
      <c r="V180" s="199"/>
      <c r="W180" s="273"/>
      <c r="X180" s="273"/>
      <c r="Y180" s="273"/>
    </row>
    <row r="181" spans="12:25" x14ac:dyDescent="0.35">
      <c r="L181" s="199"/>
      <c r="M181" s="199"/>
      <c r="N181" s="199"/>
      <c r="O181" s="199"/>
      <c r="P181" s="199"/>
      <c r="Q181" s="199"/>
      <c r="R181" s="199"/>
      <c r="S181" s="199">
        <v>179</v>
      </c>
      <c r="T181" s="199">
        <v>150</v>
      </c>
      <c r="U181" s="199"/>
      <c r="V181" s="199"/>
      <c r="W181" s="273"/>
      <c r="X181" s="273"/>
      <c r="Y181" s="273"/>
    </row>
    <row r="182" spans="12:25" x14ac:dyDescent="0.35">
      <c r="L182" s="199"/>
      <c r="M182" s="199"/>
      <c r="N182" s="199"/>
      <c r="O182" s="199"/>
      <c r="P182" s="199"/>
      <c r="Q182" s="199"/>
      <c r="R182" s="199"/>
      <c r="S182" s="199">
        <v>180</v>
      </c>
      <c r="T182" s="199">
        <v>150</v>
      </c>
      <c r="U182" s="199"/>
      <c r="V182" s="199"/>
      <c r="W182" s="273"/>
      <c r="X182" s="273"/>
      <c r="Y182" s="273"/>
    </row>
    <row r="183" spans="12:25" x14ac:dyDescent="0.35">
      <c r="L183" s="199"/>
      <c r="M183" s="199"/>
      <c r="N183" s="199"/>
      <c r="O183" s="199"/>
      <c r="P183" s="199"/>
      <c r="Q183" s="199"/>
      <c r="R183" s="199"/>
      <c r="S183" s="199">
        <v>181</v>
      </c>
      <c r="T183" s="199">
        <v>150</v>
      </c>
      <c r="U183" s="199"/>
      <c r="V183" s="199"/>
      <c r="W183" s="273"/>
      <c r="X183" s="273"/>
      <c r="Y183" s="273"/>
    </row>
    <row r="184" spans="12:25" x14ac:dyDescent="0.35">
      <c r="L184" s="199"/>
      <c r="M184" s="199"/>
      <c r="N184" s="199"/>
      <c r="O184" s="199"/>
      <c r="P184" s="199"/>
      <c r="Q184" s="199"/>
      <c r="R184" s="199"/>
      <c r="S184" s="199">
        <v>182</v>
      </c>
      <c r="T184" s="199">
        <v>150</v>
      </c>
      <c r="U184" s="199"/>
      <c r="V184" s="199"/>
      <c r="W184" s="273"/>
      <c r="X184" s="273"/>
      <c r="Y184" s="273"/>
    </row>
    <row r="185" spans="12:25" x14ac:dyDescent="0.35">
      <c r="L185" s="199"/>
      <c r="M185" s="199"/>
      <c r="N185" s="199"/>
      <c r="O185" s="199"/>
      <c r="P185" s="199"/>
      <c r="Q185" s="199"/>
      <c r="R185" s="199"/>
      <c r="S185" s="199">
        <v>183</v>
      </c>
      <c r="T185" s="199">
        <v>150</v>
      </c>
      <c r="U185" s="199"/>
      <c r="V185" s="199"/>
      <c r="W185" s="273"/>
      <c r="X185" s="273"/>
      <c r="Y185" s="273"/>
    </row>
    <row r="186" spans="12:25" x14ac:dyDescent="0.35">
      <c r="L186" s="199"/>
      <c r="M186" s="199"/>
      <c r="N186" s="199"/>
      <c r="O186" s="199"/>
      <c r="P186" s="199"/>
      <c r="Q186" s="199"/>
      <c r="R186" s="199"/>
      <c r="S186" s="199">
        <v>184</v>
      </c>
      <c r="T186" s="199">
        <v>150</v>
      </c>
      <c r="U186" s="199"/>
      <c r="V186" s="199"/>
      <c r="W186" s="273"/>
      <c r="X186" s="273"/>
      <c r="Y186" s="273"/>
    </row>
    <row r="187" spans="12:25" x14ac:dyDescent="0.35">
      <c r="L187" s="199"/>
      <c r="M187" s="199"/>
      <c r="N187" s="199"/>
      <c r="O187" s="199"/>
      <c r="P187" s="199"/>
      <c r="Q187" s="199"/>
      <c r="R187" s="199"/>
      <c r="S187" s="199">
        <v>185</v>
      </c>
      <c r="T187" s="199">
        <v>150</v>
      </c>
      <c r="U187" s="199"/>
      <c r="V187" s="199"/>
      <c r="W187" s="273"/>
      <c r="X187" s="273"/>
      <c r="Y187" s="273"/>
    </row>
    <row r="188" spans="12:25" x14ac:dyDescent="0.35">
      <c r="L188" s="199"/>
      <c r="M188" s="199"/>
      <c r="N188" s="199"/>
      <c r="O188" s="199"/>
      <c r="P188" s="199"/>
      <c r="Q188" s="199"/>
      <c r="R188" s="199"/>
      <c r="S188" s="199">
        <v>186</v>
      </c>
      <c r="T188" s="199">
        <v>150</v>
      </c>
      <c r="U188" s="199"/>
      <c r="V188" s="199"/>
      <c r="W188" s="273"/>
      <c r="X188" s="273"/>
      <c r="Y188" s="273"/>
    </row>
    <row r="189" spans="12:25" x14ac:dyDescent="0.35">
      <c r="L189" s="199"/>
      <c r="M189" s="199"/>
      <c r="N189" s="199"/>
      <c r="O189" s="199"/>
      <c r="P189" s="199"/>
      <c r="Q189" s="199"/>
      <c r="R189" s="199"/>
      <c r="S189" s="199">
        <v>187</v>
      </c>
      <c r="T189" s="199">
        <v>150</v>
      </c>
      <c r="U189" s="199"/>
      <c r="V189" s="199"/>
      <c r="W189" s="273"/>
      <c r="X189" s="273"/>
      <c r="Y189" s="273"/>
    </row>
    <row r="190" spans="12:25" x14ac:dyDescent="0.35">
      <c r="L190" s="199"/>
      <c r="M190" s="199"/>
      <c r="N190" s="199"/>
      <c r="O190" s="199"/>
      <c r="P190" s="199"/>
      <c r="Q190" s="199"/>
      <c r="R190" s="199"/>
      <c r="S190" s="199">
        <v>188</v>
      </c>
      <c r="T190" s="199">
        <v>150</v>
      </c>
      <c r="U190" s="199"/>
      <c r="V190" s="199"/>
      <c r="W190" s="273"/>
      <c r="X190" s="273"/>
      <c r="Y190" s="273"/>
    </row>
    <row r="191" spans="12:25" x14ac:dyDescent="0.35">
      <c r="L191" s="199"/>
      <c r="M191" s="199"/>
      <c r="N191" s="199"/>
      <c r="O191" s="199"/>
      <c r="P191" s="199"/>
      <c r="Q191" s="199"/>
      <c r="R191" s="199"/>
      <c r="S191" s="199">
        <v>189</v>
      </c>
      <c r="T191" s="199">
        <v>150</v>
      </c>
      <c r="U191" s="199"/>
      <c r="V191" s="199"/>
      <c r="W191" s="273"/>
      <c r="X191" s="273"/>
      <c r="Y191" s="273"/>
    </row>
    <row r="192" spans="12:25" x14ac:dyDescent="0.35">
      <c r="L192" s="199"/>
      <c r="M192" s="199"/>
      <c r="N192" s="199"/>
      <c r="O192" s="199"/>
      <c r="P192" s="199"/>
      <c r="Q192" s="199"/>
      <c r="R192" s="199"/>
      <c r="S192" s="199">
        <v>190</v>
      </c>
      <c r="T192" s="199">
        <v>150</v>
      </c>
      <c r="U192" s="199"/>
      <c r="V192" s="199"/>
      <c r="W192" s="273"/>
      <c r="X192" s="273"/>
      <c r="Y192" s="273"/>
    </row>
    <row r="193" spans="12:25" x14ac:dyDescent="0.35">
      <c r="L193" s="199"/>
      <c r="M193" s="199"/>
      <c r="N193" s="199"/>
      <c r="O193" s="199"/>
      <c r="P193" s="199"/>
      <c r="Q193" s="199"/>
      <c r="R193" s="199"/>
      <c r="S193" s="199">
        <v>191</v>
      </c>
      <c r="T193" s="199">
        <v>150</v>
      </c>
      <c r="U193" s="199"/>
      <c r="V193" s="199"/>
      <c r="W193" s="273"/>
      <c r="X193" s="273"/>
      <c r="Y193" s="273"/>
    </row>
    <row r="194" spans="12:25" x14ac:dyDescent="0.35">
      <c r="L194" s="199"/>
      <c r="M194" s="199"/>
      <c r="N194" s="199"/>
      <c r="O194" s="199"/>
      <c r="P194" s="199"/>
      <c r="Q194" s="199"/>
      <c r="R194" s="199"/>
      <c r="S194" s="199">
        <v>192</v>
      </c>
      <c r="T194" s="199">
        <v>150</v>
      </c>
      <c r="U194" s="199"/>
      <c r="V194" s="199"/>
      <c r="W194" s="273"/>
      <c r="X194" s="273"/>
      <c r="Y194" s="273"/>
    </row>
    <row r="195" spans="12:25" x14ac:dyDescent="0.35">
      <c r="L195" s="199"/>
      <c r="M195" s="199"/>
      <c r="N195" s="199"/>
      <c r="O195" s="199"/>
      <c r="P195" s="199"/>
      <c r="Q195" s="199"/>
      <c r="R195" s="199"/>
      <c r="S195" s="199">
        <v>193</v>
      </c>
      <c r="T195" s="199">
        <v>150</v>
      </c>
      <c r="U195" s="199"/>
      <c r="V195" s="199"/>
      <c r="W195" s="273"/>
      <c r="X195" s="273"/>
      <c r="Y195" s="273"/>
    </row>
    <row r="196" spans="12:25" x14ac:dyDescent="0.35">
      <c r="L196" s="199"/>
      <c r="M196" s="199"/>
      <c r="N196" s="199"/>
      <c r="O196" s="199"/>
      <c r="P196" s="199"/>
      <c r="Q196" s="199"/>
      <c r="R196" s="199"/>
      <c r="S196" s="199">
        <v>194</v>
      </c>
      <c r="T196" s="199">
        <v>150</v>
      </c>
      <c r="U196" s="199"/>
      <c r="V196" s="199"/>
      <c r="W196" s="273"/>
      <c r="X196" s="273"/>
      <c r="Y196" s="273"/>
    </row>
    <row r="197" spans="12:25" x14ac:dyDescent="0.35">
      <c r="L197" s="199"/>
      <c r="M197" s="199"/>
      <c r="N197" s="199"/>
      <c r="O197" s="199"/>
      <c r="P197" s="199"/>
      <c r="Q197" s="199"/>
      <c r="R197" s="199"/>
      <c r="S197" s="199">
        <v>195</v>
      </c>
      <c r="T197" s="199">
        <v>150</v>
      </c>
      <c r="U197" s="199"/>
      <c r="V197" s="199"/>
      <c r="W197" s="273"/>
      <c r="X197" s="273"/>
      <c r="Y197" s="273"/>
    </row>
    <row r="198" spans="12:25" x14ac:dyDescent="0.35">
      <c r="L198" s="199"/>
      <c r="M198" s="199"/>
      <c r="N198" s="199"/>
      <c r="O198" s="199"/>
      <c r="P198" s="199"/>
      <c r="Q198" s="199"/>
      <c r="R198" s="199"/>
      <c r="S198" s="199">
        <v>196</v>
      </c>
      <c r="T198" s="199">
        <v>150</v>
      </c>
      <c r="U198" s="199"/>
      <c r="V198" s="199"/>
      <c r="W198" s="273"/>
      <c r="X198" s="273"/>
      <c r="Y198" s="273"/>
    </row>
    <row r="199" spans="12:25" x14ac:dyDescent="0.35">
      <c r="L199" s="199"/>
      <c r="M199" s="199"/>
      <c r="N199" s="199"/>
      <c r="O199" s="199"/>
      <c r="P199" s="199"/>
      <c r="Q199" s="199"/>
      <c r="R199" s="199"/>
      <c r="S199" s="199">
        <v>197</v>
      </c>
      <c r="T199" s="199">
        <v>150</v>
      </c>
      <c r="U199" s="199"/>
      <c r="V199" s="199"/>
      <c r="W199" s="273"/>
      <c r="X199" s="273"/>
      <c r="Y199" s="273"/>
    </row>
    <row r="200" spans="12:25" x14ac:dyDescent="0.35">
      <c r="L200" s="199"/>
      <c r="M200" s="199"/>
      <c r="N200" s="199"/>
      <c r="O200" s="199"/>
      <c r="P200" s="199"/>
      <c r="Q200" s="199"/>
      <c r="R200" s="199"/>
      <c r="S200" s="199">
        <v>198</v>
      </c>
      <c r="T200" s="199">
        <v>150</v>
      </c>
      <c r="U200" s="199"/>
      <c r="V200" s="199"/>
      <c r="W200" s="273"/>
      <c r="X200" s="273"/>
      <c r="Y200" s="273"/>
    </row>
    <row r="201" spans="12:25" x14ac:dyDescent="0.35">
      <c r="L201" s="199"/>
      <c r="M201" s="199"/>
      <c r="N201" s="199"/>
      <c r="O201" s="199"/>
      <c r="P201" s="199"/>
      <c r="Q201" s="199"/>
      <c r="R201" s="199"/>
      <c r="S201" s="199">
        <v>199</v>
      </c>
      <c r="T201" s="199">
        <v>150</v>
      </c>
      <c r="U201" s="199"/>
      <c r="V201" s="199"/>
      <c r="W201" s="273"/>
      <c r="X201" s="273"/>
      <c r="Y201" s="273"/>
    </row>
    <row r="202" spans="12:25" x14ac:dyDescent="0.35">
      <c r="L202" s="199"/>
      <c r="M202" s="199"/>
      <c r="N202" s="199"/>
      <c r="O202" s="199"/>
      <c r="P202" s="199"/>
      <c r="Q202" s="199"/>
      <c r="R202" s="199"/>
      <c r="S202" s="199">
        <v>200</v>
      </c>
      <c r="T202" s="199">
        <v>150</v>
      </c>
      <c r="U202" s="199">
        <v>200</v>
      </c>
      <c r="V202" s="199"/>
      <c r="W202" s="273"/>
      <c r="X202" s="273"/>
      <c r="Y202" s="273"/>
    </row>
    <row r="203" spans="12:25" x14ac:dyDescent="0.35">
      <c r="L203" s="199"/>
      <c r="M203" s="199"/>
      <c r="N203" s="199"/>
      <c r="O203" s="199"/>
      <c r="P203" s="199"/>
      <c r="Q203" s="199"/>
      <c r="R203" s="199"/>
      <c r="S203" s="199">
        <v>201</v>
      </c>
      <c r="T203" s="199">
        <v>150</v>
      </c>
      <c r="U203" s="199"/>
      <c r="V203" s="199"/>
      <c r="W203" s="273"/>
      <c r="X203" s="273"/>
      <c r="Y203" s="273"/>
    </row>
    <row r="204" spans="12:25" x14ac:dyDescent="0.35">
      <c r="L204" s="199"/>
      <c r="M204" s="199"/>
      <c r="N204" s="199"/>
      <c r="O204" s="199"/>
      <c r="P204" s="199"/>
      <c r="Q204" s="199"/>
      <c r="R204" s="199"/>
      <c r="S204" s="199">
        <v>202</v>
      </c>
      <c r="T204" s="199">
        <v>150</v>
      </c>
      <c r="U204" s="199"/>
      <c r="V204" s="199"/>
      <c r="W204" s="273"/>
      <c r="X204" s="273"/>
      <c r="Y204" s="273"/>
    </row>
    <row r="205" spans="12:25" x14ac:dyDescent="0.35">
      <c r="L205" s="199"/>
      <c r="M205" s="199"/>
      <c r="N205" s="199"/>
      <c r="O205" s="199"/>
      <c r="P205" s="199"/>
      <c r="Q205" s="199"/>
      <c r="R205" s="199"/>
      <c r="S205" s="199">
        <v>203</v>
      </c>
      <c r="T205" s="199">
        <v>150</v>
      </c>
      <c r="U205" s="199"/>
      <c r="V205" s="199"/>
      <c r="W205" s="273"/>
      <c r="X205" s="273"/>
      <c r="Y205" s="273"/>
    </row>
    <row r="206" spans="12:25" x14ac:dyDescent="0.35">
      <c r="L206" s="199"/>
      <c r="M206" s="199"/>
      <c r="N206" s="199"/>
      <c r="O206" s="199"/>
      <c r="P206" s="199"/>
      <c r="Q206" s="199"/>
      <c r="R206" s="199"/>
      <c r="S206" s="199">
        <v>204</v>
      </c>
      <c r="T206" s="199">
        <v>150</v>
      </c>
      <c r="U206" s="199"/>
      <c r="V206" s="199"/>
      <c r="W206" s="273"/>
      <c r="X206" s="273"/>
      <c r="Y206" s="273"/>
    </row>
    <row r="207" spans="12:25" x14ac:dyDescent="0.35">
      <c r="L207" s="199"/>
      <c r="M207" s="199"/>
      <c r="N207" s="199"/>
      <c r="O207" s="199"/>
      <c r="P207" s="199"/>
      <c r="Q207" s="199"/>
      <c r="R207" s="199"/>
      <c r="S207" s="199">
        <v>205</v>
      </c>
      <c r="T207" s="199">
        <v>150</v>
      </c>
      <c r="U207" s="199"/>
      <c r="V207" s="199"/>
      <c r="W207" s="273"/>
      <c r="X207" s="273"/>
      <c r="Y207" s="273"/>
    </row>
    <row r="208" spans="12:25" x14ac:dyDescent="0.35">
      <c r="L208" s="199"/>
      <c r="M208" s="199"/>
      <c r="N208" s="199"/>
      <c r="O208" s="199"/>
      <c r="P208" s="199"/>
      <c r="Q208" s="199"/>
      <c r="R208" s="199"/>
      <c r="S208" s="199">
        <v>206</v>
      </c>
      <c r="T208" s="199">
        <v>150</v>
      </c>
      <c r="U208" s="199"/>
      <c r="V208" s="199"/>
      <c r="W208" s="273"/>
      <c r="X208" s="273"/>
      <c r="Y208" s="273"/>
    </row>
    <row r="209" spans="12:25" x14ac:dyDescent="0.35">
      <c r="L209" s="199"/>
      <c r="M209" s="199"/>
      <c r="N209" s="199"/>
      <c r="O209" s="199"/>
      <c r="P209" s="199"/>
      <c r="Q209" s="199"/>
      <c r="R209" s="199"/>
      <c r="S209" s="199">
        <v>207</v>
      </c>
      <c r="T209" s="199">
        <v>150</v>
      </c>
      <c r="U209" s="199"/>
      <c r="V209" s="199"/>
      <c r="W209" s="273"/>
      <c r="X209" s="273"/>
      <c r="Y209" s="273"/>
    </row>
    <row r="210" spans="12:25" x14ac:dyDescent="0.35">
      <c r="L210" s="199"/>
      <c r="M210" s="199"/>
      <c r="N210" s="199"/>
      <c r="O210" s="199"/>
      <c r="P210" s="199"/>
      <c r="Q210" s="199"/>
      <c r="R210" s="199"/>
      <c r="S210" s="199">
        <v>208</v>
      </c>
      <c r="T210" s="199">
        <v>150</v>
      </c>
      <c r="U210" s="199"/>
      <c r="V210" s="199"/>
      <c r="W210" s="273"/>
      <c r="X210" s="273"/>
      <c r="Y210" s="273"/>
    </row>
    <row r="211" spans="12:25" x14ac:dyDescent="0.35">
      <c r="L211" s="199"/>
      <c r="M211" s="199"/>
      <c r="N211" s="199"/>
      <c r="O211" s="199"/>
      <c r="P211" s="199"/>
      <c r="Q211" s="199"/>
      <c r="R211" s="199"/>
      <c r="S211" s="199">
        <v>209</v>
      </c>
      <c r="T211" s="199">
        <v>150</v>
      </c>
      <c r="U211" s="199"/>
      <c r="V211" s="199"/>
      <c r="W211" s="273"/>
      <c r="X211" s="273"/>
      <c r="Y211" s="273"/>
    </row>
    <row r="212" spans="12:25" x14ac:dyDescent="0.35">
      <c r="L212" s="199"/>
      <c r="M212" s="199"/>
      <c r="N212" s="199"/>
      <c r="O212" s="199"/>
      <c r="P212" s="199"/>
      <c r="Q212" s="199"/>
      <c r="R212" s="199"/>
      <c r="S212" s="199">
        <v>210</v>
      </c>
      <c r="T212" s="199">
        <v>150</v>
      </c>
      <c r="U212" s="199"/>
      <c r="V212" s="199"/>
      <c r="W212" s="273"/>
      <c r="X212" s="273"/>
      <c r="Y212" s="273"/>
    </row>
    <row r="213" spans="12:25" x14ac:dyDescent="0.35">
      <c r="L213" s="199"/>
      <c r="M213" s="199"/>
      <c r="N213" s="199"/>
      <c r="O213" s="199"/>
      <c r="P213" s="199"/>
      <c r="Q213" s="199"/>
      <c r="R213" s="199"/>
      <c r="S213" s="199">
        <v>211</v>
      </c>
      <c r="T213" s="199">
        <v>150</v>
      </c>
      <c r="U213" s="199"/>
      <c r="V213" s="199"/>
      <c r="W213" s="273"/>
      <c r="X213" s="273"/>
      <c r="Y213" s="273"/>
    </row>
    <row r="214" spans="12:25" x14ac:dyDescent="0.35">
      <c r="L214" s="199"/>
      <c r="M214" s="199"/>
      <c r="N214" s="199"/>
      <c r="O214" s="199"/>
      <c r="P214" s="199"/>
      <c r="Q214" s="199"/>
      <c r="R214" s="199"/>
      <c r="S214" s="199">
        <v>212</v>
      </c>
      <c r="T214" s="199">
        <v>150</v>
      </c>
      <c r="U214" s="199"/>
      <c r="V214" s="199"/>
      <c r="W214" s="273"/>
      <c r="X214" s="273"/>
      <c r="Y214" s="273"/>
    </row>
    <row r="215" spans="12:25" x14ac:dyDescent="0.35">
      <c r="L215" s="199"/>
      <c r="M215" s="199"/>
      <c r="N215" s="199"/>
      <c r="O215" s="199"/>
      <c r="P215" s="199"/>
      <c r="Q215" s="199"/>
      <c r="R215" s="199"/>
      <c r="S215" s="199">
        <v>213</v>
      </c>
      <c r="T215" s="199">
        <v>150</v>
      </c>
      <c r="U215" s="199"/>
      <c r="V215" s="199"/>
      <c r="W215" s="273"/>
      <c r="X215" s="273"/>
      <c r="Y215" s="273"/>
    </row>
    <row r="216" spans="12:25" x14ac:dyDescent="0.35">
      <c r="L216" s="199"/>
      <c r="M216" s="199"/>
      <c r="N216" s="199"/>
      <c r="O216" s="199"/>
      <c r="P216" s="199"/>
      <c r="Q216" s="199"/>
      <c r="R216" s="199"/>
      <c r="S216" s="199">
        <v>214</v>
      </c>
      <c r="T216" s="199">
        <v>150</v>
      </c>
      <c r="U216" s="199"/>
      <c r="V216" s="199"/>
      <c r="W216" s="273"/>
      <c r="X216" s="273"/>
      <c r="Y216" s="273"/>
    </row>
    <row r="217" spans="12:25" x14ac:dyDescent="0.35">
      <c r="L217" s="199"/>
      <c r="M217" s="199"/>
      <c r="N217" s="199"/>
      <c r="O217" s="199"/>
      <c r="P217" s="199"/>
      <c r="Q217" s="199"/>
      <c r="R217" s="199"/>
      <c r="S217" s="199">
        <v>215</v>
      </c>
      <c r="T217" s="199">
        <v>150</v>
      </c>
      <c r="U217" s="199"/>
      <c r="V217" s="199"/>
      <c r="W217" s="273"/>
      <c r="X217" s="273"/>
      <c r="Y217" s="273"/>
    </row>
    <row r="218" spans="12:25" x14ac:dyDescent="0.35">
      <c r="L218" s="199"/>
      <c r="M218" s="199"/>
      <c r="N218" s="199"/>
      <c r="O218" s="199"/>
      <c r="P218" s="199"/>
      <c r="Q218" s="199"/>
      <c r="R218" s="199"/>
      <c r="S218" s="199">
        <v>216</v>
      </c>
      <c r="T218" s="199">
        <v>150</v>
      </c>
      <c r="U218" s="199"/>
      <c r="V218" s="199"/>
      <c r="W218" s="273"/>
      <c r="X218" s="273"/>
      <c r="Y218" s="273"/>
    </row>
    <row r="219" spans="12:25" x14ac:dyDescent="0.35">
      <c r="L219" s="199"/>
      <c r="M219" s="199"/>
      <c r="N219" s="199"/>
      <c r="O219" s="199"/>
      <c r="P219" s="199"/>
      <c r="Q219" s="199"/>
      <c r="R219" s="199"/>
      <c r="S219" s="199">
        <v>217</v>
      </c>
      <c r="T219" s="199">
        <v>150</v>
      </c>
      <c r="U219" s="199"/>
      <c r="V219" s="199"/>
      <c r="W219" s="273"/>
      <c r="X219" s="273"/>
      <c r="Y219" s="273"/>
    </row>
    <row r="220" spans="12:25" x14ac:dyDescent="0.35">
      <c r="L220" s="199"/>
      <c r="M220" s="199"/>
      <c r="N220" s="199"/>
      <c r="O220" s="199"/>
      <c r="P220" s="199"/>
      <c r="Q220" s="199"/>
      <c r="R220" s="199"/>
      <c r="S220" s="199">
        <v>218</v>
      </c>
      <c r="T220" s="199">
        <v>150</v>
      </c>
      <c r="U220" s="199"/>
      <c r="V220" s="199"/>
      <c r="W220" s="273"/>
      <c r="X220" s="273"/>
      <c r="Y220" s="273"/>
    </row>
    <row r="221" spans="12:25" x14ac:dyDescent="0.35">
      <c r="L221" s="199"/>
      <c r="M221" s="199"/>
      <c r="N221" s="199"/>
      <c r="O221" s="199"/>
      <c r="P221" s="199"/>
      <c r="Q221" s="199"/>
      <c r="R221" s="199"/>
      <c r="S221" s="199">
        <v>219</v>
      </c>
      <c r="T221" s="199">
        <v>150</v>
      </c>
      <c r="U221" s="199"/>
      <c r="V221" s="199"/>
      <c r="W221" s="273"/>
      <c r="X221" s="273"/>
      <c r="Y221" s="273"/>
    </row>
    <row r="222" spans="12:25" x14ac:dyDescent="0.35">
      <c r="L222" s="199"/>
      <c r="M222" s="199"/>
      <c r="N222" s="199"/>
      <c r="O222" s="199"/>
      <c r="P222" s="199"/>
      <c r="Q222" s="199"/>
      <c r="R222" s="199"/>
      <c r="S222" s="199">
        <v>220</v>
      </c>
      <c r="T222" s="199">
        <v>150</v>
      </c>
      <c r="U222" s="199"/>
      <c r="V222" s="199"/>
      <c r="W222" s="273"/>
      <c r="X222" s="273"/>
      <c r="Y222" s="273"/>
    </row>
    <row r="223" spans="12:25" x14ac:dyDescent="0.35">
      <c r="L223" s="199"/>
      <c r="M223" s="199"/>
      <c r="N223" s="199"/>
      <c r="O223" s="199"/>
      <c r="P223" s="199"/>
      <c r="Q223" s="199"/>
      <c r="R223" s="199"/>
      <c r="S223" s="199">
        <v>221</v>
      </c>
      <c r="T223" s="199">
        <v>150</v>
      </c>
      <c r="U223" s="199"/>
      <c r="V223" s="199"/>
      <c r="W223" s="273"/>
      <c r="X223" s="273"/>
      <c r="Y223" s="273"/>
    </row>
    <row r="224" spans="12:25" x14ac:dyDescent="0.35">
      <c r="L224" s="199"/>
      <c r="M224" s="199"/>
      <c r="N224" s="199"/>
      <c r="O224" s="199"/>
      <c r="P224" s="199"/>
      <c r="Q224" s="199"/>
      <c r="R224" s="199"/>
      <c r="S224" s="199">
        <v>222</v>
      </c>
      <c r="T224" s="199">
        <v>150</v>
      </c>
      <c r="U224" s="199"/>
      <c r="V224" s="199"/>
      <c r="W224" s="273"/>
      <c r="X224" s="273"/>
      <c r="Y224" s="273"/>
    </row>
    <row r="225" spans="12:25" x14ac:dyDescent="0.35">
      <c r="L225" s="199"/>
      <c r="M225" s="199"/>
      <c r="N225" s="199"/>
      <c r="O225" s="199"/>
      <c r="P225" s="199"/>
      <c r="Q225" s="199"/>
      <c r="R225" s="199"/>
      <c r="S225" s="199">
        <v>223</v>
      </c>
      <c r="T225" s="199">
        <v>150</v>
      </c>
      <c r="U225" s="199"/>
      <c r="V225" s="199"/>
      <c r="W225" s="273"/>
      <c r="X225" s="273"/>
      <c r="Y225" s="273"/>
    </row>
    <row r="226" spans="12:25" x14ac:dyDescent="0.35">
      <c r="L226" s="199"/>
      <c r="M226" s="199"/>
      <c r="N226" s="199"/>
      <c r="O226" s="199"/>
      <c r="P226" s="199"/>
      <c r="Q226" s="199"/>
      <c r="R226" s="199"/>
      <c r="S226" s="199">
        <v>224</v>
      </c>
      <c r="T226" s="199">
        <v>150</v>
      </c>
      <c r="U226" s="199"/>
      <c r="V226" s="199"/>
      <c r="W226" s="273"/>
      <c r="X226" s="273"/>
      <c r="Y226" s="273"/>
    </row>
    <row r="227" spans="12:25" x14ac:dyDescent="0.35">
      <c r="L227" s="199"/>
      <c r="M227" s="199"/>
      <c r="N227" s="199"/>
      <c r="O227" s="199"/>
      <c r="P227" s="199"/>
      <c r="Q227" s="199"/>
      <c r="R227" s="199"/>
      <c r="S227" s="199">
        <v>225</v>
      </c>
      <c r="T227" s="199">
        <v>150</v>
      </c>
      <c r="U227" s="199"/>
      <c r="V227" s="199"/>
      <c r="W227" s="273"/>
      <c r="X227" s="273"/>
      <c r="Y227" s="273"/>
    </row>
    <row r="228" spans="12:25" x14ac:dyDescent="0.35">
      <c r="L228" s="199"/>
      <c r="M228" s="199"/>
      <c r="N228" s="199"/>
      <c r="O228" s="199"/>
      <c r="P228" s="199"/>
      <c r="Q228" s="199"/>
      <c r="R228" s="199"/>
      <c r="S228" s="199">
        <v>226</v>
      </c>
      <c r="T228" s="199">
        <v>150</v>
      </c>
      <c r="U228" s="199"/>
      <c r="V228" s="199"/>
      <c r="W228" s="273"/>
      <c r="X228" s="273"/>
      <c r="Y228" s="273"/>
    </row>
    <row r="229" spans="12:25" x14ac:dyDescent="0.35">
      <c r="L229" s="199"/>
      <c r="M229" s="199"/>
      <c r="N229" s="199"/>
      <c r="O229" s="199"/>
      <c r="P229" s="199"/>
      <c r="Q229" s="199"/>
      <c r="R229" s="199"/>
      <c r="S229" s="199">
        <v>227</v>
      </c>
      <c r="T229" s="199">
        <v>150</v>
      </c>
      <c r="U229" s="199"/>
      <c r="V229" s="199"/>
      <c r="W229" s="273"/>
      <c r="X229" s="273"/>
      <c r="Y229" s="273"/>
    </row>
    <row r="230" spans="12:25" x14ac:dyDescent="0.35">
      <c r="L230" s="199"/>
      <c r="M230" s="199"/>
      <c r="N230" s="199"/>
      <c r="O230" s="199"/>
      <c r="P230" s="199"/>
      <c r="Q230" s="199"/>
      <c r="R230" s="199"/>
      <c r="S230" s="199">
        <v>228</v>
      </c>
      <c r="T230" s="199">
        <v>150</v>
      </c>
      <c r="U230" s="199"/>
      <c r="V230" s="199"/>
      <c r="W230" s="273"/>
      <c r="X230" s="273"/>
      <c r="Y230" s="273"/>
    </row>
    <row r="231" spans="12:25" x14ac:dyDescent="0.35">
      <c r="L231" s="199"/>
      <c r="M231" s="199"/>
      <c r="N231" s="199"/>
      <c r="O231" s="199"/>
      <c r="P231" s="199"/>
      <c r="Q231" s="199"/>
      <c r="R231" s="199"/>
      <c r="S231" s="199">
        <v>229</v>
      </c>
      <c r="T231" s="199">
        <v>150</v>
      </c>
      <c r="U231" s="199"/>
      <c r="V231" s="199"/>
      <c r="W231" s="273"/>
      <c r="X231" s="273"/>
      <c r="Y231" s="273"/>
    </row>
    <row r="232" spans="12:25" x14ac:dyDescent="0.35">
      <c r="L232" s="199"/>
      <c r="M232" s="199"/>
      <c r="N232" s="199"/>
      <c r="O232" s="199"/>
      <c r="P232" s="199"/>
      <c r="Q232" s="199"/>
      <c r="R232" s="199"/>
      <c r="S232" s="199">
        <v>230</v>
      </c>
      <c r="T232" s="199">
        <v>150</v>
      </c>
      <c r="U232" s="199"/>
      <c r="V232" s="199"/>
      <c r="W232" s="273"/>
      <c r="X232" s="273"/>
      <c r="Y232" s="273"/>
    </row>
    <row r="233" spans="12:25" x14ac:dyDescent="0.35">
      <c r="L233" s="199"/>
      <c r="M233" s="199"/>
      <c r="N233" s="199"/>
      <c r="O233" s="199"/>
      <c r="P233" s="199"/>
      <c r="Q233" s="199"/>
      <c r="R233" s="199"/>
      <c r="S233" s="199">
        <v>231</v>
      </c>
      <c r="T233" s="199">
        <v>150</v>
      </c>
      <c r="U233" s="199"/>
      <c r="V233" s="199"/>
      <c r="W233" s="273"/>
      <c r="X233" s="273"/>
      <c r="Y233" s="273"/>
    </row>
    <row r="234" spans="12:25" x14ac:dyDescent="0.35">
      <c r="L234" s="199"/>
      <c r="M234" s="199"/>
      <c r="N234" s="199"/>
      <c r="O234" s="199"/>
      <c r="P234" s="199"/>
      <c r="Q234" s="199"/>
      <c r="R234" s="199"/>
      <c r="S234" s="199">
        <v>232</v>
      </c>
      <c r="T234" s="199">
        <v>150</v>
      </c>
      <c r="U234" s="199"/>
      <c r="V234" s="199"/>
      <c r="W234" s="273"/>
      <c r="X234" s="273"/>
      <c r="Y234" s="273"/>
    </row>
    <row r="235" spans="12:25" x14ac:dyDescent="0.35">
      <c r="L235" s="199"/>
      <c r="M235" s="199"/>
      <c r="N235" s="199"/>
      <c r="O235" s="199"/>
      <c r="P235" s="199"/>
      <c r="Q235" s="199"/>
      <c r="R235" s="199"/>
      <c r="S235" s="199">
        <v>233</v>
      </c>
      <c r="T235" s="199">
        <v>150</v>
      </c>
      <c r="U235" s="199"/>
      <c r="V235" s="199"/>
      <c r="W235" s="273"/>
      <c r="X235" s="273"/>
      <c r="Y235" s="273"/>
    </row>
    <row r="236" spans="12:25" x14ac:dyDescent="0.35">
      <c r="L236" s="199"/>
      <c r="M236" s="199"/>
      <c r="N236" s="199"/>
      <c r="O236" s="199"/>
      <c r="P236" s="199"/>
      <c r="Q236" s="199"/>
      <c r="R236" s="199"/>
      <c r="S236" s="199">
        <v>234</v>
      </c>
      <c r="T236" s="199">
        <v>150</v>
      </c>
      <c r="U236" s="199"/>
      <c r="V236" s="199"/>
      <c r="W236" s="273"/>
      <c r="X236" s="273"/>
      <c r="Y236" s="273"/>
    </row>
    <row r="237" spans="12:25" x14ac:dyDescent="0.35">
      <c r="L237" s="199"/>
      <c r="M237" s="199"/>
      <c r="N237" s="199"/>
      <c r="O237" s="199"/>
      <c r="P237" s="199"/>
      <c r="Q237" s="199"/>
      <c r="R237" s="199"/>
      <c r="S237" s="199">
        <v>235</v>
      </c>
      <c r="T237" s="199">
        <v>150</v>
      </c>
      <c r="U237" s="199"/>
      <c r="V237" s="199"/>
      <c r="W237" s="273"/>
      <c r="X237" s="273"/>
      <c r="Y237" s="273"/>
    </row>
    <row r="238" spans="12:25" x14ac:dyDescent="0.35">
      <c r="L238" s="199"/>
      <c r="M238" s="199"/>
      <c r="N238" s="199"/>
      <c r="O238" s="199"/>
      <c r="P238" s="199"/>
      <c r="Q238" s="199"/>
      <c r="R238" s="199"/>
      <c r="S238" s="199">
        <v>236</v>
      </c>
      <c r="T238" s="199">
        <v>150</v>
      </c>
      <c r="U238" s="199"/>
      <c r="V238" s="199"/>
      <c r="W238" s="273"/>
      <c r="X238" s="273"/>
      <c r="Y238" s="273"/>
    </row>
    <row r="239" spans="12:25" x14ac:dyDescent="0.35">
      <c r="L239" s="199"/>
      <c r="M239" s="199"/>
      <c r="N239" s="199"/>
      <c r="O239" s="199"/>
      <c r="P239" s="199"/>
      <c r="Q239" s="199"/>
      <c r="R239" s="199"/>
      <c r="S239" s="199">
        <v>237</v>
      </c>
      <c r="T239" s="199">
        <v>150</v>
      </c>
      <c r="U239" s="199"/>
      <c r="V239" s="199"/>
      <c r="W239" s="273"/>
      <c r="X239" s="273"/>
      <c r="Y239" s="273"/>
    </row>
    <row r="240" spans="12:25" x14ac:dyDescent="0.35">
      <c r="L240" s="199"/>
      <c r="M240" s="199"/>
      <c r="N240" s="199"/>
      <c r="O240" s="199"/>
      <c r="P240" s="199"/>
      <c r="Q240" s="199"/>
      <c r="R240" s="199"/>
      <c r="S240" s="199">
        <v>238</v>
      </c>
      <c r="T240" s="199">
        <v>150</v>
      </c>
      <c r="U240" s="199"/>
      <c r="V240" s="199"/>
      <c r="W240" s="273"/>
      <c r="X240" s="273"/>
      <c r="Y240" s="273"/>
    </row>
    <row r="241" spans="12:25" x14ac:dyDescent="0.35">
      <c r="L241" s="199"/>
      <c r="M241" s="199"/>
      <c r="N241" s="199"/>
      <c r="O241" s="199"/>
      <c r="P241" s="199"/>
      <c r="Q241" s="199"/>
      <c r="R241" s="199"/>
      <c r="S241" s="199">
        <v>239</v>
      </c>
      <c r="T241" s="199">
        <v>150</v>
      </c>
      <c r="U241" s="199"/>
      <c r="V241" s="199"/>
      <c r="W241" s="273"/>
      <c r="X241" s="273"/>
      <c r="Y241" s="273"/>
    </row>
    <row r="242" spans="12:25" x14ac:dyDescent="0.35">
      <c r="L242" s="199"/>
      <c r="M242" s="199"/>
      <c r="N242" s="199"/>
      <c r="O242" s="199"/>
      <c r="P242" s="199"/>
      <c r="Q242" s="199"/>
      <c r="R242" s="199"/>
      <c r="S242" s="199">
        <v>240</v>
      </c>
      <c r="T242" s="199">
        <v>150</v>
      </c>
      <c r="U242" s="199"/>
      <c r="V242" s="199"/>
      <c r="W242" s="273"/>
      <c r="X242" s="273"/>
      <c r="Y242" s="273"/>
    </row>
    <row r="243" spans="12:25" x14ac:dyDescent="0.35">
      <c r="L243" s="199"/>
      <c r="M243" s="199"/>
      <c r="N243" s="199"/>
      <c r="O243" s="199"/>
      <c r="P243" s="199"/>
      <c r="Q243" s="199"/>
      <c r="R243" s="199"/>
      <c r="S243" s="199">
        <v>241</v>
      </c>
      <c r="T243" s="199">
        <v>150</v>
      </c>
      <c r="U243" s="199"/>
      <c r="V243" s="199"/>
      <c r="W243" s="273"/>
      <c r="X243" s="273"/>
      <c r="Y243" s="273"/>
    </row>
    <row r="244" spans="12:25" x14ac:dyDescent="0.35">
      <c r="L244" s="199"/>
      <c r="M244" s="199"/>
      <c r="N244" s="199"/>
      <c r="O244" s="199"/>
      <c r="P244" s="199"/>
      <c r="Q244" s="199"/>
      <c r="R244" s="199"/>
      <c r="S244" s="199">
        <v>242</v>
      </c>
      <c r="T244" s="199">
        <v>150</v>
      </c>
      <c r="U244" s="199"/>
      <c r="V244" s="199"/>
      <c r="W244" s="273"/>
      <c r="X244" s="273"/>
      <c r="Y244" s="273"/>
    </row>
    <row r="245" spans="12:25" x14ac:dyDescent="0.35">
      <c r="L245" s="199"/>
      <c r="M245" s="199"/>
      <c r="N245" s="199"/>
      <c r="O245" s="199"/>
      <c r="P245" s="199"/>
      <c r="Q245" s="199"/>
      <c r="R245" s="199"/>
      <c r="S245" s="199">
        <v>243</v>
      </c>
      <c r="T245" s="199">
        <v>150</v>
      </c>
      <c r="U245" s="199"/>
      <c r="V245" s="199"/>
      <c r="W245" s="273"/>
      <c r="X245" s="273"/>
      <c r="Y245" s="273"/>
    </row>
    <row r="246" spans="12:25" x14ac:dyDescent="0.35">
      <c r="L246" s="199"/>
      <c r="M246" s="199"/>
      <c r="N246" s="199"/>
      <c r="O246" s="199"/>
      <c r="P246" s="199"/>
      <c r="Q246" s="199"/>
      <c r="R246" s="199"/>
      <c r="S246" s="199">
        <v>244</v>
      </c>
      <c r="T246" s="199">
        <v>150</v>
      </c>
      <c r="U246" s="199"/>
      <c r="V246" s="199"/>
      <c r="W246" s="273"/>
      <c r="X246" s="273"/>
      <c r="Y246" s="273"/>
    </row>
    <row r="247" spans="12:25" x14ac:dyDescent="0.35">
      <c r="L247" s="199"/>
      <c r="M247" s="199"/>
      <c r="N247" s="199"/>
      <c r="O247" s="199"/>
      <c r="P247" s="199"/>
      <c r="Q247" s="199"/>
      <c r="R247" s="199"/>
      <c r="S247" s="199">
        <v>245</v>
      </c>
      <c r="T247" s="199">
        <v>150</v>
      </c>
      <c r="U247" s="199"/>
      <c r="V247" s="199"/>
      <c r="W247" s="273"/>
      <c r="X247" s="273"/>
      <c r="Y247" s="273"/>
    </row>
    <row r="248" spans="12:25" x14ac:dyDescent="0.35">
      <c r="L248" s="199"/>
      <c r="M248" s="199"/>
      <c r="N248" s="199"/>
      <c r="O248" s="199"/>
      <c r="P248" s="199"/>
      <c r="Q248" s="199"/>
      <c r="R248" s="199"/>
      <c r="S248" s="199">
        <v>246</v>
      </c>
      <c r="T248" s="199">
        <v>150</v>
      </c>
      <c r="U248" s="199"/>
      <c r="V248" s="199"/>
      <c r="W248" s="273"/>
      <c r="X248" s="273"/>
      <c r="Y248" s="273"/>
    </row>
    <row r="249" spans="12:25" x14ac:dyDescent="0.35">
      <c r="L249" s="199"/>
      <c r="M249" s="199"/>
      <c r="N249" s="199"/>
      <c r="O249" s="199"/>
      <c r="P249" s="199"/>
      <c r="Q249" s="199"/>
      <c r="R249" s="199"/>
      <c r="S249" s="199">
        <v>247</v>
      </c>
      <c r="T249" s="199">
        <v>150</v>
      </c>
      <c r="U249" s="199"/>
      <c r="V249" s="199"/>
      <c r="W249" s="273"/>
      <c r="X249" s="273"/>
      <c r="Y249" s="273"/>
    </row>
    <row r="250" spans="12:25" x14ac:dyDescent="0.35">
      <c r="L250" s="199"/>
      <c r="M250" s="199"/>
      <c r="N250" s="199"/>
      <c r="O250" s="199"/>
      <c r="P250" s="199"/>
      <c r="Q250" s="199"/>
      <c r="R250" s="199"/>
      <c r="S250" s="199">
        <v>248</v>
      </c>
      <c r="T250" s="199">
        <v>150</v>
      </c>
      <c r="U250" s="199"/>
      <c r="V250" s="199"/>
      <c r="W250" s="273"/>
      <c r="X250" s="273"/>
      <c r="Y250" s="273"/>
    </row>
    <row r="251" spans="12:25" x14ac:dyDescent="0.35">
      <c r="L251" s="199"/>
      <c r="M251" s="199"/>
      <c r="N251" s="199"/>
      <c r="O251" s="199"/>
      <c r="P251" s="199"/>
      <c r="Q251" s="199"/>
      <c r="R251" s="199"/>
      <c r="S251" s="199">
        <v>249</v>
      </c>
      <c r="T251" s="199">
        <v>150</v>
      </c>
      <c r="U251" s="199"/>
      <c r="V251" s="199"/>
      <c r="W251" s="273"/>
      <c r="X251" s="273"/>
      <c r="Y251" s="273"/>
    </row>
    <row r="252" spans="12:25" x14ac:dyDescent="0.35">
      <c r="L252" s="199"/>
      <c r="M252" s="199"/>
      <c r="N252" s="199"/>
      <c r="O252" s="199"/>
      <c r="P252" s="199"/>
      <c r="Q252" s="199"/>
      <c r="R252" s="199"/>
      <c r="S252" s="199">
        <v>250</v>
      </c>
      <c r="T252" s="199">
        <v>150</v>
      </c>
      <c r="U252" s="199"/>
      <c r="V252" s="199"/>
      <c r="W252" s="273"/>
      <c r="X252" s="273"/>
      <c r="Y252" s="273"/>
    </row>
    <row r="253" spans="12:25" x14ac:dyDescent="0.35">
      <c r="L253" s="199"/>
      <c r="M253" s="199"/>
      <c r="N253" s="199"/>
      <c r="O253" s="199"/>
      <c r="P253" s="199"/>
      <c r="Q253" s="199"/>
      <c r="R253" s="199"/>
      <c r="S253" s="199">
        <v>251</v>
      </c>
      <c r="T253" s="199">
        <v>150</v>
      </c>
      <c r="U253" s="199"/>
      <c r="V253" s="199"/>
      <c r="W253" s="273"/>
      <c r="X253" s="273"/>
      <c r="Y253" s="273"/>
    </row>
    <row r="254" spans="12:25" x14ac:dyDescent="0.35">
      <c r="L254" s="199"/>
      <c r="M254" s="199"/>
      <c r="N254" s="199"/>
      <c r="O254" s="199"/>
      <c r="P254" s="199"/>
      <c r="Q254" s="199"/>
      <c r="R254" s="199"/>
      <c r="S254" s="199">
        <v>252</v>
      </c>
      <c r="T254" s="199">
        <v>150</v>
      </c>
      <c r="U254" s="199"/>
      <c r="V254" s="199"/>
      <c r="W254" s="273"/>
      <c r="X254" s="273"/>
      <c r="Y254" s="273"/>
    </row>
    <row r="255" spans="12:25" x14ac:dyDescent="0.35">
      <c r="L255" s="199"/>
      <c r="M255" s="199"/>
      <c r="N255" s="199"/>
      <c r="O255" s="199"/>
      <c r="P255" s="199"/>
      <c r="Q255" s="199"/>
      <c r="R255" s="199"/>
      <c r="S255" s="199">
        <v>253</v>
      </c>
      <c r="T255" s="199">
        <v>150</v>
      </c>
      <c r="U255" s="199"/>
      <c r="V255" s="199"/>
      <c r="W255" s="273"/>
      <c r="X255" s="273"/>
      <c r="Y255" s="273"/>
    </row>
    <row r="256" spans="12:25" x14ac:dyDescent="0.35">
      <c r="L256" s="199"/>
      <c r="M256" s="199"/>
      <c r="N256" s="199"/>
      <c r="O256" s="199"/>
      <c r="P256" s="199"/>
      <c r="Q256" s="199"/>
      <c r="R256" s="199"/>
      <c r="S256" s="199">
        <v>254</v>
      </c>
      <c r="T256" s="199">
        <v>150</v>
      </c>
      <c r="U256" s="199"/>
      <c r="V256" s="199"/>
      <c r="W256" s="273"/>
      <c r="X256" s="273"/>
      <c r="Y256" s="273"/>
    </row>
    <row r="257" spans="12:25" x14ac:dyDescent="0.35">
      <c r="L257" s="199"/>
      <c r="M257" s="199"/>
      <c r="N257" s="199"/>
      <c r="O257" s="199"/>
      <c r="P257" s="199"/>
      <c r="Q257" s="199"/>
      <c r="R257" s="199"/>
      <c r="S257" s="199">
        <v>255</v>
      </c>
      <c r="T257" s="199">
        <v>150</v>
      </c>
      <c r="U257" s="199"/>
      <c r="V257" s="199"/>
      <c r="W257" s="273"/>
      <c r="X257" s="273"/>
      <c r="Y257" s="273"/>
    </row>
    <row r="258" spans="12:25" x14ac:dyDescent="0.35">
      <c r="L258" s="199"/>
      <c r="M258" s="199"/>
      <c r="N258" s="199"/>
      <c r="O258" s="199"/>
      <c r="P258" s="199"/>
      <c r="Q258" s="199"/>
      <c r="R258" s="199"/>
      <c r="S258" s="199">
        <v>256</v>
      </c>
      <c r="T258" s="199">
        <v>150</v>
      </c>
      <c r="U258" s="199"/>
      <c r="V258" s="199"/>
      <c r="W258" s="273"/>
      <c r="X258" s="273"/>
      <c r="Y258" s="273"/>
    </row>
    <row r="259" spans="12:25" x14ac:dyDescent="0.35">
      <c r="L259" s="199"/>
      <c r="M259" s="199"/>
      <c r="N259" s="199"/>
      <c r="O259" s="199"/>
      <c r="P259" s="199"/>
      <c r="Q259" s="199"/>
      <c r="R259" s="199"/>
      <c r="S259" s="199">
        <v>257</v>
      </c>
      <c r="T259" s="199">
        <v>150</v>
      </c>
      <c r="U259" s="199"/>
      <c r="V259" s="199"/>
      <c r="W259" s="273"/>
      <c r="X259" s="273"/>
      <c r="Y259" s="273"/>
    </row>
    <row r="260" spans="12:25" x14ac:dyDescent="0.35">
      <c r="L260" s="199"/>
      <c r="M260" s="199"/>
      <c r="N260" s="199"/>
      <c r="O260" s="199"/>
      <c r="P260" s="199"/>
      <c r="Q260" s="199"/>
      <c r="R260" s="199"/>
      <c r="S260" s="199">
        <v>258</v>
      </c>
      <c r="T260" s="199">
        <v>150</v>
      </c>
      <c r="U260" s="199"/>
      <c r="V260" s="199"/>
      <c r="W260" s="273"/>
      <c r="X260" s="273"/>
      <c r="Y260" s="273"/>
    </row>
    <row r="261" spans="12:25" x14ac:dyDescent="0.35">
      <c r="L261" s="199"/>
      <c r="M261" s="199"/>
      <c r="N261" s="199"/>
      <c r="O261" s="199"/>
      <c r="P261" s="199"/>
      <c r="Q261" s="199"/>
      <c r="R261" s="199"/>
      <c r="S261" s="199">
        <v>259</v>
      </c>
      <c r="T261" s="199">
        <v>150</v>
      </c>
      <c r="U261" s="199"/>
      <c r="V261" s="199"/>
      <c r="W261" s="273"/>
      <c r="X261" s="273"/>
      <c r="Y261" s="273"/>
    </row>
    <row r="262" spans="12:25" x14ac:dyDescent="0.35">
      <c r="L262" s="199"/>
      <c r="M262" s="199"/>
      <c r="N262" s="199"/>
      <c r="O262" s="199"/>
      <c r="P262" s="199"/>
      <c r="Q262" s="199"/>
      <c r="R262" s="199"/>
      <c r="S262" s="199">
        <v>260</v>
      </c>
      <c r="T262" s="199">
        <v>150</v>
      </c>
      <c r="U262" s="199"/>
      <c r="V262" s="199"/>
      <c r="W262" s="273"/>
      <c r="X262" s="273"/>
      <c r="Y262" s="273"/>
    </row>
    <row r="263" spans="12:25" x14ac:dyDescent="0.35">
      <c r="L263" s="199"/>
      <c r="M263" s="199"/>
      <c r="N263" s="199"/>
      <c r="O263" s="199"/>
      <c r="P263" s="199"/>
      <c r="Q263" s="199"/>
      <c r="R263" s="199"/>
      <c r="S263" s="199">
        <v>261</v>
      </c>
      <c r="T263" s="199">
        <v>150</v>
      </c>
      <c r="U263" s="199"/>
      <c r="V263" s="199"/>
      <c r="W263" s="273"/>
      <c r="X263" s="273"/>
      <c r="Y263" s="273"/>
    </row>
    <row r="264" spans="12:25" x14ac:dyDescent="0.35">
      <c r="L264" s="199"/>
      <c r="M264" s="199"/>
      <c r="N264" s="199"/>
      <c r="O264" s="199"/>
      <c r="P264" s="199"/>
      <c r="Q264" s="199"/>
      <c r="R264" s="199"/>
      <c r="S264" s="199">
        <v>262</v>
      </c>
      <c r="T264" s="199">
        <v>150</v>
      </c>
      <c r="U264" s="199"/>
      <c r="V264" s="199"/>
      <c r="W264" s="273"/>
      <c r="X264" s="273"/>
      <c r="Y264" s="273"/>
    </row>
    <row r="265" spans="12:25" x14ac:dyDescent="0.35">
      <c r="L265" s="199"/>
      <c r="M265" s="199"/>
      <c r="N265" s="199"/>
      <c r="O265" s="199"/>
      <c r="P265" s="199"/>
      <c r="Q265" s="199"/>
      <c r="R265" s="199"/>
      <c r="S265" s="199">
        <v>263</v>
      </c>
      <c r="T265" s="199">
        <v>150</v>
      </c>
      <c r="U265" s="199"/>
      <c r="V265" s="199"/>
      <c r="W265" s="273"/>
      <c r="X265" s="273"/>
      <c r="Y265" s="273"/>
    </row>
    <row r="266" spans="12:25" x14ac:dyDescent="0.35">
      <c r="L266" s="199"/>
      <c r="M266" s="199"/>
      <c r="N266" s="199"/>
      <c r="O266" s="199"/>
      <c r="P266" s="199"/>
      <c r="Q266" s="199"/>
      <c r="R266" s="199"/>
      <c r="S266" s="199">
        <v>264</v>
      </c>
      <c r="T266" s="199">
        <v>150</v>
      </c>
      <c r="U266" s="199"/>
      <c r="V266" s="199"/>
      <c r="W266" s="273"/>
      <c r="X266" s="273"/>
      <c r="Y266" s="273"/>
    </row>
    <row r="267" spans="12:25" x14ac:dyDescent="0.35">
      <c r="L267" s="199"/>
      <c r="M267" s="199"/>
      <c r="N267" s="199"/>
      <c r="O267" s="199"/>
      <c r="P267" s="199"/>
      <c r="Q267" s="199"/>
      <c r="R267" s="199"/>
      <c r="S267" s="199">
        <v>265</v>
      </c>
      <c r="T267" s="199">
        <v>150</v>
      </c>
      <c r="U267" s="199"/>
      <c r="V267" s="199"/>
      <c r="W267" s="273"/>
      <c r="X267" s="273"/>
      <c r="Y267" s="273"/>
    </row>
    <row r="268" spans="12:25" x14ac:dyDescent="0.35">
      <c r="L268" s="199"/>
      <c r="M268" s="199"/>
      <c r="N268" s="199"/>
      <c r="O268" s="199"/>
      <c r="P268" s="199"/>
      <c r="Q268" s="199"/>
      <c r="R268" s="199"/>
      <c r="S268" s="199">
        <v>266</v>
      </c>
      <c r="T268" s="199">
        <v>150</v>
      </c>
      <c r="U268" s="199"/>
      <c r="V268" s="199"/>
      <c r="W268" s="273"/>
      <c r="X268" s="273"/>
      <c r="Y268" s="273"/>
    </row>
    <row r="269" spans="12:25" x14ac:dyDescent="0.35">
      <c r="L269" s="199"/>
      <c r="M269" s="199"/>
      <c r="N269" s="199"/>
      <c r="O269" s="199"/>
      <c r="P269" s="199"/>
      <c r="Q269" s="199"/>
      <c r="R269" s="199"/>
      <c r="S269" s="199">
        <v>267</v>
      </c>
      <c r="T269" s="199">
        <v>150</v>
      </c>
      <c r="U269" s="199"/>
      <c r="V269" s="199"/>
      <c r="W269" s="273"/>
      <c r="X269" s="273"/>
      <c r="Y269" s="273"/>
    </row>
    <row r="270" spans="12:25" x14ac:dyDescent="0.35">
      <c r="L270" s="199"/>
      <c r="M270" s="199"/>
      <c r="N270" s="199"/>
      <c r="O270" s="199"/>
      <c r="P270" s="199"/>
      <c r="Q270" s="199"/>
      <c r="R270" s="199"/>
      <c r="S270" s="199">
        <v>268</v>
      </c>
      <c r="T270" s="199">
        <v>150</v>
      </c>
      <c r="U270" s="199"/>
      <c r="V270" s="199"/>
      <c r="W270" s="273"/>
      <c r="X270" s="273"/>
      <c r="Y270" s="273"/>
    </row>
    <row r="271" spans="12:25" x14ac:dyDescent="0.35">
      <c r="L271" s="199"/>
      <c r="M271" s="199"/>
      <c r="N271" s="199"/>
      <c r="O271" s="199"/>
      <c r="P271" s="199"/>
      <c r="Q271" s="199"/>
      <c r="R271" s="199"/>
      <c r="S271" s="199">
        <v>269</v>
      </c>
      <c r="T271" s="199">
        <v>150</v>
      </c>
      <c r="U271" s="199"/>
      <c r="V271" s="199"/>
      <c r="W271" s="273"/>
      <c r="X271" s="273"/>
      <c r="Y271" s="273"/>
    </row>
    <row r="272" spans="12:25" x14ac:dyDescent="0.35">
      <c r="L272" s="199"/>
      <c r="M272" s="199"/>
      <c r="N272" s="199"/>
      <c r="O272" s="199"/>
      <c r="P272" s="199"/>
      <c r="Q272" s="199"/>
      <c r="R272" s="199"/>
      <c r="S272" s="199">
        <v>270</v>
      </c>
      <c r="T272" s="199">
        <v>150</v>
      </c>
      <c r="U272" s="199"/>
      <c r="V272" s="199"/>
      <c r="W272" s="273"/>
      <c r="X272" s="273"/>
      <c r="Y272" s="273"/>
    </row>
    <row r="273" spans="12:25" x14ac:dyDescent="0.35">
      <c r="L273" s="199"/>
      <c r="M273" s="199"/>
      <c r="N273" s="199"/>
      <c r="O273" s="199"/>
      <c r="P273" s="199"/>
      <c r="Q273" s="199"/>
      <c r="R273" s="199"/>
      <c r="S273" s="199">
        <v>271</v>
      </c>
      <c r="T273" s="199">
        <v>150</v>
      </c>
      <c r="U273" s="199"/>
      <c r="V273" s="199"/>
      <c r="W273" s="273"/>
      <c r="X273" s="273"/>
      <c r="Y273" s="273"/>
    </row>
    <row r="274" spans="12:25" x14ac:dyDescent="0.35">
      <c r="L274" s="199"/>
      <c r="M274" s="199"/>
      <c r="N274" s="199"/>
      <c r="O274" s="199"/>
      <c r="P274" s="199"/>
      <c r="Q274" s="199"/>
      <c r="R274" s="199"/>
      <c r="S274" s="199">
        <v>272</v>
      </c>
      <c r="T274" s="199">
        <v>150</v>
      </c>
      <c r="U274" s="199"/>
      <c r="V274" s="199"/>
      <c r="W274" s="273"/>
      <c r="X274" s="273"/>
      <c r="Y274" s="273"/>
    </row>
    <row r="275" spans="12:25" x14ac:dyDescent="0.35">
      <c r="L275" s="199"/>
      <c r="M275" s="199"/>
      <c r="N275" s="199"/>
      <c r="O275" s="199"/>
      <c r="P275" s="199"/>
      <c r="Q275" s="199"/>
      <c r="R275" s="199"/>
      <c r="S275" s="199">
        <v>273</v>
      </c>
      <c r="T275" s="199">
        <v>150</v>
      </c>
      <c r="U275" s="199"/>
      <c r="V275" s="199"/>
      <c r="W275" s="273"/>
      <c r="X275" s="273"/>
      <c r="Y275" s="273"/>
    </row>
    <row r="276" spans="12:25" x14ac:dyDescent="0.35">
      <c r="L276" s="199"/>
      <c r="M276" s="199"/>
      <c r="N276" s="199"/>
      <c r="O276" s="199"/>
      <c r="P276" s="199"/>
      <c r="Q276" s="199"/>
      <c r="R276" s="199"/>
      <c r="S276" s="199">
        <v>274</v>
      </c>
      <c r="T276" s="199">
        <v>150</v>
      </c>
      <c r="U276" s="199"/>
      <c r="V276" s="199"/>
      <c r="W276" s="273"/>
      <c r="X276" s="273"/>
      <c r="Y276" s="273"/>
    </row>
    <row r="277" spans="12:25" x14ac:dyDescent="0.35">
      <c r="L277" s="199"/>
      <c r="M277" s="199"/>
      <c r="N277" s="199"/>
      <c r="O277" s="199"/>
      <c r="P277" s="199"/>
      <c r="Q277" s="199"/>
      <c r="R277" s="199"/>
      <c r="S277" s="199">
        <v>275</v>
      </c>
      <c r="T277" s="199">
        <v>150</v>
      </c>
      <c r="U277" s="199"/>
      <c r="V277" s="199"/>
      <c r="W277" s="273"/>
      <c r="X277" s="273"/>
      <c r="Y277" s="273"/>
    </row>
    <row r="278" spans="12:25" x14ac:dyDescent="0.35">
      <c r="L278" s="199"/>
      <c r="M278" s="199"/>
      <c r="N278" s="199"/>
      <c r="O278" s="199"/>
      <c r="P278" s="199"/>
      <c r="Q278" s="199"/>
      <c r="R278" s="199"/>
      <c r="S278" s="199">
        <v>276</v>
      </c>
      <c r="T278" s="199">
        <v>150</v>
      </c>
      <c r="U278" s="199"/>
      <c r="V278" s="199"/>
      <c r="W278" s="273"/>
      <c r="X278" s="273"/>
      <c r="Y278" s="273"/>
    </row>
    <row r="279" spans="12:25" x14ac:dyDescent="0.35">
      <c r="L279" s="199"/>
      <c r="M279" s="199"/>
      <c r="N279" s="199"/>
      <c r="O279" s="199"/>
      <c r="P279" s="199"/>
      <c r="Q279" s="199"/>
      <c r="R279" s="199"/>
      <c r="S279" s="199">
        <v>277</v>
      </c>
      <c r="T279" s="199">
        <v>150</v>
      </c>
      <c r="U279" s="199"/>
      <c r="V279" s="199"/>
      <c r="W279" s="273"/>
      <c r="X279" s="273"/>
      <c r="Y279" s="273"/>
    </row>
    <row r="280" spans="12:25" x14ac:dyDescent="0.35">
      <c r="L280" s="199"/>
      <c r="M280" s="199"/>
      <c r="N280" s="199"/>
      <c r="O280" s="199"/>
      <c r="P280" s="199"/>
      <c r="Q280" s="199"/>
      <c r="R280" s="199"/>
      <c r="S280" s="199">
        <v>278</v>
      </c>
      <c r="T280" s="199">
        <v>150</v>
      </c>
      <c r="U280" s="199"/>
      <c r="V280" s="199"/>
      <c r="W280" s="273"/>
      <c r="X280" s="273"/>
      <c r="Y280" s="273"/>
    </row>
    <row r="281" spans="12:25" x14ac:dyDescent="0.35">
      <c r="L281" s="199"/>
      <c r="M281" s="199"/>
      <c r="N281" s="199"/>
      <c r="O281" s="199"/>
      <c r="P281" s="199"/>
      <c r="Q281" s="199"/>
      <c r="R281" s="199"/>
      <c r="S281" s="199">
        <v>279</v>
      </c>
      <c r="T281" s="199">
        <v>150</v>
      </c>
      <c r="U281" s="199"/>
      <c r="V281" s="199"/>
      <c r="W281" s="273"/>
      <c r="X281" s="273"/>
      <c r="Y281" s="273"/>
    </row>
    <row r="282" spans="12:25" x14ac:dyDescent="0.35">
      <c r="L282" s="199"/>
      <c r="M282" s="199"/>
      <c r="N282" s="199"/>
      <c r="O282" s="199"/>
      <c r="P282" s="199"/>
      <c r="Q282" s="199"/>
      <c r="R282" s="199"/>
      <c r="S282" s="199">
        <v>280</v>
      </c>
      <c r="T282" s="199">
        <v>150</v>
      </c>
      <c r="U282" s="199"/>
      <c r="V282" s="199"/>
      <c r="W282" s="273"/>
      <c r="X282" s="273"/>
      <c r="Y282" s="273"/>
    </row>
    <row r="283" spans="12:25" x14ac:dyDescent="0.35">
      <c r="L283" s="199"/>
      <c r="M283" s="199"/>
      <c r="N283" s="199"/>
      <c r="O283" s="199"/>
      <c r="P283" s="199"/>
      <c r="Q283" s="199"/>
      <c r="R283" s="199"/>
      <c r="S283" s="199">
        <v>281</v>
      </c>
      <c r="T283" s="199">
        <v>150</v>
      </c>
      <c r="U283" s="199"/>
      <c r="V283" s="199"/>
      <c r="W283" s="273"/>
      <c r="X283" s="273"/>
      <c r="Y283" s="273"/>
    </row>
    <row r="284" spans="12:25" x14ac:dyDescent="0.35">
      <c r="L284" s="199"/>
      <c r="M284" s="199"/>
      <c r="N284" s="199"/>
      <c r="O284" s="199"/>
      <c r="P284" s="199"/>
      <c r="Q284" s="199"/>
      <c r="R284" s="199"/>
      <c r="S284" s="199">
        <v>282</v>
      </c>
      <c r="T284" s="199">
        <v>150</v>
      </c>
      <c r="U284" s="199"/>
      <c r="V284" s="199"/>
      <c r="W284" s="273"/>
      <c r="X284" s="273"/>
      <c r="Y284" s="273"/>
    </row>
    <row r="285" spans="12:25" x14ac:dyDescent="0.35">
      <c r="L285" s="199"/>
      <c r="M285" s="199"/>
      <c r="N285" s="199"/>
      <c r="O285" s="199"/>
      <c r="P285" s="199"/>
      <c r="Q285" s="199"/>
      <c r="R285" s="199"/>
      <c r="S285" s="199">
        <v>283</v>
      </c>
      <c r="T285" s="199">
        <v>150</v>
      </c>
      <c r="U285" s="199"/>
      <c r="V285" s="199"/>
      <c r="W285" s="273"/>
      <c r="X285" s="273"/>
      <c r="Y285" s="273"/>
    </row>
    <row r="286" spans="12:25" x14ac:dyDescent="0.35">
      <c r="L286" s="199"/>
      <c r="M286" s="199"/>
      <c r="N286" s="199"/>
      <c r="O286" s="199"/>
      <c r="P286" s="199"/>
      <c r="Q286" s="199"/>
      <c r="R286" s="199"/>
      <c r="S286" s="199">
        <v>284</v>
      </c>
      <c r="T286" s="199">
        <v>150</v>
      </c>
      <c r="U286" s="199"/>
      <c r="V286" s="199"/>
      <c r="W286" s="273"/>
      <c r="X286" s="273"/>
      <c r="Y286" s="273"/>
    </row>
    <row r="287" spans="12:25" x14ac:dyDescent="0.35">
      <c r="L287" s="199"/>
      <c r="M287" s="199"/>
      <c r="N287" s="199"/>
      <c r="O287" s="199"/>
      <c r="P287" s="199"/>
      <c r="Q287" s="199"/>
      <c r="R287" s="199"/>
      <c r="S287" s="199">
        <v>285</v>
      </c>
      <c r="T287" s="199">
        <v>150</v>
      </c>
      <c r="U287" s="199"/>
      <c r="V287" s="199"/>
      <c r="W287" s="273"/>
      <c r="X287" s="273"/>
      <c r="Y287" s="273"/>
    </row>
    <row r="288" spans="12:25" x14ac:dyDescent="0.35">
      <c r="L288" s="199"/>
      <c r="M288" s="199"/>
      <c r="N288" s="199"/>
      <c r="O288" s="199"/>
      <c r="P288" s="199"/>
      <c r="Q288" s="199"/>
      <c r="R288" s="199"/>
      <c r="S288" s="199">
        <v>286</v>
      </c>
      <c r="T288" s="199">
        <v>150</v>
      </c>
      <c r="U288" s="199"/>
      <c r="V288" s="199"/>
      <c r="W288" s="273"/>
      <c r="X288" s="273"/>
      <c r="Y288" s="273"/>
    </row>
    <row r="289" spans="12:25" x14ac:dyDescent="0.35">
      <c r="L289" s="199"/>
      <c r="M289" s="199"/>
      <c r="N289" s="199"/>
      <c r="O289" s="199"/>
      <c r="P289" s="199"/>
      <c r="Q289" s="199"/>
      <c r="R289" s="199"/>
      <c r="S289" s="199">
        <v>287</v>
      </c>
      <c r="T289" s="199">
        <v>150</v>
      </c>
      <c r="U289" s="199"/>
      <c r="V289" s="199"/>
      <c r="W289" s="273"/>
      <c r="X289" s="273"/>
      <c r="Y289" s="273"/>
    </row>
    <row r="290" spans="12:25" x14ac:dyDescent="0.35">
      <c r="L290" s="199"/>
      <c r="M290" s="199"/>
      <c r="N290" s="199"/>
      <c r="O290" s="199"/>
      <c r="P290" s="199"/>
      <c r="Q290" s="199"/>
      <c r="R290" s="199"/>
      <c r="S290" s="199">
        <v>288</v>
      </c>
      <c r="T290" s="199">
        <v>150</v>
      </c>
      <c r="U290" s="199"/>
      <c r="V290" s="199"/>
      <c r="W290" s="273"/>
      <c r="X290" s="273"/>
      <c r="Y290" s="273"/>
    </row>
    <row r="291" spans="12:25" x14ac:dyDescent="0.35">
      <c r="L291" s="199"/>
      <c r="M291" s="199"/>
      <c r="N291" s="199"/>
      <c r="O291" s="199"/>
      <c r="P291" s="199"/>
      <c r="Q291" s="199"/>
      <c r="R291" s="199"/>
      <c r="S291" s="199">
        <v>289</v>
      </c>
      <c r="T291" s="199">
        <v>150</v>
      </c>
      <c r="U291" s="199"/>
      <c r="V291" s="199"/>
      <c r="W291" s="273"/>
      <c r="X291" s="273"/>
      <c r="Y291" s="273"/>
    </row>
    <row r="292" spans="12:25" x14ac:dyDescent="0.35">
      <c r="L292" s="199"/>
      <c r="M292" s="199"/>
      <c r="N292" s="199"/>
      <c r="O292" s="199"/>
      <c r="P292" s="199"/>
      <c r="Q292" s="199"/>
      <c r="R292" s="199"/>
      <c r="S292" s="199">
        <v>290</v>
      </c>
      <c r="T292" s="199">
        <v>150</v>
      </c>
      <c r="U292" s="199"/>
      <c r="V292" s="199"/>
      <c r="W292" s="273"/>
      <c r="X292" s="273"/>
      <c r="Y292" s="273"/>
    </row>
    <row r="293" spans="12:25" x14ac:dyDescent="0.35">
      <c r="L293" s="199"/>
      <c r="M293" s="199"/>
      <c r="N293" s="199"/>
      <c r="O293" s="199"/>
      <c r="P293" s="199"/>
      <c r="Q293" s="199"/>
      <c r="R293" s="199"/>
      <c r="S293" s="199">
        <v>291</v>
      </c>
      <c r="T293" s="199">
        <v>150</v>
      </c>
      <c r="U293" s="199"/>
      <c r="V293" s="199"/>
      <c r="W293" s="273"/>
      <c r="X293" s="273"/>
      <c r="Y293" s="273"/>
    </row>
    <row r="294" spans="12:25" x14ac:dyDescent="0.35">
      <c r="L294" s="199"/>
      <c r="M294" s="199"/>
      <c r="N294" s="199"/>
      <c r="O294" s="199"/>
      <c r="P294" s="199"/>
      <c r="Q294" s="199"/>
      <c r="R294" s="199"/>
      <c r="S294" s="199">
        <v>292</v>
      </c>
      <c r="T294" s="199">
        <v>150</v>
      </c>
      <c r="U294" s="199"/>
      <c r="V294" s="199"/>
      <c r="W294" s="273"/>
      <c r="X294" s="273"/>
      <c r="Y294" s="273"/>
    </row>
    <row r="295" spans="12:25" x14ac:dyDescent="0.35">
      <c r="L295" s="199"/>
      <c r="M295" s="199"/>
      <c r="N295" s="199"/>
      <c r="O295" s="199"/>
      <c r="P295" s="199"/>
      <c r="Q295" s="199"/>
      <c r="R295" s="199"/>
      <c r="S295" s="199">
        <v>293</v>
      </c>
      <c r="T295" s="199">
        <v>150</v>
      </c>
      <c r="U295" s="199"/>
      <c r="V295" s="199"/>
      <c r="W295" s="273"/>
      <c r="X295" s="273"/>
      <c r="Y295" s="273"/>
    </row>
    <row r="296" spans="12:25" x14ac:dyDescent="0.35">
      <c r="L296" s="199"/>
      <c r="M296" s="199"/>
      <c r="N296" s="199"/>
      <c r="O296" s="199"/>
      <c r="P296" s="199"/>
      <c r="Q296" s="199"/>
      <c r="R296" s="199"/>
      <c r="S296" s="199">
        <v>294</v>
      </c>
      <c r="T296" s="199">
        <v>150</v>
      </c>
      <c r="U296" s="199"/>
      <c r="V296" s="199"/>
      <c r="W296" s="273"/>
      <c r="X296" s="273"/>
      <c r="Y296" s="273"/>
    </row>
    <row r="297" spans="12:25" x14ac:dyDescent="0.35">
      <c r="L297" s="199"/>
      <c r="M297" s="199"/>
      <c r="N297" s="199"/>
      <c r="O297" s="199"/>
      <c r="P297" s="199"/>
      <c r="Q297" s="199"/>
      <c r="R297" s="199"/>
      <c r="S297" s="199">
        <v>295</v>
      </c>
      <c r="T297" s="199">
        <v>150</v>
      </c>
      <c r="U297" s="199"/>
      <c r="V297" s="199"/>
      <c r="W297" s="273"/>
      <c r="X297" s="273"/>
      <c r="Y297" s="273"/>
    </row>
    <row r="298" spans="12:25" x14ac:dyDescent="0.35">
      <c r="L298" s="199"/>
      <c r="M298" s="199"/>
      <c r="N298" s="199"/>
      <c r="O298" s="199"/>
      <c r="P298" s="199"/>
      <c r="Q298" s="199"/>
      <c r="R298" s="199"/>
      <c r="S298" s="199">
        <v>296</v>
      </c>
      <c r="T298" s="199">
        <v>150</v>
      </c>
      <c r="U298" s="199"/>
      <c r="V298" s="199"/>
      <c r="W298" s="273"/>
      <c r="X298" s="273"/>
      <c r="Y298" s="273"/>
    </row>
    <row r="299" spans="12:25" x14ac:dyDescent="0.35">
      <c r="L299" s="199"/>
      <c r="M299" s="199"/>
      <c r="N299" s="199"/>
      <c r="O299" s="199"/>
      <c r="P299" s="199"/>
      <c r="Q299" s="199"/>
      <c r="R299" s="199"/>
      <c r="S299" s="199">
        <v>297</v>
      </c>
      <c r="T299" s="199">
        <v>150</v>
      </c>
      <c r="U299" s="199"/>
      <c r="V299" s="199"/>
      <c r="W299" s="273"/>
      <c r="X299" s="273"/>
      <c r="Y299" s="273"/>
    </row>
    <row r="300" spans="12:25" x14ac:dyDescent="0.35">
      <c r="L300" s="199"/>
      <c r="M300" s="199"/>
      <c r="N300" s="199"/>
      <c r="O300" s="199"/>
      <c r="P300" s="199"/>
      <c r="Q300" s="199"/>
      <c r="R300" s="199"/>
      <c r="S300" s="199">
        <v>298</v>
      </c>
      <c r="T300" s="199">
        <v>150</v>
      </c>
      <c r="U300" s="199"/>
      <c r="V300" s="199"/>
      <c r="W300" s="273"/>
      <c r="X300" s="273"/>
      <c r="Y300" s="273"/>
    </row>
    <row r="301" spans="12:25" x14ac:dyDescent="0.35">
      <c r="L301" s="199"/>
      <c r="M301" s="199"/>
      <c r="N301" s="199"/>
      <c r="O301" s="199"/>
      <c r="P301" s="199"/>
      <c r="Q301" s="199"/>
      <c r="R301" s="199"/>
      <c r="S301" s="199">
        <v>299</v>
      </c>
      <c r="T301" s="199">
        <v>150</v>
      </c>
      <c r="U301" s="199"/>
      <c r="V301" s="199"/>
      <c r="W301" s="273"/>
      <c r="X301" s="273"/>
      <c r="Y301" s="273"/>
    </row>
    <row r="302" spans="12:25" x14ac:dyDescent="0.35">
      <c r="L302" s="199"/>
      <c r="M302" s="199"/>
      <c r="N302" s="199"/>
      <c r="O302" s="199"/>
      <c r="P302" s="199"/>
      <c r="Q302" s="199"/>
      <c r="R302" s="199"/>
      <c r="S302" s="199">
        <v>300</v>
      </c>
      <c r="T302" s="199">
        <v>150</v>
      </c>
      <c r="U302" s="199">
        <v>300</v>
      </c>
      <c r="V302" s="199"/>
      <c r="W302" s="273"/>
      <c r="X302" s="273"/>
      <c r="Y302" s="273"/>
    </row>
    <row r="303" spans="12:25" x14ac:dyDescent="0.35">
      <c r="L303" s="199"/>
      <c r="M303" s="199"/>
      <c r="N303" s="199"/>
      <c r="O303" s="199"/>
      <c r="P303" s="199"/>
      <c r="Q303" s="199"/>
      <c r="R303" s="199"/>
      <c r="S303" s="199">
        <v>301</v>
      </c>
      <c r="T303" s="199">
        <v>150</v>
      </c>
      <c r="U303" s="199"/>
      <c r="V303" s="199"/>
      <c r="W303" s="273"/>
      <c r="X303" s="273"/>
      <c r="Y303" s="273"/>
    </row>
    <row r="304" spans="12:25" x14ac:dyDescent="0.35">
      <c r="L304" s="199"/>
      <c r="M304" s="199"/>
      <c r="N304" s="199"/>
      <c r="O304" s="199"/>
      <c r="P304" s="199"/>
      <c r="Q304" s="199"/>
      <c r="R304" s="199"/>
      <c r="S304" s="199">
        <v>302</v>
      </c>
      <c r="T304" s="199">
        <v>150</v>
      </c>
      <c r="U304" s="199"/>
      <c r="V304" s="199"/>
      <c r="W304" s="273"/>
      <c r="X304" s="273"/>
      <c r="Y304" s="273"/>
    </row>
    <row r="305" spans="12:25" x14ac:dyDescent="0.35">
      <c r="L305" s="199"/>
      <c r="M305" s="199"/>
      <c r="N305" s="199"/>
      <c r="O305" s="199"/>
      <c r="P305" s="199"/>
      <c r="Q305" s="199"/>
      <c r="R305" s="199"/>
      <c r="S305" s="199">
        <v>303</v>
      </c>
      <c r="T305" s="199">
        <v>150</v>
      </c>
      <c r="U305" s="199"/>
      <c r="V305" s="199"/>
      <c r="W305" s="273"/>
      <c r="X305" s="273"/>
      <c r="Y305" s="273"/>
    </row>
    <row r="306" spans="12:25" x14ac:dyDescent="0.35">
      <c r="L306" s="199"/>
      <c r="M306" s="199"/>
      <c r="N306" s="199"/>
      <c r="O306" s="199"/>
      <c r="P306" s="199"/>
      <c r="Q306" s="199"/>
      <c r="R306" s="199"/>
      <c r="S306" s="199">
        <v>304</v>
      </c>
      <c r="T306" s="199">
        <v>150</v>
      </c>
      <c r="U306" s="199"/>
      <c r="V306" s="199"/>
      <c r="W306" s="273"/>
      <c r="X306" s="273"/>
      <c r="Y306" s="273"/>
    </row>
    <row r="307" spans="12:25" x14ac:dyDescent="0.35">
      <c r="L307" s="199"/>
      <c r="M307" s="199"/>
      <c r="N307" s="199"/>
      <c r="O307" s="199"/>
      <c r="P307" s="199"/>
      <c r="Q307" s="199"/>
      <c r="R307" s="199"/>
      <c r="S307" s="199">
        <v>305</v>
      </c>
      <c r="T307" s="199">
        <v>150</v>
      </c>
      <c r="U307" s="199"/>
      <c r="V307" s="199"/>
      <c r="W307" s="273"/>
      <c r="X307" s="273"/>
      <c r="Y307" s="273"/>
    </row>
    <row r="308" spans="12:25" x14ac:dyDescent="0.35">
      <c r="L308" s="199"/>
      <c r="M308" s="199"/>
      <c r="N308" s="199"/>
      <c r="O308" s="199"/>
      <c r="P308" s="199"/>
      <c r="Q308" s="199"/>
      <c r="R308" s="199"/>
      <c r="S308" s="199">
        <v>306</v>
      </c>
      <c r="T308" s="199">
        <v>150</v>
      </c>
      <c r="U308" s="199"/>
      <c r="V308" s="199"/>
      <c r="W308" s="273"/>
      <c r="X308" s="273"/>
      <c r="Y308" s="273"/>
    </row>
    <row r="309" spans="12:25" x14ac:dyDescent="0.35">
      <c r="L309" s="199"/>
      <c r="M309" s="199"/>
      <c r="N309" s="199"/>
      <c r="O309" s="199"/>
      <c r="P309" s="199"/>
      <c r="Q309" s="199"/>
      <c r="R309" s="199"/>
      <c r="S309" s="199">
        <v>307</v>
      </c>
      <c r="T309" s="199">
        <v>150</v>
      </c>
      <c r="U309" s="199"/>
      <c r="V309" s="199"/>
      <c r="W309" s="273"/>
      <c r="X309" s="273"/>
      <c r="Y309" s="273"/>
    </row>
    <row r="310" spans="12:25" x14ac:dyDescent="0.35">
      <c r="L310" s="199"/>
      <c r="M310" s="199"/>
      <c r="N310" s="199"/>
      <c r="O310" s="199"/>
      <c r="P310" s="199"/>
      <c r="Q310" s="199"/>
      <c r="R310" s="199"/>
      <c r="S310" s="199">
        <v>308</v>
      </c>
      <c r="T310" s="199">
        <v>150</v>
      </c>
      <c r="U310" s="199"/>
      <c r="V310" s="199"/>
      <c r="W310" s="273"/>
      <c r="X310" s="273"/>
      <c r="Y310" s="273"/>
    </row>
    <row r="311" spans="12:25" x14ac:dyDescent="0.35">
      <c r="L311" s="199"/>
      <c r="M311" s="199"/>
      <c r="N311" s="199"/>
      <c r="O311" s="199"/>
      <c r="P311" s="199"/>
      <c r="Q311" s="199"/>
      <c r="R311" s="199"/>
      <c r="S311" s="199">
        <v>309</v>
      </c>
      <c r="T311" s="199">
        <v>150</v>
      </c>
      <c r="U311" s="199"/>
      <c r="V311" s="199"/>
      <c r="W311" s="273"/>
      <c r="X311" s="273"/>
      <c r="Y311" s="273"/>
    </row>
    <row r="312" spans="12:25" x14ac:dyDescent="0.35">
      <c r="L312" s="199"/>
      <c r="M312" s="199"/>
      <c r="N312" s="199"/>
      <c r="O312" s="199"/>
      <c r="P312" s="199"/>
      <c r="Q312" s="199"/>
      <c r="R312" s="199"/>
      <c r="S312" s="199">
        <v>310</v>
      </c>
      <c r="T312" s="199">
        <v>150</v>
      </c>
      <c r="U312" s="199"/>
      <c r="V312" s="199"/>
      <c r="W312" s="273"/>
      <c r="X312" s="273"/>
      <c r="Y312" s="273"/>
    </row>
    <row r="313" spans="12:25" x14ac:dyDescent="0.35">
      <c r="L313" s="199"/>
      <c r="M313" s="199"/>
      <c r="N313" s="199"/>
      <c r="O313" s="199"/>
      <c r="P313" s="199"/>
      <c r="Q313" s="199"/>
      <c r="R313" s="199"/>
      <c r="S313" s="199">
        <v>311</v>
      </c>
      <c r="T313" s="199">
        <v>150</v>
      </c>
      <c r="U313" s="199"/>
      <c r="V313" s="199"/>
      <c r="W313" s="273"/>
      <c r="X313" s="273"/>
      <c r="Y313" s="273"/>
    </row>
    <row r="314" spans="12:25" x14ac:dyDescent="0.35">
      <c r="L314" s="199"/>
      <c r="M314" s="199"/>
      <c r="N314" s="199"/>
      <c r="O314" s="199"/>
      <c r="P314" s="199"/>
      <c r="Q314" s="199"/>
      <c r="R314" s="199"/>
      <c r="S314" s="199">
        <v>312</v>
      </c>
      <c r="T314" s="199">
        <v>150</v>
      </c>
      <c r="U314" s="199"/>
      <c r="V314" s="199"/>
      <c r="W314" s="273"/>
      <c r="X314" s="273"/>
      <c r="Y314" s="273"/>
    </row>
    <row r="315" spans="12:25" x14ac:dyDescent="0.35">
      <c r="L315" s="199"/>
      <c r="M315" s="199"/>
      <c r="N315" s="199"/>
      <c r="O315" s="199"/>
      <c r="P315" s="199"/>
      <c r="Q315" s="199"/>
      <c r="R315" s="199"/>
      <c r="S315" s="199">
        <v>313</v>
      </c>
      <c r="T315" s="199">
        <v>150</v>
      </c>
      <c r="U315" s="199"/>
      <c r="V315" s="199"/>
      <c r="W315" s="273"/>
      <c r="X315" s="273"/>
      <c r="Y315" s="273"/>
    </row>
    <row r="316" spans="12:25" x14ac:dyDescent="0.35">
      <c r="L316" s="199"/>
      <c r="M316" s="199"/>
      <c r="N316" s="199"/>
      <c r="O316" s="199"/>
      <c r="P316" s="199"/>
      <c r="Q316" s="199"/>
      <c r="R316" s="199"/>
      <c r="S316" s="199">
        <v>314</v>
      </c>
      <c r="T316" s="199">
        <v>150</v>
      </c>
      <c r="U316" s="199"/>
      <c r="V316" s="199"/>
      <c r="W316" s="273"/>
      <c r="X316" s="273"/>
      <c r="Y316" s="273"/>
    </row>
    <row r="317" spans="12:25" x14ac:dyDescent="0.35">
      <c r="L317" s="199"/>
      <c r="M317" s="199"/>
      <c r="N317" s="199"/>
      <c r="O317" s="199"/>
      <c r="P317" s="199"/>
      <c r="Q317" s="199"/>
      <c r="R317" s="199"/>
      <c r="S317" s="199">
        <v>315</v>
      </c>
      <c r="T317" s="199">
        <v>150</v>
      </c>
      <c r="U317" s="199"/>
      <c r="V317" s="199"/>
      <c r="W317" s="273"/>
      <c r="X317" s="273"/>
      <c r="Y317" s="273"/>
    </row>
    <row r="318" spans="12:25" x14ac:dyDescent="0.35">
      <c r="L318" s="199"/>
      <c r="M318" s="199"/>
      <c r="N318" s="199"/>
      <c r="O318" s="199"/>
      <c r="P318" s="199"/>
      <c r="Q318" s="199"/>
      <c r="R318" s="199"/>
      <c r="S318" s="199">
        <v>316</v>
      </c>
      <c r="T318" s="199">
        <v>150</v>
      </c>
      <c r="U318" s="199"/>
      <c r="V318" s="199"/>
      <c r="W318" s="273"/>
      <c r="X318" s="273"/>
      <c r="Y318" s="273"/>
    </row>
    <row r="319" spans="12:25" x14ac:dyDescent="0.35">
      <c r="L319" s="199"/>
      <c r="M319" s="199"/>
      <c r="N319" s="199"/>
      <c r="O319" s="199"/>
      <c r="P319" s="199"/>
      <c r="Q319" s="199"/>
      <c r="R319" s="199"/>
      <c r="S319" s="199">
        <v>317</v>
      </c>
      <c r="T319" s="199">
        <v>150</v>
      </c>
      <c r="U319" s="199"/>
      <c r="V319" s="199"/>
      <c r="W319" s="273"/>
      <c r="X319" s="273"/>
      <c r="Y319" s="273"/>
    </row>
    <row r="320" spans="12:25" x14ac:dyDescent="0.35">
      <c r="L320" s="199"/>
      <c r="M320" s="199"/>
      <c r="N320" s="199"/>
      <c r="O320" s="199"/>
      <c r="P320" s="199"/>
      <c r="Q320" s="199"/>
      <c r="R320" s="199"/>
      <c r="S320" s="199">
        <v>318</v>
      </c>
      <c r="T320" s="199">
        <v>150</v>
      </c>
      <c r="U320" s="199"/>
      <c r="V320" s="199"/>
      <c r="W320" s="273"/>
      <c r="X320" s="273"/>
      <c r="Y320" s="273"/>
    </row>
    <row r="321" spans="12:25" x14ac:dyDescent="0.35">
      <c r="L321" s="199"/>
      <c r="M321" s="199"/>
      <c r="N321" s="199"/>
      <c r="O321" s="199"/>
      <c r="P321" s="199"/>
      <c r="Q321" s="199"/>
      <c r="R321" s="199"/>
      <c r="S321" s="199">
        <v>319</v>
      </c>
      <c r="T321" s="199">
        <v>150</v>
      </c>
      <c r="U321" s="199"/>
      <c r="V321" s="199"/>
      <c r="W321" s="273"/>
      <c r="X321" s="273"/>
      <c r="Y321" s="273"/>
    </row>
    <row r="322" spans="12:25" x14ac:dyDescent="0.35">
      <c r="L322" s="199"/>
      <c r="M322" s="199"/>
      <c r="N322" s="199"/>
      <c r="O322" s="199"/>
      <c r="P322" s="199"/>
      <c r="Q322" s="199"/>
      <c r="R322" s="199"/>
      <c r="S322" s="199">
        <v>320</v>
      </c>
      <c r="T322" s="199">
        <v>150</v>
      </c>
      <c r="U322" s="199"/>
      <c r="V322" s="199"/>
      <c r="W322" s="273"/>
      <c r="X322" s="273"/>
      <c r="Y322" s="273"/>
    </row>
    <row r="323" spans="12:25" x14ac:dyDescent="0.35">
      <c r="L323" s="199"/>
      <c r="M323" s="199"/>
      <c r="N323" s="199"/>
      <c r="O323" s="199"/>
      <c r="P323" s="199"/>
      <c r="Q323" s="199"/>
      <c r="R323" s="199"/>
      <c r="S323" s="199">
        <v>321</v>
      </c>
      <c r="T323" s="199">
        <v>150</v>
      </c>
      <c r="U323" s="199"/>
      <c r="V323" s="199"/>
      <c r="W323" s="273"/>
      <c r="X323" s="273"/>
      <c r="Y323" s="273"/>
    </row>
    <row r="324" spans="12:25" x14ac:dyDescent="0.35">
      <c r="L324" s="199"/>
      <c r="M324" s="199"/>
      <c r="N324" s="199"/>
      <c r="O324" s="199"/>
      <c r="P324" s="199"/>
      <c r="Q324" s="199"/>
      <c r="R324" s="199"/>
      <c r="S324" s="199">
        <v>322</v>
      </c>
      <c r="T324" s="199">
        <v>150</v>
      </c>
      <c r="U324" s="199"/>
      <c r="V324" s="199"/>
      <c r="W324" s="273"/>
      <c r="X324" s="273"/>
      <c r="Y324" s="273"/>
    </row>
    <row r="325" spans="12:25" x14ac:dyDescent="0.35">
      <c r="L325" s="199"/>
      <c r="M325" s="199"/>
      <c r="N325" s="199"/>
      <c r="O325" s="199"/>
      <c r="P325" s="199"/>
      <c r="Q325" s="199"/>
      <c r="R325" s="199"/>
      <c r="S325" s="199">
        <v>323</v>
      </c>
      <c r="T325" s="199">
        <v>150</v>
      </c>
      <c r="U325" s="199"/>
      <c r="V325" s="199"/>
      <c r="W325" s="273"/>
      <c r="X325" s="273"/>
      <c r="Y325" s="273"/>
    </row>
    <row r="326" spans="12:25" x14ac:dyDescent="0.35">
      <c r="L326" s="199"/>
      <c r="M326" s="199"/>
      <c r="N326" s="199"/>
      <c r="O326" s="199"/>
      <c r="P326" s="199"/>
      <c r="Q326" s="199"/>
      <c r="R326" s="199"/>
      <c r="S326" s="199">
        <v>324</v>
      </c>
      <c r="T326" s="199">
        <v>150</v>
      </c>
      <c r="U326" s="199"/>
      <c r="V326" s="199"/>
      <c r="W326" s="273"/>
      <c r="X326" s="273"/>
      <c r="Y326" s="273"/>
    </row>
    <row r="327" spans="12:25" x14ac:dyDescent="0.35">
      <c r="L327" s="199"/>
      <c r="M327" s="199"/>
      <c r="N327" s="199"/>
      <c r="O327" s="199"/>
      <c r="P327" s="199"/>
      <c r="Q327" s="199"/>
      <c r="R327" s="199"/>
      <c r="S327" s="199">
        <v>325</v>
      </c>
      <c r="T327" s="199">
        <v>150</v>
      </c>
      <c r="U327" s="199"/>
      <c r="V327" s="199"/>
      <c r="W327" s="273"/>
      <c r="X327" s="273"/>
      <c r="Y327" s="273"/>
    </row>
    <row r="328" spans="12:25" x14ac:dyDescent="0.35">
      <c r="L328" s="199"/>
      <c r="M328" s="199"/>
      <c r="N328" s="199"/>
      <c r="O328" s="199"/>
      <c r="P328" s="199"/>
      <c r="Q328" s="199"/>
      <c r="R328" s="199"/>
      <c r="S328" s="199">
        <v>326</v>
      </c>
      <c r="T328" s="199">
        <v>150</v>
      </c>
      <c r="U328" s="199"/>
      <c r="V328" s="199"/>
      <c r="W328" s="273"/>
      <c r="X328" s="273"/>
      <c r="Y328" s="273"/>
    </row>
    <row r="329" spans="12:25" x14ac:dyDescent="0.35">
      <c r="L329" s="199"/>
      <c r="M329" s="199"/>
      <c r="N329" s="199"/>
      <c r="O329" s="199"/>
      <c r="P329" s="199"/>
      <c r="Q329" s="199"/>
      <c r="R329" s="199"/>
      <c r="S329" s="199">
        <v>327</v>
      </c>
      <c r="T329" s="199">
        <v>150</v>
      </c>
      <c r="U329" s="199"/>
      <c r="V329" s="199"/>
      <c r="W329" s="273"/>
      <c r="X329" s="273"/>
      <c r="Y329" s="273"/>
    </row>
    <row r="330" spans="12:25" x14ac:dyDescent="0.35">
      <c r="L330" s="199"/>
      <c r="M330" s="199"/>
      <c r="N330" s="199"/>
      <c r="O330" s="199"/>
      <c r="P330" s="199"/>
      <c r="Q330" s="199"/>
      <c r="R330" s="199"/>
      <c r="S330" s="199">
        <v>328</v>
      </c>
      <c r="T330" s="199">
        <v>150</v>
      </c>
      <c r="U330" s="199"/>
      <c r="V330" s="199"/>
      <c r="W330" s="273"/>
      <c r="X330" s="273"/>
      <c r="Y330" s="273"/>
    </row>
    <row r="331" spans="12:25" x14ac:dyDescent="0.35">
      <c r="L331" s="199"/>
      <c r="M331" s="199"/>
      <c r="N331" s="199"/>
      <c r="O331" s="199"/>
      <c r="P331" s="199"/>
      <c r="Q331" s="199"/>
      <c r="R331" s="199"/>
      <c r="S331" s="199">
        <v>329</v>
      </c>
      <c r="T331" s="199">
        <v>150</v>
      </c>
      <c r="U331" s="199"/>
      <c r="V331" s="199"/>
      <c r="W331" s="273"/>
      <c r="X331" s="273"/>
      <c r="Y331" s="273"/>
    </row>
    <row r="332" spans="12:25" x14ac:dyDescent="0.35">
      <c r="L332" s="199"/>
      <c r="M332" s="199"/>
      <c r="N332" s="199"/>
      <c r="O332" s="199"/>
      <c r="P332" s="199"/>
      <c r="Q332" s="199"/>
      <c r="R332" s="199"/>
      <c r="S332" s="199">
        <v>330</v>
      </c>
      <c r="T332" s="199">
        <v>150</v>
      </c>
      <c r="U332" s="199"/>
      <c r="V332" s="199"/>
      <c r="W332" s="273"/>
      <c r="X332" s="273"/>
      <c r="Y332" s="273"/>
    </row>
    <row r="333" spans="12:25" x14ac:dyDescent="0.35">
      <c r="L333" s="199"/>
      <c r="M333" s="199"/>
      <c r="N333" s="199"/>
      <c r="O333" s="199"/>
      <c r="P333" s="199"/>
      <c r="Q333" s="199"/>
      <c r="R333" s="199"/>
      <c r="S333" s="199">
        <v>331</v>
      </c>
      <c r="T333" s="199">
        <v>150</v>
      </c>
      <c r="U333" s="199"/>
      <c r="V333" s="199"/>
      <c r="W333" s="273"/>
      <c r="X333" s="273"/>
      <c r="Y333" s="273"/>
    </row>
    <row r="334" spans="12:25" x14ac:dyDescent="0.35">
      <c r="L334" s="199"/>
      <c r="M334" s="199"/>
      <c r="N334" s="199"/>
      <c r="O334" s="199"/>
      <c r="P334" s="199"/>
      <c r="Q334" s="199"/>
      <c r="R334" s="199"/>
      <c r="S334" s="199">
        <v>332</v>
      </c>
      <c r="T334" s="199">
        <v>150</v>
      </c>
      <c r="U334" s="199"/>
      <c r="V334" s="199"/>
      <c r="W334" s="273"/>
      <c r="X334" s="273"/>
      <c r="Y334" s="273"/>
    </row>
    <row r="335" spans="12:25" x14ac:dyDescent="0.35">
      <c r="L335" s="199"/>
      <c r="M335" s="199"/>
      <c r="N335" s="199"/>
      <c r="O335" s="199"/>
      <c r="P335" s="199"/>
      <c r="Q335" s="199"/>
      <c r="R335" s="199"/>
      <c r="S335" s="199">
        <v>333</v>
      </c>
      <c r="T335" s="199">
        <v>150</v>
      </c>
      <c r="U335" s="199"/>
      <c r="V335" s="199"/>
      <c r="W335" s="273"/>
      <c r="X335" s="273"/>
      <c r="Y335" s="273"/>
    </row>
    <row r="336" spans="12:25" x14ac:dyDescent="0.35">
      <c r="L336" s="199"/>
      <c r="M336" s="199"/>
      <c r="N336" s="199"/>
      <c r="O336" s="199"/>
      <c r="P336" s="199"/>
      <c r="Q336" s="199"/>
      <c r="R336" s="199"/>
      <c r="S336" s="199">
        <v>334</v>
      </c>
      <c r="T336" s="199">
        <v>150</v>
      </c>
      <c r="U336" s="199"/>
      <c r="V336" s="199"/>
      <c r="W336" s="273"/>
      <c r="X336" s="273"/>
      <c r="Y336" s="273"/>
    </row>
    <row r="337" spans="12:25" x14ac:dyDescent="0.35">
      <c r="L337" s="199"/>
      <c r="M337" s="199"/>
      <c r="N337" s="199"/>
      <c r="O337" s="199"/>
      <c r="P337" s="199"/>
      <c r="Q337" s="199"/>
      <c r="R337" s="199"/>
      <c r="S337" s="199">
        <v>335</v>
      </c>
      <c r="T337" s="199">
        <v>150</v>
      </c>
      <c r="U337" s="199"/>
      <c r="V337" s="199"/>
      <c r="W337" s="273"/>
      <c r="X337" s="273"/>
      <c r="Y337" s="273"/>
    </row>
    <row r="338" spans="12:25" x14ac:dyDescent="0.35">
      <c r="L338" s="199"/>
      <c r="M338" s="199"/>
      <c r="N338" s="199"/>
      <c r="O338" s="199"/>
      <c r="P338" s="199"/>
      <c r="Q338" s="199"/>
      <c r="R338" s="199"/>
      <c r="S338" s="199">
        <v>336</v>
      </c>
      <c r="T338" s="199">
        <v>150</v>
      </c>
      <c r="U338" s="199"/>
      <c r="V338" s="199"/>
      <c r="W338" s="273"/>
      <c r="X338" s="273"/>
      <c r="Y338" s="273"/>
    </row>
    <row r="339" spans="12:25" x14ac:dyDescent="0.35">
      <c r="L339" s="199"/>
      <c r="M339" s="199"/>
      <c r="N339" s="199"/>
      <c r="O339" s="199"/>
      <c r="P339" s="199"/>
      <c r="Q339" s="199"/>
      <c r="R339" s="199"/>
      <c r="S339" s="199">
        <v>337</v>
      </c>
      <c r="T339" s="199">
        <v>150</v>
      </c>
      <c r="U339" s="199"/>
      <c r="V339" s="199"/>
      <c r="W339" s="273"/>
      <c r="X339" s="273"/>
      <c r="Y339" s="273"/>
    </row>
    <row r="340" spans="12:25" x14ac:dyDescent="0.35">
      <c r="L340" s="199"/>
      <c r="M340" s="199"/>
      <c r="N340" s="199"/>
      <c r="O340" s="199"/>
      <c r="P340" s="199"/>
      <c r="Q340" s="199"/>
      <c r="R340" s="199"/>
      <c r="S340" s="199">
        <v>338</v>
      </c>
      <c r="T340" s="199">
        <v>150</v>
      </c>
      <c r="U340" s="199"/>
      <c r="V340" s="199"/>
      <c r="W340" s="273"/>
      <c r="X340" s="273"/>
      <c r="Y340" s="273"/>
    </row>
    <row r="341" spans="12:25" x14ac:dyDescent="0.35">
      <c r="L341" s="199"/>
      <c r="M341" s="199"/>
      <c r="N341" s="199"/>
      <c r="O341" s="199"/>
      <c r="P341" s="199"/>
      <c r="Q341" s="199"/>
      <c r="R341" s="199"/>
      <c r="S341" s="199">
        <v>339</v>
      </c>
      <c r="T341" s="199">
        <v>150</v>
      </c>
      <c r="U341" s="199"/>
      <c r="V341" s="199"/>
      <c r="W341" s="273"/>
      <c r="X341" s="273"/>
      <c r="Y341" s="273"/>
    </row>
    <row r="342" spans="12:25" x14ac:dyDescent="0.35">
      <c r="L342" s="199"/>
      <c r="M342" s="199"/>
      <c r="N342" s="199"/>
      <c r="O342" s="199"/>
      <c r="P342" s="199"/>
      <c r="Q342" s="199"/>
      <c r="R342" s="199"/>
      <c r="S342" s="199">
        <v>340</v>
      </c>
      <c r="T342" s="199">
        <v>150</v>
      </c>
      <c r="U342" s="199"/>
      <c r="V342" s="199"/>
      <c r="W342" s="273"/>
      <c r="X342" s="273"/>
      <c r="Y342" s="273"/>
    </row>
    <row r="343" spans="12:25" x14ac:dyDescent="0.35">
      <c r="L343" s="199"/>
      <c r="M343" s="199"/>
      <c r="N343" s="199"/>
      <c r="O343" s="199"/>
      <c r="P343" s="199"/>
      <c r="Q343" s="199"/>
      <c r="R343" s="199"/>
      <c r="S343" s="199">
        <v>341</v>
      </c>
      <c r="T343" s="199">
        <v>150</v>
      </c>
      <c r="U343" s="199"/>
      <c r="V343" s="199"/>
      <c r="W343" s="273"/>
      <c r="X343" s="273"/>
      <c r="Y343" s="273"/>
    </row>
    <row r="344" spans="12:25" x14ac:dyDescent="0.35">
      <c r="L344" s="199"/>
      <c r="M344" s="199"/>
      <c r="N344" s="199"/>
      <c r="O344" s="199"/>
      <c r="P344" s="199"/>
      <c r="Q344" s="199"/>
      <c r="R344" s="199"/>
      <c r="S344" s="199">
        <v>342</v>
      </c>
      <c r="T344" s="199">
        <v>150</v>
      </c>
      <c r="U344" s="199"/>
      <c r="V344" s="199"/>
      <c r="W344" s="273"/>
      <c r="X344" s="273"/>
      <c r="Y344" s="273"/>
    </row>
    <row r="345" spans="12:25" x14ac:dyDescent="0.35">
      <c r="L345" s="199"/>
      <c r="M345" s="199"/>
      <c r="N345" s="199"/>
      <c r="O345" s="199"/>
      <c r="P345" s="199"/>
      <c r="Q345" s="199"/>
      <c r="R345" s="199"/>
      <c r="S345" s="199">
        <v>343</v>
      </c>
      <c r="T345" s="199">
        <v>150</v>
      </c>
      <c r="U345" s="199"/>
      <c r="V345" s="199"/>
      <c r="W345" s="273"/>
      <c r="X345" s="273"/>
      <c r="Y345" s="273"/>
    </row>
    <row r="346" spans="12:25" x14ac:dyDescent="0.35">
      <c r="L346" s="199"/>
      <c r="M346" s="199"/>
      <c r="N346" s="199"/>
      <c r="O346" s="199"/>
      <c r="P346" s="199"/>
      <c r="Q346" s="199"/>
      <c r="R346" s="199"/>
      <c r="S346" s="199">
        <v>344</v>
      </c>
      <c r="T346" s="199">
        <v>150</v>
      </c>
      <c r="U346" s="199"/>
      <c r="V346" s="199"/>
      <c r="W346" s="273"/>
      <c r="X346" s="273"/>
      <c r="Y346" s="273"/>
    </row>
    <row r="347" spans="12:25" x14ac:dyDescent="0.35">
      <c r="L347" s="199"/>
      <c r="M347" s="199"/>
      <c r="N347" s="199"/>
      <c r="O347" s="199"/>
      <c r="P347" s="199"/>
      <c r="Q347" s="199"/>
      <c r="R347" s="199"/>
      <c r="S347" s="199">
        <v>345</v>
      </c>
      <c r="T347" s="199">
        <v>150</v>
      </c>
      <c r="U347" s="199"/>
      <c r="V347" s="199"/>
      <c r="W347" s="273"/>
      <c r="X347" s="273"/>
      <c r="Y347" s="273"/>
    </row>
    <row r="348" spans="12:25" x14ac:dyDescent="0.35">
      <c r="L348" s="199"/>
      <c r="M348" s="199"/>
      <c r="N348" s="199"/>
      <c r="O348" s="199"/>
      <c r="P348" s="199"/>
      <c r="Q348" s="199"/>
      <c r="R348" s="199"/>
      <c r="S348" s="199">
        <v>346</v>
      </c>
      <c r="T348" s="199">
        <v>150</v>
      </c>
      <c r="U348" s="199"/>
      <c r="V348" s="199"/>
      <c r="W348" s="273"/>
      <c r="X348" s="273"/>
      <c r="Y348" s="273"/>
    </row>
    <row r="349" spans="12:25" x14ac:dyDescent="0.35">
      <c r="L349" s="199"/>
      <c r="M349" s="199"/>
      <c r="N349" s="199"/>
      <c r="O349" s="199"/>
      <c r="P349" s="199"/>
      <c r="Q349" s="199"/>
      <c r="R349" s="199"/>
      <c r="S349" s="199">
        <v>347</v>
      </c>
      <c r="T349" s="199">
        <v>150</v>
      </c>
      <c r="U349" s="199"/>
      <c r="V349" s="199"/>
      <c r="W349" s="273"/>
      <c r="X349" s="273"/>
      <c r="Y349" s="273"/>
    </row>
    <row r="350" spans="12:25" x14ac:dyDescent="0.35">
      <c r="L350" s="199"/>
      <c r="M350" s="199"/>
      <c r="N350" s="199"/>
      <c r="O350" s="199"/>
      <c r="P350" s="199"/>
      <c r="Q350" s="199"/>
      <c r="R350" s="199"/>
      <c r="S350" s="199">
        <v>348</v>
      </c>
      <c r="T350" s="199">
        <v>150</v>
      </c>
      <c r="U350" s="199"/>
      <c r="V350" s="199"/>
      <c r="W350" s="273"/>
      <c r="X350" s="273"/>
      <c r="Y350" s="273"/>
    </row>
    <row r="351" spans="12:25" x14ac:dyDescent="0.35">
      <c r="L351" s="199"/>
      <c r="M351" s="199"/>
      <c r="N351" s="199"/>
      <c r="O351" s="199"/>
      <c r="P351" s="199"/>
      <c r="Q351" s="199"/>
      <c r="R351" s="199"/>
      <c r="S351" s="199">
        <v>349</v>
      </c>
      <c r="T351" s="199">
        <v>150</v>
      </c>
      <c r="U351" s="199"/>
      <c r="V351" s="199"/>
      <c r="W351" s="273"/>
      <c r="X351" s="273"/>
      <c r="Y351" s="273"/>
    </row>
    <row r="352" spans="12:25" x14ac:dyDescent="0.35">
      <c r="L352" s="199"/>
      <c r="M352" s="199"/>
      <c r="N352" s="199"/>
      <c r="O352" s="199"/>
      <c r="P352" s="199"/>
      <c r="Q352" s="199"/>
      <c r="R352" s="199"/>
      <c r="S352" s="199">
        <v>350</v>
      </c>
      <c r="T352" s="199">
        <v>150</v>
      </c>
      <c r="U352" s="199"/>
      <c r="V352" s="199"/>
      <c r="W352" s="273"/>
      <c r="X352" s="273"/>
      <c r="Y352" s="273"/>
    </row>
    <row r="353" spans="12:25" x14ac:dyDescent="0.35">
      <c r="L353" s="199"/>
      <c r="M353" s="199"/>
      <c r="N353" s="199"/>
      <c r="O353" s="199"/>
      <c r="P353" s="199"/>
      <c r="Q353" s="199"/>
      <c r="R353" s="199"/>
      <c r="S353" s="199">
        <v>351</v>
      </c>
      <c r="T353" s="199">
        <v>150</v>
      </c>
      <c r="U353" s="199"/>
      <c r="V353" s="199"/>
      <c r="W353" s="273"/>
      <c r="X353" s="273"/>
      <c r="Y353" s="273"/>
    </row>
    <row r="354" spans="12:25" x14ac:dyDescent="0.35">
      <c r="L354" s="199"/>
      <c r="M354" s="199"/>
      <c r="N354" s="199"/>
      <c r="O354" s="199"/>
      <c r="P354" s="199"/>
      <c r="Q354" s="199"/>
      <c r="R354" s="199"/>
      <c r="S354" s="199">
        <v>352</v>
      </c>
      <c r="T354" s="199">
        <v>150</v>
      </c>
      <c r="U354" s="199"/>
      <c r="V354" s="199"/>
      <c r="W354" s="273"/>
      <c r="X354" s="273"/>
      <c r="Y354" s="273"/>
    </row>
    <row r="355" spans="12:25" x14ac:dyDescent="0.35">
      <c r="L355" s="199"/>
      <c r="M355" s="199"/>
      <c r="N355" s="199"/>
      <c r="O355" s="199"/>
      <c r="P355" s="199"/>
      <c r="Q355" s="199"/>
      <c r="R355" s="199"/>
      <c r="S355" s="199">
        <v>353</v>
      </c>
      <c r="T355" s="199">
        <v>150</v>
      </c>
      <c r="U355" s="199"/>
      <c r="V355" s="199"/>
      <c r="W355" s="273"/>
      <c r="X355" s="273"/>
      <c r="Y355" s="273"/>
    </row>
    <row r="356" spans="12:25" x14ac:dyDescent="0.35">
      <c r="L356" s="199"/>
      <c r="M356" s="199"/>
      <c r="N356" s="199"/>
      <c r="O356" s="199"/>
      <c r="P356" s="199"/>
      <c r="Q356" s="199"/>
      <c r="R356" s="199"/>
      <c r="S356" s="199">
        <v>354</v>
      </c>
      <c r="T356" s="199">
        <v>150</v>
      </c>
      <c r="U356" s="199"/>
      <c r="V356" s="199"/>
      <c r="W356" s="273"/>
      <c r="X356" s="273"/>
      <c r="Y356" s="273"/>
    </row>
    <row r="357" spans="12:25" x14ac:dyDescent="0.35">
      <c r="L357" s="199"/>
      <c r="M357" s="199"/>
      <c r="N357" s="199"/>
      <c r="O357" s="199"/>
      <c r="P357" s="199"/>
      <c r="Q357" s="199"/>
      <c r="R357" s="199"/>
      <c r="S357" s="199">
        <v>355</v>
      </c>
      <c r="T357" s="199">
        <v>150</v>
      </c>
      <c r="U357" s="199"/>
      <c r="V357" s="199"/>
      <c r="W357" s="273"/>
      <c r="X357" s="273"/>
      <c r="Y357" s="273"/>
    </row>
    <row r="358" spans="12:25" x14ac:dyDescent="0.35">
      <c r="L358" s="199"/>
      <c r="M358" s="199"/>
      <c r="N358" s="199"/>
      <c r="O358" s="199"/>
      <c r="P358" s="199"/>
      <c r="Q358" s="199"/>
      <c r="R358" s="199"/>
      <c r="S358" s="199">
        <v>356</v>
      </c>
      <c r="T358" s="199">
        <v>150</v>
      </c>
      <c r="U358" s="199"/>
      <c r="V358" s="199"/>
      <c r="W358" s="273"/>
      <c r="X358" s="273"/>
      <c r="Y358" s="273"/>
    </row>
    <row r="359" spans="12:25" x14ac:dyDescent="0.35">
      <c r="L359" s="199"/>
      <c r="M359" s="199"/>
      <c r="N359" s="199"/>
      <c r="O359" s="199"/>
      <c r="P359" s="199"/>
      <c r="Q359" s="199"/>
      <c r="R359" s="199"/>
      <c r="S359" s="199">
        <v>357</v>
      </c>
      <c r="T359" s="199">
        <v>150</v>
      </c>
      <c r="U359" s="199"/>
      <c r="V359" s="199"/>
      <c r="W359" s="273"/>
      <c r="X359" s="273"/>
      <c r="Y359" s="273"/>
    </row>
    <row r="360" spans="12:25" x14ac:dyDescent="0.35">
      <c r="L360" s="199"/>
      <c r="M360" s="199"/>
      <c r="N360" s="199"/>
      <c r="O360" s="199"/>
      <c r="P360" s="199"/>
      <c r="Q360" s="199"/>
      <c r="R360" s="199"/>
      <c r="S360" s="199">
        <v>358</v>
      </c>
      <c r="T360" s="199">
        <v>150</v>
      </c>
      <c r="U360" s="199"/>
      <c r="V360" s="199"/>
      <c r="W360" s="273"/>
      <c r="X360" s="273"/>
      <c r="Y360" s="273"/>
    </row>
    <row r="361" spans="12:25" x14ac:dyDescent="0.35">
      <c r="L361" s="199"/>
      <c r="M361" s="199"/>
      <c r="N361" s="199"/>
      <c r="O361" s="199"/>
      <c r="P361" s="199"/>
      <c r="Q361" s="199"/>
      <c r="R361" s="199"/>
      <c r="S361" s="199">
        <v>359</v>
      </c>
      <c r="T361" s="199">
        <v>150</v>
      </c>
      <c r="U361" s="199"/>
      <c r="V361" s="199"/>
      <c r="W361" s="273"/>
      <c r="X361" s="273"/>
      <c r="Y361" s="273"/>
    </row>
    <row r="362" spans="12:25" x14ac:dyDescent="0.35">
      <c r="L362" s="199"/>
      <c r="M362" s="199"/>
      <c r="N362" s="199"/>
      <c r="O362" s="199"/>
      <c r="P362" s="199"/>
      <c r="Q362" s="199"/>
      <c r="R362" s="199"/>
      <c r="S362" s="199">
        <v>360</v>
      </c>
      <c r="T362" s="199">
        <v>150</v>
      </c>
      <c r="U362" s="199">
        <v>360</v>
      </c>
      <c r="V362" s="199"/>
      <c r="W362" s="273"/>
      <c r="X362" s="273"/>
      <c r="Y362" s="273"/>
    </row>
    <row r="363" spans="12:25" x14ac:dyDescent="0.35">
      <c r="L363" s="199"/>
      <c r="M363" s="199"/>
      <c r="N363" s="199"/>
      <c r="O363" s="199"/>
      <c r="P363" s="199"/>
      <c r="Q363" s="199"/>
      <c r="R363" s="199"/>
      <c r="S363" s="199"/>
      <c r="T363" s="199"/>
      <c r="U363" s="199"/>
      <c r="V363" s="199"/>
      <c r="W363" s="273"/>
      <c r="X363" s="273"/>
      <c r="Y363" s="273"/>
    </row>
    <row r="364" spans="12:25" x14ac:dyDescent="0.35">
      <c r="L364" s="199"/>
      <c r="M364" s="199"/>
      <c r="N364" s="199"/>
      <c r="O364" s="199"/>
      <c r="P364" s="199"/>
      <c r="Q364" s="199"/>
      <c r="R364" s="199"/>
      <c r="S364" s="199"/>
      <c r="T364" s="199"/>
      <c r="U364" s="199"/>
      <c r="V364" s="199"/>
      <c r="W364" s="273"/>
      <c r="X364" s="273"/>
      <c r="Y364" s="273"/>
    </row>
    <row r="365" spans="12:25" x14ac:dyDescent="0.35">
      <c r="L365" s="199"/>
      <c r="M365" s="199"/>
      <c r="N365" s="199"/>
      <c r="O365" s="199"/>
      <c r="P365" s="199"/>
      <c r="Q365" s="199"/>
      <c r="R365" s="199"/>
      <c r="S365" s="199"/>
      <c r="T365" s="199"/>
      <c r="U365" s="199"/>
      <c r="V365" s="199"/>
      <c r="W365" s="273"/>
      <c r="X365" s="273"/>
      <c r="Y365" s="273"/>
    </row>
    <row r="366" spans="12:25" x14ac:dyDescent="0.35">
      <c r="L366" s="199"/>
      <c r="M366" s="199"/>
      <c r="N366" s="199"/>
      <c r="O366" s="199"/>
      <c r="P366" s="199"/>
      <c r="Q366" s="199"/>
      <c r="R366" s="199"/>
      <c r="S366" s="199"/>
      <c r="T366" s="199"/>
      <c r="U366" s="199"/>
      <c r="V366" s="199"/>
      <c r="W366" s="273"/>
      <c r="X366" s="273"/>
      <c r="Y366" s="273"/>
    </row>
    <row r="367" spans="12:25" x14ac:dyDescent="0.35">
      <c r="L367" s="199"/>
      <c r="M367" s="199"/>
      <c r="N367" s="199"/>
      <c r="O367" s="199"/>
      <c r="P367" s="199"/>
      <c r="Q367" s="199"/>
      <c r="R367" s="199"/>
      <c r="S367" s="199"/>
      <c r="T367" s="199"/>
      <c r="U367" s="199"/>
      <c r="V367" s="199"/>
      <c r="W367" s="273"/>
      <c r="X367" s="273"/>
      <c r="Y367" s="273"/>
    </row>
    <row r="368" spans="12:25" x14ac:dyDescent="0.35">
      <c r="L368" s="199"/>
      <c r="M368" s="199"/>
      <c r="N368" s="199"/>
      <c r="O368" s="199"/>
      <c r="P368" s="199"/>
      <c r="Q368" s="199"/>
      <c r="R368" s="199"/>
      <c r="S368" s="199"/>
      <c r="T368" s="199"/>
      <c r="U368" s="199"/>
      <c r="V368" s="199"/>
      <c r="W368" s="273"/>
      <c r="X368" s="273"/>
      <c r="Y368" s="273"/>
    </row>
    <row r="369" spans="12:25" x14ac:dyDescent="0.35">
      <c r="L369" s="199"/>
      <c r="M369" s="199"/>
      <c r="N369" s="199"/>
      <c r="O369" s="199"/>
      <c r="P369" s="199"/>
      <c r="Q369" s="199"/>
      <c r="R369" s="199"/>
      <c r="S369" s="199"/>
      <c r="T369" s="199"/>
      <c r="U369" s="199"/>
      <c r="V369" s="199"/>
      <c r="W369" s="273"/>
      <c r="X369" s="273"/>
      <c r="Y369" s="273"/>
    </row>
    <row r="370" spans="12:25" x14ac:dyDescent="0.35">
      <c r="L370" s="199"/>
      <c r="M370" s="199"/>
      <c r="N370" s="199"/>
      <c r="O370" s="199"/>
      <c r="P370" s="199"/>
      <c r="Q370" s="199"/>
      <c r="R370" s="199"/>
      <c r="S370" s="199"/>
      <c r="T370" s="199"/>
      <c r="U370" s="199"/>
      <c r="V370" s="199"/>
      <c r="W370" s="273"/>
      <c r="X370" s="273"/>
      <c r="Y370" s="273"/>
    </row>
    <row r="371" spans="12:25" x14ac:dyDescent="0.35">
      <c r="L371" s="199"/>
      <c r="M371" s="199"/>
      <c r="N371" s="199"/>
      <c r="O371" s="199"/>
      <c r="P371" s="199"/>
      <c r="Q371" s="199"/>
      <c r="R371" s="199"/>
      <c r="S371" s="199"/>
      <c r="T371" s="199"/>
      <c r="U371" s="199"/>
      <c r="V371" s="199"/>
      <c r="W371" s="273"/>
      <c r="X371" s="273"/>
      <c r="Y371" s="273"/>
    </row>
    <row r="372" spans="12:25" x14ac:dyDescent="0.35">
      <c r="L372" s="199"/>
      <c r="M372" s="199"/>
      <c r="N372" s="199"/>
      <c r="O372" s="199"/>
      <c r="P372" s="199"/>
      <c r="Q372" s="199"/>
      <c r="R372" s="199"/>
      <c r="S372" s="199"/>
      <c r="T372" s="199"/>
      <c r="U372" s="199"/>
      <c r="V372" s="199"/>
      <c r="W372" s="273"/>
      <c r="X372" s="273"/>
      <c r="Y372" s="273"/>
    </row>
    <row r="373" spans="12:25" x14ac:dyDescent="0.35">
      <c r="L373" s="199"/>
      <c r="M373" s="199"/>
      <c r="N373" s="199"/>
      <c r="O373" s="199"/>
      <c r="P373" s="199"/>
      <c r="Q373" s="199"/>
      <c r="R373" s="199"/>
      <c r="S373" s="199"/>
      <c r="T373" s="199"/>
      <c r="U373" s="199"/>
      <c r="V373" s="199"/>
      <c r="W373" s="273"/>
      <c r="X373" s="273"/>
      <c r="Y373" s="273"/>
    </row>
    <row r="374" spans="12:25" x14ac:dyDescent="0.35">
      <c r="L374" s="199"/>
      <c r="M374" s="199"/>
      <c r="N374" s="199"/>
      <c r="O374" s="199"/>
      <c r="P374" s="199"/>
      <c r="Q374" s="199"/>
      <c r="R374" s="199"/>
      <c r="S374" s="199"/>
      <c r="T374" s="199"/>
      <c r="U374" s="199"/>
      <c r="V374" s="199"/>
      <c r="W374" s="273"/>
      <c r="X374" s="273"/>
      <c r="Y374" s="273"/>
    </row>
    <row r="375" spans="12:25" x14ac:dyDescent="0.35">
      <c r="L375" s="199"/>
      <c r="M375" s="199"/>
      <c r="N375" s="199"/>
      <c r="O375" s="199"/>
      <c r="P375" s="199"/>
      <c r="Q375" s="199"/>
      <c r="R375" s="199"/>
      <c r="S375" s="199"/>
      <c r="T375" s="199"/>
      <c r="U375" s="199"/>
      <c r="V375" s="199"/>
      <c r="W375" s="273"/>
      <c r="X375" s="273"/>
      <c r="Y375" s="273"/>
    </row>
    <row r="376" spans="12:25" x14ac:dyDescent="0.35">
      <c r="L376" s="199"/>
      <c r="M376" s="199"/>
      <c r="N376" s="199"/>
      <c r="O376" s="199"/>
      <c r="P376" s="199"/>
      <c r="Q376" s="199"/>
      <c r="R376" s="199"/>
      <c r="S376" s="199"/>
      <c r="T376" s="199"/>
      <c r="U376" s="199"/>
      <c r="V376" s="199"/>
      <c r="W376" s="273"/>
      <c r="X376" s="273"/>
      <c r="Y376" s="273"/>
    </row>
    <row r="377" spans="12:25" x14ac:dyDescent="0.35">
      <c r="L377" s="199"/>
      <c r="M377" s="199"/>
      <c r="N377" s="199"/>
      <c r="O377" s="199"/>
      <c r="P377" s="199"/>
      <c r="Q377" s="199"/>
      <c r="R377" s="199"/>
      <c r="S377" s="199"/>
      <c r="T377" s="199"/>
      <c r="U377" s="199"/>
      <c r="V377" s="199"/>
      <c r="W377" s="273"/>
      <c r="X377" s="273"/>
      <c r="Y377" s="273"/>
    </row>
    <row r="378" spans="12:25" x14ac:dyDescent="0.35">
      <c r="L378" s="199"/>
      <c r="M378" s="199"/>
      <c r="N378" s="199"/>
      <c r="O378" s="199"/>
      <c r="P378" s="199"/>
      <c r="Q378" s="199"/>
      <c r="R378" s="199"/>
      <c r="S378" s="199"/>
      <c r="T378" s="199"/>
      <c r="U378" s="199"/>
      <c r="V378" s="199"/>
      <c r="W378" s="273"/>
      <c r="X378" s="273"/>
      <c r="Y378" s="273"/>
    </row>
    <row r="379" spans="12:25" x14ac:dyDescent="0.35">
      <c r="L379" s="199"/>
      <c r="M379" s="199"/>
      <c r="N379" s="199"/>
      <c r="O379" s="199"/>
      <c r="P379" s="199"/>
      <c r="Q379" s="199"/>
      <c r="R379" s="199"/>
      <c r="S379" s="199"/>
      <c r="T379" s="199"/>
      <c r="U379" s="199"/>
      <c r="V379" s="199"/>
      <c r="W379" s="273"/>
      <c r="X379" s="273"/>
      <c r="Y379" s="273"/>
    </row>
    <row r="380" spans="12:25" x14ac:dyDescent="0.35">
      <c r="L380" s="199"/>
      <c r="M380" s="199"/>
      <c r="N380" s="199"/>
      <c r="O380" s="199"/>
      <c r="P380" s="199"/>
      <c r="Q380" s="199"/>
      <c r="R380" s="199"/>
      <c r="S380" s="199"/>
      <c r="T380" s="199"/>
      <c r="U380" s="199"/>
      <c r="V380" s="199"/>
      <c r="W380" s="273"/>
      <c r="X380" s="273"/>
      <c r="Y380" s="273"/>
    </row>
    <row r="381" spans="12:25" x14ac:dyDescent="0.35">
      <c r="L381" s="199"/>
      <c r="M381" s="199"/>
      <c r="N381" s="199"/>
      <c r="O381" s="199"/>
      <c r="P381" s="199"/>
      <c r="Q381" s="199"/>
      <c r="R381" s="199"/>
      <c r="S381" s="199"/>
      <c r="T381" s="199"/>
      <c r="U381" s="199"/>
      <c r="V381" s="199"/>
      <c r="W381" s="273"/>
      <c r="X381" s="273"/>
      <c r="Y381" s="273"/>
    </row>
    <row r="382" spans="12:25" x14ac:dyDescent="0.35">
      <c r="L382" s="199"/>
      <c r="M382" s="199"/>
      <c r="N382" s="199"/>
      <c r="O382" s="199"/>
      <c r="P382" s="199"/>
      <c r="Q382" s="199"/>
      <c r="R382" s="199"/>
      <c r="S382" s="199"/>
      <c r="T382" s="199"/>
      <c r="U382" s="199"/>
      <c r="V382" s="199"/>
      <c r="W382" s="273"/>
      <c r="X382" s="273"/>
      <c r="Y382" s="273"/>
    </row>
    <row r="383" spans="12:25" x14ac:dyDescent="0.35">
      <c r="L383" s="199"/>
      <c r="M383" s="199"/>
      <c r="N383" s="199"/>
      <c r="O383" s="199"/>
      <c r="P383" s="199"/>
      <c r="Q383" s="199"/>
      <c r="R383" s="199"/>
      <c r="S383" s="199"/>
      <c r="T383" s="199"/>
      <c r="U383" s="199"/>
      <c r="V383" s="199"/>
      <c r="W383" s="273"/>
      <c r="X383" s="273"/>
      <c r="Y383" s="273"/>
    </row>
    <row r="384" spans="12:25" x14ac:dyDescent="0.35">
      <c r="L384" s="199"/>
      <c r="M384" s="199"/>
      <c r="N384" s="199"/>
      <c r="O384" s="199"/>
      <c r="P384" s="199"/>
      <c r="Q384" s="199"/>
      <c r="R384" s="199"/>
      <c r="S384" s="199"/>
      <c r="T384" s="199"/>
      <c r="U384" s="199"/>
      <c r="V384" s="199"/>
      <c r="W384" s="273"/>
      <c r="X384" s="273"/>
      <c r="Y384" s="273"/>
    </row>
    <row r="385" spans="12:25" x14ac:dyDescent="0.35">
      <c r="L385" s="199"/>
      <c r="M385" s="199"/>
      <c r="N385" s="199"/>
      <c r="O385" s="199"/>
      <c r="P385" s="199"/>
      <c r="Q385" s="199"/>
      <c r="R385" s="199"/>
      <c r="S385" s="199"/>
      <c r="T385" s="199"/>
      <c r="U385" s="199"/>
      <c r="V385" s="199"/>
      <c r="W385" s="273"/>
      <c r="X385" s="273"/>
      <c r="Y385" s="273"/>
    </row>
    <row r="386" spans="12:25" x14ac:dyDescent="0.35">
      <c r="L386" s="199"/>
      <c r="M386" s="199"/>
      <c r="N386" s="199"/>
      <c r="O386" s="199"/>
      <c r="P386" s="199"/>
      <c r="Q386" s="199"/>
      <c r="R386" s="199"/>
      <c r="S386" s="199"/>
      <c r="T386" s="199"/>
      <c r="U386" s="199"/>
      <c r="V386" s="199"/>
      <c r="W386" s="273"/>
      <c r="X386" s="273"/>
      <c r="Y386" s="273"/>
    </row>
    <row r="387" spans="12:25" x14ac:dyDescent="0.35">
      <c r="L387" s="199"/>
      <c r="M387" s="199"/>
      <c r="N387" s="199"/>
      <c r="O387" s="199"/>
      <c r="P387" s="199"/>
      <c r="Q387" s="199"/>
      <c r="R387" s="199"/>
      <c r="S387" s="199"/>
      <c r="T387" s="199"/>
      <c r="U387" s="199"/>
      <c r="V387" s="199"/>
      <c r="W387" s="273"/>
      <c r="X387" s="273"/>
      <c r="Y387" s="273"/>
    </row>
    <row r="388" spans="12:25" x14ac:dyDescent="0.35">
      <c r="L388" s="199"/>
      <c r="M388" s="199"/>
      <c r="N388" s="199"/>
      <c r="O388" s="199"/>
      <c r="P388" s="199"/>
      <c r="Q388" s="199"/>
      <c r="R388" s="199"/>
      <c r="S388" s="199"/>
      <c r="T388" s="199"/>
      <c r="U388" s="199"/>
      <c r="V388" s="199"/>
      <c r="W388" s="273"/>
      <c r="X388" s="273"/>
      <c r="Y388" s="273"/>
    </row>
    <row r="389" spans="12:25" x14ac:dyDescent="0.35">
      <c r="L389" s="199"/>
      <c r="M389" s="199"/>
      <c r="N389" s="199"/>
      <c r="O389" s="199"/>
      <c r="P389" s="199"/>
      <c r="Q389" s="199"/>
      <c r="R389" s="199"/>
      <c r="S389" s="199"/>
      <c r="T389" s="199"/>
      <c r="U389" s="199"/>
      <c r="V389" s="199"/>
      <c r="W389" s="273"/>
      <c r="X389" s="273"/>
      <c r="Y389" s="273"/>
    </row>
    <row r="390" spans="12:25" x14ac:dyDescent="0.35">
      <c r="L390" s="273"/>
      <c r="M390" s="273"/>
      <c r="N390" s="273"/>
      <c r="O390" s="273"/>
      <c r="P390" s="273"/>
      <c r="Q390" s="273"/>
      <c r="R390" s="273"/>
      <c r="S390" s="273"/>
      <c r="T390" s="273"/>
      <c r="U390" s="273"/>
      <c r="V390" s="273"/>
      <c r="W390" s="273"/>
      <c r="X390" s="273"/>
      <c r="Y390" s="273"/>
    </row>
    <row r="391" spans="12:25" x14ac:dyDescent="0.35">
      <c r="L391" s="273"/>
      <c r="M391" s="273"/>
      <c r="N391" s="273"/>
      <c r="O391" s="273"/>
      <c r="P391" s="273"/>
      <c r="Q391" s="273"/>
      <c r="R391" s="273"/>
      <c r="S391" s="273"/>
      <c r="T391" s="273"/>
      <c r="U391" s="273"/>
      <c r="V391" s="273"/>
      <c r="W391" s="273"/>
      <c r="X391" s="273"/>
      <c r="Y391" s="273"/>
    </row>
    <row r="392" spans="12:25" x14ac:dyDescent="0.35">
      <c r="L392" s="273"/>
      <c r="M392" s="273"/>
      <c r="N392" s="273"/>
      <c r="O392" s="273"/>
      <c r="P392" s="273"/>
      <c r="Q392" s="273"/>
      <c r="R392" s="273"/>
      <c r="S392" s="273"/>
      <c r="T392" s="273"/>
      <c r="U392" s="273"/>
      <c r="V392" s="273"/>
      <c r="W392" s="273"/>
      <c r="X392" s="273"/>
      <c r="Y392" s="273"/>
    </row>
    <row r="393" spans="12:25" x14ac:dyDescent="0.35">
      <c r="L393" s="273"/>
      <c r="M393" s="273"/>
      <c r="N393" s="273"/>
      <c r="O393" s="273"/>
      <c r="P393" s="273"/>
      <c r="Q393" s="273"/>
      <c r="R393" s="273"/>
      <c r="S393" s="273"/>
      <c r="T393" s="273"/>
      <c r="U393" s="273"/>
      <c r="V393" s="273"/>
      <c r="W393" s="273"/>
      <c r="X393" s="273"/>
      <c r="Y393" s="273"/>
    </row>
    <row r="394" spans="12:25" x14ac:dyDescent="0.35">
      <c r="L394" s="273"/>
      <c r="M394" s="273"/>
      <c r="N394" s="273"/>
      <c r="O394" s="273"/>
      <c r="P394" s="273"/>
      <c r="Q394" s="273"/>
      <c r="R394" s="273"/>
      <c r="S394" s="273"/>
      <c r="T394" s="273"/>
      <c r="U394" s="273"/>
      <c r="V394" s="273"/>
      <c r="W394" s="273"/>
      <c r="X394" s="273"/>
      <c r="Y394" s="273"/>
    </row>
    <row r="395" spans="12:25" x14ac:dyDescent="0.35">
      <c r="L395" s="273"/>
      <c r="M395" s="273"/>
      <c r="N395" s="273"/>
      <c r="O395" s="273"/>
      <c r="P395" s="273"/>
      <c r="Q395" s="273"/>
      <c r="R395" s="273"/>
      <c r="S395" s="273"/>
      <c r="T395" s="273"/>
      <c r="U395" s="273"/>
      <c r="V395" s="273"/>
      <c r="W395" s="273"/>
      <c r="X395" s="273"/>
      <c r="Y395" s="273"/>
    </row>
    <row r="396" spans="12:25" x14ac:dyDescent="0.35">
      <c r="L396" s="273"/>
      <c r="M396" s="273"/>
      <c r="N396" s="273"/>
      <c r="O396" s="273"/>
      <c r="P396" s="273"/>
      <c r="Q396" s="273"/>
      <c r="R396" s="273"/>
      <c r="S396" s="273"/>
      <c r="T396" s="273"/>
      <c r="U396" s="273"/>
      <c r="V396" s="273"/>
      <c r="W396" s="273"/>
      <c r="X396" s="273"/>
      <c r="Y396" s="273"/>
    </row>
    <row r="397" spans="12:25" x14ac:dyDescent="0.35">
      <c r="L397" s="273"/>
      <c r="M397" s="273"/>
      <c r="N397" s="273"/>
      <c r="O397" s="273"/>
      <c r="P397" s="273"/>
      <c r="Q397" s="273"/>
      <c r="R397" s="273"/>
      <c r="S397" s="273"/>
      <c r="T397" s="273"/>
      <c r="U397" s="273"/>
      <c r="V397" s="273"/>
      <c r="W397" s="273"/>
      <c r="X397" s="273"/>
      <c r="Y397" s="273"/>
    </row>
    <row r="398" spans="12:25" x14ac:dyDescent="0.35">
      <c r="L398" s="273"/>
      <c r="M398" s="273"/>
      <c r="N398" s="273"/>
      <c r="O398" s="273"/>
      <c r="P398" s="273"/>
      <c r="Q398" s="273"/>
      <c r="R398" s="273"/>
      <c r="S398" s="273"/>
      <c r="T398" s="273"/>
      <c r="U398" s="273"/>
      <c r="V398" s="273"/>
      <c r="W398" s="273"/>
      <c r="X398" s="273"/>
      <c r="Y398" s="273"/>
    </row>
    <row r="399" spans="12:25" x14ac:dyDescent="0.35">
      <c r="L399" s="273"/>
      <c r="M399" s="273"/>
      <c r="N399" s="273"/>
      <c r="O399" s="273"/>
      <c r="P399" s="273"/>
      <c r="Q399" s="273"/>
      <c r="R399" s="273"/>
      <c r="S399" s="273"/>
      <c r="T399" s="273"/>
      <c r="U399" s="273"/>
      <c r="V399" s="273"/>
      <c r="W399" s="273"/>
      <c r="X399" s="273"/>
      <c r="Y399" s="273"/>
    </row>
    <row r="400" spans="12:25" x14ac:dyDescent="0.35">
      <c r="L400" s="273"/>
      <c r="M400" s="273"/>
      <c r="N400" s="273"/>
      <c r="O400" s="273"/>
      <c r="P400" s="273"/>
      <c r="Q400" s="273"/>
      <c r="R400" s="273"/>
      <c r="S400" s="273"/>
      <c r="T400" s="273"/>
      <c r="U400" s="273"/>
      <c r="V400" s="273"/>
      <c r="W400" s="273"/>
      <c r="X400" s="273"/>
      <c r="Y400" s="273"/>
    </row>
    <row r="401" spans="12:25" x14ac:dyDescent="0.35">
      <c r="L401" s="273"/>
      <c r="M401" s="273"/>
      <c r="N401" s="273"/>
      <c r="O401" s="273"/>
      <c r="P401" s="273"/>
      <c r="Q401" s="273"/>
      <c r="R401" s="273"/>
      <c r="S401" s="273"/>
      <c r="T401" s="273"/>
      <c r="U401" s="273"/>
      <c r="V401" s="273"/>
      <c r="W401" s="273"/>
      <c r="X401" s="273"/>
      <c r="Y401" s="273"/>
    </row>
    <row r="402" spans="12:25" x14ac:dyDescent="0.35">
      <c r="L402" s="273"/>
      <c r="M402" s="273"/>
      <c r="N402" s="273"/>
      <c r="O402" s="273"/>
      <c r="P402" s="273"/>
      <c r="Q402" s="273"/>
      <c r="R402" s="273"/>
      <c r="S402" s="273"/>
      <c r="T402" s="273"/>
      <c r="U402" s="273"/>
      <c r="V402" s="273"/>
      <c r="W402" s="273"/>
      <c r="X402" s="273"/>
      <c r="Y402" s="273"/>
    </row>
    <row r="403" spans="12:25" x14ac:dyDescent="0.35">
      <c r="L403" s="273"/>
      <c r="M403" s="273"/>
      <c r="N403" s="273"/>
      <c r="O403" s="273"/>
      <c r="P403" s="273"/>
      <c r="Q403" s="273"/>
      <c r="R403" s="273"/>
      <c r="S403" s="273"/>
      <c r="T403" s="273"/>
      <c r="U403" s="273"/>
      <c r="V403" s="273"/>
      <c r="W403" s="273"/>
      <c r="X403" s="273"/>
      <c r="Y403" s="273"/>
    </row>
    <row r="404" spans="12:25" x14ac:dyDescent="0.35">
      <c r="L404" s="273"/>
      <c r="M404" s="273"/>
      <c r="N404" s="273"/>
      <c r="O404" s="273"/>
      <c r="P404" s="273"/>
      <c r="Q404" s="273"/>
      <c r="R404" s="273"/>
      <c r="S404" s="273"/>
      <c r="T404" s="273"/>
      <c r="U404" s="273"/>
      <c r="V404" s="273"/>
      <c r="W404" s="273"/>
      <c r="X404" s="273"/>
      <c r="Y404" s="273"/>
    </row>
    <row r="405" spans="12:25" x14ac:dyDescent="0.35">
      <c r="L405" s="273"/>
      <c r="M405" s="273"/>
      <c r="N405" s="273"/>
      <c r="O405" s="273"/>
      <c r="P405" s="273"/>
      <c r="Q405" s="273"/>
      <c r="R405" s="273"/>
      <c r="S405" s="273"/>
      <c r="T405" s="273"/>
      <c r="U405" s="273"/>
      <c r="V405" s="273"/>
      <c r="W405" s="273"/>
      <c r="X405" s="273"/>
      <c r="Y405" s="273"/>
    </row>
    <row r="406" spans="12:25" x14ac:dyDescent="0.35">
      <c r="L406" s="273"/>
      <c r="M406" s="273"/>
      <c r="N406" s="273"/>
      <c r="O406" s="273"/>
      <c r="P406" s="273"/>
      <c r="Q406" s="273"/>
      <c r="R406" s="273"/>
      <c r="S406" s="273"/>
      <c r="T406" s="273"/>
      <c r="U406" s="273"/>
      <c r="V406" s="273"/>
      <c r="W406" s="273"/>
      <c r="X406" s="273"/>
      <c r="Y406" s="273"/>
    </row>
    <row r="407" spans="12:25" x14ac:dyDescent="0.35">
      <c r="L407" s="273"/>
      <c r="M407" s="273"/>
      <c r="N407" s="273"/>
      <c r="O407" s="273"/>
      <c r="P407" s="273"/>
      <c r="Q407" s="273"/>
      <c r="R407" s="273"/>
      <c r="S407" s="273"/>
      <c r="T407" s="273"/>
      <c r="U407" s="273"/>
      <c r="V407" s="273"/>
      <c r="W407" s="273"/>
      <c r="X407" s="273"/>
      <c r="Y407" s="273"/>
    </row>
    <row r="408" spans="12:25" x14ac:dyDescent="0.35">
      <c r="L408" s="273"/>
      <c r="M408" s="273"/>
      <c r="N408" s="273"/>
      <c r="O408" s="273"/>
      <c r="P408" s="273"/>
      <c r="Q408" s="273"/>
      <c r="R408" s="273"/>
      <c r="S408" s="273"/>
      <c r="T408" s="273"/>
      <c r="U408" s="273"/>
      <c r="V408" s="273"/>
      <c r="W408" s="273"/>
      <c r="X408" s="273"/>
      <c r="Y408" s="273"/>
    </row>
    <row r="409" spans="12:25" x14ac:dyDescent="0.35">
      <c r="L409" s="273"/>
      <c r="M409" s="273"/>
      <c r="N409" s="273"/>
      <c r="O409" s="273"/>
      <c r="P409" s="273"/>
      <c r="Q409" s="273"/>
      <c r="R409" s="273"/>
      <c r="S409" s="273"/>
      <c r="T409" s="273"/>
      <c r="U409" s="273"/>
      <c r="V409" s="273"/>
      <c r="W409" s="273"/>
      <c r="X409" s="273"/>
      <c r="Y409" s="273"/>
    </row>
    <row r="410" spans="12:25" x14ac:dyDescent="0.35">
      <c r="L410" s="273"/>
      <c r="M410" s="273"/>
      <c r="N410" s="273"/>
      <c r="O410" s="273"/>
      <c r="P410" s="273"/>
      <c r="Q410" s="273"/>
      <c r="R410" s="273"/>
      <c r="S410" s="273"/>
      <c r="T410" s="273"/>
      <c r="U410" s="273"/>
      <c r="V410" s="273"/>
      <c r="W410" s="273"/>
      <c r="X410" s="273"/>
      <c r="Y410" s="273"/>
    </row>
    <row r="411" spans="12:25" x14ac:dyDescent="0.35">
      <c r="L411" s="273"/>
      <c r="M411" s="273"/>
      <c r="N411" s="273"/>
      <c r="O411" s="273"/>
      <c r="P411" s="273"/>
      <c r="Q411" s="273"/>
      <c r="R411" s="273"/>
      <c r="S411" s="273"/>
      <c r="T411" s="273"/>
      <c r="U411" s="273"/>
      <c r="V411" s="273"/>
      <c r="W411" s="273"/>
      <c r="X411" s="273"/>
      <c r="Y411" s="273"/>
    </row>
    <row r="412" spans="12:25" x14ac:dyDescent="0.35">
      <c r="L412" s="273"/>
      <c r="M412" s="273"/>
      <c r="N412" s="273"/>
      <c r="O412" s="273"/>
      <c r="P412" s="273"/>
      <c r="Q412" s="273"/>
      <c r="R412" s="273"/>
      <c r="S412" s="273"/>
      <c r="T412" s="273"/>
      <c r="U412" s="273"/>
      <c r="V412" s="273"/>
      <c r="W412" s="273"/>
      <c r="X412" s="273"/>
      <c r="Y412" s="273"/>
    </row>
    <row r="413" spans="12:25" x14ac:dyDescent="0.35">
      <c r="L413" s="273"/>
      <c r="M413" s="273"/>
      <c r="N413" s="273"/>
      <c r="O413" s="273"/>
      <c r="P413" s="273"/>
      <c r="Q413" s="273"/>
      <c r="R413" s="273"/>
      <c r="S413" s="273"/>
      <c r="T413" s="273"/>
      <c r="U413" s="273"/>
      <c r="V413" s="273"/>
      <c r="W413" s="273"/>
      <c r="X413" s="273"/>
      <c r="Y413" s="273"/>
    </row>
    <row r="414" spans="12:25" x14ac:dyDescent="0.35">
      <c r="L414" s="273"/>
      <c r="M414" s="273"/>
      <c r="N414" s="273"/>
      <c r="O414" s="273"/>
      <c r="P414" s="273"/>
      <c r="Q414" s="273"/>
      <c r="R414" s="273"/>
      <c r="S414" s="273"/>
      <c r="T414" s="273"/>
      <c r="U414" s="273"/>
      <c r="V414" s="273"/>
      <c r="W414" s="273"/>
      <c r="X414" s="273"/>
      <c r="Y414" s="273"/>
    </row>
    <row r="415" spans="12:25" x14ac:dyDescent="0.35">
      <c r="L415" s="273"/>
      <c r="M415" s="273"/>
      <c r="N415" s="273"/>
      <c r="O415" s="273"/>
      <c r="P415" s="273"/>
      <c r="Q415" s="273"/>
      <c r="R415" s="273"/>
      <c r="S415" s="273"/>
      <c r="T415" s="273"/>
      <c r="U415" s="273"/>
      <c r="V415" s="273"/>
      <c r="W415" s="273"/>
      <c r="X415" s="273"/>
      <c r="Y415" s="273"/>
    </row>
    <row r="416" spans="12:25" x14ac:dyDescent="0.35">
      <c r="L416" s="273"/>
      <c r="M416" s="273"/>
      <c r="N416" s="273"/>
      <c r="O416" s="273"/>
      <c r="P416" s="273"/>
      <c r="Q416" s="273"/>
      <c r="R416" s="273"/>
      <c r="S416" s="273"/>
      <c r="T416" s="273"/>
      <c r="U416" s="273"/>
      <c r="V416" s="273"/>
      <c r="W416" s="273"/>
      <c r="X416" s="273"/>
      <c r="Y416" s="273"/>
    </row>
    <row r="417" spans="12:25" x14ac:dyDescent="0.35">
      <c r="L417" s="273"/>
      <c r="M417" s="273"/>
      <c r="N417" s="273"/>
      <c r="O417" s="273"/>
      <c r="P417" s="273"/>
      <c r="Q417" s="273"/>
      <c r="R417" s="273"/>
      <c r="S417" s="273"/>
      <c r="T417" s="273"/>
      <c r="U417" s="273"/>
      <c r="V417" s="273"/>
      <c r="W417" s="273"/>
      <c r="X417" s="273"/>
      <c r="Y417" s="273"/>
    </row>
    <row r="418" spans="12:25" x14ac:dyDescent="0.35">
      <c r="L418" s="273"/>
      <c r="M418" s="273"/>
      <c r="N418" s="273"/>
      <c r="O418" s="273"/>
      <c r="P418" s="273"/>
      <c r="Q418" s="273"/>
      <c r="R418" s="273"/>
      <c r="S418" s="273"/>
      <c r="T418" s="273"/>
      <c r="U418" s="273"/>
      <c r="V418" s="273"/>
      <c r="W418" s="273"/>
      <c r="X418" s="273"/>
      <c r="Y418" s="273"/>
    </row>
    <row r="419" spans="12:25" x14ac:dyDescent="0.35">
      <c r="L419" s="273"/>
      <c r="M419" s="273"/>
      <c r="N419" s="273"/>
      <c r="O419" s="273"/>
      <c r="P419" s="273"/>
      <c r="Q419" s="273"/>
      <c r="R419" s="273"/>
      <c r="S419" s="273"/>
      <c r="T419" s="273"/>
      <c r="U419" s="273"/>
      <c r="V419" s="273"/>
      <c r="W419" s="273"/>
      <c r="X419" s="273"/>
      <c r="Y419" s="273"/>
    </row>
    <row r="420" spans="12:25" x14ac:dyDescent="0.35">
      <c r="L420" s="273"/>
      <c r="M420" s="273"/>
      <c r="N420" s="273"/>
      <c r="O420" s="273"/>
      <c r="P420" s="273"/>
      <c r="Q420" s="273"/>
      <c r="R420" s="273"/>
      <c r="S420" s="273"/>
      <c r="T420" s="273"/>
      <c r="U420" s="273"/>
      <c r="V420" s="273"/>
      <c r="W420" s="273"/>
      <c r="X420" s="273"/>
      <c r="Y420" s="273"/>
    </row>
    <row r="421" spans="12:25" x14ac:dyDescent="0.35">
      <c r="L421" s="273"/>
      <c r="M421" s="273"/>
      <c r="N421" s="273"/>
      <c r="O421" s="273"/>
      <c r="P421" s="273"/>
      <c r="Q421" s="273"/>
      <c r="R421" s="273"/>
      <c r="S421" s="273"/>
      <c r="T421" s="273"/>
      <c r="U421" s="273"/>
      <c r="V421" s="273"/>
      <c r="W421" s="273"/>
      <c r="X421" s="273"/>
      <c r="Y421" s="273"/>
    </row>
    <row r="422" spans="12:25" x14ac:dyDescent="0.35">
      <c r="L422" s="273"/>
      <c r="M422" s="273"/>
      <c r="N422" s="273"/>
      <c r="O422" s="273"/>
      <c r="P422" s="273"/>
      <c r="Q422" s="273"/>
      <c r="R422" s="273"/>
      <c r="S422" s="273"/>
      <c r="T422" s="273"/>
      <c r="U422" s="273"/>
      <c r="V422" s="273"/>
      <c r="W422" s="273"/>
      <c r="X422" s="273"/>
      <c r="Y422" s="273"/>
    </row>
    <row r="423" spans="12:25" x14ac:dyDescent="0.35">
      <c r="L423" s="273"/>
      <c r="M423" s="273"/>
      <c r="N423" s="273"/>
      <c r="O423" s="273"/>
      <c r="P423" s="273"/>
      <c r="Q423" s="273"/>
      <c r="R423" s="273"/>
      <c r="S423" s="273"/>
      <c r="T423" s="273"/>
      <c r="U423" s="273"/>
      <c r="V423" s="273"/>
      <c r="W423" s="273"/>
      <c r="X423" s="273"/>
      <c r="Y423" s="273"/>
    </row>
    <row r="424" spans="12:25" x14ac:dyDescent="0.35">
      <c r="L424" s="273"/>
      <c r="M424" s="273"/>
      <c r="N424" s="273"/>
      <c r="O424" s="273"/>
      <c r="P424" s="273"/>
      <c r="Q424" s="273"/>
      <c r="R424" s="273"/>
      <c r="S424" s="273"/>
      <c r="T424" s="273"/>
      <c r="U424" s="273"/>
      <c r="V424" s="273"/>
      <c r="W424" s="273"/>
      <c r="X424" s="273"/>
      <c r="Y424" s="273"/>
    </row>
    <row r="425" spans="12:25" x14ac:dyDescent="0.35">
      <c r="L425" s="273"/>
      <c r="M425" s="273"/>
      <c r="N425" s="273"/>
      <c r="O425" s="273"/>
      <c r="P425" s="273"/>
      <c r="Q425" s="273"/>
      <c r="R425" s="273"/>
      <c r="S425" s="273"/>
      <c r="T425" s="273"/>
      <c r="U425" s="273"/>
      <c r="V425" s="273"/>
      <c r="W425" s="273"/>
      <c r="X425" s="273"/>
      <c r="Y425" s="273"/>
    </row>
    <row r="426" spans="12:25" x14ac:dyDescent="0.35">
      <c r="L426" s="273"/>
      <c r="M426" s="273"/>
      <c r="N426" s="273"/>
      <c r="O426" s="273"/>
      <c r="P426" s="273"/>
      <c r="Q426" s="273"/>
      <c r="R426" s="273"/>
      <c r="S426" s="273"/>
      <c r="T426" s="273"/>
      <c r="U426" s="273"/>
      <c r="V426" s="273"/>
      <c r="W426" s="273"/>
      <c r="X426" s="273"/>
      <c r="Y426" s="273"/>
    </row>
    <row r="427" spans="12:25" x14ac:dyDescent="0.35">
      <c r="L427" s="273"/>
      <c r="M427" s="273"/>
      <c r="N427" s="273"/>
      <c r="O427" s="273"/>
      <c r="P427" s="273"/>
      <c r="Q427" s="273"/>
      <c r="R427" s="273"/>
      <c r="S427" s="273"/>
      <c r="T427" s="273"/>
      <c r="U427" s="273"/>
      <c r="V427" s="273"/>
      <c r="W427" s="273"/>
      <c r="X427" s="273"/>
      <c r="Y427" s="273"/>
    </row>
    <row r="428" spans="12:25" x14ac:dyDescent="0.35">
      <c r="L428" s="273"/>
      <c r="M428" s="273"/>
      <c r="N428" s="273"/>
      <c r="O428" s="273"/>
      <c r="P428" s="273"/>
      <c r="Q428" s="273"/>
      <c r="R428" s="273"/>
      <c r="S428" s="273"/>
      <c r="T428" s="273"/>
      <c r="U428" s="273"/>
      <c r="V428" s="273"/>
      <c r="W428" s="273"/>
      <c r="X428" s="273"/>
      <c r="Y428" s="273"/>
    </row>
    <row r="429" spans="12:25" x14ac:dyDescent="0.35">
      <c r="L429" s="273"/>
      <c r="M429" s="273"/>
      <c r="N429" s="273"/>
      <c r="O429" s="273"/>
      <c r="P429" s="273"/>
      <c r="Q429" s="273"/>
      <c r="R429" s="273"/>
      <c r="S429" s="273"/>
      <c r="T429" s="273"/>
      <c r="U429" s="273"/>
      <c r="V429" s="273"/>
      <c r="W429" s="273"/>
      <c r="X429" s="273"/>
      <c r="Y429" s="273"/>
    </row>
    <row r="430" spans="12:25" x14ac:dyDescent="0.35">
      <c r="L430" s="273"/>
      <c r="M430" s="273"/>
      <c r="N430" s="273"/>
      <c r="O430" s="273"/>
      <c r="P430" s="273"/>
      <c r="Q430" s="273"/>
      <c r="R430" s="273"/>
      <c r="S430" s="273"/>
      <c r="T430" s="273"/>
      <c r="U430" s="273"/>
      <c r="V430" s="273"/>
      <c r="W430" s="273"/>
      <c r="X430" s="273"/>
      <c r="Y430" s="273"/>
    </row>
    <row r="431" spans="12:25" x14ac:dyDescent="0.35">
      <c r="L431" s="273"/>
      <c r="M431" s="273"/>
      <c r="N431" s="273"/>
      <c r="O431" s="273"/>
      <c r="P431" s="273"/>
      <c r="Q431" s="273"/>
      <c r="R431" s="273"/>
      <c r="S431" s="273"/>
      <c r="T431" s="273"/>
      <c r="U431" s="273"/>
      <c r="V431" s="273"/>
      <c r="W431" s="273"/>
      <c r="X431" s="273"/>
      <c r="Y431" s="273"/>
    </row>
    <row r="432" spans="12:25" x14ac:dyDescent="0.35">
      <c r="L432" s="273"/>
      <c r="M432" s="273"/>
      <c r="N432" s="273"/>
      <c r="O432" s="273"/>
      <c r="P432" s="273"/>
      <c r="Q432" s="273"/>
      <c r="R432" s="273"/>
      <c r="S432" s="273"/>
      <c r="T432" s="273"/>
      <c r="U432" s="273"/>
      <c r="V432" s="273"/>
      <c r="W432" s="273"/>
      <c r="X432" s="273"/>
      <c r="Y432" s="273"/>
    </row>
    <row r="433" spans="12:25" x14ac:dyDescent="0.35">
      <c r="L433" s="273"/>
      <c r="M433" s="273"/>
      <c r="N433" s="273"/>
      <c r="O433" s="273"/>
      <c r="P433" s="273"/>
      <c r="Q433" s="273"/>
      <c r="R433" s="273"/>
      <c r="S433" s="273"/>
      <c r="T433" s="273"/>
      <c r="U433" s="273"/>
      <c r="V433" s="273"/>
      <c r="W433" s="273"/>
      <c r="X433" s="273"/>
      <c r="Y433" s="273"/>
    </row>
    <row r="434" spans="12:25" x14ac:dyDescent="0.35">
      <c r="L434" s="273"/>
      <c r="M434" s="273"/>
      <c r="N434" s="273"/>
      <c r="O434" s="273"/>
      <c r="P434" s="273"/>
      <c r="Q434" s="273"/>
      <c r="R434" s="273"/>
      <c r="S434" s="273"/>
      <c r="T434" s="273"/>
      <c r="U434" s="273"/>
      <c r="V434" s="273"/>
      <c r="W434" s="273"/>
      <c r="X434" s="273"/>
      <c r="Y434" s="273"/>
    </row>
    <row r="435" spans="12:25" x14ac:dyDescent="0.35">
      <c r="L435" s="273"/>
      <c r="M435" s="273"/>
      <c r="N435" s="273"/>
      <c r="O435" s="273"/>
      <c r="P435" s="273"/>
      <c r="Q435" s="273"/>
      <c r="R435" s="273"/>
      <c r="S435" s="273"/>
      <c r="T435" s="273"/>
      <c r="U435" s="273"/>
      <c r="V435" s="273"/>
      <c r="W435" s="273"/>
      <c r="X435" s="273"/>
      <c r="Y435" s="273"/>
    </row>
    <row r="436" spans="12:25" x14ac:dyDescent="0.35">
      <c r="L436" s="273"/>
      <c r="M436" s="273"/>
      <c r="N436" s="273"/>
      <c r="O436" s="273"/>
      <c r="P436" s="273"/>
      <c r="Q436" s="273"/>
      <c r="R436" s="273"/>
      <c r="S436" s="273"/>
      <c r="T436" s="273"/>
      <c r="U436" s="273"/>
      <c r="V436" s="273"/>
      <c r="W436" s="273"/>
      <c r="X436" s="273"/>
      <c r="Y436" s="273"/>
    </row>
    <row r="437" spans="12:25" x14ac:dyDescent="0.35">
      <c r="L437" s="273"/>
      <c r="M437" s="273"/>
      <c r="N437" s="273"/>
      <c r="O437" s="273"/>
      <c r="P437" s="273"/>
      <c r="Q437" s="273"/>
      <c r="R437" s="273"/>
      <c r="S437" s="273"/>
      <c r="T437" s="273"/>
      <c r="U437" s="273"/>
      <c r="V437" s="273"/>
      <c r="W437" s="273"/>
      <c r="X437" s="273"/>
      <c r="Y437" s="273"/>
    </row>
    <row r="438" spans="12:25" x14ac:dyDescent="0.35">
      <c r="L438" s="273"/>
      <c r="M438" s="273"/>
      <c r="N438" s="273"/>
      <c r="O438" s="273"/>
      <c r="P438" s="273"/>
      <c r="Q438" s="273"/>
      <c r="R438" s="273"/>
      <c r="S438" s="273"/>
      <c r="T438" s="273"/>
      <c r="U438" s="273"/>
      <c r="V438" s="273"/>
      <c r="W438" s="273"/>
      <c r="X438" s="273"/>
      <c r="Y438" s="273"/>
    </row>
    <row r="439" spans="12:25" x14ac:dyDescent="0.35">
      <c r="L439" s="273"/>
      <c r="M439" s="273"/>
      <c r="N439" s="273"/>
      <c r="O439" s="273"/>
      <c r="P439" s="273"/>
      <c r="Q439" s="273"/>
      <c r="R439" s="273"/>
      <c r="S439" s="273"/>
      <c r="T439" s="273"/>
      <c r="U439" s="273"/>
      <c r="V439" s="273"/>
      <c r="W439" s="273"/>
      <c r="X439" s="273"/>
      <c r="Y439" s="273"/>
    </row>
    <row r="440" spans="12:25" x14ac:dyDescent="0.35">
      <c r="L440" s="273"/>
      <c r="M440" s="273"/>
      <c r="N440" s="273"/>
      <c r="O440" s="273"/>
      <c r="P440" s="273"/>
      <c r="Q440" s="273"/>
      <c r="R440" s="273"/>
      <c r="S440" s="273"/>
      <c r="T440" s="273"/>
      <c r="U440" s="273"/>
      <c r="V440" s="273"/>
      <c r="W440" s="273"/>
      <c r="X440" s="273"/>
      <c r="Y440" s="273"/>
    </row>
    <row r="441" spans="12:25" x14ac:dyDescent="0.35">
      <c r="L441" s="273"/>
      <c r="M441" s="273"/>
      <c r="N441" s="273"/>
      <c r="O441" s="273"/>
      <c r="P441" s="273"/>
      <c r="Q441" s="273"/>
      <c r="R441" s="273"/>
      <c r="S441" s="273"/>
      <c r="T441" s="273"/>
      <c r="U441" s="273"/>
      <c r="V441" s="273"/>
      <c r="W441" s="273"/>
      <c r="X441" s="273"/>
      <c r="Y441" s="273"/>
    </row>
    <row r="442" spans="12:25" x14ac:dyDescent="0.35">
      <c r="L442" s="273"/>
      <c r="M442" s="273"/>
      <c r="N442" s="273"/>
      <c r="O442" s="273"/>
      <c r="P442" s="273"/>
      <c r="Q442" s="273"/>
      <c r="R442" s="273"/>
      <c r="S442" s="273"/>
      <c r="T442" s="273"/>
      <c r="U442" s="273"/>
      <c r="V442" s="273"/>
      <c r="W442" s="273"/>
      <c r="X442" s="273"/>
      <c r="Y442" s="273"/>
    </row>
    <row r="443" spans="12:25" x14ac:dyDescent="0.35">
      <c r="L443" s="273"/>
      <c r="M443" s="273"/>
      <c r="N443" s="273"/>
      <c r="O443" s="273"/>
      <c r="P443" s="273"/>
      <c r="Q443" s="273"/>
      <c r="R443" s="273"/>
      <c r="S443" s="273"/>
      <c r="T443" s="273"/>
      <c r="U443" s="273"/>
      <c r="V443" s="273"/>
      <c r="W443" s="273"/>
      <c r="X443" s="273"/>
      <c r="Y443" s="273"/>
    </row>
    <row r="444" spans="12:25" x14ac:dyDescent="0.35">
      <c r="L444" s="273"/>
      <c r="M444" s="273"/>
      <c r="N444" s="273"/>
      <c r="O444" s="273"/>
      <c r="P444" s="273"/>
      <c r="Q444" s="273"/>
      <c r="R444" s="273"/>
      <c r="S444" s="273"/>
      <c r="T444" s="273"/>
      <c r="U444" s="273"/>
      <c r="V444" s="273"/>
      <c r="W444" s="273"/>
      <c r="X444" s="273"/>
      <c r="Y444" s="273"/>
    </row>
    <row r="445" spans="12:25" x14ac:dyDescent="0.35">
      <c r="L445" s="273"/>
      <c r="M445" s="273"/>
      <c r="N445" s="273"/>
      <c r="O445" s="273"/>
      <c r="P445" s="273"/>
      <c r="Q445" s="273"/>
      <c r="R445" s="273"/>
      <c r="S445" s="273"/>
      <c r="T445" s="273"/>
      <c r="U445" s="273"/>
      <c r="V445" s="273"/>
      <c r="W445" s="273"/>
      <c r="X445" s="273"/>
      <c r="Y445" s="273"/>
    </row>
    <row r="446" spans="12:25" x14ac:dyDescent="0.35">
      <c r="L446" s="273"/>
      <c r="M446" s="273"/>
      <c r="N446" s="273"/>
      <c r="O446" s="273"/>
      <c r="P446" s="273"/>
      <c r="Q446" s="273"/>
      <c r="R446" s="273"/>
      <c r="S446" s="273"/>
      <c r="T446" s="273"/>
      <c r="U446" s="273"/>
      <c r="V446" s="273"/>
      <c r="W446" s="273"/>
      <c r="X446" s="273"/>
      <c r="Y446" s="273"/>
    </row>
    <row r="447" spans="12:25" x14ac:dyDescent="0.35">
      <c r="L447" s="273"/>
      <c r="M447" s="273"/>
      <c r="N447" s="273"/>
      <c r="O447" s="273"/>
      <c r="P447" s="273"/>
      <c r="Q447" s="273"/>
      <c r="R447" s="273"/>
      <c r="S447" s="273"/>
      <c r="T447" s="273"/>
      <c r="U447" s="273"/>
      <c r="V447" s="273"/>
      <c r="W447" s="273"/>
      <c r="X447" s="273"/>
      <c r="Y447" s="273"/>
    </row>
    <row r="448" spans="12:25" x14ac:dyDescent="0.35">
      <c r="L448" s="273"/>
      <c r="M448" s="273"/>
      <c r="N448" s="273"/>
      <c r="O448" s="273"/>
      <c r="P448" s="273"/>
      <c r="Q448" s="273"/>
      <c r="R448" s="273"/>
      <c r="S448" s="273"/>
      <c r="T448" s="273"/>
      <c r="U448" s="273"/>
      <c r="V448" s="273"/>
      <c r="W448" s="273"/>
      <c r="X448" s="273"/>
      <c r="Y448" s="273"/>
    </row>
    <row r="449" spans="12:25" x14ac:dyDescent="0.35">
      <c r="L449" s="273"/>
      <c r="M449" s="273"/>
      <c r="N449" s="273"/>
      <c r="O449" s="273"/>
      <c r="P449" s="273"/>
      <c r="Q449" s="273"/>
      <c r="R449" s="273"/>
      <c r="S449" s="273"/>
      <c r="T449" s="273"/>
      <c r="U449" s="273"/>
      <c r="V449" s="273"/>
      <c r="W449" s="273"/>
      <c r="X449" s="273"/>
      <c r="Y449" s="273"/>
    </row>
    <row r="450" spans="12:25" x14ac:dyDescent="0.35">
      <c r="L450" s="273"/>
      <c r="M450" s="273"/>
      <c r="N450" s="273"/>
      <c r="O450" s="273"/>
      <c r="P450" s="273"/>
      <c r="Q450" s="273"/>
      <c r="R450" s="273"/>
      <c r="S450" s="273"/>
      <c r="T450" s="273"/>
      <c r="U450" s="273"/>
      <c r="V450" s="273"/>
      <c r="W450" s="273"/>
      <c r="X450" s="273"/>
      <c r="Y450" s="273"/>
    </row>
    <row r="451" spans="12:25" x14ac:dyDescent="0.35">
      <c r="Y451" s="273"/>
    </row>
    <row r="452" spans="12:25" x14ac:dyDescent="0.35">
      <c r="Y452" s="273"/>
    </row>
  </sheetData>
  <sheetProtection algorithmName="SHA-512" hashValue="tqREieQgxoi5xT5GTvsMvaR1GkZAk63Ff1PczyvRmdQ0OGkXRdslacPh+M2GqDxEwISaiUCGTeJ01QnpZlwVvg==" saltValue="qvISQUFF6Va8MOJZoWZeZg==" spinCount="100000" sheet="1" objects="1" scenarios="1" selectLockedCells="1" selectUnlockedCells="1"/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8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Opm"/>
  <dimension ref="A1:C35"/>
  <sheetViews>
    <sheetView workbookViewId="0">
      <selection activeCell="C10" sqref="C10"/>
    </sheetView>
  </sheetViews>
  <sheetFormatPr defaultRowHeight="12.85" x14ac:dyDescent="0.35"/>
  <cols>
    <col min="1" max="1" width="11.265625" customWidth="1"/>
    <col min="2" max="2" width="37.73046875" customWidth="1"/>
    <col min="3" max="3" width="13.265625" customWidth="1"/>
  </cols>
  <sheetData>
    <row r="1" spans="1:3" x14ac:dyDescent="0.35">
      <c r="A1" t="s">
        <v>1120</v>
      </c>
      <c r="B1" t="s">
        <v>463</v>
      </c>
      <c r="C1" t="s">
        <v>1121</v>
      </c>
    </row>
    <row r="2" spans="1:3" x14ac:dyDescent="0.35">
      <c r="A2" t="s">
        <v>1122</v>
      </c>
      <c r="B2" t="s">
        <v>525</v>
      </c>
    </row>
    <row r="3" spans="1:3" x14ac:dyDescent="0.35">
      <c r="A3" t="s">
        <v>1122</v>
      </c>
      <c r="B3" t="s">
        <v>566</v>
      </c>
    </row>
    <row r="4" spans="1:3" x14ac:dyDescent="0.35">
      <c r="A4" t="s">
        <v>1122</v>
      </c>
      <c r="B4" t="s">
        <v>357</v>
      </c>
    </row>
    <row r="5" spans="1:3" x14ac:dyDescent="0.35">
      <c r="A5" t="s">
        <v>1122</v>
      </c>
      <c r="B5" t="s">
        <v>358</v>
      </c>
    </row>
    <row r="6" spans="1:3" x14ac:dyDescent="0.35">
      <c r="A6" t="s">
        <v>1122</v>
      </c>
      <c r="B6" t="s">
        <v>359</v>
      </c>
    </row>
    <row r="7" spans="1:3" x14ac:dyDescent="0.35">
      <c r="A7" t="s">
        <v>1122</v>
      </c>
      <c r="B7" t="s">
        <v>360</v>
      </c>
    </row>
    <row r="8" spans="1:3" x14ac:dyDescent="0.35">
      <c r="A8" t="s">
        <v>1122</v>
      </c>
      <c r="B8" t="s">
        <v>361</v>
      </c>
    </row>
    <row r="9" spans="1:3" x14ac:dyDescent="0.35">
      <c r="A9" t="s">
        <v>1122</v>
      </c>
      <c r="B9" t="s">
        <v>362</v>
      </c>
    </row>
    <row r="10" spans="1:3" x14ac:dyDescent="0.35">
      <c r="A10" t="s">
        <v>1122</v>
      </c>
      <c r="B10" t="s">
        <v>603</v>
      </c>
      <c r="C10" s="37"/>
    </row>
    <row r="11" spans="1:3" x14ac:dyDescent="0.35">
      <c r="A11" t="s">
        <v>1122</v>
      </c>
      <c r="B11" t="s">
        <v>697</v>
      </c>
      <c r="C11" s="37"/>
    </row>
    <row r="12" spans="1:3" x14ac:dyDescent="0.35">
      <c r="A12" t="s">
        <v>1122</v>
      </c>
      <c r="B12" t="s">
        <v>698</v>
      </c>
    </row>
    <row r="13" spans="1:3" x14ac:dyDescent="0.35">
      <c r="A13" t="s">
        <v>1122</v>
      </c>
      <c r="B13" t="s">
        <v>699</v>
      </c>
    </row>
    <row r="14" spans="1:3" x14ac:dyDescent="0.35">
      <c r="A14" t="s">
        <v>1122</v>
      </c>
      <c r="B14" t="s">
        <v>700</v>
      </c>
    </row>
    <row r="15" spans="1:3" x14ac:dyDescent="0.35">
      <c r="A15" t="s">
        <v>1122</v>
      </c>
      <c r="B15" t="s">
        <v>701</v>
      </c>
    </row>
    <row r="16" spans="1:3" x14ac:dyDescent="0.35">
      <c r="A16" t="s">
        <v>583</v>
      </c>
      <c r="B16" t="s">
        <v>584</v>
      </c>
    </row>
    <row r="17" spans="1:2" x14ac:dyDescent="0.35">
      <c r="A17" t="s">
        <v>583</v>
      </c>
      <c r="B17" t="s">
        <v>584</v>
      </c>
    </row>
    <row r="18" spans="1:2" x14ac:dyDescent="0.35">
      <c r="A18" t="s">
        <v>583</v>
      </c>
      <c r="B18" t="s">
        <v>584</v>
      </c>
    </row>
    <row r="19" spans="1:2" x14ac:dyDescent="0.35">
      <c r="A19" t="s">
        <v>583</v>
      </c>
      <c r="B19" t="s">
        <v>584</v>
      </c>
    </row>
    <row r="20" spans="1:2" x14ac:dyDescent="0.35">
      <c r="A20" t="s">
        <v>583</v>
      </c>
      <c r="B20" t="s">
        <v>584</v>
      </c>
    </row>
    <row r="21" spans="1:2" x14ac:dyDescent="0.35">
      <c r="A21" t="s">
        <v>583</v>
      </c>
      <c r="B21" t="s">
        <v>584</v>
      </c>
    </row>
    <row r="22" spans="1:2" x14ac:dyDescent="0.35">
      <c r="A22" t="s">
        <v>583</v>
      </c>
      <c r="B22" t="s">
        <v>584</v>
      </c>
    </row>
    <row r="23" spans="1:2" x14ac:dyDescent="0.35">
      <c r="A23" t="s">
        <v>583</v>
      </c>
      <c r="B23" t="s">
        <v>584</v>
      </c>
    </row>
    <row r="24" spans="1:2" x14ac:dyDescent="0.35">
      <c r="A24" t="s">
        <v>583</v>
      </c>
      <c r="B24" t="s">
        <v>584</v>
      </c>
    </row>
    <row r="25" spans="1:2" x14ac:dyDescent="0.35">
      <c r="A25" t="s">
        <v>583</v>
      </c>
      <c r="B25" t="s">
        <v>584</v>
      </c>
    </row>
    <row r="26" spans="1:2" x14ac:dyDescent="0.35">
      <c r="A26" t="s">
        <v>583</v>
      </c>
      <c r="B26" t="s">
        <v>584</v>
      </c>
    </row>
    <row r="27" spans="1:2" x14ac:dyDescent="0.35">
      <c r="A27" t="s">
        <v>583</v>
      </c>
      <c r="B27" t="s">
        <v>584</v>
      </c>
    </row>
    <row r="28" spans="1:2" x14ac:dyDescent="0.35">
      <c r="A28" t="s">
        <v>583</v>
      </c>
      <c r="B28" t="s">
        <v>584</v>
      </c>
    </row>
    <row r="29" spans="1:2" x14ac:dyDescent="0.35">
      <c r="A29" t="s">
        <v>583</v>
      </c>
      <c r="B29" t="s">
        <v>584</v>
      </c>
    </row>
    <row r="30" spans="1:2" x14ac:dyDescent="0.35">
      <c r="A30" t="s">
        <v>583</v>
      </c>
      <c r="B30" t="s">
        <v>584</v>
      </c>
    </row>
    <row r="31" spans="1:2" x14ac:dyDescent="0.35">
      <c r="A31" t="s">
        <v>583</v>
      </c>
      <c r="B31" t="s">
        <v>584</v>
      </c>
    </row>
    <row r="32" spans="1:2" x14ac:dyDescent="0.35">
      <c r="A32" t="s">
        <v>583</v>
      </c>
      <c r="B32" t="s">
        <v>584</v>
      </c>
    </row>
    <row r="33" spans="1:2" x14ac:dyDescent="0.35">
      <c r="A33" t="s">
        <v>583</v>
      </c>
      <c r="B33" t="s">
        <v>584</v>
      </c>
    </row>
    <row r="34" spans="1:2" x14ac:dyDescent="0.35">
      <c r="A34" t="s">
        <v>583</v>
      </c>
      <c r="B34" t="s">
        <v>584</v>
      </c>
    </row>
    <row r="35" spans="1:2" x14ac:dyDescent="0.35">
      <c r="A35" t="s">
        <v>583</v>
      </c>
      <c r="B35" t="s">
        <v>584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fsprakenCMV">
    <pageSetUpPr autoPageBreaks="0"/>
  </sheetPr>
  <dimension ref="A2:S234"/>
  <sheetViews>
    <sheetView zoomScaleNormal="100" workbookViewId="0">
      <selection activeCell="E105" sqref="E105"/>
    </sheetView>
  </sheetViews>
  <sheetFormatPr defaultColWidth="10.73046875" defaultRowHeight="12.65" customHeight="1" x14ac:dyDescent="0.35"/>
  <cols>
    <col min="1" max="1" width="2.73046875" style="58" customWidth="1"/>
    <col min="2" max="2" width="2.59765625" style="61" customWidth="1"/>
    <col min="3" max="3" width="14" style="58" customWidth="1"/>
    <col min="4" max="4" width="11.265625" style="58" customWidth="1"/>
    <col min="5" max="5" width="12.73046875" style="58" customWidth="1"/>
    <col min="6" max="6" width="10.73046875" style="58" customWidth="1"/>
    <col min="7" max="10" width="11.265625" style="58" customWidth="1"/>
    <col min="11" max="11" width="10.73046875" style="58" customWidth="1"/>
    <col min="12" max="12" width="10.73046875" style="105" customWidth="1"/>
    <col min="13" max="16384" width="10.73046875" style="58"/>
  </cols>
  <sheetData>
    <row r="2" spans="1:19" ht="12.65" customHeight="1" x14ac:dyDescent="0.35">
      <c r="B2" s="86"/>
      <c r="C2" s="87" t="e">
        <f>#REF!</f>
        <v>#REF!</v>
      </c>
      <c r="D2" s="56" t="e">
        <f>#REF!</f>
        <v>#REF!</v>
      </c>
      <c r="E2" s="87" t="e">
        <f>#REF!</f>
        <v>#REF!</v>
      </c>
      <c r="F2" s="366" t="e">
        <f>#REF!</f>
        <v>#REF!</v>
      </c>
      <c r="G2" s="366"/>
      <c r="H2" s="88" t="s">
        <v>1303</v>
      </c>
      <c r="I2" s="58" t="str">
        <f>Gewicht/10&amp;" kg"</f>
        <v>10 kg</v>
      </c>
      <c r="J2" s="57"/>
      <c r="L2" s="104"/>
    </row>
    <row r="3" spans="1:19" ht="12.65" customHeight="1" x14ac:dyDescent="0.35">
      <c r="B3" s="86"/>
      <c r="C3" s="87" t="s">
        <v>955</v>
      </c>
      <c r="D3" s="59">
        <f ca="1">AfspraakDatum-OpnDatum+1</f>
        <v>829</v>
      </c>
      <c r="E3" s="87" t="e">
        <f>#REF!</f>
        <v>#REF!</v>
      </c>
      <c r="F3" s="60" t="e">
        <f>#REF!</f>
        <v>#REF!</v>
      </c>
      <c r="G3" s="57"/>
      <c r="H3" s="88" t="s">
        <v>632</v>
      </c>
      <c r="I3" s="58" t="str">
        <f>Lengte&amp;" cm"</f>
        <v>80 cm</v>
      </c>
      <c r="J3" s="57"/>
      <c r="L3" s="104"/>
    </row>
    <row r="4" spans="1:19" ht="12" customHeight="1" x14ac:dyDescent="0.35">
      <c r="D4" s="57"/>
      <c r="F4" s="57"/>
      <c r="H4" s="88" t="s">
        <v>634</v>
      </c>
      <c r="I4" s="58" t="str">
        <f>ROUND(POWER(Gewicht/10,0.425)*POWER(((Lengte/100)*100),0.725)*0.007184,2)&amp;" m2"</f>
        <v>0.46 m2</v>
      </c>
      <c r="L4" s="104"/>
    </row>
    <row r="5" spans="1:19" ht="12.65" customHeight="1" x14ac:dyDescent="0.35">
      <c r="A5" s="66"/>
      <c r="B5" s="71" t="e">
        <f>#REF!</f>
        <v>#REF!</v>
      </c>
      <c r="C5" s="68"/>
      <c r="D5" s="66"/>
      <c r="E5" s="66"/>
      <c r="F5" s="66"/>
      <c r="G5" s="66"/>
      <c r="H5" s="66"/>
      <c r="I5" s="66"/>
      <c r="J5" s="69"/>
      <c r="K5" s="62"/>
      <c r="L5" s="104"/>
      <c r="M5" s="62"/>
      <c r="N5" s="62"/>
      <c r="O5" s="62"/>
      <c r="Q5" s="62"/>
      <c r="R5" s="62"/>
      <c r="S5" s="62"/>
    </row>
    <row r="6" spans="1:19" ht="12.65" customHeight="1" x14ac:dyDescent="0.35">
      <c r="B6" s="86"/>
      <c r="C6" s="88" t="str">
        <f>IF(E6&lt;&gt;"",#REF!,"")</f>
        <v/>
      </c>
      <c r="D6" s="88"/>
      <c r="E6" s="58" t="str">
        <f>IF(Toegang&lt;&gt;1,INDEX(tblToegang,Toegang,1),IF(Zuurstof&lt;&gt;1,INDEX(tblZuurstof,Zuurstof,1)&amp;" met "&amp;#REF!,""))</f>
        <v/>
      </c>
      <c r="G6" s="88" t="e">
        <f>IF(I6&lt;&gt;"",#REF!,)</f>
        <v>#REF!</v>
      </c>
      <c r="H6" s="88"/>
      <c r="I6" s="57" t="e">
        <f>#REF!</f>
        <v>#REF!</v>
      </c>
      <c r="L6" s="104"/>
      <c r="Q6" s="62"/>
      <c r="R6" s="62"/>
      <c r="S6" s="62"/>
    </row>
    <row r="7" spans="1:19" ht="12.65" customHeight="1" x14ac:dyDescent="0.35">
      <c r="B7" s="86"/>
      <c r="C7" s="88">
        <f>IF(E7&lt;&gt;"",#REF!,)</f>
        <v>0</v>
      </c>
      <c r="D7" s="88"/>
      <c r="E7" s="58" t="str">
        <f>IF(Toegang&gt;2,INDEX(tblDruppelen,dbBead!L2,1),"")</f>
        <v/>
      </c>
      <c r="G7" s="88" t="e">
        <f>IF(I7&lt;&gt;"",#REF!,)</f>
        <v>#REF!</v>
      </c>
      <c r="H7" s="88"/>
      <c r="I7" s="58" t="e">
        <f>#REF!</f>
        <v>#REF!</v>
      </c>
      <c r="L7" s="104"/>
      <c r="Q7" s="62"/>
      <c r="R7" s="62"/>
      <c r="S7" s="62"/>
    </row>
    <row r="8" spans="1:19" ht="12.65" customHeight="1" x14ac:dyDescent="0.35">
      <c r="B8" s="86"/>
      <c r="C8" s="88" t="e">
        <f>IF(E8&lt;&gt;"",#REF!,)</f>
        <v>#REF!</v>
      </c>
      <c r="D8" s="88"/>
      <c r="E8" s="58" t="e">
        <f>#REF!</f>
        <v>#REF!</v>
      </c>
      <c r="G8" s="88" t="e">
        <f>IF(I8&lt;&gt;"",#REF!,)</f>
        <v>#REF!</v>
      </c>
      <c r="H8" s="88"/>
      <c r="I8" s="58" t="e">
        <f>#REF!</f>
        <v>#REF!</v>
      </c>
      <c r="L8" s="104"/>
      <c r="Q8" s="62"/>
      <c r="R8" s="62"/>
      <c r="S8" s="62"/>
    </row>
    <row r="9" spans="1:19" ht="6.05" customHeight="1" x14ac:dyDescent="0.35">
      <c r="G9" s="62"/>
      <c r="H9" s="62"/>
      <c r="K9" s="62"/>
      <c r="L9" s="104"/>
      <c r="M9" s="62"/>
      <c r="N9" s="62"/>
      <c r="O9" s="62"/>
      <c r="Q9" s="62"/>
      <c r="R9" s="62"/>
      <c r="S9" s="62"/>
    </row>
    <row r="10" spans="1:19" ht="12.65" customHeight="1" x14ac:dyDescent="0.35">
      <c r="B10" s="86"/>
      <c r="C10" s="88" t="e">
        <f>IF(E10&lt;&gt;"",#REF!,)</f>
        <v>#REF!</v>
      </c>
      <c r="D10" s="88"/>
      <c r="E10" s="58" t="str">
        <f>IF(Zuurstof=2,ber_bead!B3&amp;" met "&amp;#REF!,INDEX(tblApparaat,dbBead!R2,1))</f>
        <v>geen</v>
      </c>
      <c r="G10" s="88">
        <f>IF(AND(dbBead!R2&lt;&gt;1,I10&lt;&gt;""),#REF!,)</f>
        <v>0</v>
      </c>
      <c r="H10" s="88"/>
      <c r="I10" s="58" t="str">
        <f>IF(dbBead!R2&lt;&gt;1,INDEX(tblMode,dbBead!U2,1),"")</f>
        <v/>
      </c>
      <c r="K10" s="62"/>
      <c r="L10" s="104"/>
      <c r="M10" s="62"/>
      <c r="N10" s="62"/>
      <c r="O10" s="62"/>
      <c r="Q10" s="62"/>
      <c r="R10" s="62"/>
      <c r="S10" s="62"/>
    </row>
    <row r="11" spans="1:19" ht="12.65" customHeight="1" x14ac:dyDescent="0.35">
      <c r="B11" s="86"/>
      <c r="C11" s="88" t="e">
        <f>IF(E11&lt;&gt;"",#REF!,)</f>
        <v>#REF!</v>
      </c>
      <c r="D11" s="88"/>
      <c r="E11" s="58" t="e">
        <f>#REF!</f>
        <v>#REF!</v>
      </c>
      <c r="G11" s="88" t="str">
        <f>IF(OR(ModeCV=1,ModeCV=3,ModeCV=5),"AMV:",IF(OR(ModeCV=2,ModeCV=4),"Pressure boven PEEP:",""))</f>
        <v/>
      </c>
      <c r="H11" s="88"/>
      <c r="I11" s="58" t="str">
        <f>IF(OR(ModeCV=1,ModeCV=3,ModeCV=5),#REF!,IF(ModeCV=2,#REF!,IF(ModeCV=4,#REF!,"")))</f>
        <v/>
      </c>
      <c r="K11" s="62"/>
      <c r="L11" s="104"/>
      <c r="M11" s="62"/>
      <c r="N11" s="62"/>
      <c r="O11" s="62"/>
      <c r="Q11" s="62"/>
      <c r="R11" s="62"/>
      <c r="S11" s="62"/>
    </row>
    <row r="12" spans="1:19" ht="12.65" customHeight="1" x14ac:dyDescent="0.35">
      <c r="B12" s="86"/>
      <c r="C12" s="88" t="e">
        <f>IF(E12&lt;&gt;"",#REF!,)</f>
        <v>#REF!</v>
      </c>
      <c r="D12" s="88"/>
      <c r="E12" s="58" t="e">
        <f>#REF!</f>
        <v>#REF!</v>
      </c>
      <c r="G12" s="88" t="e">
        <f>IF(I12&lt;&gt;"",#REF!,)</f>
        <v>#REF!</v>
      </c>
      <c r="H12" s="88"/>
      <c r="I12" s="58" t="e">
        <f>#REF!</f>
        <v>#REF!</v>
      </c>
      <c r="L12" s="104"/>
      <c r="M12" s="62"/>
      <c r="N12" s="62"/>
      <c r="O12" s="62"/>
      <c r="Q12" s="62"/>
      <c r="R12" s="62"/>
      <c r="S12" s="62"/>
    </row>
    <row r="13" spans="1:19" ht="12.65" customHeight="1" x14ac:dyDescent="0.35">
      <c r="B13" s="86"/>
      <c r="C13" s="88" t="e">
        <f>IF(E13&lt;&gt;"",#REF!,)</f>
        <v>#REF!</v>
      </c>
      <c r="D13" s="88"/>
      <c r="E13" s="58" t="e">
        <f>#REF!</f>
        <v>#REF!</v>
      </c>
      <c r="G13" s="88" t="e">
        <f>IF(I13&lt;&gt;"",#REF!,)</f>
        <v>#REF!</v>
      </c>
      <c r="H13" s="88"/>
      <c r="I13" s="58" t="e">
        <f>#REF!</f>
        <v>#REF!</v>
      </c>
      <c r="K13" s="62"/>
      <c r="L13" s="104"/>
      <c r="M13" s="62"/>
      <c r="N13" s="62"/>
      <c r="O13" s="62"/>
      <c r="Q13" s="62"/>
      <c r="R13" s="62"/>
      <c r="S13" s="62"/>
    </row>
    <row r="14" spans="1:19" ht="12.65" customHeight="1" x14ac:dyDescent="0.35">
      <c r="B14" s="86"/>
      <c r="C14" s="88" t="e">
        <f>IF(E14&lt;&gt;"",#REF!,)</f>
        <v>#REF!</v>
      </c>
      <c r="D14" s="88"/>
      <c r="E14" s="58" t="e">
        <f>#REF!</f>
        <v>#REF!</v>
      </c>
      <c r="G14" s="88" t="e">
        <f>IF(I14&lt;&gt;"",#REF!,)</f>
        <v>#REF!</v>
      </c>
      <c r="H14" s="88"/>
      <c r="I14" s="58" t="e">
        <f>#REF!</f>
        <v>#REF!</v>
      </c>
      <c r="L14" s="104"/>
    </row>
    <row r="15" spans="1:19" ht="12.65" customHeight="1" x14ac:dyDescent="0.35">
      <c r="B15" s="86"/>
      <c r="C15" s="88" t="e">
        <f>IF(E15&lt;&gt;"","Automode",)</f>
        <v>#REF!</v>
      </c>
      <c r="D15" s="88"/>
      <c r="E15" s="58" t="e">
        <f>#REF!</f>
        <v>#REF!</v>
      </c>
      <c r="G15" s="88" t="e">
        <f>IF(I15&lt;&gt;"","Trigger Time Out","")</f>
        <v>#REF!</v>
      </c>
      <c r="H15" s="88"/>
      <c r="I15" s="58" t="e">
        <f>IF(E15="Ja",#REF!,"")</f>
        <v>#REF!</v>
      </c>
      <c r="L15" s="104"/>
    </row>
    <row r="16" spans="1:19" ht="12.65" customHeight="1" x14ac:dyDescent="0.35">
      <c r="B16" s="86"/>
      <c r="C16" s="88" t="e">
        <f>IF(E16&lt;&gt;"",#REF!,"")</f>
        <v>#REF!</v>
      </c>
      <c r="D16" s="88"/>
      <c r="E16" s="58" t="e">
        <f>IF(E15="Ja",#REF!,"")</f>
        <v>#REF!</v>
      </c>
      <c r="G16" s="88" t="e">
        <f>IF(E15&lt;&gt;"Nee","Eind Insp. Cyclus","")</f>
        <v>#REF!</v>
      </c>
      <c r="H16" s="88"/>
      <c r="I16" s="157" t="e">
        <f>IF(E15="Ja",#REF!,"")</f>
        <v>#REF!</v>
      </c>
      <c r="K16" s="64"/>
      <c r="L16" s="104"/>
    </row>
    <row r="17" spans="1:12" ht="6.05" customHeight="1" x14ac:dyDescent="0.35">
      <c r="F17" s="63"/>
      <c r="G17" s="62"/>
      <c r="H17" s="62"/>
      <c r="I17" s="158"/>
      <c r="K17" s="64"/>
      <c r="L17" s="104"/>
    </row>
    <row r="18" spans="1:12" ht="12.65" customHeight="1" x14ac:dyDescent="0.35">
      <c r="B18" s="86"/>
      <c r="C18" s="88" t="s">
        <v>1377</v>
      </c>
      <c r="D18" s="378">
        <f>ber_Opm!C2</f>
        <v>0</v>
      </c>
      <c r="E18" s="379"/>
      <c r="F18" s="379"/>
      <c r="G18" s="379"/>
      <c r="H18" s="379"/>
      <c r="I18" s="379"/>
      <c r="J18" s="379"/>
      <c r="K18" s="61"/>
      <c r="L18" s="104"/>
    </row>
    <row r="19" spans="1:12" ht="12.65" customHeight="1" x14ac:dyDescent="0.35">
      <c r="B19" s="86"/>
      <c r="C19" s="88"/>
      <c r="D19" s="379"/>
      <c r="E19" s="379"/>
      <c r="F19" s="379"/>
      <c r="G19" s="379"/>
      <c r="H19" s="379"/>
      <c r="I19" s="379"/>
      <c r="J19" s="379"/>
      <c r="K19" s="61"/>
      <c r="L19" s="104"/>
    </row>
    <row r="20" spans="1:12" ht="9.0500000000000007" customHeight="1" x14ac:dyDescent="0.35">
      <c r="F20" s="61"/>
      <c r="G20" s="61"/>
      <c r="H20" s="62"/>
      <c r="I20" s="62"/>
      <c r="J20" s="62"/>
      <c r="K20" s="61"/>
      <c r="L20" s="104"/>
    </row>
    <row r="21" spans="1:12" ht="14.15" customHeight="1" x14ac:dyDescent="0.4">
      <c r="C21" s="147" t="s">
        <v>1086</v>
      </c>
      <c r="D21" s="148" t="s">
        <v>1158</v>
      </c>
      <c r="E21" s="149"/>
      <c r="F21" s="150" t="s">
        <v>1118</v>
      </c>
      <c r="G21" s="150" t="s">
        <v>1086</v>
      </c>
      <c r="H21" s="151" t="s">
        <v>1158</v>
      </c>
      <c r="I21" s="152"/>
      <c r="J21" s="155" t="s">
        <v>1118</v>
      </c>
      <c r="K21" s="61"/>
      <c r="L21" s="104"/>
    </row>
    <row r="22" spans="1:12" ht="14.15" customHeight="1" x14ac:dyDescent="0.35">
      <c r="C22" s="147"/>
      <c r="D22" s="148"/>
      <c r="E22" s="149"/>
      <c r="F22" s="150"/>
      <c r="G22" s="150"/>
      <c r="H22" s="153"/>
      <c r="I22" s="154"/>
      <c r="J22" s="156"/>
      <c r="K22" s="61"/>
      <c r="L22" s="104"/>
    </row>
    <row r="23" spans="1:12" ht="14.15" customHeight="1" x14ac:dyDescent="0.35">
      <c r="C23" s="147"/>
      <c r="D23" s="148"/>
      <c r="E23" s="149"/>
      <c r="F23" s="150"/>
      <c r="G23" s="150"/>
      <c r="H23" s="153"/>
      <c r="I23" s="154"/>
      <c r="J23" s="156"/>
      <c r="K23" s="61"/>
      <c r="L23" s="104"/>
    </row>
    <row r="24" spans="1:12" ht="14.15" customHeight="1" x14ac:dyDescent="0.35">
      <c r="C24" s="147"/>
      <c r="D24" s="148"/>
      <c r="E24" s="149"/>
      <c r="F24" s="150"/>
      <c r="G24" s="150"/>
      <c r="H24" s="153"/>
      <c r="I24" s="154"/>
      <c r="J24" s="156"/>
      <c r="K24" s="61"/>
      <c r="L24" s="104"/>
    </row>
    <row r="25" spans="1:12" ht="14.15" customHeight="1" x14ac:dyDescent="0.35">
      <c r="C25" s="147"/>
      <c r="D25" s="148"/>
      <c r="E25" s="149"/>
      <c r="F25" s="150"/>
      <c r="G25" s="150"/>
      <c r="H25" s="153"/>
      <c r="I25" s="154"/>
      <c r="J25" s="156"/>
      <c r="K25" s="61"/>
      <c r="L25" s="104"/>
    </row>
    <row r="26" spans="1:12" ht="14.15" customHeight="1" x14ac:dyDescent="0.35">
      <c r="C26" s="147"/>
      <c r="D26" s="148"/>
      <c r="E26" s="149"/>
      <c r="F26" s="150"/>
      <c r="G26" s="150"/>
      <c r="H26" s="153"/>
      <c r="I26" s="154"/>
      <c r="J26" s="156"/>
      <c r="K26" s="61"/>
      <c r="L26" s="104"/>
    </row>
    <row r="27" spans="1:12" ht="14.15" customHeight="1" x14ac:dyDescent="0.35">
      <c r="C27" s="147"/>
      <c r="D27" s="148"/>
      <c r="E27" s="149"/>
      <c r="F27" s="150"/>
      <c r="G27" s="150"/>
      <c r="H27" s="153"/>
      <c r="I27" s="154"/>
      <c r="J27" s="156"/>
      <c r="K27" s="61"/>
      <c r="L27" s="104"/>
    </row>
    <row r="28" spans="1:12" ht="14.15" customHeight="1" x14ac:dyDescent="0.35">
      <c r="C28" s="147"/>
      <c r="D28" s="148"/>
      <c r="E28" s="149"/>
      <c r="F28" s="150"/>
      <c r="G28" s="150"/>
      <c r="H28" s="153"/>
      <c r="I28" s="154"/>
      <c r="J28" s="156"/>
      <c r="K28" s="61"/>
      <c r="L28" s="104"/>
    </row>
    <row r="29" spans="1:12" ht="14.15" customHeight="1" x14ac:dyDescent="0.35">
      <c r="C29" s="147"/>
      <c r="D29" s="148"/>
      <c r="E29" s="149"/>
      <c r="F29" s="150"/>
      <c r="G29" s="150"/>
      <c r="H29" s="153"/>
      <c r="I29" s="154"/>
      <c r="J29" s="156"/>
      <c r="K29" s="61"/>
      <c r="L29" s="104"/>
    </row>
    <row r="30" spans="1:12" ht="14.15" customHeight="1" x14ac:dyDescent="0.35">
      <c r="H30" s="62"/>
      <c r="I30" s="62"/>
      <c r="J30" s="62"/>
      <c r="K30" s="61"/>
      <c r="L30" s="104"/>
    </row>
    <row r="31" spans="1:12" ht="14.15" customHeight="1" x14ac:dyDescent="0.35">
      <c r="A31" s="66"/>
      <c r="B31" s="71" t="str">
        <f>Intake!C7</f>
        <v>Voeding</v>
      </c>
      <c r="C31" s="66"/>
      <c r="D31" s="66"/>
      <c r="E31" s="66"/>
      <c r="F31" s="66"/>
      <c r="G31" s="66"/>
      <c r="H31" s="66"/>
      <c r="I31" s="66"/>
      <c r="J31" s="66"/>
      <c r="K31" s="61"/>
      <c r="L31" s="104"/>
    </row>
    <row r="32" spans="1:12" ht="14.15" customHeight="1" x14ac:dyDescent="0.35">
      <c r="B32" s="86"/>
      <c r="C32" s="88" t="s">
        <v>1079</v>
      </c>
      <c r="D32" s="88"/>
      <c r="E32" s="58" t="str">
        <f>INDEX(tblSonde,ber_PO!A1,1)</f>
        <v>Geen sonde</v>
      </c>
      <c r="K32" s="61"/>
      <c r="L32" s="104"/>
    </row>
    <row r="33" spans="1:12" ht="14.15" customHeight="1" x14ac:dyDescent="0.35">
      <c r="C33" s="58">
        <f>IF(E33&lt;&gt;"",INDEX(tblVoedingPO,KeuzePO_1,1),)</f>
        <v>0</v>
      </c>
      <c r="D33" s="58" t="str">
        <f>Intake!G8</f>
        <v/>
      </c>
      <c r="E33" s="58" t="str">
        <f>Intake!C8&amp;" "&amp;Intake!D8</f>
        <v xml:space="preserve"> </v>
      </c>
      <c r="F33" s="65" t="str">
        <f>IF(KeuzePO_2&gt;1,"met "&amp;Intake!C9&amp;" "&amp;Intake!D9&amp;" "&amp;INDEX(ber_PO!B22:B39,KeuzePO_2,1),"")</f>
        <v/>
      </c>
      <c r="I33" s="58" t="str">
        <f>Intake!I9</f>
        <v/>
      </c>
      <c r="K33" s="61"/>
      <c r="L33" s="104"/>
    </row>
    <row r="34" spans="1:12" ht="12.65" customHeight="1" x14ac:dyDescent="0.35">
      <c r="B34" s="86"/>
      <c r="C34" s="88"/>
      <c r="D34" s="88"/>
      <c r="F34" s="65" t="str">
        <f>IF(ber_PO!P24&gt;1,"met "&amp;Intake!C10&amp;" "&amp;Intake!D10&amp;" "&amp;INDEX(ber_PO!B22:B33,KeuzePO_3,1),"")</f>
        <v/>
      </c>
      <c r="I34" s="58" t="str">
        <f>Intake!I10</f>
        <v/>
      </c>
      <c r="K34" s="61"/>
      <c r="L34" s="104"/>
    </row>
    <row r="35" spans="1:12" ht="12.65" customHeight="1" x14ac:dyDescent="0.35">
      <c r="B35" s="86"/>
      <c r="C35" s="88"/>
      <c r="D35" s="88"/>
      <c r="F35" s="65" t="str">
        <f>IF(ber_PO!P25&gt;1,"met "&amp;Intake!C11&amp;" "&amp;Intake!D11&amp;" "&amp;INDEX(ber_PO!B22:B33,KeuzePO_4,1),"")</f>
        <v/>
      </c>
      <c r="I35" s="58" t="str">
        <f>Intake!I11</f>
        <v/>
      </c>
      <c r="K35" s="64"/>
      <c r="L35" s="104"/>
    </row>
    <row r="36" spans="1:12" ht="12.65" customHeight="1" x14ac:dyDescent="0.35">
      <c r="K36" s="64"/>
      <c r="L36" s="104"/>
    </row>
    <row r="37" spans="1:12" ht="12.65" customHeight="1" x14ac:dyDescent="0.35">
      <c r="A37" s="66"/>
      <c r="B37" s="89"/>
      <c r="C37" s="90" t="s">
        <v>1377</v>
      </c>
      <c r="D37" s="367">
        <f>ber_Opm!C15</f>
        <v>0</v>
      </c>
      <c r="E37" s="368"/>
      <c r="F37" s="368"/>
      <c r="G37" s="368"/>
      <c r="H37" s="368"/>
      <c r="I37" s="368"/>
      <c r="J37" s="368"/>
      <c r="K37" s="64"/>
      <c r="L37" s="104"/>
    </row>
    <row r="38" spans="1:12" ht="12.65" customHeight="1" x14ac:dyDescent="0.35">
      <c r="L38" s="104"/>
    </row>
    <row r="39" spans="1:12" ht="12.65" customHeight="1" x14ac:dyDescent="0.35">
      <c r="A39" s="66"/>
      <c r="B39" s="71" t="s">
        <v>603</v>
      </c>
      <c r="C39" s="66"/>
      <c r="D39" s="66"/>
      <c r="E39" s="66"/>
      <c r="F39" s="66"/>
      <c r="G39" s="66"/>
      <c r="H39" s="66"/>
      <c r="I39" s="66"/>
      <c r="J39" s="66"/>
      <c r="L39" s="104"/>
    </row>
    <row r="40" spans="1:12" ht="12.65" customHeight="1" x14ac:dyDescent="0.35">
      <c r="B40" s="88"/>
      <c r="C40" s="88" t="s">
        <v>1871</v>
      </c>
      <c r="D40" s="380" t="str">
        <f>TRIM(Ber_Lab!B5&amp;"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"&amp;Ber_Lab!B31)</f>
        <v/>
      </c>
      <c r="E40" s="381"/>
      <c r="F40" s="381"/>
      <c r="G40" s="381"/>
      <c r="H40" s="381"/>
      <c r="I40" s="381"/>
      <c r="J40" s="381"/>
      <c r="L40" s="104"/>
    </row>
    <row r="41" spans="1:12" ht="12.65" customHeight="1" x14ac:dyDescent="0.35">
      <c r="B41" s="88"/>
      <c r="C41" s="88" t="s">
        <v>2163</v>
      </c>
      <c r="D41" s="374" t="str">
        <f>TRIM(Ber_Lab!D5&amp;"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"&amp;Ber_Lab!D31)</f>
        <v/>
      </c>
      <c r="E41" s="375"/>
      <c r="F41" s="375"/>
      <c r="G41" s="375"/>
      <c r="H41" s="375"/>
      <c r="I41" s="375"/>
      <c r="J41" s="375"/>
      <c r="L41" s="104"/>
    </row>
    <row r="42" spans="1:12" ht="12.65" customHeight="1" x14ac:dyDescent="0.35">
      <c r="B42" s="88"/>
      <c r="C42" s="88" t="s">
        <v>2164</v>
      </c>
      <c r="D42" s="374" t="str">
        <f>TRIM(Ber_Lab!F5&amp;"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"&amp;Ber_Lab!F31)</f>
        <v/>
      </c>
      <c r="E42" s="382"/>
      <c r="F42" s="382"/>
      <c r="G42" s="382"/>
      <c r="H42" s="382"/>
      <c r="I42" s="382"/>
      <c r="J42" s="382"/>
      <c r="L42" s="104"/>
    </row>
    <row r="43" spans="1:12" ht="12.65" customHeight="1" x14ac:dyDescent="0.35">
      <c r="B43" s="88"/>
      <c r="C43" s="88" t="s">
        <v>687</v>
      </c>
      <c r="D43" s="374" t="str">
        <f>TRIM(Ber_Lab!H5&amp;"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"&amp;Ber_Lab!H31)</f>
        <v/>
      </c>
      <c r="E43" s="382"/>
      <c r="F43" s="382"/>
      <c r="G43" s="382"/>
      <c r="H43" s="382"/>
      <c r="I43" s="382"/>
      <c r="J43" s="382"/>
      <c r="L43" s="104"/>
    </row>
    <row r="44" spans="1:12" ht="12.65" customHeight="1" x14ac:dyDescent="0.35">
      <c r="B44" s="88"/>
      <c r="C44" s="93" t="s">
        <v>72</v>
      </c>
      <c r="D44" s="374" t="str">
        <f>TRIM(Ber_Lab!L5&amp;" "&amp;Ber_Lab!L6&amp;" "&amp;Ber_Lab!L7&amp;" "&amp;Ber_Lab!L8&amp;" "&amp;Ber_Lab!L9&amp;" "&amp;Ber_Lab!L10&amp;" "&amp;Ber_Lab!L11&amp;" "&amp;Ber_Lab!L12&amp;" "&amp;Ber_Lab!L13&amp;" "&amp;Ber_Lab!L14&amp;" "&amp;Ber_Lab!L15&amp;" "&amp;Ber_Lab!L16&amp;" "&amp;Ber_Lab!L17&amp;" "&amp;Ber_Lab!L18&amp;" "&amp;Ber_Lab!L19&amp;" "&amp;Ber_Lab!L20&amp;" "&amp;Ber_Lab!L21&amp;" "&amp;Ber_Lab!L22&amp;" "&amp;Ber_Lab!L23&amp;" "&amp;Ber_Lab!L24&amp;" "&amp;Ber_Lab!L25&amp;" "&amp;Ber_Lab!L26&amp;" "&amp;Ber_Lab!L27&amp;" "&amp;Ber_Lab!L28&amp;" "&amp;Ber_Lab!L29&amp;" "&amp;Ber_Lab!L30&amp;" "&amp;Ber_Lab!L31)</f>
        <v/>
      </c>
      <c r="E44" s="383"/>
      <c r="F44" s="383"/>
      <c r="G44" s="383"/>
      <c r="H44" s="383"/>
      <c r="I44" s="383"/>
      <c r="J44" s="383"/>
      <c r="L44" s="104"/>
    </row>
    <row r="45" spans="1:12" ht="12.65" customHeight="1" x14ac:dyDescent="0.35">
      <c r="B45" s="88"/>
      <c r="C45" s="93" t="s">
        <v>1377</v>
      </c>
      <c r="D45" s="369">
        <f>ber_Opm!C10</f>
        <v>0</v>
      </c>
      <c r="E45" s="370"/>
      <c r="F45" s="370"/>
      <c r="G45" s="370"/>
      <c r="H45" s="370"/>
      <c r="I45" s="370"/>
      <c r="J45" s="370"/>
      <c r="L45" s="104"/>
    </row>
    <row r="46" spans="1:12" ht="12.65" customHeight="1" x14ac:dyDescent="0.35">
      <c r="A46" s="66"/>
      <c r="B46" s="90"/>
      <c r="C46" s="92"/>
      <c r="D46" s="371"/>
      <c r="E46" s="371"/>
      <c r="F46" s="371"/>
      <c r="G46" s="371"/>
      <c r="H46" s="371"/>
      <c r="I46" s="371"/>
      <c r="J46" s="371"/>
      <c r="L46" s="104"/>
    </row>
    <row r="47" spans="1:12" ht="12.65" customHeight="1" x14ac:dyDescent="0.35">
      <c r="L47" s="104"/>
    </row>
    <row r="48" spans="1:12" ht="12.65" customHeight="1" x14ac:dyDescent="0.35">
      <c r="A48" s="66"/>
      <c r="B48" s="71" t="s">
        <v>387</v>
      </c>
      <c r="C48" s="68"/>
      <c r="D48" s="66"/>
      <c r="E48" s="66"/>
      <c r="F48" s="66"/>
      <c r="G48" s="66"/>
      <c r="H48" s="66"/>
      <c r="I48" s="66"/>
      <c r="J48" s="66"/>
      <c r="L48" s="104"/>
    </row>
    <row r="49" spans="2:12" ht="12.65" customHeight="1" x14ac:dyDescent="0.35">
      <c r="B49" s="61" t="s">
        <v>1334</v>
      </c>
      <c r="C49" s="58">
        <f>INDEX(tblAanvAfspr,ber_Infusen!M1,1)</f>
        <v>0</v>
      </c>
      <c r="L49" s="104"/>
    </row>
    <row r="50" spans="2:12" ht="12.65" customHeight="1" x14ac:dyDescent="0.35">
      <c r="B50" s="61" t="s">
        <v>1335</v>
      </c>
      <c r="C50" s="58">
        <f>INDEX(tblAanvAfspr,ber_Infusen!M2,1)</f>
        <v>0</v>
      </c>
      <c r="L50" s="104"/>
    </row>
    <row r="51" spans="2:12" ht="12.65" customHeight="1" x14ac:dyDescent="0.35">
      <c r="B51" s="61" t="s">
        <v>1336</v>
      </c>
      <c r="C51" s="58">
        <f>INDEX(tblAanvAfspr,ber_Infusen!M3,1)</f>
        <v>0</v>
      </c>
      <c r="L51" s="104"/>
    </row>
    <row r="52" spans="2:12" ht="12.65" customHeight="1" x14ac:dyDescent="0.35">
      <c r="B52" s="61" t="s">
        <v>1337</v>
      </c>
      <c r="C52" s="58">
        <f>INDEX(tblAanvAfspr,ber_Infusen!M4,1)</f>
        <v>0</v>
      </c>
      <c r="L52" s="104"/>
    </row>
    <row r="53" spans="2:12" ht="12.65" customHeight="1" x14ac:dyDescent="0.35">
      <c r="B53" s="61" t="s">
        <v>1338</v>
      </c>
      <c r="C53" s="58" t="str">
        <f>IF(Controle_3&gt;0,Infusen!B23&amp;" "&amp;Infusen!C23&amp;", ","")&amp;IF(Controle_8&gt;0,Infusen!E24&amp;" "&amp;Infusen!F24&amp;", ","")&amp;IF(Controle_2&gt;0,Infusen!E23&amp;" "&amp;Infusen!F23&amp;", ","")&amp;IF(Controle_6&gt;0,Infusen!B24&amp;" "&amp;Infusen!C24&amp;", ","")</f>
        <v/>
      </c>
      <c r="L53" s="104"/>
    </row>
    <row r="54" spans="2:12" ht="12.65" customHeight="1" x14ac:dyDescent="0.35">
      <c r="B54" s="61" t="s">
        <v>388</v>
      </c>
      <c r="C54" s="373" t="str">
        <f>IF(ber_Infusen!O1&gt;1,"Pacemaker: "&amp;INDEX(ber_Infusen!O2:O5,ber_Infusen!O1)&amp;", Modus:"&amp;INDEX(ber_Infusen!P2:P5,ber_Infusen!P1)&amp;"; Frequentie:"&amp;Infusen!C33&amp;", Atriale output:"&amp;Infusen!C35&amp;", Ventr. Output:"&amp;Infusen!C36&amp;", AV interval:"&amp;Infusen!C38&amp;", Atriale sens.:"&amp;Infusen!C40&amp;", Ventr. sens.:"&amp;Infusen!C41,"")</f>
        <v/>
      </c>
      <c r="D54" s="373"/>
      <c r="E54" s="373"/>
      <c r="F54" s="373"/>
      <c r="G54" s="373"/>
      <c r="H54" s="373"/>
      <c r="I54" s="373"/>
      <c r="J54" s="373"/>
      <c r="L54" s="104"/>
    </row>
    <row r="55" spans="2:12" ht="12.65" customHeight="1" x14ac:dyDescent="0.35">
      <c r="C55" s="373"/>
      <c r="D55" s="373"/>
      <c r="E55" s="373"/>
      <c r="F55" s="373"/>
      <c r="G55" s="373"/>
      <c r="H55" s="373"/>
      <c r="I55" s="373"/>
      <c r="J55" s="373"/>
      <c r="L55" s="104"/>
    </row>
    <row r="56" spans="2:12" ht="12.65" customHeight="1" x14ac:dyDescent="0.35">
      <c r="B56" s="61" t="s">
        <v>389</v>
      </c>
      <c r="C56" s="376">
        <f>ber_Opm!C11</f>
        <v>0</v>
      </c>
      <c r="D56" s="376"/>
      <c r="E56" s="376"/>
      <c r="F56" s="376"/>
      <c r="G56" s="376"/>
      <c r="H56" s="376"/>
      <c r="I56" s="376"/>
      <c r="J56" s="376"/>
      <c r="L56" s="104"/>
    </row>
    <row r="57" spans="2:12" ht="7" customHeight="1" x14ac:dyDescent="0.35">
      <c r="C57" s="377"/>
      <c r="D57" s="377"/>
      <c r="E57" s="377"/>
      <c r="F57" s="377"/>
      <c r="G57" s="377"/>
      <c r="H57" s="377"/>
      <c r="I57" s="377"/>
      <c r="J57" s="377"/>
      <c r="L57" s="104"/>
    </row>
    <row r="58" spans="2:12" ht="7" customHeight="1" x14ac:dyDescent="0.35">
      <c r="C58" s="377"/>
      <c r="D58" s="377"/>
      <c r="E58" s="377"/>
      <c r="F58" s="377"/>
      <c r="G58" s="377"/>
      <c r="H58" s="377"/>
      <c r="I58" s="377"/>
      <c r="J58" s="377"/>
      <c r="L58" s="104"/>
    </row>
    <row r="59" spans="2:12" ht="7" customHeight="1" x14ac:dyDescent="0.35">
      <c r="C59" s="377"/>
      <c r="D59" s="377"/>
      <c r="E59" s="377"/>
      <c r="F59" s="377"/>
      <c r="G59" s="377"/>
      <c r="H59" s="377"/>
      <c r="I59" s="377"/>
      <c r="J59" s="377"/>
      <c r="L59" s="104"/>
    </row>
    <row r="60" spans="2:12" ht="12.65" customHeight="1" x14ac:dyDescent="0.35">
      <c r="B60" s="61">
        <v>8</v>
      </c>
      <c r="C60" s="336" t="s">
        <v>383</v>
      </c>
      <c r="D60" s="335"/>
      <c r="E60" s="335"/>
      <c r="F60" s="335"/>
      <c r="G60" s="335"/>
      <c r="H60" s="335"/>
      <c r="I60" s="335"/>
      <c r="J60" s="335"/>
      <c r="L60" s="104"/>
    </row>
    <row r="61" spans="2:12" ht="12.65" customHeight="1" x14ac:dyDescent="0.35">
      <c r="C61" s="336"/>
      <c r="D61" s="335"/>
      <c r="E61" s="335"/>
      <c r="F61" s="335"/>
      <c r="G61" s="335"/>
      <c r="H61" s="335"/>
      <c r="I61" s="335"/>
      <c r="J61" s="335"/>
      <c r="L61" s="104"/>
    </row>
    <row r="62" spans="2:12" ht="12.65" customHeight="1" x14ac:dyDescent="0.35">
      <c r="C62" s="336"/>
      <c r="D62" s="335"/>
      <c r="E62" s="335"/>
      <c r="F62" s="335"/>
      <c r="G62" s="335"/>
      <c r="H62" s="335"/>
      <c r="I62" s="335"/>
      <c r="J62" s="335"/>
      <c r="L62" s="104"/>
    </row>
    <row r="63" spans="2:12" ht="12.65" customHeight="1" x14ac:dyDescent="0.35">
      <c r="C63" s="336"/>
      <c r="D63" s="335"/>
      <c r="E63" s="335"/>
      <c r="F63" s="335"/>
      <c r="G63" s="335"/>
      <c r="H63" s="335"/>
      <c r="I63" s="335"/>
      <c r="J63" s="335"/>
      <c r="L63" s="104"/>
    </row>
    <row r="64" spans="2:12" ht="12.65" customHeight="1" x14ac:dyDescent="0.35">
      <c r="C64" s="336"/>
      <c r="D64" s="335"/>
      <c r="E64" s="335"/>
      <c r="F64" s="335"/>
      <c r="G64" s="335"/>
      <c r="H64" s="335"/>
      <c r="I64" s="335"/>
      <c r="J64" s="335"/>
      <c r="L64" s="104"/>
    </row>
    <row r="65" spans="1:12" ht="12.65" customHeight="1" x14ac:dyDescent="0.35">
      <c r="B65" s="72" t="s">
        <v>457</v>
      </c>
      <c r="C65" s="66"/>
      <c r="D65" s="66"/>
      <c r="F65" s="66" t="s">
        <v>2161</v>
      </c>
      <c r="G65" s="66"/>
      <c r="H65" s="66"/>
      <c r="I65" s="66"/>
      <c r="L65" s="104"/>
    </row>
    <row r="66" spans="1:12" ht="12.65" customHeight="1" x14ac:dyDescent="0.35">
      <c r="L66" s="104"/>
    </row>
    <row r="67" spans="1:12" ht="12.65" customHeight="1" x14ac:dyDescent="0.35">
      <c r="B67" s="86"/>
      <c r="C67" s="87" t="e">
        <f>#REF!</f>
        <v>#REF!</v>
      </c>
      <c r="D67" s="56" t="e">
        <f>#REF!</f>
        <v>#REF!</v>
      </c>
      <c r="E67" s="87" t="e">
        <f>#REF!</f>
        <v>#REF!</v>
      </c>
      <c r="F67" s="366" t="e">
        <f>#REF!</f>
        <v>#REF!</v>
      </c>
      <c r="G67" s="366"/>
      <c r="H67" s="88" t="s">
        <v>1303</v>
      </c>
      <c r="I67" s="58" t="str">
        <f>Gewicht/10&amp;" kg"</f>
        <v>10 kg</v>
      </c>
      <c r="J67" s="57"/>
      <c r="L67" s="104"/>
    </row>
    <row r="68" spans="1:12" ht="12.65" customHeight="1" x14ac:dyDescent="0.35">
      <c r="B68" s="86"/>
      <c r="C68" s="87" t="e">
        <f>#REF!</f>
        <v>#REF!</v>
      </c>
      <c r="D68" s="59">
        <f ca="1">AfspraakDatum-OpnDatum+1</f>
        <v>829</v>
      </c>
      <c r="E68" s="87" t="e">
        <f>#REF!</f>
        <v>#REF!</v>
      </c>
      <c r="F68" s="60" t="e">
        <f>#REF!</f>
        <v>#REF!</v>
      </c>
      <c r="G68" s="57"/>
      <c r="H68" s="88" t="s">
        <v>632</v>
      </c>
      <c r="I68" s="58" t="str">
        <f>Lengte&amp;" cm"</f>
        <v>80 cm</v>
      </c>
      <c r="J68" s="57"/>
      <c r="L68" s="104"/>
    </row>
    <row r="69" spans="1:12" ht="12.65" customHeight="1" x14ac:dyDescent="0.35">
      <c r="D69" s="57"/>
      <c r="F69" s="57"/>
      <c r="H69" s="88" t="s">
        <v>634</v>
      </c>
      <c r="I69" s="58" t="str">
        <f>ROUND(POWER(Gewicht/10,0.425)*POWER(((Lengte/100)*100),0.725)*0.007184,2)&amp;" m2"</f>
        <v>0.46 m2</v>
      </c>
      <c r="L69" s="104"/>
    </row>
    <row r="70" spans="1:12" ht="12.65" customHeight="1" x14ac:dyDescent="0.35">
      <c r="D70" s="57"/>
      <c r="F70" s="57"/>
      <c r="L70" s="104"/>
    </row>
    <row r="71" spans="1:12" ht="12.65" customHeight="1" x14ac:dyDescent="0.35">
      <c r="A71" s="66"/>
      <c r="B71" s="71" t="s">
        <v>112</v>
      </c>
      <c r="C71" s="68"/>
      <c r="D71" s="66"/>
      <c r="E71" s="66"/>
      <c r="F71" s="66"/>
      <c r="G71" s="66"/>
      <c r="H71" s="69"/>
      <c r="I71" s="69"/>
      <c r="J71" s="69"/>
      <c r="L71" s="104"/>
    </row>
    <row r="72" spans="1:12" ht="12.65" customHeight="1" x14ac:dyDescent="0.35">
      <c r="B72" s="61">
        <v>1</v>
      </c>
      <c r="C72" s="58">
        <f>INDEX(tblInfusen,ber_Infusen!E2,1)</f>
        <v>0</v>
      </c>
      <c r="H72" s="62"/>
      <c r="I72" s="62"/>
      <c r="J72" s="62"/>
      <c r="L72" s="104" t="str">
        <f t="shared" ref="L72:L77" si="0">IF(C72=0,"D","")</f>
        <v>D</v>
      </c>
    </row>
    <row r="73" spans="1:12" ht="12.65" customHeight="1" x14ac:dyDescent="0.35">
      <c r="B73" s="61">
        <v>2</v>
      </c>
      <c r="C73" s="58">
        <f>INDEX(tblInfusen,ber_Infusen!E3,1)</f>
        <v>0</v>
      </c>
      <c r="H73" s="62"/>
      <c r="I73" s="62"/>
      <c r="J73" s="62"/>
      <c r="L73" s="104" t="str">
        <f t="shared" si="0"/>
        <v>D</v>
      </c>
    </row>
    <row r="74" spans="1:12" ht="12.65" customHeight="1" x14ac:dyDescent="0.35">
      <c r="B74" s="61">
        <v>3</v>
      </c>
      <c r="C74" s="58">
        <f>INDEX(tblInfusen,ber_Infusen!E4,1)</f>
        <v>0</v>
      </c>
      <c r="H74" s="62"/>
      <c r="I74" s="62"/>
      <c r="J74" s="62"/>
      <c r="L74" s="104" t="str">
        <f t="shared" si="0"/>
        <v>D</v>
      </c>
    </row>
    <row r="75" spans="1:12" ht="12.65" customHeight="1" x14ac:dyDescent="0.35">
      <c r="B75" s="61">
        <v>4</v>
      </c>
      <c r="C75" s="58">
        <f>INDEX(tblInfusen,ber_Infusen!E5,1)</f>
        <v>0</v>
      </c>
      <c r="H75" s="62"/>
      <c r="I75" s="62"/>
      <c r="J75" s="62"/>
      <c r="L75" s="104" t="str">
        <f t="shared" si="0"/>
        <v>D</v>
      </c>
    </row>
    <row r="76" spans="1:12" ht="12.65" customHeight="1" x14ac:dyDescent="0.35">
      <c r="B76" s="61">
        <v>5</v>
      </c>
      <c r="C76" s="58">
        <f>INDEX(tblInfusen,ber_Infusen!E6,1)</f>
        <v>0</v>
      </c>
      <c r="H76" s="62"/>
      <c r="I76" s="62"/>
      <c r="J76" s="62"/>
      <c r="L76" s="104" t="str">
        <f t="shared" si="0"/>
        <v>D</v>
      </c>
    </row>
    <row r="77" spans="1:12" ht="12.65" customHeight="1" x14ac:dyDescent="0.35">
      <c r="B77" s="61">
        <v>6</v>
      </c>
      <c r="C77" s="58">
        <f>INDEX(tblInfusen,ber_Infusen!E7,1)</f>
        <v>0</v>
      </c>
      <c r="H77" s="62"/>
      <c r="I77" s="62"/>
      <c r="J77" s="62"/>
      <c r="L77" s="104" t="str">
        <f t="shared" si="0"/>
        <v>D</v>
      </c>
    </row>
    <row r="78" spans="1:12" ht="12.65" customHeight="1" x14ac:dyDescent="0.35">
      <c r="H78" s="62"/>
      <c r="I78" s="62"/>
      <c r="J78" s="62"/>
      <c r="L78" s="104"/>
    </row>
    <row r="79" spans="1:12" ht="12.65" customHeight="1" x14ac:dyDescent="0.35">
      <c r="A79" s="66"/>
      <c r="B79" s="89"/>
      <c r="C79" s="90" t="s">
        <v>1377</v>
      </c>
      <c r="D79" s="367">
        <f>ber_Opm!C3</f>
        <v>0</v>
      </c>
      <c r="E79" s="368"/>
      <c r="F79" s="368"/>
      <c r="G79" s="368"/>
      <c r="H79" s="368"/>
      <c r="I79" s="368"/>
      <c r="J79" s="368"/>
      <c r="L79" s="104"/>
    </row>
    <row r="80" spans="1:12" ht="12.65" customHeight="1" x14ac:dyDescent="0.35">
      <c r="L80" s="104"/>
    </row>
    <row r="81" spans="1:12" ht="12.65" customHeight="1" x14ac:dyDescent="0.35">
      <c r="L81" s="104"/>
    </row>
    <row r="82" spans="1:12" ht="12.65" customHeight="1" x14ac:dyDescent="0.35">
      <c r="A82" s="66"/>
      <c r="B82" s="71" t="s">
        <v>1378</v>
      </c>
      <c r="C82" s="66"/>
      <c r="D82" s="66"/>
      <c r="E82" s="66"/>
      <c r="F82" s="66"/>
      <c r="G82" s="66"/>
      <c r="H82" s="66"/>
      <c r="I82" s="66"/>
      <c r="J82" s="66"/>
      <c r="L82" s="104"/>
    </row>
    <row r="83" spans="1:12" ht="12.65" customHeight="1" x14ac:dyDescent="0.35">
      <c r="B83" s="86"/>
      <c r="C83" s="88" t="s">
        <v>1427</v>
      </c>
      <c r="D83" s="88"/>
      <c r="E83" s="88" t="s">
        <v>471</v>
      </c>
      <c r="F83" s="88"/>
      <c r="G83" s="88" t="s">
        <v>1430</v>
      </c>
      <c r="H83" s="88"/>
      <c r="I83" s="88"/>
      <c r="J83" s="88" t="s">
        <v>931</v>
      </c>
      <c r="L83" s="104"/>
    </row>
    <row r="84" spans="1:12" ht="12.65" customHeight="1" x14ac:dyDescent="0.35">
      <c r="B84" s="61">
        <v>1</v>
      </c>
      <c r="C84" s="58">
        <f>MedicatieIV!C8</f>
        <v>0</v>
      </c>
      <c r="E84" s="58" t="str">
        <f>IF(C84&lt;&gt;0,MedicatieIV!D8&amp;" in "&amp;MedicatieIV!E8&amp;IF(AND(ber_IVmed!D5&lt;&gt;4,MedicatieIV!F8&lt;&gt;0)," "&amp;MedicatieIV!F8,""),"")</f>
        <v/>
      </c>
      <c r="G84" s="58" t="str">
        <f>IF(C84&lt;&gt;0,MedicatieIV!G8&amp;" (="&amp;MedicatieIV!H8&amp;")","")</f>
        <v/>
      </c>
      <c r="J84" s="58" t="str">
        <f>MedicatieIV!I8</f>
        <v/>
      </c>
      <c r="L84" s="104" t="str">
        <f t="shared" ref="L84:L98" si="1">IF(C84=0,"D","")</f>
        <v>D</v>
      </c>
    </row>
    <row r="85" spans="1:12" ht="12.65" customHeight="1" x14ac:dyDescent="0.35">
      <c r="B85" s="61">
        <v>2</v>
      </c>
      <c r="C85" s="58">
        <f>MedicatieIV!C9</f>
        <v>0</v>
      </c>
      <c r="E85" s="58" t="str">
        <f>IF(C85&lt;&gt;0,MedicatieIV!D9&amp;" in "&amp;MedicatieIV!E9&amp;IF(AND(ber_IVmed!D6&lt;&gt;4,MedicatieIV!F9&lt;&gt;0)," "&amp;MedicatieIV!F9,""),"")</f>
        <v/>
      </c>
      <c r="G85" s="58" t="str">
        <f>IF(C85&lt;&gt;0,MedicatieIV!G9&amp;" (="&amp;MedicatieIV!H9&amp;")","")</f>
        <v/>
      </c>
      <c r="J85" s="58" t="str">
        <f>MedicatieIV!I9</f>
        <v/>
      </c>
      <c r="L85" s="104" t="str">
        <f t="shared" si="1"/>
        <v>D</v>
      </c>
    </row>
    <row r="86" spans="1:12" ht="12.65" customHeight="1" x14ac:dyDescent="0.35">
      <c r="B86" s="61">
        <v>3</v>
      </c>
      <c r="C86" s="58">
        <f>MedicatieIV!C10</f>
        <v>0</v>
      </c>
      <c r="E86" s="58" t="str">
        <f>IF(C86&lt;&gt;0,MedicatieIV!D10&amp;" in "&amp;MedicatieIV!E10&amp;IF(AND(ber_IVmed!D7&lt;&gt;4,MedicatieIV!F10&lt;&gt;0)," "&amp;MedicatieIV!F10,""),"")</f>
        <v/>
      </c>
      <c r="G86" s="58" t="str">
        <f>IF(C86&lt;&gt;0,MedicatieIV!G10&amp;" (="&amp;MedicatieIV!H10&amp;")","")</f>
        <v/>
      </c>
      <c r="J86" s="58" t="str">
        <f>MedicatieIV!I10</f>
        <v/>
      </c>
      <c r="L86" s="104" t="str">
        <f t="shared" si="1"/>
        <v>D</v>
      </c>
    </row>
    <row r="87" spans="1:12" ht="12.65" customHeight="1" x14ac:dyDescent="0.35">
      <c r="B87" s="61">
        <v>4</v>
      </c>
      <c r="C87" s="58">
        <f>MedicatieIV!C11</f>
        <v>0</v>
      </c>
      <c r="E87" s="58" t="str">
        <f>IF(C87&lt;&gt;0,MedicatieIV!D11&amp;" in "&amp;MedicatieIV!E11&amp;IF(AND(ber_IVmed!D8&lt;&gt;4,MedicatieIV!F11&lt;&gt;0)," "&amp;MedicatieIV!F11,""),"")</f>
        <v/>
      </c>
      <c r="G87" s="58" t="str">
        <f>IF(C87&lt;&gt;0,MedicatieIV!G11&amp;" (="&amp;MedicatieIV!H11&amp;")","")</f>
        <v/>
      </c>
      <c r="J87" s="58" t="str">
        <f>MedicatieIV!I11</f>
        <v/>
      </c>
      <c r="L87" s="104" t="str">
        <f t="shared" si="1"/>
        <v>D</v>
      </c>
    </row>
    <row r="88" spans="1:12" ht="12.65" customHeight="1" x14ac:dyDescent="0.35">
      <c r="B88" s="61">
        <v>5</v>
      </c>
      <c r="C88" s="58">
        <f>MedicatieIV!C12</f>
        <v>0</v>
      </c>
      <c r="E88" s="58" t="str">
        <f>IF(C88&lt;&gt;0,MedicatieIV!D12&amp;" in "&amp;MedicatieIV!E12&amp;IF(AND(ber_IVmed!D10&lt;&gt;4,MedicatieIV!F12&lt;&gt;0)," "&amp;MedicatieIV!F12,""),"")</f>
        <v/>
      </c>
      <c r="G88" s="58" t="str">
        <f>IF(C88&lt;&gt;0,MedicatieIV!G12&amp;" (="&amp;MedicatieIV!H12&amp;")","")</f>
        <v/>
      </c>
      <c r="J88" s="58" t="str">
        <f>MedicatieIV!I12</f>
        <v/>
      </c>
      <c r="L88" s="104" t="str">
        <f t="shared" si="1"/>
        <v>D</v>
      </c>
    </row>
    <row r="89" spans="1:12" ht="12.65" customHeight="1" x14ac:dyDescent="0.35">
      <c r="B89" s="61">
        <v>6</v>
      </c>
      <c r="C89" s="58">
        <f>MedicatieIV!C13</f>
        <v>0</v>
      </c>
      <c r="E89" s="58" t="str">
        <f>IF(C89&lt;&gt;0,MedicatieIV!D13&amp;" in "&amp;MedicatieIV!E13&amp;IF(AND(ber_IVmed!D11&lt;&gt;4,MedicatieIV!F13&lt;&gt;0)," "&amp;MedicatieIV!F13,""),"")</f>
        <v/>
      </c>
      <c r="G89" s="58" t="str">
        <f>IF(C89&lt;&gt;0,MedicatieIV!G13&amp;" (="&amp;MedicatieIV!H13&amp;")","")</f>
        <v/>
      </c>
      <c r="J89" s="58" t="str">
        <f>MedicatieIV!I13</f>
        <v/>
      </c>
      <c r="L89" s="104" t="str">
        <f t="shared" si="1"/>
        <v>D</v>
      </c>
    </row>
    <row r="90" spans="1:12" ht="12.65" customHeight="1" x14ac:dyDescent="0.35">
      <c r="B90" s="61">
        <v>7</v>
      </c>
      <c r="C90" s="58">
        <f>MedicatieIV!C14</f>
        <v>0</v>
      </c>
      <c r="E90" s="58" t="str">
        <f>IF(C90&lt;&gt;0,MedicatieIV!D14&amp;" in "&amp;MedicatieIV!E14&amp;IF(AND(ber_IVmed!D12&lt;&gt;4,MedicatieIV!F14&lt;&gt;0)," "&amp;MedicatieIV!F14,""),"")</f>
        <v/>
      </c>
      <c r="G90" s="58" t="str">
        <f>IF(C90&lt;&gt;0,MedicatieIV!G14&amp;" (="&amp;MedicatieIV!H14&amp;")","")</f>
        <v/>
      </c>
      <c r="J90" s="58" t="str">
        <f>MedicatieIV!I14</f>
        <v/>
      </c>
      <c r="L90" s="104" t="str">
        <f t="shared" si="1"/>
        <v>D</v>
      </c>
    </row>
    <row r="91" spans="1:12" ht="12.65" customHeight="1" x14ac:dyDescent="0.35">
      <c r="B91" s="61">
        <v>8</v>
      </c>
      <c r="C91" s="58">
        <f>MedicatieIV!C15</f>
        <v>0</v>
      </c>
      <c r="E91" s="58" t="str">
        <f>IF(C91&lt;&gt;0,MedicatieIV!D15&amp;" in "&amp;MedicatieIV!E15&amp;IF(AND(ber_IVmed!D13&lt;&gt;4,MedicatieIV!F15&lt;&gt;0)," "&amp;MedicatieIV!F15,""),"")</f>
        <v/>
      </c>
      <c r="G91" s="58" t="str">
        <f>IF(C91&lt;&gt;0,MedicatieIV!G15&amp;" (="&amp;MedicatieIV!H15&amp;")","")</f>
        <v/>
      </c>
      <c r="J91" s="58" t="str">
        <f>MedicatieIV!I15</f>
        <v/>
      </c>
      <c r="L91" s="104" t="str">
        <f t="shared" si="1"/>
        <v>D</v>
      </c>
    </row>
    <row r="92" spans="1:12" ht="12.65" customHeight="1" x14ac:dyDescent="0.35">
      <c r="B92" s="61">
        <v>9</v>
      </c>
      <c r="C92" s="58">
        <f>MedicatieIV!C16</f>
        <v>0</v>
      </c>
      <c r="E92" s="58" t="str">
        <f>IF(C92&lt;&gt;0,MedicatieIV!D16&amp;" in "&amp;MedicatieIV!E16&amp;IF(AND(ber_IVmed!D14&lt;&gt;4,MedicatieIV!F16&lt;&gt;0)," "&amp;MedicatieIV!F16,""),"")</f>
        <v/>
      </c>
      <c r="G92" s="58" t="str">
        <f>IF(C92&lt;&gt;0,MedicatieIV!G16&amp;" (="&amp;MedicatieIV!H16&amp;")","")</f>
        <v/>
      </c>
      <c r="J92" s="58" t="str">
        <f>MedicatieIV!I16</f>
        <v/>
      </c>
      <c r="L92" s="104" t="str">
        <f t="shared" si="1"/>
        <v>D</v>
      </c>
    </row>
    <row r="93" spans="1:12" ht="12.65" customHeight="1" x14ac:dyDescent="0.35">
      <c r="B93" s="61">
        <v>10</v>
      </c>
      <c r="C93" s="58">
        <f>MedicatieIV!C17</f>
        <v>0</v>
      </c>
      <c r="E93" s="58" t="str">
        <f>IF(C93&lt;&gt;0,MedicatieIV!D17&amp;" in "&amp;MedicatieIV!E17&amp;IF(AND(ber_IVmed!D15&lt;&gt;4,MedicatieIV!F17&lt;&gt;0)," "&amp;MedicatieIV!F17,""),"")</f>
        <v/>
      </c>
      <c r="G93" s="58" t="str">
        <f>IF(C93&lt;&gt;0,MedicatieIV!G17&amp;" (="&amp;MedicatieIV!H17&amp;")","")</f>
        <v/>
      </c>
      <c r="J93" s="58" t="str">
        <f>MedicatieIV!I17</f>
        <v/>
      </c>
      <c r="L93" s="104" t="str">
        <f t="shared" si="1"/>
        <v>D</v>
      </c>
    </row>
    <row r="94" spans="1:12" ht="12.65" customHeight="1" x14ac:dyDescent="0.35">
      <c r="B94" s="61">
        <v>11</v>
      </c>
      <c r="C94" s="58">
        <f>MedicatieIV!C19</f>
        <v>0</v>
      </c>
      <c r="E94" s="58" t="str">
        <f>IF(C94&lt;&gt;0,MedicatieIV!D19&amp;" in "&amp;MedicatieIV!E19&amp;IF(AND(ber_IVmed!D27&lt;&gt;4,MedicatieIV!F19&lt;&gt;0)," "&amp;MedicatieIV!F19,""),"")</f>
        <v/>
      </c>
      <c r="G94" s="58">
        <f>MedicatieIV!G19</f>
        <v>0</v>
      </c>
      <c r="J94" s="58" t="str">
        <f>MedicatieIV!I19</f>
        <v/>
      </c>
      <c r="L94" s="104" t="str">
        <f t="shared" si="1"/>
        <v>D</v>
      </c>
    </row>
    <row r="95" spans="1:12" ht="12.65" customHeight="1" x14ac:dyDescent="0.35">
      <c r="B95" s="61">
        <v>12</v>
      </c>
      <c r="C95" s="58">
        <f>MedicatieIV!C20</f>
        <v>0</v>
      </c>
      <c r="E95" s="58" t="str">
        <f>IF(C95&lt;&gt;0,MedicatieIV!D20&amp;" in "&amp;MedicatieIV!E20&amp;IF(AND(ber_IVmed!D28&lt;&gt;4,MedicatieIV!F20&lt;&gt;0)," "&amp;MedicatieIV!F20,""),"")</f>
        <v/>
      </c>
      <c r="G95" s="58">
        <f>MedicatieIV!G20</f>
        <v>0</v>
      </c>
      <c r="J95" s="58" t="str">
        <f>MedicatieIV!I20</f>
        <v/>
      </c>
      <c r="L95" s="104" t="str">
        <f t="shared" si="1"/>
        <v>D</v>
      </c>
    </row>
    <row r="96" spans="1:12" ht="12.65" customHeight="1" x14ac:dyDescent="0.35">
      <c r="B96" s="61">
        <v>13</v>
      </c>
      <c r="C96" s="58">
        <f>MedicatieIV!C21</f>
        <v>0</v>
      </c>
      <c r="E96" s="58" t="str">
        <f>IF(C96&lt;&gt;0,MedicatieIV!D21&amp;" in "&amp;MedicatieIV!E21&amp;IF(AND(ber_IVmed!D29&lt;&gt;4,MedicatieIV!F21&lt;&gt;0)," "&amp;MedicatieIV!F21,""),"")</f>
        <v/>
      </c>
      <c r="G96" s="58">
        <f>MedicatieIV!G21</f>
        <v>0</v>
      </c>
      <c r="J96" s="58" t="str">
        <f>MedicatieIV!I21</f>
        <v/>
      </c>
      <c r="L96" s="104" t="str">
        <f t="shared" si="1"/>
        <v>D</v>
      </c>
    </row>
    <row r="97" spans="1:12" ht="12.65" customHeight="1" x14ac:dyDescent="0.35">
      <c r="B97" s="61">
        <v>14</v>
      </c>
      <c r="C97" s="58">
        <f>MedicatieIV!C22</f>
        <v>0</v>
      </c>
      <c r="E97" s="58" t="str">
        <f>IF(C97&lt;&gt;0,MedicatieIV!D22&amp;" in "&amp;MedicatieIV!E22&amp;IF(AND(ber_IVmed!D30&lt;&gt;4,MedicatieIV!F22&lt;&gt;0)," "&amp;MedicatieIV!F22,""),"")</f>
        <v/>
      </c>
      <c r="G97" s="58">
        <f>MedicatieIV!G22</f>
        <v>0</v>
      </c>
      <c r="J97" s="58" t="str">
        <f>MedicatieIV!I22</f>
        <v/>
      </c>
      <c r="L97" s="104" t="str">
        <f t="shared" si="1"/>
        <v>D</v>
      </c>
    </row>
    <row r="98" spans="1:12" ht="12.65" customHeight="1" x14ac:dyDescent="0.35">
      <c r="B98" s="61">
        <v>15</v>
      </c>
      <c r="C98" s="58">
        <f>MedicatieIV!C23</f>
        <v>0</v>
      </c>
      <c r="E98" s="58" t="str">
        <f>IF(C98&lt;&gt;0,MedicatieIV!D23&amp;" in "&amp;MedicatieIV!E23&amp;IF(AND(ber_IVmed!D31&lt;&gt;4,MedicatieIV!F23&lt;&gt;0)," "&amp;MedicatieIV!F23,""),"")</f>
        <v/>
      </c>
      <c r="G98" s="58">
        <f>MedicatieIV!G23</f>
        <v>0</v>
      </c>
      <c r="J98" s="58" t="str">
        <f>MedicatieIV!I23</f>
        <v/>
      </c>
      <c r="L98" s="104" t="str">
        <f t="shared" si="1"/>
        <v>D</v>
      </c>
    </row>
    <row r="99" spans="1:12" ht="12.65" customHeight="1" x14ac:dyDescent="0.35">
      <c r="L99" s="104"/>
    </row>
    <row r="100" spans="1:12" ht="12.65" customHeight="1" x14ac:dyDescent="0.35">
      <c r="B100" s="86"/>
      <c r="C100" s="88" t="s">
        <v>1377</v>
      </c>
      <c r="D100" s="369">
        <f>ber_Opm!C4</f>
        <v>0</v>
      </c>
      <c r="E100" s="369"/>
      <c r="F100" s="369"/>
      <c r="G100" s="369"/>
      <c r="H100" s="369"/>
      <c r="I100" s="369"/>
      <c r="J100" s="369"/>
      <c r="L100" s="104"/>
    </row>
    <row r="101" spans="1:12" ht="12.65" customHeight="1" x14ac:dyDescent="0.35">
      <c r="D101" s="372"/>
      <c r="E101" s="372"/>
      <c r="F101" s="372"/>
      <c r="G101" s="372"/>
      <c r="H101" s="372"/>
      <c r="I101" s="372"/>
      <c r="J101" s="372"/>
      <c r="L101" s="104"/>
    </row>
    <row r="102" spans="1:12" ht="12.65" customHeight="1" x14ac:dyDescent="0.35">
      <c r="A102" s="66"/>
      <c r="B102" s="71" t="str">
        <f>Intake!C14</f>
        <v>Infuus</v>
      </c>
      <c r="C102" s="68"/>
      <c r="D102" s="66"/>
      <c r="E102" s="66"/>
      <c r="F102" s="66"/>
      <c r="G102" s="66"/>
      <c r="H102" s="66"/>
      <c r="I102" s="66"/>
      <c r="J102" s="66"/>
      <c r="L102" s="104"/>
    </row>
    <row r="103" spans="1:12" ht="12.65" customHeight="1" x14ac:dyDescent="0.35">
      <c r="B103" s="86"/>
      <c r="C103" s="88"/>
      <c r="D103" s="118">
        <f>IF(E103&lt;&gt;"",Intake!C15,)</f>
        <v>0</v>
      </c>
      <c r="E103" s="67" t="str">
        <f>IF(TPN2tot6kg!G21&lt;&gt;0,TPN2tot6kg!A14&amp;" ml","")</f>
        <v/>
      </c>
      <c r="F103" s="67" t="str">
        <f>IF(TPN2tot6kg!G21&lt;&gt;0,TPN2tot6kg!G21&amp;" ml","")</f>
        <v/>
      </c>
      <c r="G103" s="124"/>
      <c r="H103" s="118">
        <f>IF(I103&lt;&gt;"",Intake!H15,)</f>
        <v>0</v>
      </c>
      <c r="I103" s="67" t="str">
        <f>Intake!I15</f>
        <v/>
      </c>
      <c r="J103" s="67" t="str">
        <f>Intake!J15</f>
        <v/>
      </c>
      <c r="L103" s="104"/>
    </row>
    <row r="104" spans="1:12" ht="12.65" customHeight="1" x14ac:dyDescent="0.35">
      <c r="B104" s="86"/>
      <c r="C104" s="88"/>
      <c r="D104" s="87" t="str">
        <f>IF(F104&lt;&gt;"",ber_TPN!A27,"")</f>
        <v/>
      </c>
      <c r="E104" s="58" t="str">
        <f>IF(ber_TPN!B4=4,ROUND(ber_TPN!D4,1)&amp;" ml/uur","")</f>
        <v/>
      </c>
      <c r="F104" s="58" t="str">
        <f>Intake!E16</f>
        <v/>
      </c>
      <c r="G104" s="88"/>
      <c r="H104" s="87">
        <f>IF(J104&lt;&gt;"",INDEX(tblSSTGlucose,SSTGlucose_2,1),)</f>
        <v>0</v>
      </c>
      <c r="J104" s="58" t="str">
        <f>Intake!J17</f>
        <v/>
      </c>
      <c r="L104" s="104" t="str">
        <f>IF(AND(D104="",H104=0),"D","")</f>
        <v>D</v>
      </c>
    </row>
    <row r="105" spans="1:12" ht="12.65" customHeight="1" x14ac:dyDescent="0.35">
      <c r="B105" s="86"/>
      <c r="C105" s="88"/>
      <c r="D105" s="87" t="str">
        <f>IF(Intake!G16&lt;&gt;"","Peditrace","")</f>
        <v/>
      </c>
      <c r="E105" s="165" t="str">
        <f>IF(Intake!G16&lt;&gt;"",Intake!G16&amp;" "&amp;Intake!F17,"")</f>
        <v/>
      </c>
      <c r="F105" s="166"/>
      <c r="G105" s="88"/>
      <c r="H105" s="87">
        <f>IF(J105&lt;&gt;"",Intake!H18,)</f>
        <v>0</v>
      </c>
      <c r="J105" s="58" t="str">
        <f>Intake!J18</f>
        <v/>
      </c>
      <c r="L105" s="104" t="str">
        <f>IF(AND(D105="",H105=0),"D","")</f>
        <v>D</v>
      </c>
    </row>
    <row r="106" spans="1:12" ht="12.65" customHeight="1" x14ac:dyDescent="0.35">
      <c r="B106" s="86"/>
      <c r="C106" s="88"/>
      <c r="D106" s="87">
        <f>IF(F106&lt;&gt;"",INDEX(tblSSTGlucose,SSTglucose,1),)</f>
        <v>0</v>
      </c>
      <c r="F106" s="58" t="str">
        <f>IF(AND(TPN=2,SSTglucose&lt;11,Gewicht/10&lt;=50),ROUND(ber_TPN!F6,0)&amp;" ml","")</f>
        <v/>
      </c>
      <c r="G106" s="88"/>
      <c r="H106" s="87">
        <f>IF(J106&lt;&gt;"",Intake!H19,)</f>
        <v>0</v>
      </c>
      <c r="J106" s="58" t="str">
        <f>Intake!J19</f>
        <v/>
      </c>
      <c r="L106" s="104" t="str">
        <f>IF(AND(D106="",H106=0),"D","")</f>
        <v/>
      </c>
    </row>
    <row r="107" spans="1:12" ht="12.65" customHeight="1" x14ac:dyDescent="0.35">
      <c r="B107" s="86"/>
      <c r="C107" s="88"/>
      <c r="D107" s="87">
        <f>IF(F107&lt;&gt;"",Intake!C18,)</f>
        <v>0</v>
      </c>
      <c r="F107" s="58" t="str">
        <f>IF(AND(TPN2tot6kg!G14&lt;&gt;"",ber_TPN!$F$4&gt;0),TPN2tot6kg!G14&amp;" ml","")</f>
        <v/>
      </c>
      <c r="L107" s="104" t="str">
        <f>IF(D107=0,"D","")</f>
        <v>D</v>
      </c>
    </row>
    <row r="108" spans="1:12" ht="12.65" customHeight="1" x14ac:dyDescent="0.35">
      <c r="B108" s="86"/>
      <c r="C108" s="88"/>
      <c r="D108" s="87">
        <f>IF(F108&lt;&gt;"",Intake!C19,)</f>
        <v>0</v>
      </c>
      <c r="F108" s="58" t="str">
        <f>IF(AND(TPN2tot6kg!G15&lt;&gt;"",ber_TPN!$F$4&gt;0),TPN2tot6kg!G15&amp;" ml","")</f>
        <v/>
      </c>
      <c r="L108" s="104" t="str">
        <f>IF(D108=0,"D","")</f>
        <v>D</v>
      </c>
    </row>
    <row r="109" spans="1:12" ht="12.65" customHeight="1" x14ac:dyDescent="0.35">
      <c r="D109" s="70"/>
      <c r="H109" s="70"/>
      <c r="L109" s="104"/>
    </row>
    <row r="110" spans="1:12" ht="12.65" customHeight="1" x14ac:dyDescent="0.35">
      <c r="B110" s="86"/>
      <c r="C110" s="88"/>
      <c r="D110" s="119" t="str">
        <f>IF(F110&lt;&gt;"","Electrolyt/Glucose mengsel","")</f>
        <v/>
      </c>
      <c r="E110" s="66" t="str">
        <f>IF(AND(Gewicht/10&gt;50,TPNboven50kg!A27&lt;&gt;""),TPNboven50kg!A27,TPN2tot6kg!A29)</f>
        <v/>
      </c>
      <c r="F110" s="66" t="str">
        <f>IF(AND(Gewicht/10&gt;50,TPNboven50kg!G35&lt;&gt;0),TPNboven50kg!G35&amp;" ml",IF(TPN2tot6kg!G36&lt;&gt;0,TPN2tot6kg!G36&amp;" ml",""))</f>
        <v/>
      </c>
      <c r="G110" s="66"/>
      <c r="H110" s="121"/>
      <c r="I110" s="66"/>
      <c r="J110" s="66"/>
      <c r="L110" s="104"/>
    </row>
    <row r="111" spans="1:12" ht="12.65" customHeight="1" x14ac:dyDescent="0.35">
      <c r="B111" s="86"/>
      <c r="C111" s="88"/>
      <c r="D111" s="87">
        <f>IF(F111&lt;&gt;"",INDEX(tblSSTGlucose,SSTglucose,1),)</f>
        <v>0</v>
      </c>
      <c r="E111" s="117"/>
      <c r="F111" s="58" t="str">
        <f>IF(AND(OR(TPN=1,AND(TPN=2,SSTglucose&gt;10),Gewicht/10&gt;50),ROUND(ber_TPN!F6,0)&lt;&gt;0,SSTglucose&lt;&gt;2),ROUND(ber_TPN!F6,0)&amp;" ml","")</f>
        <v/>
      </c>
      <c r="L111" s="104" t="str">
        <f>IF(D111=0,"D","")</f>
        <v>D</v>
      </c>
    </row>
    <row r="112" spans="1:12" ht="12.65" customHeight="1" x14ac:dyDescent="0.35">
      <c r="B112" s="86"/>
      <c r="C112" s="88"/>
      <c r="D112" s="87">
        <f>IF(F112&lt;&gt;"","CaGluc 10%",)</f>
        <v>0</v>
      </c>
      <c r="F112" s="58" t="str">
        <f>Intake!E21</f>
        <v/>
      </c>
      <c r="L112" s="104" t="str">
        <f t="shared" ref="L112:L118" si="2">IF(D112=0,"D","")</f>
        <v>D</v>
      </c>
    </row>
    <row r="113" spans="1:12" ht="12.65" customHeight="1" x14ac:dyDescent="0.35">
      <c r="B113" s="86"/>
      <c r="C113" s="88"/>
      <c r="D113" s="87">
        <f>IF(F113&lt;&gt;"","MgCl 10%",)</f>
        <v>0</v>
      </c>
      <c r="F113" s="58" t="str">
        <f>Intake!E22</f>
        <v/>
      </c>
      <c r="L113" s="104" t="str">
        <f t="shared" si="2"/>
        <v>D</v>
      </c>
    </row>
    <row r="114" spans="1:12" ht="12.65" customHeight="1" x14ac:dyDescent="0.35">
      <c r="B114" s="86"/>
      <c r="C114" s="88"/>
      <c r="D114" s="87">
        <f>IF(F114&lt;&gt;"",Intake!C18,)</f>
        <v>0</v>
      </c>
      <c r="F114" s="58" t="str">
        <f>IF(AND(Gewicht/10&gt;50,TPNboven50kg!G27&lt;&gt;0),TPNboven50kg!G27&amp;" ml",IF(OR(AND(TPN2tot6kg!G29&lt;&gt;0,ber_TPN!$F$4=0),AND(TPN2tot6kg!G29&lt;&gt;0,Gewicht/10&gt;50)),TPN2tot6kg!G29&amp;" ml",""))</f>
        <v/>
      </c>
      <c r="H114" s="70"/>
      <c r="L114" s="104" t="str">
        <f t="shared" si="2"/>
        <v>D</v>
      </c>
    </row>
    <row r="115" spans="1:12" ht="12.65" customHeight="1" x14ac:dyDescent="0.35">
      <c r="B115" s="86"/>
      <c r="C115" s="88"/>
      <c r="D115" s="87">
        <f>IF(F115&lt;&gt;"",Intake!C19,)</f>
        <v>0</v>
      </c>
      <c r="F115" s="58" t="str">
        <f>IF(AND(Gewicht/10&gt;51,TPNboven50kg!G28&lt;&gt;0),TPNboven50kg!G28&amp;" ml",IF(OR(AND(TPN2tot6kg!G30&lt;&gt;0,ber_TPN!$F$4=0),AND(TPN2tot6kg!G30&lt;&gt;0,Gewicht/10&gt;50)),TPN2tot6kg!G30&amp;" ml",""))</f>
        <v/>
      </c>
      <c r="H115" s="70"/>
      <c r="L115" s="104" t="str">
        <f t="shared" si="2"/>
        <v>D</v>
      </c>
    </row>
    <row r="116" spans="1:12" ht="12.65" customHeight="1" x14ac:dyDescent="0.35">
      <c r="B116" s="86"/>
      <c r="C116" s="88"/>
      <c r="D116" s="87" t="str">
        <f>IF(F116&lt;&gt;"","Glucose 10%","")</f>
        <v/>
      </c>
      <c r="F116" s="58" t="str">
        <f>IF(AND(Gewicht/10&gt;51,TPNboven50kg!G31&lt;&gt;0),TPNboven50kg!G31&amp;" ml",IF(AND(TPN2tot6kg!G33&lt;&gt;0,Gewicht/10&lt;=50),TPN2tot6kg!G33&amp;" ml",""))</f>
        <v/>
      </c>
      <c r="H116" s="70"/>
      <c r="L116" s="104" t="str">
        <f t="shared" si="2"/>
        <v/>
      </c>
    </row>
    <row r="117" spans="1:12" ht="12.65" customHeight="1" x14ac:dyDescent="0.35">
      <c r="L117" s="104"/>
    </row>
    <row r="118" spans="1:12" ht="12.65" customHeight="1" x14ac:dyDescent="0.35">
      <c r="B118" s="86"/>
      <c r="C118" s="88"/>
      <c r="D118" s="125">
        <f>IF(E118&lt;&gt;" ","KNaFosfaat",)</f>
        <v>0</v>
      </c>
      <c r="E118" s="66" t="str">
        <f>Intake!E23&amp;" "&amp;Intake!H23</f>
        <v xml:space="preserve"> </v>
      </c>
      <c r="F118" s="66"/>
      <c r="L118" s="104" t="str">
        <f t="shared" si="2"/>
        <v>D</v>
      </c>
    </row>
    <row r="119" spans="1:12" ht="12.65" customHeight="1" x14ac:dyDescent="0.35">
      <c r="L119" s="104"/>
    </row>
    <row r="120" spans="1:12" ht="12.65" customHeight="1" x14ac:dyDescent="0.35">
      <c r="B120" s="86"/>
      <c r="C120" s="88"/>
      <c r="D120" s="120">
        <f>IF(E120&lt;&gt;"",Intake!C24,)</f>
        <v>0</v>
      </c>
      <c r="E120" s="66" t="str">
        <f>Intake!D24</f>
        <v/>
      </c>
      <c r="F120" s="66" t="str">
        <f>IF(ROUND(ber_TPN!F12,0)&gt;0,ROUND(ber_TPN!F12,0)&amp;" ml","")</f>
        <v/>
      </c>
      <c r="H120" s="57"/>
      <c r="L120" s="104"/>
    </row>
    <row r="121" spans="1:12" ht="12.65" customHeight="1" x14ac:dyDescent="0.35">
      <c r="B121" s="86"/>
      <c r="C121" s="88"/>
      <c r="D121" s="87">
        <f>IF(F121&lt;&gt;"","Intralipid 20%",)</f>
        <v>0</v>
      </c>
      <c r="F121" s="58" t="str">
        <f>Intake!E25</f>
        <v/>
      </c>
      <c r="H121" s="70"/>
      <c r="L121" s="104" t="str">
        <f>IF(D121=0,"D","")</f>
        <v>D</v>
      </c>
    </row>
    <row r="122" spans="1:12" ht="12.65" customHeight="1" x14ac:dyDescent="0.35">
      <c r="B122" s="86"/>
      <c r="C122" s="88"/>
      <c r="D122" s="87">
        <f>IF(F122&lt;&gt;"","Vitintra Infant",)</f>
        <v>0</v>
      </c>
      <c r="F122" s="58" t="str">
        <f>Intake!E26</f>
        <v/>
      </c>
      <c r="H122" s="70"/>
      <c r="L122" s="104" t="str">
        <f>IF(D122=0,"D","")</f>
        <v>D</v>
      </c>
    </row>
    <row r="123" spans="1:12" ht="12.65" customHeight="1" x14ac:dyDescent="0.35">
      <c r="B123" s="86"/>
      <c r="C123" s="88"/>
      <c r="D123" s="87">
        <f>IF(F123&lt;&gt;"","Soluvit",)</f>
        <v>0</v>
      </c>
      <c r="F123" s="58" t="str">
        <f>Intake!E27</f>
        <v/>
      </c>
      <c r="H123" s="70"/>
      <c r="L123" s="104" t="str">
        <f>IF(D123=0,"D","")</f>
        <v>D</v>
      </c>
    </row>
    <row r="124" spans="1:12" ht="12.65" customHeight="1" x14ac:dyDescent="0.35">
      <c r="C124" s="70"/>
      <c r="L124" s="104"/>
    </row>
    <row r="125" spans="1:12" ht="12.65" customHeight="1" x14ac:dyDescent="0.35">
      <c r="A125" s="66"/>
      <c r="B125" s="89"/>
      <c r="C125" s="90" t="s">
        <v>1377</v>
      </c>
      <c r="D125" s="367">
        <f>ber_Opm!C9</f>
        <v>0</v>
      </c>
      <c r="E125" s="368"/>
      <c r="F125" s="368"/>
      <c r="G125" s="368"/>
      <c r="H125" s="368"/>
      <c r="I125" s="368"/>
      <c r="J125" s="368"/>
      <c r="L125" s="104"/>
    </row>
    <row r="126" spans="1:12" ht="12.65" customHeight="1" x14ac:dyDescent="0.35">
      <c r="L126" s="104"/>
    </row>
    <row r="127" spans="1:12" ht="12.65" customHeight="1" x14ac:dyDescent="0.35">
      <c r="L127" s="104"/>
    </row>
    <row r="128" spans="1:12" ht="12.65" customHeight="1" x14ac:dyDescent="0.35">
      <c r="A128" s="66"/>
      <c r="B128" s="71" t="s">
        <v>1707</v>
      </c>
      <c r="C128" s="68"/>
      <c r="D128" s="66"/>
      <c r="E128" s="66"/>
      <c r="F128" s="66"/>
      <c r="G128" s="66"/>
      <c r="H128" s="66"/>
      <c r="I128" s="66"/>
      <c r="J128" s="66"/>
      <c r="L128" s="104"/>
    </row>
    <row r="129" spans="1:12" ht="12.65" customHeight="1" x14ac:dyDescent="0.35">
      <c r="B129" s="86"/>
      <c r="C129" s="87" t="str">
        <f>Intake!B31</f>
        <v>Vocht</v>
      </c>
      <c r="D129" s="58" t="str">
        <f>Intake!D31</f>
        <v>0 ml/kg</v>
      </c>
      <c r="E129" s="87" t="str">
        <f>Intake!B32</f>
        <v>Calorieen</v>
      </c>
      <c r="F129" s="58" t="str">
        <f>Intake!D32</f>
        <v>0 kCal/kg</v>
      </c>
      <c r="G129" s="87" t="str">
        <f>Intake!B35</f>
        <v>Kalium</v>
      </c>
      <c r="H129" s="58" t="str">
        <f>Intake!D35</f>
        <v>0 mmol/kg</v>
      </c>
      <c r="I129" s="87" t="str">
        <f>Intake!B34</f>
        <v xml:space="preserve">Natrium </v>
      </c>
      <c r="J129" s="58" t="str">
        <f>Intake!D34</f>
        <v>0 mmol/kg</v>
      </c>
      <c r="L129" s="104"/>
    </row>
    <row r="130" spans="1:12" ht="12.65" customHeight="1" x14ac:dyDescent="0.35">
      <c r="B130" s="86"/>
      <c r="C130" s="87" t="str">
        <f>Intake!H31</f>
        <v>Eiwit</v>
      </c>
      <c r="D130" s="58" t="str">
        <f>Intake!I31</f>
        <v>0  gram/kg</v>
      </c>
      <c r="E130" s="87" t="str">
        <f>Intake!H32</f>
        <v>Vet</v>
      </c>
      <c r="F130" s="58" t="str">
        <f>Intake!I32</f>
        <v>0 gram/kg</v>
      </c>
      <c r="G130" s="87" t="str">
        <f>Intake!H33</f>
        <v>Calcium</v>
      </c>
      <c r="H130" s="58" t="str">
        <f>Intake!I33</f>
        <v>0 mmol/kg</v>
      </c>
      <c r="I130" s="87" t="str">
        <f>Intake!H35</f>
        <v>Fosfaat</v>
      </c>
      <c r="J130" s="58" t="str">
        <f>Intake!I35</f>
        <v>0 mmol/kg</v>
      </c>
      <c r="L130" s="104"/>
    </row>
    <row r="131" spans="1:12" ht="12.65" customHeight="1" x14ac:dyDescent="0.35">
      <c r="A131" s="66"/>
      <c r="B131" s="89"/>
      <c r="C131" s="91" t="str">
        <f>Intake!B33</f>
        <v>Glucose/KH</v>
      </c>
      <c r="D131" s="66" t="str">
        <f>Intake!D33</f>
        <v>0 g/kg</v>
      </c>
      <c r="E131" s="90"/>
      <c r="F131" s="66"/>
      <c r="G131" s="91" t="s">
        <v>1494</v>
      </c>
      <c r="H131" s="66" t="str">
        <f>Intake!I34</f>
        <v>0 mmol/kg</v>
      </c>
      <c r="I131" s="90"/>
      <c r="J131" s="66"/>
      <c r="L131" s="104"/>
    </row>
    <row r="132" spans="1:12" ht="12.65" customHeight="1" x14ac:dyDescent="0.35">
      <c r="B132" s="86"/>
      <c r="C132" s="87" t="e">
        <f>#REF!</f>
        <v>#REF!</v>
      </c>
      <c r="D132" s="56" t="e">
        <f>#REF!</f>
        <v>#REF!</v>
      </c>
      <c r="E132" s="87" t="e">
        <f>#REF!</f>
        <v>#REF!</v>
      </c>
      <c r="F132" s="366" t="e">
        <f>#REF!</f>
        <v>#REF!</v>
      </c>
      <c r="G132" s="366"/>
      <c r="H132" s="88" t="s">
        <v>1303</v>
      </c>
      <c r="I132" s="58" t="str">
        <f>Gewicht/10&amp;" kg"</f>
        <v>10 kg</v>
      </c>
      <c r="J132" s="57"/>
      <c r="L132" s="104"/>
    </row>
    <row r="133" spans="1:12" ht="12.65" customHeight="1" x14ac:dyDescent="0.35">
      <c r="B133" s="86"/>
      <c r="C133" s="87" t="e">
        <f>#REF!</f>
        <v>#REF!</v>
      </c>
      <c r="D133" s="59">
        <f ca="1">AfspraakDatum-OpnDatum+1</f>
        <v>829</v>
      </c>
      <c r="E133" s="87" t="e">
        <f>#REF!</f>
        <v>#REF!</v>
      </c>
      <c r="F133" s="60" t="e">
        <f>#REF!</f>
        <v>#REF!</v>
      </c>
      <c r="G133" s="57"/>
      <c r="H133" s="88" t="s">
        <v>632</v>
      </c>
      <c r="I133" s="58" t="str">
        <f>Lengte&amp;" cm"</f>
        <v>80 cm</v>
      </c>
      <c r="J133" s="57"/>
      <c r="L133" s="104"/>
    </row>
    <row r="134" spans="1:12" ht="12.65" customHeight="1" x14ac:dyDescent="0.35">
      <c r="D134" s="57"/>
      <c r="F134" s="57"/>
      <c r="H134" s="88" t="s">
        <v>634</v>
      </c>
      <c r="I134" s="58" t="str">
        <f>ROUND(POWER(Gewicht/10,0.425)*POWER(((Lengte/100)*100),0.725)*0.007184,2)&amp;" m2"</f>
        <v>0.46 m2</v>
      </c>
      <c r="L134" s="104"/>
    </row>
    <row r="135" spans="1:12" ht="12.65" customHeight="1" x14ac:dyDescent="0.35">
      <c r="D135" s="57"/>
      <c r="F135" s="57"/>
      <c r="L135" s="104"/>
    </row>
    <row r="136" spans="1:12" ht="12.65" customHeight="1" x14ac:dyDescent="0.35">
      <c r="D136" s="57"/>
      <c r="F136" s="57"/>
      <c r="L136" s="104"/>
    </row>
    <row r="137" spans="1:12" ht="12.65" customHeight="1" x14ac:dyDescent="0.35">
      <c r="D137" s="57"/>
      <c r="F137" s="57"/>
      <c r="L137" s="104"/>
    </row>
    <row r="138" spans="1:12" ht="12.65" customHeight="1" x14ac:dyDescent="0.35">
      <c r="B138" s="71" t="s">
        <v>172</v>
      </c>
      <c r="C138" s="66"/>
      <c r="D138" s="72"/>
      <c r="E138" s="66"/>
      <c r="F138" s="71" t="str">
        <f>IF(Comfort,"Ja","Nee")</f>
        <v>Ja</v>
      </c>
      <c r="L138" s="104"/>
    </row>
    <row r="139" spans="1:12" ht="12.65" customHeight="1" x14ac:dyDescent="0.35">
      <c r="L139" s="104"/>
    </row>
    <row r="140" spans="1:12" ht="12.65" customHeight="1" x14ac:dyDescent="0.35">
      <c r="D140" s="325" t="s">
        <v>1286</v>
      </c>
      <c r="G140" s="325" t="s">
        <v>625</v>
      </c>
      <c r="L140" s="104"/>
    </row>
    <row r="141" spans="1:12" ht="25" customHeight="1" x14ac:dyDescent="0.4">
      <c r="A141" s="364" t="s">
        <v>623</v>
      </c>
      <c r="B141" s="365"/>
      <c r="C141" s="147" t="s">
        <v>624</v>
      </c>
      <c r="D141" s="147" t="s">
        <v>626</v>
      </c>
      <c r="E141" s="364" t="s">
        <v>628</v>
      </c>
      <c r="F141" s="365"/>
      <c r="G141" s="155" t="s">
        <v>626</v>
      </c>
      <c r="H141" s="364" t="s">
        <v>627</v>
      </c>
      <c r="I141" s="365"/>
      <c r="J141" s="155" t="s">
        <v>1118</v>
      </c>
      <c r="K141" s="61"/>
      <c r="L141" s="104"/>
    </row>
    <row r="142" spans="1:12" ht="20.100000000000001" customHeight="1" x14ac:dyDescent="0.35">
      <c r="A142" s="148"/>
      <c r="B142" s="327"/>
      <c r="C142" s="147"/>
      <c r="D142" s="147"/>
      <c r="E142" s="148"/>
      <c r="F142" s="327"/>
      <c r="G142" s="150"/>
      <c r="H142" s="153"/>
      <c r="I142" s="154"/>
      <c r="J142" s="156"/>
      <c r="K142" s="61"/>
      <c r="L142" s="104"/>
    </row>
    <row r="143" spans="1:12" ht="20.100000000000001" customHeight="1" x14ac:dyDescent="0.35">
      <c r="A143" s="148"/>
      <c r="B143" s="327"/>
      <c r="C143" s="147"/>
      <c r="D143" s="147"/>
      <c r="E143" s="148"/>
      <c r="F143" s="327"/>
      <c r="G143" s="150"/>
      <c r="H143" s="153"/>
      <c r="I143" s="154"/>
      <c r="J143" s="156"/>
      <c r="K143" s="61"/>
      <c r="L143" s="104"/>
    </row>
    <row r="144" spans="1:12" ht="20.100000000000001" customHeight="1" x14ac:dyDescent="0.35">
      <c r="A144" s="148"/>
      <c r="B144" s="327"/>
      <c r="C144" s="147"/>
      <c r="D144" s="147"/>
      <c r="E144" s="148"/>
      <c r="F144" s="327"/>
      <c r="G144" s="150"/>
      <c r="H144" s="153"/>
      <c r="I144" s="154"/>
      <c r="J144" s="156"/>
      <c r="K144" s="61"/>
      <c r="L144" s="104"/>
    </row>
    <row r="145" spans="1:13" ht="20.100000000000001" customHeight="1" x14ac:dyDescent="0.35">
      <c r="A145" s="148"/>
      <c r="B145" s="327"/>
      <c r="C145" s="147"/>
      <c r="D145" s="147"/>
      <c r="E145" s="148"/>
      <c r="F145" s="327"/>
      <c r="G145" s="150"/>
      <c r="H145" s="153"/>
      <c r="I145" s="154"/>
      <c r="J145" s="156"/>
      <c r="K145" s="61"/>
      <c r="L145" s="104"/>
    </row>
    <row r="146" spans="1:13" ht="20.100000000000001" customHeight="1" x14ac:dyDescent="0.35">
      <c r="A146" s="148"/>
      <c r="B146" s="327"/>
      <c r="C146" s="147"/>
      <c r="D146" s="147"/>
      <c r="E146" s="148"/>
      <c r="F146" s="327"/>
      <c r="G146" s="150"/>
      <c r="H146" s="153"/>
      <c r="I146" s="154"/>
      <c r="J146" s="156"/>
      <c r="K146" s="61"/>
      <c r="L146" s="104"/>
    </row>
    <row r="147" spans="1:13" ht="20.100000000000001" customHeight="1" x14ac:dyDescent="0.35">
      <c r="A147" s="148"/>
      <c r="B147" s="327"/>
      <c r="C147" s="147"/>
      <c r="D147" s="147"/>
      <c r="E147" s="148"/>
      <c r="F147" s="327"/>
      <c r="G147" s="150"/>
      <c r="H147" s="153"/>
      <c r="I147" s="154"/>
      <c r="J147" s="156"/>
      <c r="K147" s="61"/>
      <c r="L147" s="104"/>
    </row>
    <row r="148" spans="1:13" ht="20.100000000000001" customHeight="1" x14ac:dyDescent="0.35">
      <c r="A148" s="148"/>
      <c r="B148" s="327"/>
      <c r="C148" s="147"/>
      <c r="D148" s="147"/>
      <c r="E148" s="148"/>
      <c r="F148" s="327"/>
      <c r="G148" s="150"/>
      <c r="H148" s="153"/>
      <c r="I148" s="154"/>
      <c r="J148" s="156"/>
      <c r="K148" s="61"/>
      <c r="L148" s="104"/>
    </row>
    <row r="149" spans="1:13" ht="20.100000000000001" customHeight="1" x14ac:dyDescent="0.35">
      <c r="A149" s="148"/>
      <c r="B149" s="327"/>
      <c r="C149" s="147"/>
      <c r="D149" s="147"/>
      <c r="E149" s="148"/>
      <c r="F149" s="327"/>
      <c r="G149" s="150"/>
      <c r="H149" s="153"/>
      <c r="I149" s="154"/>
      <c r="J149" s="156"/>
      <c r="K149" s="61"/>
      <c r="L149" s="104"/>
    </row>
    <row r="150" spans="1:13" ht="20.100000000000001" customHeight="1" x14ac:dyDescent="0.35">
      <c r="A150" s="148"/>
      <c r="B150" s="327"/>
      <c r="C150" s="147"/>
      <c r="D150" s="147"/>
      <c r="E150" s="148"/>
      <c r="F150" s="327"/>
      <c r="G150" s="150"/>
      <c r="H150" s="153"/>
      <c r="I150" s="154"/>
      <c r="J150" s="156"/>
      <c r="K150" s="61"/>
      <c r="L150" s="104"/>
    </row>
    <row r="151" spans="1:13" ht="20.100000000000001" customHeight="1" x14ac:dyDescent="0.35">
      <c r="A151" s="148"/>
      <c r="B151" s="327"/>
      <c r="C151" s="147"/>
      <c r="D151" s="147"/>
      <c r="E151" s="148"/>
      <c r="F151" s="327"/>
      <c r="G151" s="150"/>
      <c r="H151" s="153"/>
      <c r="I151" s="154"/>
      <c r="J151" s="156"/>
      <c r="K151"/>
      <c r="L151" s="104"/>
      <c r="M151" s="105"/>
    </row>
    <row r="152" spans="1:13" ht="20.100000000000001" customHeight="1" x14ac:dyDescent="0.35">
      <c r="A152" s="148"/>
      <c r="B152" s="327"/>
      <c r="C152" s="147"/>
      <c r="D152" s="147"/>
      <c r="E152" s="148"/>
      <c r="F152" s="327"/>
      <c r="G152" s="150"/>
      <c r="H152" s="153"/>
      <c r="I152" s="154"/>
      <c r="J152" s="156"/>
      <c r="K152"/>
      <c r="L152" s="104"/>
      <c r="M152" s="105"/>
    </row>
    <row r="153" spans="1:13" ht="20.100000000000001" customHeight="1" x14ac:dyDescent="0.35">
      <c r="A153" s="148"/>
      <c r="B153" s="327"/>
      <c r="C153" s="147"/>
      <c r="D153" s="147"/>
      <c r="E153" s="148"/>
      <c r="F153" s="327"/>
      <c r="G153" s="150"/>
      <c r="H153" s="153"/>
      <c r="I153" s="154"/>
      <c r="J153" s="156"/>
      <c r="K153"/>
      <c r="L153" s="104"/>
      <c r="M153" s="105"/>
    </row>
    <row r="154" spans="1:13" ht="20.100000000000001" customHeight="1" x14ac:dyDescent="0.35">
      <c r="A154" s="148"/>
      <c r="B154" s="327"/>
      <c r="C154" s="147"/>
      <c r="D154" s="147"/>
      <c r="E154" s="148"/>
      <c r="F154" s="327"/>
      <c r="G154" s="150"/>
      <c r="H154" s="153"/>
      <c r="I154" s="154"/>
      <c r="J154" s="156"/>
      <c r="K154"/>
      <c r="L154" s="104"/>
      <c r="M154" s="105"/>
    </row>
    <row r="155" spans="1:13" ht="20.100000000000001" customHeight="1" x14ac:dyDescent="0.35">
      <c r="A155" s="148"/>
      <c r="B155" s="327"/>
      <c r="C155" s="147"/>
      <c r="D155" s="147"/>
      <c r="E155" s="148"/>
      <c r="F155" s="327"/>
      <c r="G155" s="150"/>
      <c r="H155" s="153"/>
      <c r="I155" s="154"/>
      <c r="J155" s="156"/>
      <c r="K155"/>
      <c r="L155" s="104"/>
      <c r="M155" s="105"/>
    </row>
    <row r="156" spans="1:13" ht="20.100000000000001" customHeight="1" x14ac:dyDescent="0.35">
      <c r="A156" s="148"/>
      <c r="B156" s="327"/>
      <c r="C156" s="147"/>
      <c r="D156" s="147"/>
      <c r="E156" s="148"/>
      <c r="F156" s="327"/>
      <c r="G156" s="150"/>
      <c r="H156" s="153"/>
      <c r="I156" s="154"/>
      <c r="J156" s="156"/>
      <c r="K156"/>
      <c r="L156" s="104"/>
      <c r="M156" s="105"/>
    </row>
    <row r="157" spans="1:13" ht="20.100000000000001" customHeight="1" x14ac:dyDescent="0.35">
      <c r="A157" s="148"/>
      <c r="B157" s="327"/>
      <c r="C157" s="147"/>
      <c r="D157" s="147"/>
      <c r="E157" s="148"/>
      <c r="F157" s="327"/>
      <c r="G157" s="150"/>
      <c r="H157" s="153"/>
      <c r="I157" s="154"/>
      <c r="J157" s="156"/>
      <c r="K157"/>
      <c r="L157" s="104"/>
      <c r="M157" s="105"/>
    </row>
    <row r="158" spans="1:13" ht="20.100000000000001" customHeight="1" x14ac:dyDescent="0.35">
      <c r="A158" s="148"/>
      <c r="B158" s="327"/>
      <c r="C158" s="147"/>
      <c r="D158" s="147"/>
      <c r="E158" s="148"/>
      <c r="F158" s="327"/>
      <c r="G158" s="150"/>
      <c r="H158" s="153"/>
      <c r="I158" s="154"/>
      <c r="J158" s="156"/>
      <c r="K158"/>
      <c r="L158" s="104"/>
      <c r="M158" s="105"/>
    </row>
    <row r="159" spans="1:13" ht="30" customHeight="1" x14ac:dyDescent="0.4">
      <c r="A159" s="331" t="s">
        <v>629</v>
      </c>
      <c r="B159" s="329"/>
      <c r="C159" s="328"/>
      <c r="D159" s="328"/>
      <c r="E159" s="328"/>
      <c r="F159" s="329"/>
      <c r="G159" s="329"/>
      <c r="H159" s="330"/>
      <c r="I159" s="330"/>
      <c r="J159" s="330"/>
      <c r="K159"/>
      <c r="L159" s="104"/>
      <c r="M159" s="105"/>
    </row>
    <row r="160" spans="1:13" ht="30" customHeight="1" x14ac:dyDescent="0.35">
      <c r="A160"/>
      <c r="B160"/>
      <c r="C160"/>
      <c r="D160"/>
      <c r="E160"/>
      <c r="F160"/>
      <c r="G160"/>
      <c r="H160"/>
      <c r="I160"/>
      <c r="J160"/>
      <c r="K160"/>
      <c r="L160"/>
      <c r="M160" s="105"/>
    </row>
    <row r="161" spans="1:13" ht="30" customHeight="1" x14ac:dyDescent="0.35">
      <c r="A161"/>
      <c r="B161"/>
      <c r="C161"/>
      <c r="D161"/>
      <c r="E161"/>
      <c r="F161"/>
      <c r="G161"/>
      <c r="H161"/>
      <c r="I161"/>
      <c r="J161"/>
      <c r="K161"/>
      <c r="L161"/>
      <c r="M161" s="105"/>
    </row>
    <row r="162" spans="1:13" ht="30" customHeight="1" x14ac:dyDescent="0.35">
      <c r="A162"/>
      <c r="B162"/>
      <c r="C162"/>
      <c r="D162"/>
      <c r="E162"/>
      <c r="F162"/>
      <c r="G162"/>
      <c r="H162"/>
      <c r="I162"/>
      <c r="J162"/>
      <c r="K162"/>
      <c r="L162"/>
      <c r="M162" s="105"/>
    </row>
    <row r="163" spans="1:13" ht="30" customHeight="1" x14ac:dyDescent="0.35">
      <c r="A163"/>
      <c r="B163"/>
      <c r="C163"/>
      <c r="D163"/>
      <c r="E163"/>
      <c r="F163"/>
      <c r="G163"/>
      <c r="H163"/>
      <c r="I163"/>
      <c r="J163"/>
      <c r="K163"/>
      <c r="L163"/>
      <c r="M163" s="105"/>
    </row>
    <row r="164" spans="1:13" ht="30" customHeight="1" x14ac:dyDescent="0.35">
      <c r="A164"/>
      <c r="B164"/>
      <c r="C164"/>
      <c r="D164"/>
      <c r="E164"/>
      <c r="F164"/>
      <c r="G164"/>
      <c r="H164"/>
      <c r="I164"/>
      <c r="J164"/>
      <c r="K164"/>
      <c r="L164"/>
      <c r="M164" s="105"/>
    </row>
    <row r="165" spans="1:13" ht="30" customHeight="1" x14ac:dyDescent="0.35">
      <c r="A165"/>
      <c r="B165"/>
      <c r="C165"/>
      <c r="D165"/>
      <c r="E165"/>
      <c r="F165"/>
      <c r="G165"/>
      <c r="H165"/>
      <c r="I165"/>
      <c r="J165"/>
      <c r="K165"/>
      <c r="L165"/>
      <c r="M165" s="105"/>
    </row>
    <row r="166" spans="1:13" ht="30" customHeight="1" x14ac:dyDescent="0.35">
      <c r="A166"/>
      <c r="B166"/>
      <c r="C166"/>
      <c r="D166"/>
      <c r="E166"/>
      <c r="F166"/>
      <c r="G166"/>
      <c r="H166"/>
      <c r="I166"/>
      <c r="J166"/>
      <c r="K166"/>
      <c r="L166"/>
      <c r="M166" s="105"/>
    </row>
    <row r="167" spans="1:13" ht="30" customHeight="1" x14ac:dyDescent="0.35">
      <c r="A167"/>
      <c r="B167"/>
      <c r="C167"/>
      <c r="D167"/>
      <c r="E167"/>
      <c r="F167"/>
      <c r="G167"/>
      <c r="H167"/>
      <c r="I167"/>
      <c r="J167"/>
      <c r="K167"/>
      <c r="L167"/>
    </row>
    <row r="168" spans="1:13" ht="30" customHeight="1" x14ac:dyDescent="0.35">
      <c r="A168"/>
      <c r="B168"/>
      <c r="C168"/>
      <c r="D168"/>
      <c r="E168"/>
      <c r="F168"/>
      <c r="G168"/>
      <c r="H168"/>
      <c r="I168"/>
      <c r="J168"/>
      <c r="K168"/>
      <c r="L168"/>
    </row>
    <row r="169" spans="1:13" ht="30" customHeight="1" x14ac:dyDescent="0.35">
      <c r="A169"/>
      <c r="B169"/>
      <c r="C169"/>
      <c r="D169"/>
      <c r="E169"/>
      <c r="F169"/>
      <c r="G169"/>
      <c r="H169"/>
      <c r="I169"/>
      <c r="J169"/>
      <c r="K169"/>
      <c r="L169"/>
    </row>
    <row r="170" spans="1:13" ht="30" customHeight="1" x14ac:dyDescent="0.35">
      <c r="A170"/>
      <c r="B170"/>
      <c r="C170"/>
      <c r="D170"/>
      <c r="E170"/>
      <c r="F170"/>
      <c r="G170"/>
      <c r="H170"/>
      <c r="I170"/>
      <c r="J170"/>
      <c r="K170"/>
      <c r="L170"/>
    </row>
    <row r="171" spans="1:13" ht="30" customHeight="1" x14ac:dyDescent="0.35">
      <c r="A171"/>
      <c r="B171"/>
      <c r="C171"/>
      <c r="D171"/>
      <c r="E171"/>
      <c r="F171"/>
      <c r="G171"/>
      <c r="H171"/>
      <c r="I171"/>
      <c r="J171"/>
      <c r="K171"/>
      <c r="L171"/>
    </row>
    <row r="172" spans="1:13" ht="30" customHeight="1" x14ac:dyDescent="0.35">
      <c r="A172"/>
      <c r="B172"/>
      <c r="C172"/>
      <c r="D172"/>
      <c r="E172"/>
      <c r="F172"/>
      <c r="G172"/>
      <c r="H172"/>
      <c r="I172"/>
      <c r="J172"/>
      <c r="K172"/>
      <c r="L172"/>
    </row>
    <row r="173" spans="1:13" ht="30" customHeight="1" x14ac:dyDescent="0.35">
      <c r="B173" s="58"/>
      <c r="L173" s="104"/>
    </row>
    <row r="174" spans="1:13" ht="30" customHeight="1" x14ac:dyDescent="0.35">
      <c r="B174" s="58"/>
      <c r="L174" s="104"/>
    </row>
    <row r="175" spans="1:13" ht="30" customHeight="1" x14ac:dyDescent="0.35">
      <c r="B175" s="58"/>
      <c r="L175" s="104"/>
    </row>
    <row r="176" spans="1:13" ht="30" customHeight="1" x14ac:dyDescent="0.35">
      <c r="B176" s="58"/>
      <c r="L176" s="104"/>
    </row>
    <row r="177" spans="2:12" ht="30" customHeight="1" x14ac:dyDescent="0.35">
      <c r="B177" s="58"/>
      <c r="L177" s="104"/>
    </row>
    <row r="178" spans="2:12" ht="30" customHeight="1" x14ac:dyDescent="0.35">
      <c r="B178" s="58"/>
      <c r="L178" s="104"/>
    </row>
    <row r="179" spans="2:12" ht="30" customHeight="1" x14ac:dyDescent="0.35">
      <c r="B179" s="58"/>
      <c r="L179" s="104"/>
    </row>
    <row r="180" spans="2:12" ht="30" customHeight="1" x14ac:dyDescent="0.35">
      <c r="B180" s="58"/>
      <c r="L180" s="104"/>
    </row>
    <row r="181" spans="2:12" ht="30" customHeight="1" x14ac:dyDescent="0.35">
      <c r="B181" s="58"/>
      <c r="L181" s="104"/>
    </row>
    <row r="182" spans="2:12" ht="30" customHeight="1" x14ac:dyDescent="0.35">
      <c r="B182" s="58"/>
      <c r="L182" s="104"/>
    </row>
    <row r="183" spans="2:12" ht="11.7" x14ac:dyDescent="0.35">
      <c r="B183" s="58"/>
      <c r="L183" s="104"/>
    </row>
    <row r="184" spans="2:12" ht="11.7" x14ac:dyDescent="0.35">
      <c r="B184" s="58"/>
      <c r="L184" s="104"/>
    </row>
    <row r="185" spans="2:12" ht="11.7" x14ac:dyDescent="0.35">
      <c r="B185" s="58"/>
      <c r="L185" s="104"/>
    </row>
    <row r="186" spans="2:12" ht="11.7" x14ac:dyDescent="0.35">
      <c r="B186" s="58"/>
      <c r="L186" s="104"/>
    </row>
    <row r="187" spans="2:12" ht="11.7" x14ac:dyDescent="0.35">
      <c r="B187" s="58"/>
      <c r="L187" s="104"/>
    </row>
    <row r="188" spans="2:12" ht="12.65" customHeight="1" x14ac:dyDescent="0.35">
      <c r="B188" s="58"/>
      <c r="L188" s="104"/>
    </row>
    <row r="189" spans="2:12" ht="12.65" customHeight="1" x14ac:dyDescent="0.35">
      <c r="B189" s="58"/>
      <c r="L189" s="104"/>
    </row>
    <row r="190" spans="2:12" ht="12.65" customHeight="1" x14ac:dyDescent="0.35">
      <c r="B190" s="58"/>
      <c r="L190" s="104" t="str">
        <f t="shared" ref="L190:L195" si="3">IF(C49=0,"D","")</f>
        <v>D</v>
      </c>
    </row>
    <row r="191" spans="2:12" ht="12.65" customHeight="1" x14ac:dyDescent="0.35">
      <c r="B191" s="58"/>
      <c r="L191" s="104" t="str">
        <f t="shared" si="3"/>
        <v>D</v>
      </c>
    </row>
    <row r="192" spans="2:12" ht="12.65" customHeight="1" x14ac:dyDescent="0.35">
      <c r="B192" s="58"/>
      <c r="L192" s="104" t="str">
        <f t="shared" si="3"/>
        <v>D</v>
      </c>
    </row>
    <row r="193" spans="2:12" ht="12.65" customHeight="1" x14ac:dyDescent="0.35">
      <c r="B193" s="58"/>
      <c r="L193" s="104" t="str">
        <f t="shared" si="3"/>
        <v>D</v>
      </c>
    </row>
    <row r="194" spans="2:12" ht="12.65" customHeight="1" x14ac:dyDescent="0.35">
      <c r="B194" s="58"/>
      <c r="L194" s="104" t="str">
        <f t="shared" si="3"/>
        <v/>
      </c>
    </row>
    <row r="195" spans="2:12" ht="12.65" customHeight="1" x14ac:dyDescent="0.35">
      <c r="B195" s="58"/>
      <c r="L195" s="104" t="str">
        <f t="shared" si="3"/>
        <v/>
      </c>
    </row>
    <row r="196" spans="2:12" ht="12.65" customHeight="1" x14ac:dyDescent="0.35">
      <c r="B196" s="58"/>
      <c r="L196" s="104"/>
    </row>
    <row r="197" spans="2:12" ht="12.65" customHeight="1" x14ac:dyDescent="0.35">
      <c r="B197" s="58"/>
      <c r="L197" s="104"/>
    </row>
    <row r="198" spans="2:12" ht="12.65" customHeight="1" x14ac:dyDescent="0.35">
      <c r="B198" s="58"/>
      <c r="L198" s="104"/>
    </row>
    <row r="199" spans="2:12" ht="12.65" customHeight="1" x14ac:dyDescent="0.35">
      <c r="L199" s="104"/>
    </row>
    <row r="200" spans="2:12" ht="12.65" customHeight="1" x14ac:dyDescent="0.35">
      <c r="L200" s="104"/>
    </row>
    <row r="201" spans="2:12" ht="12.65" customHeight="1" x14ac:dyDescent="0.35">
      <c r="L201" s="104"/>
    </row>
    <row r="202" spans="2:12" ht="12.65" customHeight="1" x14ac:dyDescent="0.35">
      <c r="L202" s="104"/>
    </row>
    <row r="209" ht="30" customHeight="1" x14ac:dyDescent="0.35"/>
    <row r="210" ht="30" customHeight="1" x14ac:dyDescent="0.35"/>
    <row r="211" ht="30" customHeight="1" x14ac:dyDescent="0.35"/>
    <row r="212" ht="30" customHeight="1" x14ac:dyDescent="0.35"/>
    <row r="213" ht="30" customHeight="1" x14ac:dyDescent="0.35"/>
    <row r="214" ht="30" customHeight="1" x14ac:dyDescent="0.35"/>
    <row r="215" ht="30" customHeight="1" x14ac:dyDescent="0.35"/>
    <row r="216" ht="30" customHeight="1" x14ac:dyDescent="0.35"/>
    <row r="217" ht="30" customHeight="1" x14ac:dyDescent="0.35"/>
    <row r="218" ht="30" customHeight="1" x14ac:dyDescent="0.35"/>
    <row r="219" ht="30" customHeight="1" x14ac:dyDescent="0.35"/>
    <row r="220" ht="30" customHeight="1" x14ac:dyDescent="0.35"/>
    <row r="221" ht="30" customHeight="1" x14ac:dyDescent="0.35"/>
    <row r="222" ht="30" customHeight="1" x14ac:dyDescent="0.35"/>
    <row r="223" ht="30" customHeight="1" x14ac:dyDescent="0.35"/>
    <row r="224" ht="30" customHeight="1" x14ac:dyDescent="0.35"/>
    <row r="225" ht="30" customHeight="1" x14ac:dyDescent="0.35"/>
    <row r="226" ht="30" customHeight="1" x14ac:dyDescent="0.35"/>
    <row r="227" ht="30" customHeight="1" x14ac:dyDescent="0.35"/>
    <row r="228" ht="30" customHeight="1" x14ac:dyDescent="0.35"/>
    <row r="229" ht="30" customHeight="1" x14ac:dyDescent="0.35"/>
    <row r="230" ht="30" customHeight="1" x14ac:dyDescent="0.35"/>
    <row r="231" ht="30" customHeight="1" x14ac:dyDescent="0.35"/>
    <row r="232" ht="30" customHeight="1" x14ac:dyDescent="0.35"/>
    <row r="233" ht="30" customHeight="1" x14ac:dyDescent="0.35"/>
    <row r="234" ht="30" customHeight="1" x14ac:dyDescent="0.35"/>
  </sheetData>
  <sheetProtection password="CC20" sheet="1" objects="1" scenarios="1" selectLockedCells="1" selectUnlockedCells="1"/>
  <mergeCells count="19">
    <mergeCell ref="D45:J46"/>
    <mergeCell ref="D100:J101"/>
    <mergeCell ref="C54:J55"/>
    <mergeCell ref="F2:G2"/>
    <mergeCell ref="F67:G67"/>
    <mergeCell ref="D41:J41"/>
    <mergeCell ref="D37:J37"/>
    <mergeCell ref="C56:J59"/>
    <mergeCell ref="D79:J79"/>
    <mergeCell ref="D18:J19"/>
    <mergeCell ref="D40:J40"/>
    <mergeCell ref="D42:J42"/>
    <mergeCell ref="D43:J43"/>
    <mergeCell ref="D44:J44"/>
    <mergeCell ref="E141:F141"/>
    <mergeCell ref="H141:I141"/>
    <mergeCell ref="A141:B141"/>
    <mergeCell ref="F132:G132"/>
    <mergeCell ref="D125:J125"/>
  </mergeCells>
  <phoneticPr fontId="26" type="noConversion"/>
  <pageMargins left="0.31" right="0.19" top="0.44" bottom="0.17" header="0.25" footer="0.17"/>
  <pageSetup paperSize="9" orientation="portrait" r:id="rId1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66" max="9" man="1"/>
    <brk id="131" max="9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fsprakenPLV"/>
  <dimension ref="A1:U160"/>
  <sheetViews>
    <sheetView showGridLines="0" showRowColHeaders="0" showZeros="0" zoomScaleNormal="100" workbookViewId="0">
      <selection activeCell="B81" sqref="B81"/>
    </sheetView>
  </sheetViews>
  <sheetFormatPr defaultRowHeight="12.85" x14ac:dyDescent="0.35"/>
  <cols>
    <col min="1" max="2" width="2.73046875" customWidth="1"/>
    <col min="3" max="3" width="13.3984375" customWidth="1"/>
    <col min="4" max="4" width="10.73046875" customWidth="1"/>
    <col min="5" max="5" width="12.3984375" customWidth="1"/>
    <col min="6" max="10" width="10.73046875" customWidth="1"/>
  </cols>
  <sheetData>
    <row r="1" spans="1:10" ht="7.55" customHeight="1" x14ac:dyDescent="0.35">
      <c r="A1" s="58"/>
      <c r="B1" s="61"/>
      <c r="C1" s="58"/>
      <c r="D1" s="58"/>
      <c r="E1" s="58"/>
      <c r="F1" s="58"/>
      <c r="G1" s="58"/>
      <c r="H1" s="58"/>
      <c r="I1" s="58"/>
      <c r="J1" s="58"/>
    </row>
    <row r="2" spans="1:10" x14ac:dyDescent="0.35">
      <c r="A2" s="58"/>
      <c r="B2" s="86"/>
      <c r="C2" s="87" t="e">
        <f>#REF!</f>
        <v>#REF!</v>
      </c>
      <c r="D2" s="56" t="e">
        <f>#REF!</f>
        <v>#REF!</v>
      </c>
      <c r="E2" s="87" t="e">
        <f>#REF!</f>
        <v>#REF!</v>
      </c>
      <c r="F2" s="366" t="e">
        <f>#REF!</f>
        <v>#REF!</v>
      </c>
      <c r="G2" s="366"/>
      <c r="H2" s="88" t="s">
        <v>1303</v>
      </c>
      <c r="I2" s="58" t="str">
        <f>Gewicht/10&amp;" kg"</f>
        <v>10 kg</v>
      </c>
      <c r="J2" s="57"/>
    </row>
    <row r="3" spans="1:10" x14ac:dyDescent="0.35">
      <c r="A3" s="58"/>
      <c r="B3" s="86"/>
      <c r="C3" s="87" t="s">
        <v>955</v>
      </c>
      <c r="D3" s="59">
        <f ca="1">AfspraakDatum-OpnDatum+1</f>
        <v>829</v>
      </c>
      <c r="E3" s="87" t="e">
        <f>#REF!</f>
        <v>#REF!</v>
      </c>
      <c r="F3" s="60" t="e">
        <f>#REF!</f>
        <v>#REF!</v>
      </c>
      <c r="G3" s="57"/>
      <c r="H3" s="88" t="s">
        <v>632</v>
      </c>
      <c r="I3" s="58" t="str">
        <f>Lengte&amp;" cm"</f>
        <v>80 cm</v>
      </c>
      <c r="J3" s="57"/>
    </row>
    <row r="4" spans="1:10" x14ac:dyDescent="0.35">
      <c r="A4" s="58"/>
      <c r="B4" s="61"/>
      <c r="C4" s="58"/>
      <c r="D4" s="57"/>
      <c r="E4" s="58"/>
      <c r="F4" s="57"/>
      <c r="G4" s="58"/>
      <c r="H4" s="88" t="s">
        <v>634</v>
      </c>
      <c r="I4" s="58" t="str">
        <f>ROUND(POWER(Gewicht/10,0.425)*POWER(((Lengte/100)*100),0.725)*0.007184,2)&amp;" m2"</f>
        <v>0.46 m2</v>
      </c>
      <c r="J4" s="58"/>
    </row>
    <row r="5" spans="1:10" ht="13.6" x14ac:dyDescent="0.35">
      <c r="A5" s="66"/>
      <c r="B5" s="71" t="e">
        <f>#REF!</f>
        <v>#REF!</v>
      </c>
      <c r="C5" s="68"/>
      <c r="D5" s="66"/>
      <c r="E5" s="66"/>
      <c r="F5" s="66"/>
      <c r="G5" s="66"/>
      <c r="H5" s="66"/>
      <c r="I5" s="66"/>
      <c r="J5" s="76"/>
    </row>
    <row r="6" spans="1:10" x14ac:dyDescent="0.35">
      <c r="A6" s="58"/>
      <c r="B6" s="86"/>
      <c r="C6" s="88" t="e">
        <f>#REF!</f>
        <v>#REF!</v>
      </c>
      <c r="D6" s="88"/>
      <c r="E6" s="58" t="str">
        <f>IF(Toegang&lt;&gt;1,INDEX(tblToegang,Toegang,1),IF(Zuurstof&lt;&gt;1,INDEX(tblZuurstof,Zuurstof,1)&amp;" met "&amp;#REF!,""))</f>
        <v/>
      </c>
      <c r="F6" s="58"/>
      <c r="G6" s="58"/>
      <c r="H6" s="88" t="e">
        <f>#REF!</f>
        <v>#REF!</v>
      </c>
      <c r="I6" s="88"/>
      <c r="J6" s="57" t="e">
        <f>#REF!</f>
        <v>#REF!</v>
      </c>
    </row>
    <row r="7" spans="1:10" x14ac:dyDescent="0.35">
      <c r="A7" s="58"/>
      <c r="B7" s="86"/>
      <c r="C7" s="88" t="e">
        <f>#REF!</f>
        <v>#REF!</v>
      </c>
      <c r="D7" s="88"/>
      <c r="E7" s="58">
        <f>INDEX(tblDruppelen,dbBead!L2,1)</f>
        <v>0</v>
      </c>
      <c r="F7" s="58"/>
      <c r="G7" s="58"/>
      <c r="H7" s="88" t="e">
        <f>#REF!</f>
        <v>#REF!</v>
      </c>
      <c r="I7" s="88"/>
      <c r="J7" s="58" t="e">
        <f>#REF!</f>
        <v>#REF!</v>
      </c>
    </row>
    <row r="8" spans="1:10" x14ac:dyDescent="0.35">
      <c r="A8" s="58"/>
      <c r="B8" s="86"/>
      <c r="C8" s="88" t="e">
        <f>#REF!</f>
        <v>#REF!</v>
      </c>
      <c r="D8" s="88"/>
      <c r="E8" s="58" t="e">
        <f>#REF!</f>
        <v>#REF!</v>
      </c>
      <c r="F8" s="58"/>
      <c r="G8" s="58"/>
      <c r="H8" s="88" t="e">
        <f>#REF!</f>
        <v>#REF!</v>
      </c>
      <c r="I8" s="88"/>
      <c r="J8" s="58" t="e">
        <f>#REF!</f>
        <v>#REF!</v>
      </c>
    </row>
    <row r="9" spans="1:10" ht="6.8" customHeight="1" x14ac:dyDescent="0.35">
      <c r="A9" s="58"/>
      <c r="B9" s="61"/>
      <c r="C9" s="58"/>
      <c r="D9" s="58"/>
      <c r="E9" s="58"/>
      <c r="F9" s="58"/>
      <c r="G9" s="58"/>
      <c r="H9" s="58"/>
      <c r="I9" s="75"/>
      <c r="J9" s="75"/>
    </row>
    <row r="10" spans="1:10" x14ac:dyDescent="0.35">
      <c r="A10" s="58"/>
      <c r="B10" s="86"/>
      <c r="C10" s="88" t="e">
        <f>#REF!</f>
        <v>#REF!</v>
      </c>
      <c r="D10" s="88"/>
      <c r="E10" s="58">
        <f>INDEX(tblPLV,dbBead!R2,1)</f>
        <v>0</v>
      </c>
      <c r="F10" s="58"/>
      <c r="G10" s="58"/>
      <c r="H10" s="88" t="s">
        <v>1529</v>
      </c>
      <c r="I10" s="88"/>
      <c r="J10" s="58">
        <f>IF(E10&lt;&gt;0,#REF!,)</f>
        <v>0</v>
      </c>
    </row>
    <row r="11" spans="1:10" x14ac:dyDescent="0.35">
      <c r="A11" s="58"/>
      <c r="B11" s="86"/>
      <c r="C11" s="88" t="s">
        <v>1843</v>
      </c>
      <c r="D11" s="88"/>
      <c r="E11" s="58" t="str">
        <f>IF(E10&lt;&gt;0,#REF!,"")</f>
        <v/>
      </c>
      <c r="F11" s="58"/>
      <c r="G11" s="58"/>
      <c r="H11" s="88" t="s">
        <v>1387</v>
      </c>
      <c r="I11" s="88"/>
      <c r="J11" s="57">
        <f>IF(E10&lt;&gt;0,#REF!,)</f>
        <v>0</v>
      </c>
    </row>
    <row r="12" spans="1:10" x14ac:dyDescent="0.35">
      <c r="A12" s="58"/>
      <c r="B12" s="86"/>
      <c r="C12" s="88" t="s">
        <v>1844</v>
      </c>
      <c r="D12" s="88"/>
      <c r="E12" s="58">
        <f>IF(E10&lt;&gt;0,#REF!,)</f>
        <v>0</v>
      </c>
      <c r="F12" s="58"/>
      <c r="G12" s="58"/>
      <c r="H12" s="88" t="s">
        <v>964</v>
      </c>
      <c r="I12" s="88"/>
      <c r="J12" s="57">
        <f>IF(E10&lt;&gt;0,#REF!,)</f>
        <v>0</v>
      </c>
    </row>
    <row r="13" spans="1:10" x14ac:dyDescent="0.35">
      <c r="A13" s="58"/>
      <c r="B13" s="86"/>
      <c r="C13" s="88" t="s">
        <v>1845</v>
      </c>
      <c r="D13" s="88"/>
      <c r="E13" s="58">
        <f>IF(E10&lt;&gt;0,#REF!,)</f>
        <v>0</v>
      </c>
      <c r="F13" s="58"/>
      <c r="G13" s="58"/>
      <c r="H13" s="58"/>
    </row>
    <row r="14" spans="1:10" x14ac:dyDescent="0.35">
      <c r="A14" s="58"/>
      <c r="B14" s="86"/>
      <c r="C14" s="88" t="s">
        <v>1846</v>
      </c>
      <c r="D14" s="88"/>
      <c r="E14" s="58">
        <f>IF(E10&lt;&gt;0,#REF!,)</f>
        <v>0</v>
      </c>
      <c r="F14" s="58"/>
      <c r="G14" s="58"/>
    </row>
    <row r="15" spans="1:10" x14ac:dyDescent="0.35">
      <c r="A15" s="58"/>
      <c r="B15" s="86"/>
      <c r="C15" s="88" t="e">
        <f>#REF!</f>
        <v>#REF!</v>
      </c>
      <c r="D15" s="88"/>
      <c r="E15" s="58">
        <f>IF(E10&lt;&gt;0,#REF!,)</f>
        <v>0</v>
      </c>
      <c r="F15" s="63"/>
      <c r="G15" s="63"/>
      <c r="H15" s="75"/>
      <c r="I15" s="75"/>
      <c r="J15" s="75"/>
    </row>
    <row r="16" spans="1:10" ht="6.8" customHeight="1" x14ac:dyDescent="0.35">
      <c r="A16" s="58"/>
      <c r="B16" s="61"/>
      <c r="C16" s="58"/>
      <c r="D16" s="58"/>
      <c r="E16" s="58"/>
      <c r="F16" s="63"/>
      <c r="G16" s="63"/>
      <c r="H16" s="75"/>
      <c r="I16" s="75"/>
      <c r="J16" s="75"/>
    </row>
    <row r="17" spans="1:12" x14ac:dyDescent="0.35">
      <c r="A17" s="58"/>
      <c r="B17" s="86"/>
      <c r="C17" s="88" t="s">
        <v>1377</v>
      </c>
      <c r="D17" s="378">
        <f>ber_Opm!C2</f>
        <v>0</v>
      </c>
      <c r="E17" s="379"/>
      <c r="F17" s="379"/>
      <c r="G17" s="379"/>
      <c r="H17" s="379"/>
      <c r="I17" s="379"/>
      <c r="J17" s="379"/>
    </row>
    <row r="18" spans="1:12" x14ac:dyDescent="0.35">
      <c r="A18" s="58"/>
      <c r="B18" s="86"/>
      <c r="C18" s="88"/>
      <c r="D18" s="379"/>
      <c r="E18" s="379"/>
      <c r="F18" s="379"/>
      <c r="G18" s="379"/>
      <c r="H18" s="379"/>
      <c r="I18" s="379"/>
      <c r="J18" s="379"/>
    </row>
    <row r="19" spans="1:12" ht="7.55" customHeight="1" x14ac:dyDescent="0.35">
      <c r="A19" s="58"/>
      <c r="B19" s="61"/>
      <c r="C19" s="58"/>
      <c r="D19" s="58"/>
      <c r="E19" s="58"/>
      <c r="F19" s="61"/>
      <c r="G19" s="61"/>
      <c r="H19" s="62"/>
      <c r="I19" s="62"/>
      <c r="J19" s="62"/>
    </row>
    <row r="20" spans="1:12" ht="13.2" x14ac:dyDescent="0.4">
      <c r="A20" s="58"/>
      <c r="B20" s="61"/>
      <c r="C20" s="147" t="s">
        <v>1086</v>
      </c>
      <c r="D20" s="148" t="s">
        <v>1158</v>
      </c>
      <c r="E20" s="149"/>
      <c r="F20" s="150" t="s">
        <v>1118</v>
      </c>
      <c r="G20" s="150" t="s">
        <v>1086</v>
      </c>
      <c r="H20" s="151" t="s">
        <v>1158</v>
      </c>
      <c r="I20" s="152"/>
      <c r="J20" s="155" t="s">
        <v>1118</v>
      </c>
      <c r="K20" s="61"/>
      <c r="L20" s="104"/>
    </row>
    <row r="21" spans="1:12" x14ac:dyDescent="0.35">
      <c r="A21" s="58"/>
      <c r="B21" s="61"/>
      <c r="C21" s="147"/>
      <c r="D21" s="148"/>
      <c r="E21" s="149"/>
      <c r="F21" s="150"/>
      <c r="G21" s="150"/>
      <c r="H21" s="153"/>
      <c r="I21" s="154"/>
      <c r="J21" s="156"/>
      <c r="K21" s="61"/>
      <c r="L21" s="104"/>
    </row>
    <row r="22" spans="1:12" x14ac:dyDescent="0.35">
      <c r="A22" s="58"/>
      <c r="B22" s="61"/>
      <c r="C22" s="147"/>
      <c r="D22" s="148"/>
      <c r="E22" s="149"/>
      <c r="F22" s="150"/>
      <c r="G22" s="150"/>
      <c r="H22" s="153"/>
      <c r="I22" s="154"/>
      <c r="J22" s="156"/>
      <c r="K22" s="61"/>
      <c r="L22" s="104"/>
    </row>
    <row r="23" spans="1:12" x14ac:dyDescent="0.35">
      <c r="A23" s="58"/>
      <c r="B23" s="61"/>
      <c r="C23" s="147"/>
      <c r="D23" s="148"/>
      <c r="E23" s="149"/>
      <c r="F23" s="150"/>
      <c r="G23" s="150"/>
      <c r="H23" s="153"/>
      <c r="I23" s="154"/>
      <c r="J23" s="156"/>
      <c r="K23" s="61"/>
      <c r="L23" s="104"/>
    </row>
    <row r="24" spans="1:12" x14ac:dyDescent="0.35">
      <c r="A24" s="58"/>
      <c r="B24" s="61"/>
      <c r="C24" s="147"/>
      <c r="D24" s="148"/>
      <c r="E24" s="149"/>
      <c r="F24" s="150"/>
      <c r="G24" s="150"/>
      <c r="H24" s="153"/>
      <c r="I24" s="154"/>
      <c r="J24" s="156"/>
      <c r="K24" s="61"/>
      <c r="L24" s="104"/>
    </row>
    <row r="25" spans="1:12" x14ac:dyDescent="0.35">
      <c r="A25" s="58"/>
      <c r="B25" s="61"/>
      <c r="C25" s="147"/>
      <c r="D25" s="148"/>
      <c r="E25" s="149"/>
      <c r="F25" s="150"/>
      <c r="G25" s="150"/>
      <c r="H25" s="153"/>
      <c r="I25" s="154"/>
      <c r="J25" s="156"/>
      <c r="K25" s="61"/>
      <c r="L25" s="104"/>
    </row>
    <row r="26" spans="1:12" x14ac:dyDescent="0.35">
      <c r="A26" s="58"/>
      <c r="B26" s="61"/>
      <c r="C26" s="147"/>
      <c r="D26" s="148"/>
      <c r="E26" s="149"/>
      <c r="F26" s="150"/>
      <c r="G26" s="150"/>
      <c r="H26" s="153"/>
      <c r="I26" s="154"/>
      <c r="J26" s="156"/>
      <c r="K26" s="61"/>
      <c r="L26" s="104"/>
    </row>
    <row r="27" spans="1:12" x14ac:dyDescent="0.35">
      <c r="A27" s="58"/>
      <c r="B27" s="61"/>
      <c r="C27" s="147"/>
      <c r="D27" s="148"/>
      <c r="E27" s="149"/>
      <c r="F27" s="150"/>
      <c r="G27" s="150"/>
      <c r="H27" s="153"/>
      <c r="I27" s="154"/>
      <c r="J27" s="156"/>
      <c r="K27" s="61"/>
      <c r="L27" s="104"/>
    </row>
    <row r="28" spans="1:12" x14ac:dyDescent="0.35">
      <c r="A28" s="58"/>
      <c r="B28" s="61"/>
      <c r="C28" s="147"/>
      <c r="D28" s="148"/>
      <c r="E28" s="149"/>
      <c r="F28" s="150"/>
      <c r="G28" s="150"/>
      <c r="H28" s="153"/>
      <c r="I28" s="154"/>
      <c r="J28" s="156"/>
      <c r="K28" s="61"/>
      <c r="L28" s="104"/>
    </row>
    <row r="29" spans="1:12" x14ac:dyDescent="0.35">
      <c r="A29" s="58"/>
      <c r="B29" s="61"/>
      <c r="C29" s="147"/>
      <c r="D29" s="148"/>
      <c r="E29" s="149"/>
      <c r="F29" s="150"/>
      <c r="G29" s="150"/>
      <c r="H29" s="153"/>
      <c r="I29" s="154"/>
      <c r="J29" s="156"/>
      <c r="K29" s="61"/>
      <c r="L29" s="104"/>
    </row>
    <row r="30" spans="1:12" x14ac:dyDescent="0.35">
      <c r="A30" s="58"/>
      <c r="B30" s="61"/>
      <c r="C30" s="58"/>
      <c r="D30" s="58"/>
      <c r="E30" s="58"/>
      <c r="F30" s="58"/>
      <c r="G30" s="58"/>
      <c r="H30" s="62"/>
      <c r="I30" s="62"/>
      <c r="J30" s="62"/>
      <c r="K30" s="61"/>
      <c r="L30" s="104"/>
    </row>
    <row r="31" spans="1:12" ht="13.6" x14ac:dyDescent="0.35">
      <c r="A31" s="66"/>
      <c r="B31" s="71" t="str">
        <f>Intake!C7</f>
        <v>Voeding</v>
      </c>
      <c r="C31" s="66"/>
      <c r="D31" s="66"/>
      <c r="E31" s="66"/>
      <c r="F31" s="66"/>
      <c r="G31" s="66"/>
      <c r="H31" s="66"/>
      <c r="I31" s="66"/>
      <c r="J31" s="66"/>
      <c r="K31" s="61"/>
      <c r="L31" s="104"/>
    </row>
    <row r="32" spans="1:12" x14ac:dyDescent="0.35">
      <c r="A32" s="58"/>
      <c r="B32" s="86"/>
      <c r="C32" s="88" t="s">
        <v>1079</v>
      </c>
      <c r="D32" s="88"/>
      <c r="E32" s="58" t="str">
        <f>INDEX(tblSonde,ber_PO!A1,1)</f>
        <v>Geen sonde</v>
      </c>
      <c r="F32" s="58"/>
      <c r="G32" s="58"/>
      <c r="H32" s="58"/>
      <c r="I32" s="58"/>
      <c r="J32" s="58"/>
      <c r="K32" s="61"/>
      <c r="L32" s="104"/>
    </row>
    <row r="33" spans="1:12" x14ac:dyDescent="0.35">
      <c r="A33" s="58"/>
      <c r="B33" s="61"/>
      <c r="C33" s="58">
        <f>IF(E33&lt;&gt;"",INDEX(tblVoedingPO,KeuzePO_1,1),)</f>
        <v>0</v>
      </c>
      <c r="D33" s="58" t="str">
        <f>Intake!G8</f>
        <v/>
      </c>
      <c r="E33" s="58" t="str">
        <f>Intake!C8&amp;" "&amp;Intake!D8</f>
        <v xml:space="preserve"> </v>
      </c>
      <c r="F33" s="65" t="str">
        <f>IF(KeuzePO_2&gt;1,"met "&amp;Intake!C9&amp;" "&amp;Intake!D9&amp;" "&amp;INDEX(ber_PO!B22:B39,KeuzePO_2,1),"")</f>
        <v/>
      </c>
      <c r="G33" s="58"/>
      <c r="H33" s="58"/>
      <c r="I33" s="58" t="str">
        <f>Intake!I9</f>
        <v/>
      </c>
      <c r="J33" s="58"/>
      <c r="K33" s="61"/>
      <c r="L33" s="104"/>
    </row>
    <row r="34" spans="1:12" x14ac:dyDescent="0.35">
      <c r="A34" s="58"/>
      <c r="B34" s="86"/>
      <c r="C34" s="88"/>
      <c r="D34" s="88"/>
      <c r="E34" s="58"/>
      <c r="F34" s="65" t="str">
        <f>IF(ber_PO!P24&gt;1,"met "&amp;Intake!C10&amp;" "&amp;Intake!D10&amp;" "&amp;INDEX(ber_PO!B22:B33,KeuzePO_3,1),"")</f>
        <v/>
      </c>
      <c r="G34" s="58"/>
      <c r="H34" s="58"/>
      <c r="I34" s="58" t="str">
        <f>Intake!I10</f>
        <v/>
      </c>
      <c r="J34" s="58"/>
      <c r="K34" s="61"/>
      <c r="L34" s="104"/>
    </row>
    <row r="35" spans="1:12" x14ac:dyDescent="0.35">
      <c r="A35" s="58"/>
      <c r="B35" s="86"/>
      <c r="C35" s="88"/>
      <c r="D35" s="88"/>
      <c r="E35" s="58"/>
      <c r="F35" s="65" t="str">
        <f>IF(ber_PO!P25&gt;1,"met "&amp;Intake!C11&amp;" "&amp;Intake!D11&amp;" "&amp;INDEX(ber_PO!B22:B33,KeuzePO_4,1),"")</f>
        <v/>
      </c>
      <c r="G35" s="58"/>
      <c r="H35" s="58"/>
      <c r="I35" s="58" t="str">
        <f>Intake!I11</f>
        <v/>
      </c>
      <c r="J35" s="58"/>
      <c r="K35" s="64"/>
      <c r="L35" s="104"/>
    </row>
    <row r="36" spans="1:12" x14ac:dyDescent="0.35">
      <c r="A36" s="58"/>
      <c r="B36" s="61"/>
      <c r="C36" s="58"/>
      <c r="D36" s="58"/>
      <c r="E36" s="58"/>
      <c r="F36" s="58"/>
      <c r="G36" s="58"/>
      <c r="H36" s="58"/>
      <c r="I36" s="58"/>
      <c r="J36" s="58"/>
      <c r="K36" s="64"/>
      <c r="L36" s="104"/>
    </row>
    <row r="37" spans="1:12" x14ac:dyDescent="0.35">
      <c r="A37" s="66"/>
      <c r="B37" s="89"/>
      <c r="C37" s="90" t="s">
        <v>1377</v>
      </c>
      <c r="D37" s="367">
        <f>ber_Opm!C15</f>
        <v>0</v>
      </c>
      <c r="E37" s="368"/>
      <c r="F37" s="368"/>
      <c r="G37" s="368"/>
      <c r="H37" s="368"/>
      <c r="I37" s="368"/>
      <c r="J37" s="368"/>
      <c r="K37" s="64"/>
      <c r="L37" s="104"/>
    </row>
    <row r="38" spans="1:12" x14ac:dyDescent="0.35">
      <c r="A38" s="58"/>
      <c r="B38" s="61"/>
      <c r="C38" s="58"/>
      <c r="D38" s="58"/>
      <c r="E38" s="58"/>
      <c r="F38" s="58"/>
      <c r="G38" s="58"/>
      <c r="H38" s="58"/>
      <c r="I38" s="58"/>
      <c r="J38" s="58"/>
      <c r="K38" s="58"/>
      <c r="L38" s="104"/>
    </row>
    <row r="39" spans="1:12" ht="13.6" x14ac:dyDescent="0.35">
      <c r="A39" s="66"/>
      <c r="B39" s="71" t="s">
        <v>603</v>
      </c>
      <c r="C39" s="66"/>
      <c r="D39" s="66"/>
      <c r="E39" s="66"/>
      <c r="F39" s="66"/>
      <c r="G39" s="66"/>
      <c r="H39" s="66"/>
      <c r="I39" s="66"/>
      <c r="J39" s="66"/>
      <c r="K39" s="58"/>
      <c r="L39" s="104"/>
    </row>
    <row r="40" spans="1:12" x14ac:dyDescent="0.35">
      <c r="A40" s="58"/>
      <c r="B40" s="88"/>
      <c r="C40" s="88" t="s">
        <v>1871</v>
      </c>
      <c r="D40" s="386" t="str">
        <f>TRIM(Ber_Lab!B5&amp;"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"&amp;Ber_Lab!B31)</f>
        <v/>
      </c>
      <c r="E40" s="387"/>
      <c r="F40" s="387"/>
      <c r="G40" s="387"/>
      <c r="H40" s="387"/>
      <c r="I40" s="387"/>
      <c r="J40" s="387"/>
      <c r="K40" s="58"/>
      <c r="L40" s="104"/>
    </row>
    <row r="41" spans="1:12" x14ac:dyDescent="0.35">
      <c r="A41" s="58"/>
      <c r="B41" s="88"/>
      <c r="C41" s="88" t="s">
        <v>2163</v>
      </c>
      <c r="D41" s="384" t="str">
        <f>TRIM(Ber_Lab!D5&amp;"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"&amp;Ber_Lab!D31)</f>
        <v/>
      </c>
      <c r="E41" s="388"/>
      <c r="F41" s="388"/>
      <c r="G41" s="388"/>
      <c r="H41" s="388"/>
      <c r="I41" s="388"/>
      <c r="J41" s="388"/>
      <c r="K41" s="58"/>
      <c r="L41" s="104"/>
    </row>
    <row r="42" spans="1:12" x14ac:dyDescent="0.35">
      <c r="A42" s="58"/>
      <c r="B42" s="88"/>
      <c r="C42" s="88" t="s">
        <v>2164</v>
      </c>
      <c r="D42" s="384" t="str">
        <f>TRIM(Ber_Lab!F5&amp;"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"&amp;Ber_Lab!F31)</f>
        <v/>
      </c>
      <c r="E42" s="385"/>
      <c r="F42" s="385"/>
      <c r="G42" s="385"/>
      <c r="H42" s="385"/>
      <c r="I42" s="385"/>
      <c r="J42" s="385"/>
      <c r="K42" s="58"/>
      <c r="L42" s="104"/>
    </row>
    <row r="43" spans="1:12" x14ac:dyDescent="0.35">
      <c r="A43" s="58"/>
      <c r="B43" s="88"/>
      <c r="C43" s="88" t="s">
        <v>687</v>
      </c>
      <c r="D43" s="384" t="str">
        <f>TRIM(Ber_Lab!H5&amp;"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"&amp;Ber_Lab!H31)</f>
        <v/>
      </c>
      <c r="E43" s="385"/>
      <c r="F43" s="385"/>
      <c r="G43" s="385"/>
      <c r="H43" s="385"/>
      <c r="I43" s="385"/>
      <c r="J43" s="385"/>
      <c r="K43" s="58"/>
      <c r="L43" s="104"/>
    </row>
    <row r="44" spans="1:12" x14ac:dyDescent="0.35">
      <c r="A44" s="58"/>
      <c r="B44" s="88"/>
      <c r="C44" s="93" t="s">
        <v>72</v>
      </c>
      <c r="D44" s="384" t="str">
        <f>TRIM(Ber_Lab!L5&amp;" "&amp;Ber_Lab!L6&amp;" "&amp;Ber_Lab!L7&amp;" "&amp;Ber_Lab!L8&amp;" "&amp;Ber_Lab!L9&amp;" "&amp;Ber_Lab!L10&amp;" "&amp;Ber_Lab!L11&amp;" "&amp;Ber_Lab!L12&amp;" "&amp;Ber_Lab!L13&amp;" "&amp;Ber_Lab!L14&amp;" "&amp;Ber_Lab!L15&amp;" "&amp;Ber_Lab!L16&amp;" "&amp;Ber_Lab!L17&amp;" "&amp;Ber_Lab!L18&amp;" "&amp;Ber_Lab!L19&amp;" "&amp;Ber_Lab!L20&amp;" "&amp;Ber_Lab!L21&amp;" "&amp;Ber_Lab!L22&amp;" "&amp;Ber_Lab!L23&amp;" "&amp;Ber_Lab!L24&amp;" "&amp;Ber_Lab!L25&amp;" "&amp;Ber_Lab!L26&amp;" "&amp;Ber_Lab!L27&amp;" "&amp;Ber_Lab!L28&amp;" "&amp;Ber_Lab!L29&amp;" "&amp;Ber_Lab!L30&amp;" "&amp;Ber_Lab!L31)</f>
        <v/>
      </c>
      <c r="E44" s="389"/>
      <c r="F44" s="389"/>
      <c r="G44" s="389"/>
      <c r="H44" s="389"/>
      <c r="I44" s="389"/>
      <c r="J44" s="389"/>
      <c r="K44" s="58"/>
      <c r="L44" s="104"/>
    </row>
    <row r="45" spans="1:12" x14ac:dyDescent="0.35">
      <c r="A45" s="58"/>
      <c r="B45" s="88"/>
      <c r="C45" s="93" t="s">
        <v>1377</v>
      </c>
      <c r="D45" s="369">
        <f>ber_Opm!C10</f>
        <v>0</v>
      </c>
      <c r="E45" s="370"/>
      <c r="F45" s="370"/>
      <c r="G45" s="370"/>
      <c r="H45" s="370"/>
      <c r="I45" s="370"/>
      <c r="J45" s="370"/>
      <c r="K45" s="58"/>
      <c r="L45" s="104"/>
    </row>
    <row r="46" spans="1:12" x14ac:dyDescent="0.35">
      <c r="A46" s="66"/>
      <c r="B46" s="90"/>
      <c r="C46" s="92"/>
      <c r="D46" s="371"/>
      <c r="E46" s="371"/>
      <c r="F46" s="371"/>
      <c r="G46" s="371"/>
      <c r="H46" s="371"/>
      <c r="I46" s="371"/>
      <c r="J46" s="371"/>
      <c r="K46" s="58"/>
      <c r="L46" s="104"/>
    </row>
    <row r="47" spans="1:12" x14ac:dyDescent="0.35">
      <c r="A47" s="58"/>
      <c r="B47" s="61"/>
      <c r="C47" s="58"/>
      <c r="D47" s="58"/>
      <c r="E47" s="58"/>
      <c r="F47" s="58"/>
      <c r="G47" s="58"/>
      <c r="H47" s="58"/>
      <c r="I47" s="58"/>
      <c r="J47" s="58"/>
      <c r="K47" s="58"/>
      <c r="L47" s="104"/>
    </row>
    <row r="48" spans="1:12" ht="13.6" x14ac:dyDescent="0.35">
      <c r="A48" s="66"/>
      <c r="B48" s="71" t="s">
        <v>387</v>
      </c>
      <c r="C48" s="68"/>
      <c r="D48" s="66"/>
      <c r="E48" s="66"/>
      <c r="F48" s="66"/>
      <c r="G48" s="66"/>
      <c r="H48" s="66"/>
      <c r="I48" s="66"/>
      <c r="J48" s="66"/>
      <c r="K48" s="58"/>
      <c r="L48" s="104"/>
    </row>
    <row r="49" spans="1:12" x14ac:dyDescent="0.35">
      <c r="A49" s="58"/>
      <c r="B49" s="61" t="s">
        <v>1334</v>
      </c>
      <c r="C49" s="58">
        <f>INDEX(tblAanvAfspr,ber_Infusen!M1,1)</f>
        <v>0</v>
      </c>
      <c r="D49" s="58"/>
      <c r="E49" s="58"/>
      <c r="F49" s="58"/>
      <c r="G49" s="58"/>
      <c r="H49" s="58"/>
      <c r="I49" s="58"/>
      <c r="J49" s="58"/>
      <c r="K49" s="58"/>
      <c r="L49" s="104"/>
    </row>
    <row r="50" spans="1:12" x14ac:dyDescent="0.35">
      <c r="A50" s="58"/>
      <c r="B50" s="61" t="s">
        <v>1335</v>
      </c>
      <c r="C50" s="58">
        <f>INDEX(tblAanvAfspr,ber_Infusen!M2,1)</f>
        <v>0</v>
      </c>
      <c r="D50" s="58"/>
      <c r="E50" s="58"/>
      <c r="F50" s="58"/>
      <c r="G50" s="58"/>
      <c r="H50" s="58"/>
      <c r="I50" s="58"/>
      <c r="J50" s="58"/>
      <c r="K50" s="58"/>
      <c r="L50" s="104"/>
    </row>
    <row r="51" spans="1:12" x14ac:dyDescent="0.35">
      <c r="A51" s="58"/>
      <c r="B51" s="61" t="s">
        <v>1336</v>
      </c>
      <c r="C51" s="58">
        <f>INDEX(tblAanvAfspr,ber_Infusen!M3,1)</f>
        <v>0</v>
      </c>
      <c r="D51" s="58"/>
      <c r="E51" s="58"/>
      <c r="F51" s="58"/>
      <c r="G51" s="58"/>
      <c r="H51" s="58"/>
      <c r="I51" s="58"/>
      <c r="J51" s="58"/>
      <c r="K51" s="58"/>
      <c r="L51" s="104"/>
    </row>
    <row r="52" spans="1:12" x14ac:dyDescent="0.35">
      <c r="A52" s="58"/>
      <c r="B52" s="61" t="s">
        <v>1337</v>
      </c>
      <c r="C52" s="58">
        <f>INDEX(tblAanvAfspr,ber_Infusen!M4,1)</f>
        <v>0</v>
      </c>
      <c r="D52" s="58"/>
      <c r="E52" s="58"/>
      <c r="F52" s="58"/>
      <c r="G52" s="58"/>
      <c r="H52" s="58"/>
      <c r="I52" s="58"/>
      <c r="J52" s="58"/>
      <c r="K52" s="58"/>
      <c r="L52" s="104"/>
    </row>
    <row r="53" spans="1:12" x14ac:dyDescent="0.35">
      <c r="A53" s="58"/>
      <c r="B53" s="61" t="s">
        <v>1338</v>
      </c>
      <c r="C53" s="58" t="str">
        <f>IF(Controle_3&gt;0,Infusen!B23&amp;" "&amp;Infusen!C23&amp;", ","")&amp;IF(Controle_8&gt;0,Infusen!E24&amp;" "&amp;Infusen!F24&amp;", ","")&amp;IF(Controle_2&gt;0,Infusen!E23&amp;" "&amp;Infusen!F23&amp;", ","")&amp;IF(Controle_6&gt;0,Infusen!B24&amp;" "&amp;Infusen!C24&amp;", ","")</f>
        <v/>
      </c>
      <c r="D53" s="58"/>
      <c r="E53" s="58"/>
      <c r="F53" s="58"/>
      <c r="G53" s="58"/>
      <c r="H53" s="58"/>
      <c r="I53" s="58"/>
      <c r="J53" s="58"/>
      <c r="K53" s="58"/>
      <c r="L53" s="104"/>
    </row>
    <row r="54" spans="1:12" x14ac:dyDescent="0.35">
      <c r="A54" s="58"/>
      <c r="B54" s="61" t="s">
        <v>388</v>
      </c>
      <c r="C54" s="373" t="str">
        <f>IF(ber_Infusen!O1&gt;1,"Pacemaker: "&amp;INDEX(ber_Infusen!O2:O5,ber_Infusen!O1)&amp;", Modus:"&amp;INDEX(ber_Infusen!P2:P5,ber_Infusen!P1)&amp;"; Frequentie:"&amp;Infusen!C33&amp;", Atriale output:"&amp;Infusen!C35&amp;", Ventr. Output:"&amp;Infusen!C36&amp;", AV interval:"&amp;Infusen!C38&amp;", Atriale sens.:"&amp;Infusen!C40&amp;", Ventr. sens.:"&amp;Infusen!C41,"")</f>
        <v/>
      </c>
      <c r="D54" s="373"/>
      <c r="E54" s="373"/>
      <c r="F54" s="373"/>
      <c r="G54" s="373"/>
      <c r="H54" s="373"/>
      <c r="I54" s="373"/>
      <c r="J54" s="373"/>
      <c r="K54" s="58"/>
      <c r="L54" s="104"/>
    </row>
    <row r="55" spans="1:12" x14ac:dyDescent="0.35">
      <c r="A55" s="58"/>
      <c r="B55" s="61"/>
      <c r="C55" s="373"/>
      <c r="D55" s="373"/>
      <c r="E55" s="373"/>
      <c r="F55" s="373"/>
      <c r="G55" s="373"/>
      <c r="H55" s="373"/>
      <c r="I55" s="373"/>
      <c r="J55" s="373"/>
      <c r="K55" s="58"/>
      <c r="L55" s="104"/>
    </row>
    <row r="56" spans="1:12" ht="12.65" customHeight="1" x14ac:dyDescent="0.35">
      <c r="A56" s="58"/>
      <c r="B56" s="61" t="s">
        <v>389</v>
      </c>
      <c r="C56" s="376">
        <f>ber_Opm!C11</f>
        <v>0</v>
      </c>
      <c r="D56" s="376"/>
      <c r="E56" s="376"/>
      <c r="F56" s="376"/>
      <c r="G56" s="376"/>
      <c r="H56" s="376"/>
      <c r="I56" s="376"/>
      <c r="J56" s="376"/>
      <c r="K56" s="58"/>
      <c r="L56" s="104"/>
    </row>
    <row r="57" spans="1:12" ht="7" customHeight="1" x14ac:dyDescent="0.35">
      <c r="A57" s="58"/>
      <c r="B57" s="61"/>
      <c r="C57" s="377"/>
      <c r="D57" s="377"/>
      <c r="E57" s="377"/>
      <c r="F57" s="377"/>
      <c r="G57" s="377"/>
      <c r="H57" s="377"/>
      <c r="I57" s="377"/>
      <c r="J57" s="377"/>
      <c r="K57" s="58"/>
      <c r="L57" s="104"/>
    </row>
    <row r="58" spans="1:12" ht="7" customHeight="1" x14ac:dyDescent="0.35">
      <c r="A58" s="58"/>
      <c r="B58" s="61"/>
      <c r="C58" s="377"/>
      <c r="D58" s="377"/>
      <c r="E58" s="377"/>
      <c r="F58" s="377"/>
      <c r="G58" s="377"/>
      <c r="H58" s="377"/>
      <c r="I58" s="377"/>
      <c r="J58" s="377"/>
      <c r="K58" s="58"/>
      <c r="L58" s="104"/>
    </row>
    <row r="59" spans="1:12" ht="7" customHeight="1" x14ac:dyDescent="0.35">
      <c r="A59" s="58"/>
      <c r="B59" s="61"/>
      <c r="C59" s="377"/>
      <c r="D59" s="377"/>
      <c r="E59" s="377"/>
      <c r="F59" s="377"/>
      <c r="G59" s="377"/>
      <c r="H59" s="377"/>
      <c r="I59" s="377"/>
      <c r="J59" s="377"/>
      <c r="K59" s="58"/>
      <c r="L59" s="104"/>
    </row>
    <row r="60" spans="1:12" x14ac:dyDescent="0.35">
      <c r="A60" s="58"/>
      <c r="B60" s="61">
        <v>8</v>
      </c>
      <c r="C60" s="336" t="s">
        <v>383</v>
      </c>
      <c r="D60" s="335"/>
      <c r="E60" s="335"/>
      <c r="F60" s="335"/>
      <c r="G60" s="335"/>
      <c r="H60" s="335"/>
      <c r="I60" s="335"/>
      <c r="J60" s="335"/>
      <c r="K60" s="58"/>
      <c r="L60" s="104"/>
    </row>
    <row r="61" spans="1:12" x14ac:dyDescent="0.35">
      <c r="A61" s="58"/>
      <c r="B61" s="61"/>
      <c r="C61" s="336"/>
      <c r="D61" s="335"/>
      <c r="E61" s="335"/>
      <c r="F61" s="335"/>
      <c r="G61" s="335"/>
      <c r="H61" s="335"/>
      <c r="I61" s="335"/>
      <c r="J61" s="335"/>
      <c r="K61" s="58"/>
      <c r="L61" s="104"/>
    </row>
    <row r="62" spans="1:12" x14ac:dyDescent="0.35">
      <c r="A62" s="58"/>
      <c r="B62" s="61"/>
      <c r="C62" s="336"/>
      <c r="D62" s="335"/>
      <c r="E62" s="335"/>
      <c r="F62" s="335"/>
      <c r="G62" s="335"/>
      <c r="H62" s="335"/>
      <c r="I62" s="335"/>
      <c r="J62" s="335"/>
      <c r="K62" s="58"/>
      <c r="L62" s="104"/>
    </row>
    <row r="63" spans="1:12" x14ac:dyDescent="0.35">
      <c r="A63" s="58"/>
      <c r="B63" s="61"/>
      <c r="C63" s="336"/>
      <c r="D63" s="335"/>
      <c r="E63" s="335"/>
      <c r="F63" s="335"/>
      <c r="G63" s="335"/>
      <c r="H63" s="335"/>
      <c r="I63" s="335"/>
      <c r="J63" s="335"/>
      <c r="K63" s="58"/>
      <c r="L63" s="104"/>
    </row>
    <row r="64" spans="1:12" x14ac:dyDescent="0.35">
      <c r="A64" s="58"/>
      <c r="B64" s="72" t="s">
        <v>457</v>
      </c>
      <c r="C64" s="66"/>
      <c r="D64" s="66"/>
      <c r="E64" s="58"/>
      <c r="F64" s="58"/>
      <c r="G64" s="66" t="s">
        <v>1447</v>
      </c>
      <c r="H64" s="66"/>
      <c r="I64" s="66"/>
      <c r="J64" s="58"/>
      <c r="K64" s="58"/>
      <c r="L64" s="104"/>
    </row>
    <row r="65" spans="1:21" x14ac:dyDescent="0.35">
      <c r="A65" s="58"/>
      <c r="B65" s="61"/>
      <c r="C65" s="58"/>
      <c r="D65" s="58"/>
      <c r="E65" s="58"/>
      <c r="F65" s="58"/>
      <c r="G65" s="58"/>
      <c r="H65" s="58"/>
      <c r="I65" s="58"/>
      <c r="J65" s="58"/>
      <c r="K65" s="58"/>
      <c r="L65" s="104"/>
    </row>
    <row r="66" spans="1:21" x14ac:dyDescent="0.35">
      <c r="A66" s="58"/>
      <c r="B66" s="86"/>
      <c r="C66" s="87" t="e">
        <f>#REF!</f>
        <v>#REF!</v>
      </c>
      <c r="D66" s="56" t="e">
        <f>#REF!</f>
        <v>#REF!</v>
      </c>
      <c r="E66" s="87" t="e">
        <f>#REF!</f>
        <v>#REF!</v>
      </c>
      <c r="F66" s="366" t="e">
        <f>#REF!</f>
        <v>#REF!</v>
      </c>
      <c r="G66" s="366"/>
      <c r="H66" s="88" t="s">
        <v>1303</v>
      </c>
      <c r="I66" s="58" t="str">
        <f>Gewicht/10&amp;" kg"</f>
        <v>10 kg</v>
      </c>
      <c r="J66" s="57"/>
      <c r="K66" s="58"/>
      <c r="L66" s="104"/>
      <c r="M66" s="58"/>
      <c r="N66" s="58"/>
      <c r="O66" s="58"/>
      <c r="P66" s="58"/>
      <c r="Q66" s="58"/>
      <c r="R66" s="58"/>
      <c r="S66" s="58"/>
      <c r="T66" s="58"/>
      <c r="U66" s="58"/>
    </row>
    <row r="67" spans="1:21" x14ac:dyDescent="0.35">
      <c r="A67" s="58"/>
      <c r="B67" s="86"/>
      <c r="C67" s="87" t="e">
        <f>#REF!</f>
        <v>#REF!</v>
      </c>
      <c r="D67" s="59">
        <f ca="1">AfspraakDatum-OpnDatum+1</f>
        <v>829</v>
      </c>
      <c r="E67" s="87" t="e">
        <f>#REF!</f>
        <v>#REF!</v>
      </c>
      <c r="F67" s="60" t="e">
        <f>#REF!</f>
        <v>#REF!</v>
      </c>
      <c r="G67" s="57"/>
      <c r="H67" s="88" t="s">
        <v>632</v>
      </c>
      <c r="I67" s="58" t="str">
        <f>Lengte&amp;" cm"</f>
        <v>80 cm</v>
      </c>
      <c r="J67" s="57"/>
      <c r="K67" s="58"/>
      <c r="L67" s="104"/>
      <c r="M67" s="58"/>
      <c r="N67" s="58"/>
      <c r="O67" s="58"/>
      <c r="P67" s="58"/>
      <c r="Q67" s="58"/>
      <c r="R67" s="58"/>
      <c r="S67" s="58"/>
      <c r="T67" s="58"/>
      <c r="U67" s="58"/>
    </row>
    <row r="68" spans="1:21" x14ac:dyDescent="0.35">
      <c r="A68" s="58"/>
      <c r="B68" s="61"/>
      <c r="C68" s="58"/>
      <c r="D68" s="57"/>
      <c r="E68" s="58"/>
      <c r="F68" s="57"/>
      <c r="G68" s="58"/>
      <c r="H68" s="88" t="s">
        <v>634</v>
      </c>
      <c r="I68" s="58" t="str">
        <f>ROUND(POWER(Gewicht/10,0.425)*POWER(((Lengte/100)*100),0.725)*0.007184,2)&amp;" m2"</f>
        <v>0.46 m2</v>
      </c>
      <c r="J68" s="58"/>
      <c r="K68" s="58"/>
      <c r="L68" s="104"/>
      <c r="M68" s="58"/>
      <c r="N68" s="58"/>
      <c r="O68" s="58"/>
      <c r="P68" s="58"/>
      <c r="Q68" s="58"/>
      <c r="R68" s="58"/>
      <c r="S68" s="58"/>
      <c r="T68" s="58"/>
      <c r="U68" s="58"/>
    </row>
    <row r="69" spans="1:21" x14ac:dyDescent="0.35">
      <c r="A69" s="58"/>
      <c r="B69" s="61"/>
      <c r="C69" s="58"/>
      <c r="D69" s="57"/>
      <c r="E69" s="58"/>
      <c r="F69" s="57"/>
      <c r="G69" s="58"/>
      <c r="H69" s="58"/>
      <c r="I69" s="58"/>
      <c r="J69" s="58"/>
      <c r="K69" s="58"/>
      <c r="L69" s="104"/>
      <c r="M69" s="58"/>
      <c r="N69" s="58"/>
      <c r="O69" s="58"/>
      <c r="P69" s="58"/>
      <c r="Q69" s="58"/>
      <c r="R69" s="58"/>
      <c r="S69" s="58"/>
      <c r="T69" s="58"/>
      <c r="U69" s="58"/>
    </row>
    <row r="70" spans="1:21" ht="13.6" x14ac:dyDescent="0.35">
      <c r="A70" s="66"/>
      <c r="B70" s="71" t="s">
        <v>112</v>
      </c>
      <c r="C70" s="68"/>
      <c r="D70" s="66"/>
      <c r="E70" s="66"/>
      <c r="F70" s="66"/>
      <c r="G70" s="66"/>
      <c r="H70" s="69"/>
      <c r="I70" s="69"/>
      <c r="J70" s="69"/>
      <c r="K70" s="58"/>
      <c r="L70" s="104"/>
      <c r="M70" s="58"/>
      <c r="N70" s="58"/>
      <c r="O70" s="58"/>
      <c r="P70" s="58"/>
      <c r="Q70" s="58"/>
      <c r="R70" s="58"/>
      <c r="S70" s="58"/>
      <c r="T70" s="58"/>
      <c r="U70" s="58"/>
    </row>
    <row r="71" spans="1:21" x14ac:dyDescent="0.35">
      <c r="A71" s="58"/>
      <c r="B71" s="61">
        <v>1</v>
      </c>
      <c r="C71" s="58">
        <f>INDEX(tblInfusen,ber_Infusen!E2,1)</f>
        <v>0</v>
      </c>
      <c r="D71" s="58"/>
      <c r="E71" s="58"/>
      <c r="F71" s="58"/>
      <c r="G71" s="58"/>
      <c r="H71" s="62"/>
      <c r="I71" s="62"/>
      <c r="J71" s="62"/>
      <c r="K71" s="58"/>
      <c r="L71" s="104" t="str">
        <f t="shared" ref="L71:L76" si="0">IF(C71=0,"D","")</f>
        <v>D</v>
      </c>
      <c r="M71" s="58"/>
      <c r="N71" s="58"/>
      <c r="O71" s="58"/>
      <c r="P71" s="58"/>
      <c r="Q71" s="58"/>
      <c r="R71" s="58"/>
      <c r="S71" s="58"/>
      <c r="T71" s="58"/>
      <c r="U71" s="58"/>
    </row>
    <row r="72" spans="1:21" x14ac:dyDescent="0.35">
      <c r="A72" s="58"/>
      <c r="B72" s="61">
        <v>2</v>
      </c>
      <c r="C72" s="58">
        <f>INDEX(tblInfusen,ber_Infusen!E3,1)</f>
        <v>0</v>
      </c>
      <c r="D72" s="58"/>
      <c r="E72" s="58"/>
      <c r="F72" s="58"/>
      <c r="G72" s="58"/>
      <c r="H72" s="62"/>
      <c r="I72" s="62"/>
      <c r="J72" s="62"/>
      <c r="K72" s="58"/>
      <c r="L72" s="104" t="str">
        <f t="shared" si="0"/>
        <v>D</v>
      </c>
      <c r="M72" s="58"/>
      <c r="N72" s="58"/>
      <c r="O72" s="58"/>
      <c r="P72" s="58"/>
      <c r="Q72" s="58"/>
      <c r="R72" s="58"/>
      <c r="S72" s="58"/>
      <c r="T72" s="58"/>
      <c r="U72" s="58"/>
    </row>
    <row r="73" spans="1:21" x14ac:dyDescent="0.35">
      <c r="A73" s="58"/>
      <c r="B73" s="61">
        <v>3</v>
      </c>
      <c r="C73" s="58">
        <f>INDEX(tblInfusen,ber_Infusen!E4,1)</f>
        <v>0</v>
      </c>
      <c r="D73" s="58"/>
      <c r="E73" s="58"/>
      <c r="F73" s="58"/>
      <c r="G73" s="58"/>
      <c r="H73" s="62"/>
      <c r="I73" s="62"/>
      <c r="J73" s="62"/>
      <c r="K73" s="58"/>
      <c r="L73" s="104" t="str">
        <f t="shared" si="0"/>
        <v>D</v>
      </c>
      <c r="M73" s="58"/>
      <c r="N73" s="58"/>
      <c r="O73" s="58"/>
      <c r="P73" s="58"/>
      <c r="Q73" s="58"/>
      <c r="R73" s="58"/>
      <c r="S73" s="58"/>
      <c r="T73" s="58"/>
      <c r="U73" s="58"/>
    </row>
    <row r="74" spans="1:21" x14ac:dyDescent="0.35">
      <c r="A74" s="58"/>
      <c r="B74" s="61">
        <v>4</v>
      </c>
      <c r="C74" s="58">
        <f>INDEX(tblInfusen,ber_Infusen!E5,1)</f>
        <v>0</v>
      </c>
      <c r="D74" s="58"/>
      <c r="E74" s="58"/>
      <c r="F74" s="58"/>
      <c r="G74" s="58"/>
      <c r="H74" s="62"/>
      <c r="I74" s="62"/>
      <c r="J74" s="62"/>
      <c r="K74" s="58"/>
      <c r="L74" s="104" t="str">
        <f t="shared" si="0"/>
        <v>D</v>
      </c>
      <c r="M74" s="58"/>
      <c r="N74" s="58"/>
      <c r="O74" s="58"/>
      <c r="P74" s="58"/>
      <c r="Q74" s="58"/>
      <c r="R74" s="58"/>
      <c r="S74" s="58"/>
      <c r="T74" s="58"/>
      <c r="U74" s="58"/>
    </row>
    <row r="75" spans="1:21" x14ac:dyDescent="0.35">
      <c r="A75" s="58"/>
      <c r="B75" s="61">
        <v>5</v>
      </c>
      <c r="C75" s="58">
        <f>INDEX(tblInfusen,ber_Infusen!E6,1)</f>
        <v>0</v>
      </c>
      <c r="D75" s="58"/>
      <c r="E75" s="58"/>
      <c r="F75" s="58"/>
      <c r="G75" s="58"/>
      <c r="H75" s="62"/>
      <c r="I75" s="62"/>
      <c r="J75" s="62"/>
      <c r="K75" s="58"/>
      <c r="L75" s="104" t="str">
        <f t="shared" si="0"/>
        <v>D</v>
      </c>
      <c r="M75" s="58"/>
      <c r="N75" s="58"/>
      <c r="O75" s="58"/>
      <c r="P75" s="58"/>
      <c r="Q75" s="58"/>
      <c r="R75" s="58"/>
      <c r="S75" s="58"/>
      <c r="T75" s="58"/>
      <c r="U75" s="58"/>
    </row>
    <row r="76" spans="1:21" x14ac:dyDescent="0.35">
      <c r="A76" s="58"/>
      <c r="B76" s="61">
        <v>6</v>
      </c>
      <c r="C76" s="58">
        <f>INDEX(tblInfusen,ber_Infusen!E7,1)</f>
        <v>0</v>
      </c>
      <c r="D76" s="58"/>
      <c r="E76" s="58"/>
      <c r="F76" s="58"/>
      <c r="G76" s="58"/>
      <c r="H76" s="62"/>
      <c r="I76" s="62"/>
      <c r="J76" s="62"/>
      <c r="K76" s="58"/>
      <c r="L76" s="104" t="str">
        <f t="shared" si="0"/>
        <v>D</v>
      </c>
      <c r="M76" s="58"/>
      <c r="N76" s="58"/>
      <c r="O76" s="58"/>
      <c r="P76" s="58"/>
      <c r="Q76" s="58"/>
      <c r="R76" s="58"/>
      <c r="S76" s="58"/>
      <c r="T76" s="58"/>
      <c r="U76" s="58"/>
    </row>
    <row r="77" spans="1:21" x14ac:dyDescent="0.35">
      <c r="A77" s="58"/>
      <c r="B77" s="61"/>
      <c r="C77" s="58"/>
      <c r="D77" s="58"/>
      <c r="E77" s="58"/>
      <c r="F77" s="58"/>
      <c r="G77" s="58"/>
      <c r="H77" s="62"/>
      <c r="I77" s="62"/>
      <c r="J77" s="62"/>
      <c r="K77" s="58"/>
      <c r="L77" s="104"/>
      <c r="M77" s="58"/>
      <c r="N77" s="58"/>
      <c r="O77" s="58"/>
      <c r="P77" s="58"/>
      <c r="Q77" s="58"/>
      <c r="R77" s="58"/>
      <c r="S77" s="58"/>
      <c r="T77" s="58"/>
      <c r="U77" s="58"/>
    </row>
    <row r="78" spans="1:21" x14ac:dyDescent="0.35">
      <c r="A78" s="66"/>
      <c r="B78" s="89"/>
      <c r="C78" s="90" t="s">
        <v>1377</v>
      </c>
      <c r="D78" s="367">
        <f>ber_Opm!C3</f>
        <v>0</v>
      </c>
      <c r="E78" s="368"/>
      <c r="F78" s="368"/>
      <c r="G78" s="368"/>
      <c r="H78" s="368"/>
      <c r="I78" s="368"/>
      <c r="J78" s="368"/>
      <c r="K78" s="58"/>
      <c r="L78" s="104"/>
      <c r="M78" s="58"/>
      <c r="N78" s="58"/>
      <c r="O78" s="58"/>
      <c r="P78" s="58"/>
      <c r="Q78" s="58"/>
      <c r="R78" s="58"/>
      <c r="S78" s="58"/>
      <c r="T78" s="58"/>
      <c r="U78" s="58"/>
    </row>
    <row r="79" spans="1:21" x14ac:dyDescent="0.35">
      <c r="A79" s="58"/>
      <c r="B79" s="61"/>
      <c r="C79" s="58"/>
      <c r="D79" s="58"/>
      <c r="E79" s="58"/>
      <c r="F79" s="58"/>
      <c r="G79" s="58"/>
      <c r="H79" s="58"/>
      <c r="I79" s="58"/>
      <c r="J79" s="58"/>
      <c r="K79" s="58"/>
      <c r="L79" s="104"/>
      <c r="M79" s="58"/>
      <c r="N79" s="58"/>
      <c r="O79" s="58"/>
      <c r="P79" s="58"/>
      <c r="Q79" s="58"/>
      <c r="R79" s="58"/>
      <c r="S79" s="58"/>
      <c r="T79" s="58"/>
      <c r="U79" s="58"/>
    </row>
    <row r="80" spans="1:21" x14ac:dyDescent="0.35">
      <c r="A80" s="58"/>
      <c r="B80" s="61"/>
      <c r="C80" s="58"/>
      <c r="D80" s="58"/>
      <c r="E80" s="58"/>
      <c r="F80" s="58"/>
      <c r="G80" s="58"/>
      <c r="H80" s="58"/>
      <c r="I80" s="58"/>
      <c r="J80" s="58"/>
      <c r="K80" s="58"/>
      <c r="L80" s="104"/>
      <c r="M80" s="58"/>
      <c r="N80" s="58"/>
      <c r="O80" s="58"/>
      <c r="P80" s="58"/>
      <c r="Q80" s="58"/>
      <c r="R80" s="58"/>
      <c r="S80" s="58"/>
      <c r="T80" s="58"/>
      <c r="U80" s="58"/>
    </row>
    <row r="81" spans="1:21" ht="13.6" x14ac:dyDescent="0.35">
      <c r="A81" s="66"/>
      <c r="B81" s="71" t="s">
        <v>1378</v>
      </c>
      <c r="C81" s="66"/>
      <c r="D81" s="66"/>
      <c r="E81" s="66"/>
      <c r="F81" s="66"/>
      <c r="G81" s="66"/>
      <c r="H81" s="66"/>
      <c r="I81" s="66"/>
      <c r="J81" s="66"/>
      <c r="K81" s="58"/>
      <c r="L81" s="104"/>
      <c r="M81" s="58"/>
      <c r="N81" s="58"/>
      <c r="O81" s="58"/>
      <c r="P81" s="58"/>
      <c r="Q81" s="58"/>
      <c r="R81" s="58"/>
      <c r="S81" s="58"/>
      <c r="T81" s="58"/>
      <c r="U81" s="58"/>
    </row>
    <row r="82" spans="1:21" x14ac:dyDescent="0.35">
      <c r="A82" s="58"/>
      <c r="B82" s="86"/>
      <c r="C82" s="88" t="s">
        <v>1427</v>
      </c>
      <c r="D82" s="88"/>
      <c r="E82" s="88" t="s">
        <v>471</v>
      </c>
      <c r="F82" s="88"/>
      <c r="G82" s="88" t="s">
        <v>1430</v>
      </c>
      <c r="H82" s="88"/>
      <c r="I82" s="88"/>
      <c r="J82" s="88" t="s">
        <v>931</v>
      </c>
      <c r="K82" s="58"/>
      <c r="L82" s="104"/>
      <c r="M82" s="58"/>
      <c r="N82" s="58"/>
      <c r="O82" s="58"/>
      <c r="P82" s="58"/>
      <c r="Q82" s="58"/>
      <c r="R82" s="58"/>
      <c r="S82" s="58"/>
      <c r="T82" s="58"/>
      <c r="U82" s="58"/>
    </row>
    <row r="83" spans="1:21" x14ac:dyDescent="0.35">
      <c r="A83" s="58"/>
      <c r="B83" s="61">
        <v>1</v>
      </c>
      <c r="C83" s="58">
        <f>MedicatieIV!C8</f>
        <v>0</v>
      </c>
      <c r="D83" s="58"/>
      <c r="E83" s="58" t="str">
        <f>IF(C83&lt;&gt;0,MedicatieIV!D8&amp;" in "&amp;MedicatieIV!E8&amp;IF(AND(ber_IVmed!D5&lt;&gt;4,MedicatieIV!F8&lt;&gt;0)," "&amp;MedicatieIV!F8,""),"")</f>
        <v/>
      </c>
      <c r="F83" s="58"/>
      <c r="G83" s="58" t="str">
        <f>IF(C83&lt;&gt;0,MedicatieIV!G8&amp;" (="&amp;MedicatieIV!H8&amp;")","")</f>
        <v/>
      </c>
      <c r="H83" s="58"/>
      <c r="I83" s="58"/>
      <c r="J83" s="58" t="str">
        <f>MedicatieIV!I8</f>
        <v/>
      </c>
      <c r="K83" s="58"/>
      <c r="L83" s="104" t="str">
        <f t="shared" ref="L83:L97" si="1">IF(C83=0,"D","")</f>
        <v>D</v>
      </c>
      <c r="M83" s="58"/>
      <c r="N83" s="58"/>
      <c r="O83" s="58"/>
      <c r="P83" s="58"/>
      <c r="Q83" s="58"/>
      <c r="R83" s="58"/>
      <c r="S83" s="58"/>
      <c r="T83" s="58"/>
      <c r="U83" s="58"/>
    </row>
    <row r="84" spans="1:21" x14ac:dyDescent="0.35">
      <c r="A84" s="58"/>
      <c r="B84" s="61">
        <v>2</v>
      </c>
      <c r="C84" s="58">
        <f>MedicatieIV!C9</f>
        <v>0</v>
      </c>
      <c r="D84" s="58"/>
      <c r="E84" s="58" t="str">
        <f>IF(C84&lt;&gt;0,MedicatieIV!D9&amp;" in "&amp;MedicatieIV!E9&amp;IF(AND(ber_IVmed!D6&lt;&gt;4,MedicatieIV!F9&lt;&gt;0)," "&amp;MedicatieIV!F9,""),"")</f>
        <v/>
      </c>
      <c r="F84" s="58"/>
      <c r="G84" s="58" t="str">
        <f>IF(C84&lt;&gt;0,MedicatieIV!G9&amp;" (="&amp;MedicatieIV!H9&amp;")","")</f>
        <v/>
      </c>
      <c r="H84" s="58"/>
      <c r="I84" s="58"/>
      <c r="J84" s="58" t="str">
        <f>MedicatieIV!I9</f>
        <v/>
      </c>
      <c r="K84" s="58"/>
      <c r="L84" s="104" t="str">
        <f t="shared" si="1"/>
        <v>D</v>
      </c>
      <c r="M84" s="58"/>
      <c r="N84" s="58"/>
      <c r="O84" s="58"/>
      <c r="P84" s="58"/>
      <c r="Q84" s="58"/>
      <c r="R84" s="58"/>
      <c r="S84" s="58"/>
      <c r="T84" s="58"/>
      <c r="U84" s="58"/>
    </row>
    <row r="85" spans="1:21" x14ac:dyDescent="0.35">
      <c r="A85" s="58"/>
      <c r="B85" s="61">
        <v>3</v>
      </c>
      <c r="C85" s="58">
        <f>MedicatieIV!C10</f>
        <v>0</v>
      </c>
      <c r="D85" s="58"/>
      <c r="E85" s="58" t="str">
        <f>IF(C85&lt;&gt;0,MedicatieIV!D10&amp;" in "&amp;MedicatieIV!E10&amp;IF(AND(ber_IVmed!D7&lt;&gt;4,MedicatieIV!F10&lt;&gt;0)," "&amp;MedicatieIV!F10,""),"")</f>
        <v/>
      </c>
      <c r="F85" s="58"/>
      <c r="G85" s="58" t="str">
        <f>IF(C85&lt;&gt;0,MedicatieIV!G10&amp;" (="&amp;MedicatieIV!H10&amp;")","")</f>
        <v/>
      </c>
      <c r="H85" s="58"/>
      <c r="I85" s="58"/>
      <c r="J85" s="58" t="str">
        <f>MedicatieIV!I10</f>
        <v/>
      </c>
      <c r="K85" s="58"/>
      <c r="L85" s="104" t="str">
        <f t="shared" si="1"/>
        <v>D</v>
      </c>
      <c r="M85" s="58"/>
      <c r="N85" s="58"/>
      <c r="O85" s="58"/>
      <c r="P85" s="58"/>
      <c r="Q85" s="58"/>
      <c r="R85" s="58"/>
      <c r="S85" s="58"/>
      <c r="T85" s="58"/>
      <c r="U85" s="58"/>
    </row>
    <row r="86" spans="1:21" x14ac:dyDescent="0.35">
      <c r="A86" s="58"/>
      <c r="B86" s="61">
        <v>4</v>
      </c>
      <c r="C86" s="58">
        <f>MedicatieIV!C11</f>
        <v>0</v>
      </c>
      <c r="D86" s="58"/>
      <c r="E86" s="58" t="str">
        <f>IF(C86&lt;&gt;0,MedicatieIV!D11&amp;" in "&amp;MedicatieIV!E11&amp;IF(AND(ber_IVmed!D8&lt;&gt;4,MedicatieIV!F11&lt;&gt;0)," "&amp;MedicatieIV!F11,""),"")</f>
        <v/>
      </c>
      <c r="F86" s="58"/>
      <c r="G86" s="58" t="str">
        <f>IF(C86&lt;&gt;0,MedicatieIV!G11&amp;" (="&amp;MedicatieIV!H11&amp;")","")</f>
        <v/>
      </c>
      <c r="H86" s="58"/>
      <c r="I86" s="58"/>
      <c r="J86" s="58" t="str">
        <f>MedicatieIV!I11</f>
        <v/>
      </c>
      <c r="K86" s="58"/>
      <c r="L86" s="104" t="str">
        <f t="shared" si="1"/>
        <v>D</v>
      </c>
      <c r="M86" s="58"/>
      <c r="N86" s="58"/>
      <c r="O86" s="58"/>
      <c r="P86" s="58"/>
      <c r="Q86" s="58"/>
      <c r="R86" s="58"/>
      <c r="S86" s="58"/>
      <c r="T86" s="58"/>
      <c r="U86" s="58"/>
    </row>
    <row r="87" spans="1:21" x14ac:dyDescent="0.35">
      <c r="A87" s="58"/>
      <c r="B87" s="61">
        <v>5</v>
      </c>
      <c r="C87" s="58">
        <f>MedicatieIV!C12</f>
        <v>0</v>
      </c>
      <c r="D87" s="58"/>
      <c r="E87" s="58" t="str">
        <f>IF(C87&lt;&gt;0,MedicatieIV!D12&amp;" in "&amp;MedicatieIV!E12&amp;IF(AND(ber_IVmed!D10&lt;&gt;4,MedicatieIV!F12&lt;&gt;0)," "&amp;MedicatieIV!F12,""),"")</f>
        <v/>
      </c>
      <c r="F87" s="58"/>
      <c r="G87" s="58" t="str">
        <f>IF(C87&lt;&gt;0,MedicatieIV!G12&amp;" (="&amp;MedicatieIV!H12&amp;")","")</f>
        <v/>
      </c>
      <c r="H87" s="58"/>
      <c r="I87" s="58"/>
      <c r="J87" s="58" t="str">
        <f>MedicatieIV!I12</f>
        <v/>
      </c>
      <c r="K87" s="58"/>
      <c r="L87" s="104" t="str">
        <f t="shared" si="1"/>
        <v>D</v>
      </c>
      <c r="M87" s="58"/>
      <c r="N87" s="58"/>
      <c r="O87" s="58"/>
      <c r="P87" s="58"/>
      <c r="Q87" s="58"/>
      <c r="R87" s="58"/>
      <c r="S87" s="58"/>
      <c r="T87" s="58"/>
      <c r="U87" s="58"/>
    </row>
    <row r="88" spans="1:21" x14ac:dyDescent="0.35">
      <c r="A88" s="58"/>
      <c r="B88" s="61">
        <v>6</v>
      </c>
      <c r="C88" s="58">
        <f>MedicatieIV!C13</f>
        <v>0</v>
      </c>
      <c r="D88" s="58"/>
      <c r="E88" s="58" t="str">
        <f>IF(C88&lt;&gt;0,MedicatieIV!D13&amp;" in "&amp;MedicatieIV!E13&amp;IF(AND(ber_IVmed!D11&lt;&gt;4,MedicatieIV!F13&lt;&gt;0)," "&amp;MedicatieIV!F13,""),"")</f>
        <v/>
      </c>
      <c r="F88" s="58"/>
      <c r="G88" s="58" t="str">
        <f>IF(C88&lt;&gt;0,MedicatieIV!G13&amp;" (="&amp;MedicatieIV!H13&amp;")","")</f>
        <v/>
      </c>
      <c r="H88" s="58"/>
      <c r="I88" s="58"/>
      <c r="J88" s="58" t="str">
        <f>MedicatieIV!I13</f>
        <v/>
      </c>
      <c r="K88" s="58"/>
      <c r="L88" s="104" t="str">
        <f t="shared" si="1"/>
        <v>D</v>
      </c>
      <c r="M88" s="58"/>
      <c r="N88" s="58"/>
      <c r="O88" s="58"/>
      <c r="P88" s="58"/>
      <c r="Q88" s="58"/>
      <c r="R88" s="58"/>
      <c r="S88" s="58"/>
      <c r="T88" s="58"/>
      <c r="U88" s="58"/>
    </row>
    <row r="89" spans="1:21" x14ac:dyDescent="0.35">
      <c r="A89" s="58"/>
      <c r="B89" s="61">
        <v>7</v>
      </c>
      <c r="C89" s="58">
        <f>MedicatieIV!C14</f>
        <v>0</v>
      </c>
      <c r="D89" s="58"/>
      <c r="E89" s="58" t="str">
        <f>IF(C89&lt;&gt;0,MedicatieIV!D14&amp;" in "&amp;MedicatieIV!E14&amp;IF(AND(ber_IVmed!D12&lt;&gt;4,MedicatieIV!F14&lt;&gt;0)," "&amp;MedicatieIV!F14,""),"")</f>
        <v/>
      </c>
      <c r="F89" s="58"/>
      <c r="G89" s="58" t="str">
        <f>IF(C89&lt;&gt;0,MedicatieIV!G14&amp;" (="&amp;MedicatieIV!H14&amp;")","")</f>
        <v/>
      </c>
      <c r="H89" s="58"/>
      <c r="I89" s="58"/>
      <c r="J89" s="58" t="str">
        <f>MedicatieIV!I14</f>
        <v/>
      </c>
      <c r="K89" s="58"/>
      <c r="L89" s="104" t="str">
        <f t="shared" si="1"/>
        <v>D</v>
      </c>
      <c r="M89" s="58"/>
      <c r="N89" s="58"/>
      <c r="O89" s="58"/>
      <c r="P89" s="58"/>
      <c r="Q89" s="58"/>
      <c r="R89" s="58"/>
      <c r="S89" s="58"/>
      <c r="T89" s="58"/>
      <c r="U89" s="58"/>
    </row>
    <row r="90" spans="1:21" x14ac:dyDescent="0.35">
      <c r="A90" s="58"/>
      <c r="B90" s="61">
        <v>8</v>
      </c>
      <c r="C90" s="58">
        <f>MedicatieIV!C15</f>
        <v>0</v>
      </c>
      <c r="D90" s="58"/>
      <c r="E90" s="58" t="str">
        <f>IF(C90&lt;&gt;0,MedicatieIV!D15&amp;" in "&amp;MedicatieIV!E15&amp;IF(AND(ber_IVmed!D13&lt;&gt;4,MedicatieIV!F15&lt;&gt;0)," "&amp;MedicatieIV!F15,""),"")</f>
        <v/>
      </c>
      <c r="F90" s="58"/>
      <c r="G90" s="58" t="str">
        <f>IF(C90&lt;&gt;0,MedicatieIV!G15&amp;" (="&amp;MedicatieIV!H15&amp;")","")</f>
        <v/>
      </c>
      <c r="H90" s="58"/>
      <c r="I90" s="58"/>
      <c r="J90" s="58" t="str">
        <f>MedicatieIV!I15</f>
        <v/>
      </c>
      <c r="K90" s="58"/>
      <c r="L90" s="104" t="str">
        <f t="shared" si="1"/>
        <v>D</v>
      </c>
      <c r="M90" s="58"/>
      <c r="N90" s="58"/>
      <c r="O90" s="58"/>
      <c r="P90" s="58"/>
      <c r="Q90" s="58"/>
      <c r="R90" s="58"/>
      <c r="S90" s="58"/>
      <c r="T90" s="58"/>
      <c r="U90" s="58"/>
    </row>
    <row r="91" spans="1:21" x14ac:dyDescent="0.35">
      <c r="A91" s="58"/>
      <c r="B91" s="61">
        <v>9</v>
      </c>
      <c r="C91" s="58">
        <f>MedicatieIV!C16</f>
        <v>0</v>
      </c>
      <c r="D91" s="58"/>
      <c r="E91" s="58" t="str">
        <f>IF(C91&lt;&gt;0,MedicatieIV!D16&amp;" in "&amp;MedicatieIV!E16&amp;IF(AND(ber_IVmed!D14&lt;&gt;4,MedicatieIV!F16&lt;&gt;0)," "&amp;MedicatieIV!F16,""),"")</f>
        <v/>
      </c>
      <c r="F91" s="58"/>
      <c r="G91" s="58" t="str">
        <f>IF(C91&lt;&gt;0,MedicatieIV!G16&amp;" (="&amp;MedicatieIV!H16&amp;")","")</f>
        <v/>
      </c>
      <c r="H91" s="58"/>
      <c r="I91" s="58"/>
      <c r="J91" s="58" t="str">
        <f>MedicatieIV!I16</f>
        <v/>
      </c>
      <c r="K91" s="58"/>
      <c r="L91" s="104" t="str">
        <f t="shared" si="1"/>
        <v>D</v>
      </c>
      <c r="M91" s="58"/>
      <c r="N91" s="58"/>
      <c r="O91" s="58"/>
      <c r="P91" s="58"/>
      <c r="Q91" s="58"/>
      <c r="R91" s="58"/>
      <c r="S91" s="58"/>
      <c r="T91" s="58"/>
      <c r="U91" s="58"/>
    </row>
    <row r="92" spans="1:21" x14ac:dyDescent="0.35">
      <c r="A92" s="58"/>
      <c r="B92" s="61">
        <v>10</v>
      </c>
      <c r="C92" s="58">
        <f>MedicatieIV!C17</f>
        <v>0</v>
      </c>
      <c r="D92" s="58"/>
      <c r="E92" s="58" t="str">
        <f>IF(C92&lt;&gt;0,MedicatieIV!D17&amp;" in "&amp;MedicatieIV!E17&amp;IF(AND(ber_IVmed!#REF!&lt;&gt;4,MedicatieIV!F17&lt;&gt;0)," "&amp;MedicatieIV!F17,""),"")</f>
        <v/>
      </c>
      <c r="F92" s="58"/>
      <c r="G92" s="58" t="str">
        <f>IF(C92&lt;&gt;0,MedicatieIV!G17&amp;" (="&amp;MedicatieIV!H17&amp;")","")</f>
        <v/>
      </c>
      <c r="H92" s="58"/>
      <c r="I92" s="58"/>
      <c r="J92" s="58" t="str">
        <f>MedicatieIV!I17</f>
        <v/>
      </c>
      <c r="K92" s="58"/>
      <c r="L92" s="104" t="str">
        <f t="shared" si="1"/>
        <v>D</v>
      </c>
      <c r="M92" s="58"/>
      <c r="N92" s="58"/>
      <c r="O92" s="58"/>
      <c r="P92" s="58"/>
      <c r="Q92" s="58"/>
      <c r="R92" s="58"/>
      <c r="S92" s="58"/>
      <c r="T92" s="58"/>
      <c r="U92" s="58"/>
    </row>
    <row r="93" spans="1:21" x14ac:dyDescent="0.35">
      <c r="A93" s="58"/>
      <c r="B93" s="61">
        <v>11</v>
      </c>
      <c r="C93" s="58">
        <f>MedicatieIV!C19</f>
        <v>0</v>
      </c>
      <c r="D93" s="58"/>
      <c r="E93" s="58" t="str">
        <f>IF(C93&lt;&gt;0,MedicatieIV!D19&amp;" in "&amp;MedicatieIV!E19&amp;IF(AND(ber_IVmed!D27&lt;&gt;4,MedicatieIV!F19&lt;&gt;0)," "&amp;MedicatieIV!F19,""),"")</f>
        <v/>
      </c>
      <c r="F93" s="58"/>
      <c r="G93" s="58">
        <f>MedicatieIV!G19</f>
        <v>0</v>
      </c>
      <c r="H93" s="58"/>
      <c r="I93" s="58"/>
      <c r="J93" s="58" t="str">
        <f>MedicatieIV!I19</f>
        <v/>
      </c>
      <c r="K93" s="58"/>
      <c r="L93" s="104" t="str">
        <f t="shared" si="1"/>
        <v>D</v>
      </c>
      <c r="M93" s="58"/>
      <c r="N93" s="58"/>
      <c r="O93" s="58"/>
      <c r="P93" s="58"/>
      <c r="Q93" s="58"/>
      <c r="R93" s="58"/>
      <c r="S93" s="58"/>
      <c r="T93" s="58"/>
      <c r="U93" s="58"/>
    </row>
    <row r="94" spans="1:21" x14ac:dyDescent="0.35">
      <c r="A94" s="58"/>
      <c r="B94" s="61">
        <v>12</v>
      </c>
      <c r="C94" s="58">
        <f>MedicatieIV!C20</f>
        <v>0</v>
      </c>
      <c r="D94" s="58"/>
      <c r="E94" s="58" t="str">
        <f>IF(C94&lt;&gt;0,MedicatieIV!D20&amp;" in "&amp;MedicatieIV!E20&amp;IF(AND(ber_IVmed!D28&lt;&gt;4,MedicatieIV!F20&lt;&gt;0)," "&amp;MedicatieIV!F20,""),"")</f>
        <v/>
      </c>
      <c r="F94" s="58"/>
      <c r="G94" s="58">
        <f>MedicatieIV!G20</f>
        <v>0</v>
      </c>
      <c r="H94" s="58"/>
      <c r="I94" s="58"/>
      <c r="J94" s="58" t="str">
        <f>MedicatieIV!I20</f>
        <v/>
      </c>
      <c r="K94" s="58"/>
      <c r="L94" s="104" t="str">
        <f t="shared" si="1"/>
        <v>D</v>
      </c>
      <c r="M94" s="58"/>
      <c r="N94" s="58"/>
      <c r="O94" s="58"/>
      <c r="P94" s="58"/>
      <c r="Q94" s="58"/>
      <c r="R94" s="58"/>
      <c r="S94" s="58"/>
      <c r="T94" s="58"/>
      <c r="U94" s="58"/>
    </row>
    <row r="95" spans="1:21" x14ac:dyDescent="0.35">
      <c r="A95" s="58"/>
      <c r="B95" s="61">
        <v>13</v>
      </c>
      <c r="C95" s="58">
        <f>MedicatieIV!C21</f>
        <v>0</v>
      </c>
      <c r="D95" s="58"/>
      <c r="E95" s="58" t="str">
        <f>IF(C95&lt;&gt;0,MedicatieIV!D21&amp;" in "&amp;MedicatieIV!E21&amp;IF(AND(ber_IVmed!D29&lt;&gt;4,MedicatieIV!F21&lt;&gt;0)," "&amp;MedicatieIV!F21,""),"")</f>
        <v/>
      </c>
      <c r="F95" s="58"/>
      <c r="G95" s="58">
        <f>MedicatieIV!G21</f>
        <v>0</v>
      </c>
      <c r="H95" s="58"/>
      <c r="I95" s="58"/>
      <c r="J95" s="58" t="str">
        <f>MedicatieIV!I21</f>
        <v/>
      </c>
      <c r="K95" s="58"/>
      <c r="L95" s="104" t="str">
        <f t="shared" si="1"/>
        <v>D</v>
      </c>
      <c r="M95" s="58"/>
      <c r="N95" s="58"/>
      <c r="O95" s="58"/>
      <c r="P95" s="58"/>
      <c r="Q95" s="58"/>
      <c r="R95" s="58"/>
      <c r="S95" s="58"/>
      <c r="T95" s="58"/>
      <c r="U95" s="58"/>
    </row>
    <row r="96" spans="1:21" x14ac:dyDescent="0.35">
      <c r="A96" s="58"/>
      <c r="B96" s="61">
        <v>14</v>
      </c>
      <c r="C96" s="58">
        <f>MedicatieIV!C22</f>
        <v>0</v>
      </c>
      <c r="D96" s="58"/>
      <c r="E96" s="58" t="str">
        <f>IF(C96&lt;&gt;0,MedicatieIV!D22&amp;" in "&amp;MedicatieIV!E22&amp;IF(AND(ber_IVmed!D30&lt;&gt;4,MedicatieIV!F22&lt;&gt;0)," "&amp;MedicatieIV!F22,""),"")</f>
        <v/>
      </c>
      <c r="F96" s="58"/>
      <c r="G96" s="58">
        <f>MedicatieIV!G22</f>
        <v>0</v>
      </c>
      <c r="H96" s="58"/>
      <c r="I96" s="58"/>
      <c r="J96" s="58" t="str">
        <f>MedicatieIV!I22</f>
        <v/>
      </c>
      <c r="K96" s="58"/>
      <c r="L96" s="104" t="str">
        <f t="shared" si="1"/>
        <v>D</v>
      </c>
      <c r="M96" s="58"/>
      <c r="N96" s="58"/>
      <c r="O96" s="58"/>
      <c r="P96" s="58"/>
      <c r="Q96" s="58"/>
      <c r="R96" s="58"/>
      <c r="S96" s="58"/>
      <c r="T96" s="58"/>
      <c r="U96" s="58"/>
    </row>
    <row r="97" spans="1:21" x14ac:dyDescent="0.35">
      <c r="A97" s="58"/>
      <c r="B97" s="61">
        <v>15</v>
      </c>
      <c r="C97" s="58">
        <f>MedicatieIV!C23</f>
        <v>0</v>
      </c>
      <c r="D97" s="58"/>
      <c r="E97" s="58" t="str">
        <f>IF(C97&lt;&gt;0,MedicatieIV!D23&amp;" in "&amp;MedicatieIV!E23&amp;IF(AND(ber_IVmed!D31&lt;&gt;4,MedicatieIV!F23&lt;&gt;0)," "&amp;MedicatieIV!F23,""),"")</f>
        <v/>
      </c>
      <c r="F97" s="58"/>
      <c r="G97" s="58">
        <f>MedicatieIV!G23</f>
        <v>0</v>
      </c>
      <c r="H97" s="58"/>
      <c r="I97" s="58"/>
      <c r="J97" s="58" t="str">
        <f>MedicatieIV!I23</f>
        <v/>
      </c>
      <c r="K97" s="58"/>
      <c r="L97" s="104" t="str">
        <f t="shared" si="1"/>
        <v>D</v>
      </c>
      <c r="M97" s="58"/>
      <c r="N97" s="58"/>
      <c r="O97" s="58"/>
      <c r="P97" s="58"/>
      <c r="Q97" s="58"/>
      <c r="R97" s="58"/>
      <c r="S97" s="58"/>
      <c r="T97" s="58"/>
      <c r="U97" s="58"/>
    </row>
    <row r="98" spans="1:21" x14ac:dyDescent="0.35">
      <c r="A98" s="58"/>
      <c r="B98" s="61"/>
      <c r="C98" s="58"/>
      <c r="D98" s="58"/>
      <c r="E98" s="58"/>
      <c r="F98" s="58"/>
      <c r="G98" s="58"/>
      <c r="H98" s="58"/>
      <c r="I98" s="58"/>
      <c r="J98" s="58"/>
      <c r="K98" s="58"/>
      <c r="L98" s="104"/>
      <c r="M98" s="58"/>
      <c r="N98" s="58"/>
      <c r="O98" s="58"/>
      <c r="P98" s="58"/>
      <c r="Q98" s="58"/>
      <c r="R98" s="58"/>
      <c r="S98" s="58"/>
      <c r="T98" s="58"/>
      <c r="U98" s="58"/>
    </row>
    <row r="99" spans="1:21" x14ac:dyDescent="0.35">
      <c r="A99" s="58"/>
      <c r="B99" s="86"/>
      <c r="C99" s="88" t="s">
        <v>1377</v>
      </c>
      <c r="D99" s="369">
        <f>ber_Opm!C4</f>
        <v>0</v>
      </c>
      <c r="E99" s="369"/>
      <c r="F99" s="369"/>
      <c r="G99" s="369"/>
      <c r="H99" s="369"/>
      <c r="I99" s="369"/>
      <c r="J99" s="369"/>
      <c r="K99" s="58"/>
      <c r="L99" s="104"/>
      <c r="M99" s="58"/>
      <c r="N99" s="58"/>
      <c r="O99" s="58"/>
      <c r="P99" s="58"/>
      <c r="Q99" s="58"/>
      <c r="R99" s="58"/>
      <c r="S99" s="58"/>
      <c r="T99" s="58"/>
      <c r="U99" s="58"/>
    </row>
    <row r="100" spans="1:21" x14ac:dyDescent="0.35">
      <c r="A100" s="58"/>
      <c r="B100" s="61"/>
      <c r="C100" s="58"/>
      <c r="D100" s="372"/>
      <c r="E100" s="372"/>
      <c r="F100" s="372"/>
      <c r="G100" s="372"/>
      <c r="H100" s="372"/>
      <c r="I100" s="372"/>
      <c r="J100" s="372"/>
      <c r="K100" s="58"/>
      <c r="L100" s="104"/>
      <c r="M100" s="58"/>
      <c r="N100" s="58"/>
      <c r="O100" s="58"/>
      <c r="P100" s="58"/>
      <c r="Q100" s="58"/>
      <c r="R100" s="58"/>
      <c r="S100" s="58"/>
      <c r="T100" s="58"/>
      <c r="U100" s="58"/>
    </row>
    <row r="101" spans="1:21" ht="13.6" x14ac:dyDescent="0.35">
      <c r="A101" s="66"/>
      <c r="B101" s="71" t="str">
        <f>Intake!C14</f>
        <v>Infuus</v>
      </c>
      <c r="C101" s="68"/>
      <c r="D101" s="66"/>
      <c r="E101" s="66"/>
      <c r="F101" s="66"/>
      <c r="G101" s="66"/>
      <c r="H101" s="66"/>
      <c r="I101" s="66"/>
      <c r="J101" s="66"/>
      <c r="K101" s="58"/>
      <c r="L101" s="104"/>
      <c r="M101" s="58"/>
      <c r="N101" s="58"/>
      <c r="O101" s="58"/>
      <c r="P101" s="58"/>
      <c r="Q101" s="58"/>
      <c r="R101" s="58"/>
      <c r="S101" s="58"/>
      <c r="T101" s="58"/>
      <c r="U101" s="58"/>
    </row>
    <row r="102" spans="1:21" x14ac:dyDescent="0.35">
      <c r="A102" s="58"/>
      <c r="B102" s="86"/>
      <c r="C102" s="88"/>
      <c r="D102" s="118">
        <f>IF(E102&lt;&gt;"",Intake!C15,)</f>
        <v>0</v>
      </c>
      <c r="E102" s="67" t="str">
        <f>IF(TPN2tot6kg!G21&lt;&gt;0,TPN2tot6kg!A14&amp;" ml","")</f>
        <v/>
      </c>
      <c r="F102" s="67" t="str">
        <f>IF(TPN2tot6kg!G21&lt;&gt;0,TPN2tot6kg!G21&amp;" ml","")</f>
        <v/>
      </c>
      <c r="G102" s="124"/>
      <c r="H102" s="118">
        <f>IF(I102&lt;&gt;"",Intake!H15,)</f>
        <v>0</v>
      </c>
      <c r="I102" s="67" t="str">
        <f>Intake!I15</f>
        <v/>
      </c>
      <c r="J102" s="67" t="str">
        <f>Intake!J15</f>
        <v/>
      </c>
      <c r="K102" s="58"/>
      <c r="L102" s="104"/>
      <c r="M102" s="58"/>
      <c r="N102" s="58"/>
      <c r="O102" s="58"/>
      <c r="P102" s="58"/>
      <c r="Q102" s="58"/>
      <c r="R102" s="58"/>
      <c r="S102" s="58"/>
      <c r="T102" s="58"/>
      <c r="U102" s="58"/>
    </row>
    <row r="103" spans="1:21" x14ac:dyDescent="0.35">
      <c r="A103" s="58"/>
      <c r="B103" s="86"/>
      <c r="C103" s="88"/>
      <c r="D103" s="87" t="str">
        <f>IF(F103&lt;&gt;"",ber_TPN!A27,"")</f>
        <v/>
      </c>
      <c r="E103" s="58" t="str">
        <f>IF(ber_TPN!B4=4,ROUND(ber_TPN!D4,1)&amp;" ml/uur","")</f>
        <v/>
      </c>
      <c r="F103" s="58" t="str">
        <f>Intake!E16</f>
        <v/>
      </c>
      <c r="G103" s="88"/>
      <c r="H103" s="87">
        <f>IF(J103&lt;&gt;"",INDEX(tblSSTGlucose,SSTGlucose_2,1),)</f>
        <v>0</v>
      </c>
      <c r="I103" s="58"/>
      <c r="J103" s="58" t="str">
        <f>Intake!J17</f>
        <v/>
      </c>
      <c r="K103" s="58"/>
      <c r="L103" s="104" t="str">
        <f>IF(AND(D103="",H103=0),"D","")</f>
        <v>D</v>
      </c>
      <c r="M103" s="58"/>
      <c r="N103" s="58"/>
      <c r="O103" s="58"/>
      <c r="P103" s="58"/>
      <c r="Q103" s="58"/>
      <c r="R103" s="58"/>
      <c r="S103" s="58"/>
      <c r="T103" s="58"/>
      <c r="U103" s="58"/>
    </row>
    <row r="104" spans="1:21" x14ac:dyDescent="0.35">
      <c r="A104" s="58"/>
      <c r="B104" s="86"/>
      <c r="C104" s="88"/>
      <c r="D104" s="87" t="str">
        <f>IF(Intake!G16&lt;&gt;"","Peditrace","")</f>
        <v/>
      </c>
      <c r="E104" s="165" t="str">
        <f>IF(Intake!G16&lt;&gt;"",Intake!G16&amp;" "&amp;Intake!F17,"")</f>
        <v/>
      </c>
      <c r="F104" s="166"/>
      <c r="G104" s="88"/>
      <c r="H104" s="87">
        <f>IF(J104&lt;&gt;"",Intake!H18,)</f>
        <v>0</v>
      </c>
      <c r="I104" s="58"/>
      <c r="J104" s="58" t="str">
        <f>Intake!J18</f>
        <v/>
      </c>
      <c r="K104" s="58"/>
      <c r="L104" s="104" t="str">
        <f>IF(AND(D104="",H104=0),"D","")</f>
        <v>D</v>
      </c>
      <c r="M104" s="58"/>
      <c r="N104" s="58"/>
      <c r="O104" s="58"/>
      <c r="P104" s="58"/>
      <c r="Q104" s="58"/>
      <c r="R104" s="58"/>
      <c r="S104" s="58"/>
      <c r="T104" s="58"/>
      <c r="U104" s="58"/>
    </row>
    <row r="105" spans="1:21" x14ac:dyDescent="0.35">
      <c r="A105" s="58"/>
      <c r="B105" s="86"/>
      <c r="C105" s="88"/>
      <c r="D105" s="87">
        <f>IF(F105&lt;&gt;"",INDEX(tblSSTGlucose,SSTglucose,1),)</f>
        <v>0</v>
      </c>
      <c r="E105" s="58"/>
      <c r="F105" s="58" t="str">
        <f>IF(AND(TPN=2,SSTglucose&lt;11,Gewicht/10&lt;=50),ROUND(ber_TPN!F6,0)&amp;" ml","")</f>
        <v/>
      </c>
      <c r="G105" s="88"/>
      <c r="H105" s="87">
        <f>IF(J105&lt;&gt;"",Intake!H19,)</f>
        <v>0</v>
      </c>
      <c r="I105" s="58"/>
      <c r="J105" s="58" t="str">
        <f>Intake!J19</f>
        <v/>
      </c>
      <c r="K105" s="58"/>
      <c r="L105" s="104" t="str">
        <f>IF(AND(D105="",H105=0),"D","")</f>
        <v/>
      </c>
      <c r="M105" s="58"/>
      <c r="N105" s="58"/>
      <c r="O105" s="58"/>
      <c r="P105" s="58"/>
      <c r="Q105" s="58"/>
      <c r="R105" s="58"/>
      <c r="S105" s="58"/>
      <c r="T105" s="58"/>
      <c r="U105" s="58"/>
    </row>
    <row r="106" spans="1:21" x14ac:dyDescent="0.35">
      <c r="A106" s="58"/>
      <c r="B106" s="86"/>
      <c r="C106" s="88"/>
      <c r="D106" s="87">
        <f>IF(F106&lt;&gt;"",Intake!C18,)</f>
        <v>0</v>
      </c>
      <c r="E106" s="58"/>
      <c r="F106" s="58" t="str">
        <f>IF(AND(TPN2tot6kg!G14&lt;&gt;"",ber_TPN!$F$4&gt;0),TPN2tot6kg!G14&amp;" ml","")</f>
        <v/>
      </c>
      <c r="G106" s="58"/>
      <c r="H106" s="58"/>
      <c r="I106" s="58"/>
      <c r="J106" s="58"/>
      <c r="K106" s="58"/>
      <c r="L106" s="104" t="str">
        <f>IF(D106=0,"D","")</f>
        <v>D</v>
      </c>
      <c r="M106" s="58"/>
      <c r="N106" s="58"/>
      <c r="O106" s="58"/>
      <c r="P106" s="58"/>
      <c r="Q106" s="58"/>
      <c r="R106" s="58"/>
      <c r="S106" s="58"/>
      <c r="T106" s="58"/>
      <c r="U106" s="58"/>
    </row>
    <row r="107" spans="1:21" x14ac:dyDescent="0.35">
      <c r="A107" s="58"/>
      <c r="B107" s="86"/>
      <c r="C107" s="88"/>
      <c r="D107" s="87">
        <f>IF(F107&lt;&gt;"",Intake!C19,)</f>
        <v>0</v>
      </c>
      <c r="E107" s="58"/>
      <c r="F107" s="58" t="str">
        <f>IF(AND(TPN2tot6kg!G15&lt;&gt;"",ber_TPN!$F$4&gt;0),TPN2tot6kg!G15&amp;" ml","")</f>
        <v/>
      </c>
      <c r="G107" s="58"/>
      <c r="H107" s="58"/>
      <c r="I107" s="58"/>
      <c r="J107" s="58"/>
      <c r="K107" s="58"/>
      <c r="L107" s="104" t="str">
        <f>IF(D107=0,"D","")</f>
        <v>D</v>
      </c>
      <c r="M107" s="58"/>
      <c r="N107" s="58"/>
      <c r="O107" s="58"/>
      <c r="P107" s="58"/>
      <c r="Q107" s="58"/>
      <c r="R107" s="58"/>
      <c r="S107" s="58"/>
      <c r="T107" s="58"/>
      <c r="U107" s="58"/>
    </row>
    <row r="108" spans="1:21" x14ac:dyDescent="0.35">
      <c r="A108" s="58"/>
      <c r="B108" s="61"/>
      <c r="C108" s="58"/>
      <c r="D108" s="70"/>
      <c r="E108" s="58"/>
      <c r="F108" s="58"/>
      <c r="G108" s="58"/>
      <c r="H108" s="70"/>
      <c r="I108" s="58"/>
      <c r="J108" s="58"/>
      <c r="K108" s="58"/>
      <c r="L108" s="104"/>
      <c r="M108" s="58"/>
      <c r="N108" s="58"/>
      <c r="O108" s="58"/>
      <c r="P108" s="58"/>
      <c r="Q108" s="58"/>
      <c r="R108" s="58"/>
      <c r="S108" s="58"/>
      <c r="T108" s="58"/>
      <c r="U108" s="58"/>
    </row>
    <row r="109" spans="1:21" x14ac:dyDescent="0.35">
      <c r="A109" s="58"/>
      <c r="B109" s="86"/>
      <c r="C109" s="88"/>
      <c r="D109" s="119" t="str">
        <f>IF(F109&lt;&gt;"","Electrolyt/Glucose mengsel","")</f>
        <v/>
      </c>
      <c r="E109" s="66" t="str">
        <f>IF(AND(Gewicht/10&gt;50,TPNboven50kg!A27&lt;&gt;""),TPNboven50kg!A27,TPN2tot6kg!A29)</f>
        <v/>
      </c>
      <c r="F109" s="66" t="str">
        <f>IF(AND(Gewicht/10&gt;50,TPNboven50kg!G35&lt;&gt;0),TPNboven50kg!G35&amp;" ml",IF(TPN2tot6kg!G36&lt;&gt;0,TPN2tot6kg!G36&amp;" ml",""))</f>
        <v/>
      </c>
      <c r="G109" s="66"/>
      <c r="H109" s="121"/>
      <c r="I109" s="66"/>
      <c r="J109" s="66"/>
      <c r="K109" s="58"/>
      <c r="L109" s="104"/>
      <c r="M109" s="58"/>
      <c r="N109" s="58"/>
      <c r="O109" s="58"/>
      <c r="P109" s="58"/>
      <c r="Q109" s="58"/>
      <c r="R109" s="58"/>
      <c r="S109" s="58"/>
      <c r="T109" s="58"/>
      <c r="U109" s="58"/>
    </row>
    <row r="110" spans="1:21" x14ac:dyDescent="0.35">
      <c r="A110" s="58"/>
      <c r="B110" s="86"/>
      <c r="C110" s="88"/>
      <c r="D110" s="87">
        <f>IF(F110&lt;&gt;"",INDEX(tblSSTGlucose,SSTglucose,1),)</f>
        <v>0</v>
      </c>
      <c r="E110" s="117"/>
      <c r="F110" s="58" t="str">
        <f>IF(AND(OR(TPN=1,AND(TPN=2,SSTglucose&gt;10),Gewicht/10&gt;50),ROUND(ber_TPN!F6,0)&lt;&gt;0,SSTglucose&lt;&gt;2),ROUND(ber_TPN!F6,0)&amp;" ml","")</f>
        <v/>
      </c>
      <c r="G110" s="58"/>
      <c r="H110" s="58"/>
      <c r="I110" s="58"/>
      <c r="J110" s="58"/>
      <c r="K110" s="58"/>
      <c r="L110" s="104" t="str">
        <f>IF(D110=0,"D","")</f>
        <v>D</v>
      </c>
      <c r="M110" s="58"/>
      <c r="N110" s="58"/>
      <c r="O110" s="58"/>
      <c r="P110" s="58"/>
      <c r="Q110" s="58"/>
      <c r="R110" s="58"/>
      <c r="S110" s="58"/>
      <c r="T110" s="58"/>
      <c r="U110" s="58"/>
    </row>
    <row r="111" spans="1:21" x14ac:dyDescent="0.35">
      <c r="A111" s="58"/>
      <c r="B111" s="86"/>
      <c r="C111" s="88"/>
      <c r="D111" s="87">
        <f>IF(F111&lt;&gt;"","CaGluc 10%",)</f>
        <v>0</v>
      </c>
      <c r="E111" s="58"/>
      <c r="F111" s="58" t="str">
        <f>Intake!E21</f>
        <v/>
      </c>
      <c r="G111" s="58"/>
      <c r="H111" s="58"/>
      <c r="I111" s="58"/>
      <c r="J111" s="58"/>
      <c r="K111" s="58"/>
      <c r="L111" s="104" t="str">
        <f t="shared" ref="L111:L117" si="2">IF(D111=0,"D","")</f>
        <v>D</v>
      </c>
      <c r="M111" s="58"/>
      <c r="N111" s="58"/>
      <c r="O111" s="58"/>
      <c r="P111" s="58"/>
      <c r="Q111" s="58"/>
      <c r="R111" s="58"/>
      <c r="S111" s="58"/>
      <c r="T111" s="58"/>
      <c r="U111" s="58"/>
    </row>
    <row r="112" spans="1:21" x14ac:dyDescent="0.35">
      <c r="A112" s="58"/>
      <c r="B112" s="86"/>
      <c r="C112" s="88"/>
      <c r="D112" s="87">
        <f>IF(F112&lt;&gt;"","MgCl 10%",)</f>
        <v>0</v>
      </c>
      <c r="E112" s="58"/>
      <c r="F112" s="58" t="str">
        <f>Intake!E22</f>
        <v/>
      </c>
      <c r="G112" s="58"/>
      <c r="H112" s="58"/>
      <c r="I112" s="58"/>
      <c r="J112" s="58"/>
      <c r="K112" s="58"/>
      <c r="L112" s="104" t="str">
        <f t="shared" si="2"/>
        <v>D</v>
      </c>
      <c r="M112" s="58"/>
      <c r="N112" s="58"/>
      <c r="O112" s="58"/>
      <c r="P112" s="58"/>
      <c r="Q112" s="58"/>
      <c r="R112" s="58"/>
      <c r="S112" s="58"/>
      <c r="T112" s="58"/>
      <c r="U112" s="58"/>
    </row>
    <row r="113" spans="1:21" x14ac:dyDescent="0.35">
      <c r="A113" s="58"/>
      <c r="B113" s="86"/>
      <c r="C113" s="88"/>
      <c r="D113" s="87">
        <f>IF(F113&lt;&gt;"",Intake!C18,)</f>
        <v>0</v>
      </c>
      <c r="E113" s="58"/>
      <c r="F113" s="58" t="str">
        <f>IF(AND(Gewicht/10&gt;50,TPNboven50kg!G27&lt;&gt;0),TPNboven50kg!G27&amp;" ml",IF(OR(AND(TPN2tot6kg!G29&lt;&gt;0,ber_TPN!$F$4=0),AND(TPN2tot6kg!G29&lt;&gt;0,Gewicht/10&gt;50)),TPN2tot6kg!G29&amp;" ml",""))</f>
        <v/>
      </c>
      <c r="G113" s="58"/>
      <c r="H113" s="70"/>
      <c r="I113" s="58"/>
      <c r="J113" s="58"/>
      <c r="K113" s="58"/>
      <c r="L113" s="104" t="str">
        <f t="shared" si="2"/>
        <v>D</v>
      </c>
      <c r="M113" s="58"/>
      <c r="N113" s="58"/>
      <c r="O113" s="58"/>
      <c r="P113" s="58"/>
      <c r="Q113" s="58"/>
      <c r="R113" s="58"/>
      <c r="S113" s="58"/>
      <c r="T113" s="58"/>
      <c r="U113" s="58"/>
    </row>
    <row r="114" spans="1:21" x14ac:dyDescent="0.35">
      <c r="A114" s="58"/>
      <c r="B114" s="86"/>
      <c r="C114" s="88"/>
      <c r="D114" s="87">
        <f>IF(F114&lt;&gt;"",Intake!C19,)</f>
        <v>0</v>
      </c>
      <c r="E114" s="58"/>
      <c r="F114" s="58" t="str">
        <f>IF(AND(Gewicht/10&gt;51,TPNboven50kg!G28&lt;&gt;0),TPNboven50kg!G28&amp;" ml",IF(OR(AND(TPN2tot6kg!G30&lt;&gt;0,ber_TPN!$F$4=0),AND(TPN2tot6kg!G30&lt;&gt;0,Gewicht/10&gt;50)),TPN2tot6kg!G30&amp;" ml",""))</f>
        <v/>
      </c>
      <c r="G114" s="58"/>
      <c r="H114" s="70"/>
      <c r="I114" s="58"/>
      <c r="J114" s="58"/>
      <c r="K114" s="58"/>
      <c r="L114" s="104" t="str">
        <f t="shared" si="2"/>
        <v>D</v>
      </c>
      <c r="M114" s="58"/>
      <c r="N114" s="58"/>
      <c r="O114" s="58"/>
      <c r="P114" s="58"/>
      <c r="Q114" s="58"/>
      <c r="R114" s="58"/>
      <c r="S114" s="58"/>
      <c r="T114" s="58"/>
      <c r="U114" s="58"/>
    </row>
    <row r="115" spans="1:21" x14ac:dyDescent="0.35">
      <c r="A115" s="58"/>
      <c r="B115" s="86"/>
      <c r="C115" s="88"/>
      <c r="D115" s="87" t="str">
        <f>IF(F115&lt;&gt;"","Glucose 10%","")</f>
        <v/>
      </c>
      <c r="E115" s="58"/>
      <c r="F115" s="58" t="str">
        <f>IF(AND(Gewicht/10&gt;51,TPNboven50kg!G31&lt;&gt;0),TPNboven50kg!G31&amp;" ml",IF(AND(TPN2tot6kg!G33&lt;&gt;0,Gewicht/10&lt;=50),TPN2tot6kg!G33&amp;" ml",""))</f>
        <v/>
      </c>
      <c r="G115" s="58"/>
      <c r="H115" s="70"/>
      <c r="I115" s="58"/>
      <c r="J115" s="58"/>
      <c r="K115" s="58"/>
      <c r="L115" s="104" t="str">
        <f t="shared" si="2"/>
        <v/>
      </c>
      <c r="M115" s="58"/>
      <c r="N115" s="58"/>
      <c r="O115" s="58"/>
      <c r="P115" s="58"/>
      <c r="Q115" s="58"/>
      <c r="R115" s="58"/>
      <c r="S115" s="58"/>
      <c r="T115" s="58"/>
      <c r="U115" s="58"/>
    </row>
    <row r="116" spans="1:21" x14ac:dyDescent="0.35">
      <c r="A116" s="58"/>
      <c r="B116" s="61"/>
      <c r="C116" s="58"/>
      <c r="D116" s="58"/>
      <c r="E116" s="58"/>
      <c r="F116" s="58"/>
      <c r="G116" s="58"/>
      <c r="H116" s="58"/>
      <c r="I116" s="58"/>
      <c r="J116" s="58"/>
      <c r="K116" s="58"/>
      <c r="L116" s="104"/>
      <c r="M116" s="58"/>
      <c r="N116" s="58"/>
      <c r="O116" s="58"/>
      <c r="P116" s="58"/>
      <c r="Q116" s="58"/>
      <c r="R116" s="58"/>
      <c r="S116" s="58"/>
      <c r="T116" s="58"/>
      <c r="U116" s="58"/>
    </row>
    <row r="117" spans="1:21" x14ac:dyDescent="0.35">
      <c r="A117" s="58"/>
      <c r="B117" s="86"/>
      <c r="C117" s="88"/>
      <c r="D117" s="125">
        <f>IF(E117&lt;&gt;" ","KNaFosfaat",)</f>
        <v>0</v>
      </c>
      <c r="E117" s="66" t="str">
        <f>Intake!E23&amp;" "&amp;Intake!H23</f>
        <v xml:space="preserve"> </v>
      </c>
      <c r="F117" s="66"/>
      <c r="G117" s="58"/>
      <c r="H117" s="58"/>
      <c r="I117" s="58"/>
      <c r="J117" s="58"/>
      <c r="K117" s="58"/>
      <c r="L117" s="104" t="str">
        <f t="shared" si="2"/>
        <v>D</v>
      </c>
      <c r="M117" s="58"/>
      <c r="N117" s="58"/>
      <c r="O117" s="58"/>
      <c r="P117" s="58"/>
      <c r="Q117" s="58"/>
      <c r="R117" s="58"/>
      <c r="S117" s="58"/>
      <c r="T117" s="58"/>
      <c r="U117" s="58"/>
    </row>
    <row r="118" spans="1:21" x14ac:dyDescent="0.35">
      <c r="A118" s="58"/>
      <c r="B118" s="61"/>
      <c r="C118" s="58"/>
      <c r="D118" s="58"/>
      <c r="E118" s="58"/>
      <c r="F118" s="58"/>
      <c r="G118" s="58"/>
      <c r="H118" s="58"/>
      <c r="I118" s="58"/>
      <c r="J118" s="58"/>
      <c r="K118" s="58"/>
      <c r="L118" s="104"/>
      <c r="M118" s="58"/>
      <c r="N118" s="58"/>
      <c r="O118" s="58"/>
      <c r="P118" s="58"/>
      <c r="Q118" s="58"/>
      <c r="R118" s="58"/>
      <c r="S118" s="58"/>
      <c r="T118" s="58"/>
      <c r="U118" s="58"/>
    </row>
    <row r="119" spans="1:21" x14ac:dyDescent="0.35">
      <c r="A119" s="58"/>
      <c r="B119" s="86"/>
      <c r="C119" s="88"/>
      <c r="D119" s="120">
        <f>IF(E119&lt;&gt;"",Intake!C24,)</f>
        <v>0</v>
      </c>
      <c r="E119" s="66" t="str">
        <f>Intake!D24</f>
        <v/>
      </c>
      <c r="F119" s="66" t="str">
        <f>IF(ROUND(ber_TPN!F12,0)&gt;0,ROUND(ber_TPN!F12,0)&amp;" ml","")</f>
        <v/>
      </c>
      <c r="G119" s="58"/>
      <c r="H119" s="57"/>
      <c r="I119" s="58"/>
      <c r="J119" s="58"/>
      <c r="K119" s="58"/>
      <c r="L119" s="104"/>
      <c r="M119" s="58"/>
      <c r="N119" s="58"/>
      <c r="O119" s="58"/>
      <c r="P119" s="58"/>
      <c r="Q119" s="58"/>
      <c r="R119" s="58"/>
      <c r="S119" s="58"/>
      <c r="T119" s="58"/>
      <c r="U119" s="58"/>
    </row>
    <row r="120" spans="1:21" x14ac:dyDescent="0.35">
      <c r="A120" s="58"/>
      <c r="B120" s="86"/>
      <c r="C120" s="88"/>
      <c r="D120" s="87">
        <f>IF(F120&lt;&gt;"","Intralipid 20%",)</f>
        <v>0</v>
      </c>
      <c r="E120" s="58"/>
      <c r="F120" s="58" t="str">
        <f>Intake!E25</f>
        <v/>
      </c>
      <c r="G120" s="58"/>
      <c r="H120" s="70"/>
      <c r="I120" s="58"/>
      <c r="J120" s="58"/>
      <c r="K120" s="58"/>
      <c r="L120" s="104" t="str">
        <f>IF(D120=0,"D","")</f>
        <v>D</v>
      </c>
      <c r="M120" s="58"/>
      <c r="N120" s="58"/>
      <c r="O120" s="58"/>
      <c r="P120" s="58"/>
      <c r="Q120" s="58"/>
      <c r="R120" s="58"/>
      <c r="S120" s="58"/>
      <c r="T120" s="58"/>
      <c r="U120" s="58"/>
    </row>
    <row r="121" spans="1:21" x14ac:dyDescent="0.35">
      <c r="A121" s="58"/>
      <c r="B121" s="86"/>
      <c r="C121" s="88"/>
      <c r="D121" s="87">
        <f>IF(F121&lt;&gt;"","Vitintra Infant",)</f>
        <v>0</v>
      </c>
      <c r="E121" s="58"/>
      <c r="F121" s="58" t="str">
        <f>Intake!E26</f>
        <v/>
      </c>
      <c r="G121" s="58"/>
      <c r="H121" s="70"/>
      <c r="I121" s="58"/>
      <c r="J121" s="58"/>
      <c r="K121" s="58"/>
      <c r="L121" s="104" t="str">
        <f>IF(D121=0,"D","")</f>
        <v>D</v>
      </c>
      <c r="M121" s="58"/>
      <c r="N121" s="58"/>
      <c r="O121" s="58"/>
      <c r="P121" s="58"/>
      <c r="Q121" s="58"/>
      <c r="R121" s="58"/>
      <c r="S121" s="58"/>
      <c r="T121" s="58"/>
      <c r="U121" s="58"/>
    </row>
    <row r="122" spans="1:21" x14ac:dyDescent="0.35">
      <c r="A122" s="58"/>
      <c r="B122" s="86"/>
      <c r="C122" s="88"/>
      <c r="D122" s="87">
        <f>IF(F122&lt;&gt;"","Soluvit",)</f>
        <v>0</v>
      </c>
      <c r="E122" s="58"/>
      <c r="F122" s="58" t="str">
        <f>Intake!E27</f>
        <v/>
      </c>
      <c r="G122" s="58"/>
      <c r="H122" s="70"/>
      <c r="I122" s="58"/>
      <c r="J122" s="58"/>
      <c r="K122" s="58"/>
      <c r="L122" s="104" t="str">
        <f>IF(D122=0,"D","")</f>
        <v>D</v>
      </c>
      <c r="M122" s="58"/>
      <c r="N122" s="58"/>
      <c r="O122" s="58"/>
      <c r="P122" s="58"/>
      <c r="Q122" s="58"/>
      <c r="R122" s="58"/>
      <c r="S122" s="58"/>
      <c r="T122" s="58"/>
      <c r="U122" s="58"/>
    </row>
    <row r="123" spans="1:21" x14ac:dyDescent="0.35">
      <c r="A123" s="58"/>
      <c r="B123" s="61"/>
      <c r="C123" s="70"/>
      <c r="D123" s="58"/>
      <c r="E123" s="58"/>
      <c r="F123" s="58"/>
      <c r="G123" s="58"/>
      <c r="H123" s="58"/>
      <c r="I123" s="58"/>
      <c r="J123" s="58"/>
      <c r="K123" s="58"/>
      <c r="L123" s="104"/>
      <c r="M123" s="58"/>
      <c r="N123" s="58"/>
      <c r="O123" s="58"/>
      <c r="P123" s="58"/>
      <c r="Q123" s="58"/>
      <c r="R123" s="58"/>
      <c r="S123" s="58"/>
      <c r="T123" s="58"/>
      <c r="U123" s="58"/>
    </row>
    <row r="124" spans="1:21" x14ac:dyDescent="0.35">
      <c r="A124" s="66"/>
      <c r="B124" s="89"/>
      <c r="C124" s="90" t="s">
        <v>1377</v>
      </c>
      <c r="D124" s="367">
        <f>ber_Opm!C9</f>
        <v>0</v>
      </c>
      <c r="E124" s="368"/>
      <c r="F124" s="368"/>
      <c r="G124" s="368"/>
      <c r="H124" s="368"/>
      <c r="I124" s="368"/>
      <c r="J124" s="368"/>
      <c r="K124" s="58"/>
      <c r="L124" s="104"/>
      <c r="M124" s="58"/>
      <c r="N124" s="58"/>
      <c r="O124" s="58"/>
      <c r="P124" s="58"/>
      <c r="Q124" s="58"/>
      <c r="R124" s="58"/>
      <c r="S124" s="58"/>
      <c r="T124" s="58"/>
      <c r="U124" s="58"/>
    </row>
    <row r="125" spans="1:21" x14ac:dyDescent="0.35">
      <c r="A125" s="58"/>
      <c r="B125" s="61"/>
      <c r="C125" s="58"/>
      <c r="D125" s="58"/>
      <c r="E125" s="58"/>
      <c r="F125" s="58"/>
      <c r="G125" s="58"/>
      <c r="H125" s="58"/>
      <c r="I125" s="58"/>
      <c r="J125" s="58"/>
      <c r="K125" s="58"/>
      <c r="L125" s="104"/>
      <c r="M125" s="58"/>
      <c r="N125" s="58"/>
      <c r="O125" s="58"/>
      <c r="P125" s="58"/>
      <c r="Q125" s="58"/>
      <c r="R125" s="58"/>
      <c r="S125" s="58"/>
      <c r="T125" s="58"/>
      <c r="U125" s="58"/>
    </row>
    <row r="126" spans="1:21" x14ac:dyDescent="0.35">
      <c r="A126" s="58"/>
      <c r="B126" s="61"/>
      <c r="C126" s="58"/>
      <c r="D126" s="58"/>
      <c r="E126" s="58"/>
      <c r="F126" s="58"/>
      <c r="G126" s="58"/>
      <c r="H126" s="58"/>
      <c r="I126" s="58"/>
      <c r="J126" s="58"/>
      <c r="K126" s="58"/>
      <c r="L126" s="104"/>
      <c r="M126" s="58"/>
      <c r="N126" s="58"/>
      <c r="O126" s="58"/>
      <c r="P126" s="58"/>
      <c r="Q126" s="58"/>
      <c r="R126" s="58"/>
      <c r="S126" s="58"/>
      <c r="T126" s="58"/>
      <c r="U126" s="58"/>
    </row>
    <row r="127" spans="1:21" ht="13.6" x14ac:dyDescent="0.35">
      <c r="A127" s="66"/>
      <c r="B127" s="71" t="s">
        <v>1707</v>
      </c>
      <c r="C127" s="68"/>
      <c r="D127" s="66"/>
      <c r="E127" s="66"/>
      <c r="F127" s="66"/>
      <c r="G127" s="66"/>
      <c r="H127" s="66"/>
      <c r="I127" s="66"/>
      <c r="J127" s="66"/>
      <c r="K127" s="58"/>
      <c r="L127" s="104"/>
      <c r="M127" s="58"/>
      <c r="N127" s="58"/>
      <c r="O127" s="58"/>
      <c r="P127" s="58"/>
      <c r="Q127" s="58"/>
      <c r="R127" s="58"/>
      <c r="S127" s="58"/>
      <c r="T127" s="58"/>
      <c r="U127" s="58"/>
    </row>
    <row r="128" spans="1:21" x14ac:dyDescent="0.35">
      <c r="A128" s="58"/>
      <c r="B128" s="86"/>
      <c r="C128" s="87" t="str">
        <f>Intake!B31</f>
        <v>Vocht</v>
      </c>
      <c r="D128" s="58" t="str">
        <f>Intake!D31</f>
        <v>0 ml/kg</v>
      </c>
      <c r="E128" s="87" t="str">
        <f>Intake!B32</f>
        <v>Calorieen</v>
      </c>
      <c r="F128" s="58" t="str">
        <f>Intake!D32</f>
        <v>0 kCal/kg</v>
      </c>
      <c r="G128" s="87" t="str">
        <f>Intake!B35</f>
        <v>Kalium</v>
      </c>
      <c r="H128" s="58" t="str">
        <f>Intake!D35</f>
        <v>0 mmol/kg</v>
      </c>
      <c r="I128" s="87" t="str">
        <f>Intake!B34</f>
        <v xml:space="preserve">Natrium </v>
      </c>
      <c r="J128" s="58" t="str">
        <f>Intake!D34</f>
        <v>0 mmol/kg</v>
      </c>
      <c r="K128" s="58"/>
      <c r="L128" s="104"/>
      <c r="M128" s="58"/>
      <c r="N128" s="58"/>
      <c r="O128" s="58"/>
      <c r="P128" s="58"/>
      <c r="Q128" s="58"/>
      <c r="R128" s="58"/>
      <c r="S128" s="58"/>
      <c r="T128" s="58"/>
      <c r="U128" s="58"/>
    </row>
    <row r="129" spans="1:21" x14ac:dyDescent="0.35">
      <c r="A129" s="58"/>
      <c r="B129" s="86"/>
      <c r="C129" s="87" t="str">
        <f>Intake!H31</f>
        <v>Eiwit</v>
      </c>
      <c r="D129" s="58" t="str">
        <f>Intake!I31</f>
        <v>0  gram/kg</v>
      </c>
      <c r="E129" s="87" t="str">
        <f>Intake!H32</f>
        <v>Vet</v>
      </c>
      <c r="F129" s="58" t="str">
        <f>Intake!I32</f>
        <v>0 gram/kg</v>
      </c>
      <c r="G129" s="87" t="str">
        <f>Intake!H33</f>
        <v>Calcium</v>
      </c>
      <c r="H129" s="58" t="str">
        <f>Intake!I33</f>
        <v>0 mmol/kg</v>
      </c>
      <c r="I129" s="87" t="str">
        <f>Intake!H35</f>
        <v>Fosfaat</v>
      </c>
      <c r="J129" s="58" t="str">
        <f>Intake!I35</f>
        <v>0 mmol/kg</v>
      </c>
      <c r="K129" s="58"/>
      <c r="L129" s="104"/>
      <c r="M129" s="58"/>
      <c r="N129" s="58"/>
      <c r="O129" s="58"/>
      <c r="P129" s="58"/>
      <c r="Q129" s="58"/>
      <c r="R129" s="58"/>
      <c r="S129" s="58"/>
      <c r="T129" s="58"/>
      <c r="U129" s="58"/>
    </row>
    <row r="130" spans="1:21" x14ac:dyDescent="0.35">
      <c r="A130" s="66"/>
      <c r="B130" s="89"/>
      <c r="C130" s="91" t="str">
        <f>Intake!B33</f>
        <v>Glucose/KH</v>
      </c>
      <c r="D130" s="66" t="str">
        <f>Intake!D33</f>
        <v>0 g/kg</v>
      </c>
      <c r="E130" s="90"/>
      <c r="F130" s="66"/>
      <c r="G130" s="91" t="s">
        <v>1494</v>
      </c>
      <c r="H130" s="66" t="str">
        <f>Intake!I34</f>
        <v>0 mmol/kg</v>
      </c>
      <c r="I130" s="90"/>
      <c r="J130" s="66"/>
      <c r="K130" s="58"/>
      <c r="L130" s="104"/>
      <c r="M130" s="58"/>
      <c r="N130" s="58"/>
      <c r="O130" s="58"/>
      <c r="P130" s="58"/>
      <c r="Q130" s="58"/>
      <c r="R130" s="58"/>
      <c r="S130" s="58"/>
      <c r="T130" s="58"/>
      <c r="U130" s="58"/>
    </row>
    <row r="131" spans="1:21" x14ac:dyDescent="0.35">
      <c r="A131" s="58"/>
      <c r="B131" s="86"/>
      <c r="C131" s="87" t="e">
        <f>#REF!</f>
        <v>#REF!</v>
      </c>
      <c r="D131" s="56" t="e">
        <f>#REF!</f>
        <v>#REF!</v>
      </c>
      <c r="E131" s="87" t="e">
        <f>#REF!</f>
        <v>#REF!</v>
      </c>
      <c r="F131" s="366" t="e">
        <f>#REF!</f>
        <v>#REF!</v>
      </c>
      <c r="G131" s="366"/>
      <c r="H131" s="88" t="s">
        <v>1303</v>
      </c>
      <c r="I131" s="58" t="str">
        <f>Gewicht/10&amp;" kg"</f>
        <v>10 kg</v>
      </c>
      <c r="J131" s="57"/>
      <c r="K131" s="58"/>
      <c r="L131" s="104"/>
      <c r="M131" s="58"/>
      <c r="N131" s="58"/>
      <c r="O131" s="58"/>
      <c r="P131" s="58"/>
      <c r="Q131" s="58"/>
      <c r="R131" s="58"/>
      <c r="S131" s="58"/>
      <c r="T131" s="58"/>
      <c r="U131" s="58"/>
    </row>
    <row r="132" spans="1:21" x14ac:dyDescent="0.35">
      <c r="A132" s="58"/>
      <c r="B132" s="86"/>
      <c r="C132" s="87" t="e">
        <f>#REF!</f>
        <v>#REF!</v>
      </c>
      <c r="D132" s="59">
        <f ca="1">AfspraakDatum-OpnDatum+1</f>
        <v>829</v>
      </c>
      <c r="E132" s="87" t="e">
        <f>#REF!</f>
        <v>#REF!</v>
      </c>
      <c r="F132" s="60" t="e">
        <f>#REF!</f>
        <v>#REF!</v>
      </c>
      <c r="G132" s="57"/>
      <c r="H132" s="88" t="s">
        <v>632</v>
      </c>
      <c r="I132" s="58" t="str">
        <f>Lengte&amp;" cm"</f>
        <v>80 cm</v>
      </c>
      <c r="J132" s="57"/>
      <c r="K132" s="58"/>
      <c r="L132" s="104"/>
      <c r="M132" s="58"/>
      <c r="N132" s="58"/>
      <c r="O132" s="58"/>
      <c r="P132" s="58"/>
      <c r="Q132" s="58"/>
      <c r="R132" s="58"/>
      <c r="S132" s="58"/>
      <c r="T132" s="58"/>
      <c r="U132" s="58"/>
    </row>
    <row r="133" spans="1:21" x14ac:dyDescent="0.35">
      <c r="A133" s="58"/>
      <c r="B133" s="61"/>
      <c r="C133" s="58"/>
      <c r="D133" s="57"/>
      <c r="E133" s="58"/>
      <c r="F133" s="57"/>
      <c r="G133" s="58"/>
      <c r="H133" s="88" t="s">
        <v>634</v>
      </c>
      <c r="I133" s="58" t="str">
        <f>ROUND(POWER(Gewicht/10,0.425)*POWER(((Lengte/100)*100),0.725)*0.007184,2)&amp;" m2"</f>
        <v>0.46 m2</v>
      </c>
      <c r="J133" s="58"/>
      <c r="K133" s="58"/>
      <c r="L133" s="104"/>
      <c r="M133" s="58"/>
      <c r="N133" s="58"/>
      <c r="O133" s="58"/>
      <c r="P133" s="58"/>
      <c r="Q133" s="58"/>
      <c r="R133" s="58"/>
      <c r="S133" s="58"/>
      <c r="T133" s="58"/>
      <c r="U133" s="58"/>
    </row>
    <row r="134" spans="1:21" x14ac:dyDescent="0.35">
      <c r="A134" s="58"/>
      <c r="B134" s="61"/>
      <c r="C134" s="58"/>
      <c r="D134" s="57"/>
      <c r="E134" s="58"/>
      <c r="F134" s="57"/>
      <c r="G134" s="58"/>
      <c r="H134" s="58"/>
      <c r="I134" s="58"/>
      <c r="J134" s="58"/>
      <c r="K134" s="58"/>
      <c r="L134" s="104"/>
      <c r="M134" s="58"/>
    </row>
    <row r="135" spans="1:21" x14ac:dyDescent="0.35">
      <c r="A135" s="58"/>
      <c r="B135" s="61"/>
      <c r="C135" s="58"/>
      <c r="D135" s="57"/>
      <c r="E135" s="58"/>
      <c r="F135" s="57"/>
      <c r="G135" s="58"/>
      <c r="H135" s="58"/>
      <c r="I135" s="58"/>
      <c r="J135" s="58"/>
      <c r="K135" s="58"/>
      <c r="L135" s="104"/>
      <c r="M135" s="58"/>
    </row>
    <row r="136" spans="1:21" x14ac:dyDescent="0.35">
      <c r="A136" s="58"/>
      <c r="B136" s="61"/>
      <c r="C136" s="58"/>
      <c r="D136" s="57"/>
      <c r="E136" s="58"/>
      <c r="F136" s="57"/>
      <c r="G136" s="58"/>
      <c r="H136" s="58"/>
      <c r="I136" s="58"/>
      <c r="J136" s="58"/>
      <c r="K136" s="58"/>
      <c r="L136" s="104"/>
      <c r="M136" s="58"/>
    </row>
    <row r="137" spans="1:21" ht="13.6" x14ac:dyDescent="0.35">
      <c r="A137" s="58"/>
      <c r="B137" s="71" t="s">
        <v>172</v>
      </c>
      <c r="C137" s="66"/>
      <c r="D137" s="72"/>
      <c r="E137" s="66"/>
      <c r="F137" s="71" t="str">
        <f>IF(Comfort,"Ja","Nee")</f>
        <v>Ja</v>
      </c>
      <c r="G137" s="58"/>
      <c r="H137" s="58"/>
      <c r="I137" s="58"/>
      <c r="J137" s="58"/>
      <c r="K137" s="58"/>
      <c r="L137" s="104"/>
      <c r="M137" s="58"/>
    </row>
    <row r="138" spans="1:21" x14ac:dyDescent="0.35">
      <c r="A138" s="58"/>
      <c r="B138" s="61"/>
      <c r="C138" s="58"/>
      <c r="D138" s="58"/>
      <c r="E138" s="58"/>
      <c r="F138" s="58"/>
      <c r="G138" s="58"/>
      <c r="H138" s="58"/>
      <c r="I138" s="58"/>
      <c r="J138" s="58"/>
      <c r="K138" s="58"/>
      <c r="L138" s="104"/>
      <c r="M138" s="58"/>
    </row>
    <row r="139" spans="1:21" x14ac:dyDescent="0.35">
      <c r="A139" s="58"/>
      <c r="B139" s="61"/>
      <c r="C139" s="58"/>
      <c r="D139" s="325" t="s">
        <v>1286</v>
      </c>
      <c r="E139" s="58"/>
      <c r="F139" s="58"/>
      <c r="G139" s="325" t="s">
        <v>625</v>
      </c>
      <c r="H139" s="58"/>
      <c r="I139" s="58"/>
      <c r="J139" s="58"/>
      <c r="K139" s="58"/>
      <c r="L139" s="104"/>
      <c r="M139" s="58"/>
    </row>
    <row r="140" spans="1:21" ht="25" customHeight="1" x14ac:dyDescent="0.4">
      <c r="A140" s="364" t="s">
        <v>623</v>
      </c>
      <c r="B140" s="365"/>
      <c r="C140" s="147" t="s">
        <v>624</v>
      </c>
      <c r="D140" s="147" t="s">
        <v>626</v>
      </c>
      <c r="E140" s="364" t="s">
        <v>628</v>
      </c>
      <c r="F140" s="365"/>
      <c r="G140" s="155" t="s">
        <v>626</v>
      </c>
      <c r="H140" s="364" t="s">
        <v>627</v>
      </c>
      <c r="I140" s="365"/>
      <c r="J140" s="155" t="s">
        <v>1118</v>
      </c>
      <c r="K140" s="61"/>
      <c r="L140" s="104"/>
      <c r="M140" s="58"/>
    </row>
    <row r="141" spans="1:21" ht="25" customHeight="1" x14ac:dyDescent="0.35">
      <c r="A141" s="148"/>
      <c r="B141" s="327"/>
      <c r="C141" s="147"/>
      <c r="D141" s="147"/>
      <c r="E141" s="148"/>
      <c r="F141" s="327"/>
      <c r="G141" s="150"/>
      <c r="H141" s="153"/>
      <c r="I141" s="154"/>
      <c r="J141" s="156"/>
      <c r="K141" s="61"/>
      <c r="L141" s="104"/>
      <c r="M141" s="58"/>
    </row>
    <row r="142" spans="1:21" ht="25" customHeight="1" x14ac:dyDescent="0.35">
      <c r="A142" s="148"/>
      <c r="B142" s="327"/>
      <c r="C142" s="147"/>
      <c r="D142" s="147"/>
      <c r="E142" s="148"/>
      <c r="F142" s="327"/>
      <c r="G142" s="150"/>
      <c r="H142" s="153"/>
      <c r="I142" s="154"/>
      <c r="J142" s="156"/>
      <c r="K142" s="61"/>
      <c r="L142" s="104"/>
      <c r="M142" s="58"/>
    </row>
    <row r="143" spans="1:21" ht="25" customHeight="1" x14ac:dyDescent="0.35">
      <c r="A143" s="148"/>
      <c r="B143" s="327"/>
      <c r="C143" s="147"/>
      <c r="D143" s="147"/>
      <c r="E143" s="148"/>
      <c r="F143" s="327"/>
      <c r="G143" s="150"/>
      <c r="H143" s="153"/>
      <c r="I143" s="154"/>
      <c r="J143" s="156"/>
      <c r="K143" s="61"/>
      <c r="L143" s="104"/>
      <c r="M143" s="58"/>
    </row>
    <row r="144" spans="1:21" ht="25" customHeight="1" x14ac:dyDescent="0.35">
      <c r="A144" s="148"/>
      <c r="B144" s="327"/>
      <c r="C144" s="147"/>
      <c r="D144" s="147"/>
      <c r="E144" s="148"/>
      <c r="F144" s="327"/>
      <c r="G144" s="150"/>
      <c r="H144" s="153"/>
      <c r="I144" s="154"/>
      <c r="J144" s="156"/>
      <c r="K144" s="61"/>
      <c r="L144" s="104"/>
      <c r="M144" s="58"/>
    </row>
    <row r="145" spans="1:13" ht="25" customHeight="1" x14ac:dyDescent="0.35">
      <c r="A145" s="148"/>
      <c r="B145" s="327"/>
      <c r="C145" s="147"/>
      <c r="D145" s="147"/>
      <c r="E145" s="148"/>
      <c r="F145" s="327"/>
      <c r="G145" s="150"/>
      <c r="H145" s="153"/>
      <c r="I145" s="154"/>
      <c r="J145" s="156"/>
      <c r="K145" s="61"/>
      <c r="L145" s="104"/>
      <c r="M145" s="58"/>
    </row>
    <row r="146" spans="1:13" ht="25" customHeight="1" x14ac:dyDescent="0.35">
      <c r="A146" s="148"/>
      <c r="B146" s="327"/>
      <c r="C146" s="147"/>
      <c r="D146" s="147"/>
      <c r="E146" s="148"/>
      <c r="F146" s="327"/>
      <c r="G146" s="150"/>
      <c r="H146" s="153"/>
      <c r="I146" s="154"/>
      <c r="J146" s="156"/>
      <c r="K146" s="61"/>
      <c r="L146" s="104"/>
      <c r="M146" s="58"/>
    </row>
    <row r="147" spans="1:13" ht="25" customHeight="1" x14ac:dyDescent="0.35">
      <c r="A147" s="148"/>
      <c r="B147" s="327"/>
      <c r="C147" s="147"/>
      <c r="D147" s="147"/>
      <c r="E147" s="148"/>
      <c r="F147" s="327"/>
      <c r="G147" s="150"/>
      <c r="H147" s="153"/>
      <c r="I147" s="154"/>
      <c r="J147" s="156"/>
      <c r="K147" s="61"/>
      <c r="L147" s="104"/>
      <c r="M147" s="58"/>
    </row>
    <row r="148" spans="1:13" ht="25" customHeight="1" x14ac:dyDescent="0.35">
      <c r="A148" s="148"/>
      <c r="B148" s="327"/>
      <c r="C148" s="147"/>
      <c r="D148" s="147"/>
      <c r="E148" s="148"/>
      <c r="F148" s="327"/>
      <c r="G148" s="150"/>
      <c r="H148" s="153"/>
      <c r="I148" s="154"/>
      <c r="J148" s="156"/>
      <c r="K148" s="61"/>
      <c r="L148" s="104"/>
      <c r="M148" s="58"/>
    </row>
    <row r="149" spans="1:13" ht="25" customHeight="1" x14ac:dyDescent="0.35">
      <c r="A149" s="148"/>
      <c r="B149" s="327"/>
      <c r="C149" s="147"/>
      <c r="D149" s="147"/>
      <c r="E149" s="148"/>
      <c r="F149" s="327"/>
      <c r="G149" s="150"/>
      <c r="H149" s="153"/>
      <c r="I149" s="154"/>
      <c r="J149" s="156"/>
      <c r="K149" s="61"/>
      <c r="L149" s="104"/>
      <c r="M149" s="58"/>
    </row>
    <row r="150" spans="1:13" ht="25" customHeight="1" x14ac:dyDescent="0.35">
      <c r="A150" s="148"/>
      <c r="B150" s="327"/>
      <c r="C150" s="147"/>
      <c r="D150" s="147"/>
      <c r="E150" s="148"/>
      <c r="F150" s="327"/>
      <c r="G150" s="150"/>
      <c r="H150" s="153"/>
      <c r="I150" s="154"/>
      <c r="J150" s="156"/>
      <c r="L150" s="104"/>
      <c r="M150" s="105"/>
    </row>
    <row r="151" spans="1:13" ht="25" customHeight="1" x14ac:dyDescent="0.35">
      <c r="A151" s="148"/>
      <c r="B151" s="327"/>
      <c r="C151" s="147"/>
      <c r="D151" s="147"/>
      <c r="E151" s="148"/>
      <c r="F151" s="327"/>
      <c r="G151" s="150"/>
      <c r="H151" s="153"/>
      <c r="I151" s="154"/>
      <c r="J151" s="156"/>
      <c r="L151" s="104"/>
      <c r="M151" s="105"/>
    </row>
    <row r="152" spans="1:13" ht="25" customHeight="1" x14ac:dyDescent="0.35">
      <c r="A152" s="148"/>
      <c r="B152" s="327"/>
      <c r="C152" s="147"/>
      <c r="D152" s="147"/>
      <c r="E152" s="148"/>
      <c r="F152" s="327"/>
      <c r="G152" s="150"/>
      <c r="H152" s="153"/>
      <c r="I152" s="154"/>
      <c r="J152" s="156"/>
      <c r="L152" s="104"/>
      <c r="M152" s="105"/>
    </row>
    <row r="153" spans="1:13" ht="25" customHeight="1" x14ac:dyDescent="0.35">
      <c r="A153" s="148"/>
      <c r="B153" s="327"/>
      <c r="C153" s="147"/>
      <c r="D153" s="147"/>
      <c r="E153" s="148"/>
      <c r="F153" s="327"/>
      <c r="G153" s="150"/>
      <c r="H153" s="153"/>
      <c r="I153" s="154"/>
      <c r="J153" s="156"/>
      <c r="L153" s="104"/>
      <c r="M153" s="105"/>
    </row>
    <row r="154" spans="1:13" ht="25" customHeight="1" x14ac:dyDescent="0.35">
      <c r="A154" s="148"/>
      <c r="B154" s="327"/>
      <c r="C154" s="147"/>
      <c r="D154" s="147"/>
      <c r="E154" s="148"/>
      <c r="F154" s="327"/>
      <c r="G154" s="150"/>
      <c r="H154" s="153"/>
      <c r="I154" s="154"/>
      <c r="J154" s="156"/>
      <c r="L154" s="104"/>
      <c r="M154" s="105"/>
    </row>
    <row r="155" spans="1:13" ht="25" customHeight="1" x14ac:dyDescent="0.35">
      <c r="A155" s="148"/>
      <c r="B155" s="327"/>
      <c r="C155" s="147"/>
      <c r="D155" s="147"/>
      <c r="E155" s="148"/>
      <c r="F155" s="327"/>
      <c r="G155" s="150"/>
      <c r="H155" s="153"/>
      <c r="I155" s="154"/>
      <c r="J155" s="156"/>
      <c r="L155" s="104"/>
      <c r="M155" s="105"/>
    </row>
    <row r="156" spans="1:13" ht="25" customHeight="1" x14ac:dyDescent="0.35">
      <c r="A156" s="148"/>
      <c r="B156" s="327"/>
      <c r="C156" s="147"/>
      <c r="D156" s="147"/>
      <c r="E156" s="148"/>
      <c r="F156" s="327"/>
      <c r="G156" s="150"/>
      <c r="H156" s="153"/>
      <c r="I156" s="154"/>
      <c r="J156" s="156"/>
      <c r="L156" s="104"/>
      <c r="M156" s="105"/>
    </row>
    <row r="157" spans="1:13" ht="25" customHeight="1" x14ac:dyDescent="0.35">
      <c r="A157" s="148"/>
      <c r="B157" s="327"/>
      <c r="C157" s="147"/>
      <c r="D157" s="147"/>
      <c r="E157" s="148"/>
      <c r="F157" s="327"/>
      <c r="G157" s="150"/>
      <c r="H157" s="153"/>
      <c r="I157" s="154"/>
      <c r="J157" s="156"/>
      <c r="L157" s="104"/>
      <c r="M157" s="105"/>
    </row>
    <row r="158" spans="1:13" ht="25" customHeight="1" x14ac:dyDescent="0.4">
      <c r="A158" s="331" t="s">
        <v>629</v>
      </c>
      <c r="B158" s="329"/>
      <c r="C158" s="328"/>
      <c r="D158" s="328"/>
      <c r="E158" s="328"/>
      <c r="F158" s="329"/>
      <c r="G158" s="329"/>
      <c r="H158" s="330"/>
      <c r="I158" s="330"/>
      <c r="J158" s="330"/>
      <c r="L158" s="104"/>
      <c r="M158" s="105"/>
    </row>
    <row r="159" spans="1:13" ht="25" customHeight="1" x14ac:dyDescent="0.35">
      <c r="M159" s="105"/>
    </row>
    <row r="160" spans="1:13" ht="25" customHeight="1" x14ac:dyDescent="0.35"/>
  </sheetData>
  <sheetProtection password="CC20" sheet="1" objects="1" scenarios="1" selectLockedCells="1" selectUnlockedCells="1"/>
  <mergeCells count="19">
    <mergeCell ref="F131:G131"/>
    <mergeCell ref="A140:B140"/>
    <mergeCell ref="E140:F140"/>
    <mergeCell ref="H140:I140"/>
    <mergeCell ref="D44:J44"/>
    <mergeCell ref="D78:J78"/>
    <mergeCell ref="D99:J100"/>
    <mergeCell ref="D45:J46"/>
    <mergeCell ref="C56:J59"/>
    <mergeCell ref="F66:G66"/>
    <mergeCell ref="C54:J55"/>
    <mergeCell ref="F2:G2"/>
    <mergeCell ref="D17:J18"/>
    <mergeCell ref="D42:J42"/>
    <mergeCell ref="D43:J43"/>
    <mergeCell ref="D124:J124"/>
    <mergeCell ref="D37:J37"/>
    <mergeCell ref="D40:J40"/>
    <mergeCell ref="D41:J41"/>
  </mergeCells>
  <phoneticPr fontId="26" type="noConversion"/>
  <pageMargins left="0.55000000000000004" right="0.19" top="0.37" bottom="0.67" header="0.25" footer="0.67"/>
  <pageSetup paperSize="9" scale="94" orientation="portrait" r:id="rId1"/>
  <headerFooter alignWithMargins="0">
    <oddHeader>&amp;CBed 0&amp;R&amp;"Arial,Cursief"&amp;9Datum en tijd: &amp;D,  &amp;T</oddHeader>
  </headerFooter>
  <rowBreaks count="2" manualBreakCount="2">
    <brk id="65" max="9" man="1"/>
    <brk id="130" max="9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fsprakenHFO">
    <pageSetUpPr autoPageBreaks="0"/>
  </sheetPr>
  <dimension ref="A1:U159"/>
  <sheetViews>
    <sheetView showGridLines="0" showRowColHeaders="0" showZeros="0" zoomScaleNormal="100" workbookViewId="0">
      <selection activeCell="D103" sqref="D103"/>
    </sheetView>
  </sheetViews>
  <sheetFormatPr defaultRowHeight="12.85" x14ac:dyDescent="0.35"/>
  <cols>
    <col min="1" max="2" width="2.73046875" customWidth="1"/>
    <col min="3" max="3" width="13.3984375" customWidth="1"/>
    <col min="4" max="4" width="10.73046875" customWidth="1"/>
    <col min="5" max="5" width="12.3984375" customWidth="1"/>
    <col min="6" max="10" width="10.73046875" customWidth="1"/>
  </cols>
  <sheetData>
    <row r="1" spans="1:11" x14ac:dyDescent="0.35">
      <c r="A1" s="58"/>
      <c r="B1" s="61"/>
      <c r="C1" s="58"/>
      <c r="D1" s="58"/>
      <c r="E1" s="58"/>
      <c r="F1" s="58"/>
      <c r="G1" s="58"/>
      <c r="H1" s="58"/>
      <c r="I1" s="58"/>
      <c r="J1" s="58"/>
      <c r="K1" s="58"/>
    </row>
    <row r="2" spans="1:11" x14ac:dyDescent="0.35">
      <c r="A2" s="58"/>
      <c r="B2" s="86"/>
      <c r="C2" s="87" t="e">
        <f>#REF!</f>
        <v>#REF!</v>
      </c>
      <c r="D2" s="56" t="e">
        <f>#REF!</f>
        <v>#REF!</v>
      </c>
      <c r="E2" s="87" t="e">
        <f>#REF!</f>
        <v>#REF!</v>
      </c>
      <c r="F2" s="366" t="e">
        <f>#REF!</f>
        <v>#REF!</v>
      </c>
      <c r="G2" s="366"/>
      <c r="H2" s="88" t="s">
        <v>1303</v>
      </c>
      <c r="I2" s="58" t="str">
        <f>Gewicht/10&amp;" kg"</f>
        <v>10 kg</v>
      </c>
      <c r="J2" s="57"/>
      <c r="K2" s="58"/>
    </row>
    <row r="3" spans="1:11" x14ac:dyDescent="0.35">
      <c r="A3" s="58"/>
      <c r="B3" s="86"/>
      <c r="C3" s="87" t="s">
        <v>955</v>
      </c>
      <c r="D3" s="59">
        <f ca="1">AfspraakDatum-OpnDatum+1</f>
        <v>829</v>
      </c>
      <c r="E3" s="87" t="e">
        <f>#REF!</f>
        <v>#REF!</v>
      </c>
      <c r="F3" s="60" t="e">
        <f>#REF!</f>
        <v>#REF!</v>
      </c>
      <c r="G3" s="57"/>
      <c r="H3" s="88" t="s">
        <v>632</v>
      </c>
      <c r="I3" s="58" t="str">
        <f>Lengte&amp;" cm"</f>
        <v>80 cm</v>
      </c>
      <c r="J3" s="57"/>
      <c r="K3" s="58"/>
    </row>
    <row r="4" spans="1:11" x14ac:dyDescent="0.35">
      <c r="A4" s="58"/>
      <c r="B4" s="61"/>
      <c r="C4" s="58"/>
      <c r="D4" s="57"/>
      <c r="E4" s="58"/>
      <c r="F4" s="57"/>
      <c r="G4" s="58"/>
      <c r="H4" s="88" t="s">
        <v>634</v>
      </c>
      <c r="I4" s="58" t="str">
        <f>ROUND(POWER(Gewicht/10,0.425)*POWER(((Lengte/100)*100),0.725)*0.007184,2)&amp;" m2"</f>
        <v>0.46 m2</v>
      </c>
      <c r="J4" s="58"/>
      <c r="K4" s="58"/>
    </row>
    <row r="5" spans="1:11" ht="13.6" x14ac:dyDescent="0.35">
      <c r="A5" s="66"/>
      <c r="B5" s="71" t="e">
        <f>#REF!</f>
        <v>#REF!</v>
      </c>
      <c r="C5" s="68"/>
      <c r="D5" s="66"/>
      <c r="E5" s="66"/>
      <c r="F5" s="66"/>
      <c r="G5" s="66"/>
      <c r="H5" s="66"/>
      <c r="I5" s="66"/>
      <c r="J5" s="76"/>
      <c r="K5" s="75"/>
    </row>
    <row r="6" spans="1:11" x14ac:dyDescent="0.35">
      <c r="A6" s="58"/>
      <c r="B6" s="86"/>
      <c r="C6" s="88" t="e">
        <f>#REF!</f>
        <v>#REF!</v>
      </c>
      <c r="D6" s="88"/>
      <c r="E6" s="58" t="str">
        <f>IF(Toegang&lt;&gt;1,INDEX(tblToegang,Toegang,1),IF(Zuurstof&lt;&gt;1,INDEX(tblZuurstof,Zuurstof,1)&amp;" met "&amp;#REF!,""))</f>
        <v/>
      </c>
      <c r="F6" s="58"/>
      <c r="G6" s="58"/>
      <c r="H6" s="88" t="e">
        <f>#REF!</f>
        <v>#REF!</v>
      </c>
      <c r="I6" s="88"/>
      <c r="J6" s="57" t="e">
        <f>#REF!</f>
        <v>#REF!</v>
      </c>
      <c r="K6" s="58"/>
    </row>
    <row r="7" spans="1:11" x14ac:dyDescent="0.35">
      <c r="A7" s="58"/>
      <c r="B7" s="86"/>
      <c r="C7" s="88" t="e">
        <f>#REF!</f>
        <v>#REF!</v>
      </c>
      <c r="D7" s="88"/>
      <c r="E7" s="58">
        <f>INDEX(tblDruppelen,dbBead!L2,1)</f>
        <v>0</v>
      </c>
      <c r="F7" s="58"/>
      <c r="G7" s="58"/>
      <c r="H7" s="88" t="e">
        <f>#REF!</f>
        <v>#REF!</v>
      </c>
      <c r="I7" s="88"/>
      <c r="J7" s="57" t="e">
        <f>#REF!</f>
        <v>#REF!</v>
      </c>
      <c r="K7" s="58"/>
    </row>
    <row r="8" spans="1:11" x14ac:dyDescent="0.35">
      <c r="A8" s="58"/>
      <c r="B8" s="86"/>
      <c r="C8" s="88" t="e">
        <f>#REF!</f>
        <v>#REF!</v>
      </c>
      <c r="D8" s="88"/>
      <c r="E8" s="58" t="e">
        <f>#REF!</f>
        <v>#REF!</v>
      </c>
      <c r="F8" s="58"/>
      <c r="G8" s="58"/>
      <c r="H8" s="88" t="e">
        <f>#REF!</f>
        <v>#REF!</v>
      </c>
      <c r="I8" s="88"/>
      <c r="J8" s="58" t="e">
        <f>#REF!</f>
        <v>#REF!</v>
      </c>
      <c r="K8" s="58"/>
    </row>
    <row r="9" spans="1:11" x14ac:dyDescent="0.35">
      <c r="K9" s="75"/>
    </row>
    <row r="10" spans="1:11" x14ac:dyDescent="0.35">
      <c r="A10" s="58"/>
      <c r="B10" s="86"/>
      <c r="C10" s="88" t="e">
        <f>#REF!</f>
        <v>#REF!</v>
      </c>
      <c r="D10" s="88"/>
      <c r="E10" s="58">
        <f>INDEX(tblHFO,dbBead!R2,1)</f>
        <v>0</v>
      </c>
      <c r="F10" s="58"/>
    </row>
    <row r="11" spans="1:11" x14ac:dyDescent="0.35">
      <c r="A11" s="58"/>
      <c r="B11" s="86"/>
      <c r="C11" s="88" t="e">
        <f>#REF!</f>
        <v>#REF!</v>
      </c>
      <c r="D11" s="88"/>
      <c r="E11" s="58" t="e">
        <f>#REF!</f>
        <v>#REF!</v>
      </c>
      <c r="F11" s="58"/>
    </row>
    <row r="12" spans="1:11" x14ac:dyDescent="0.35">
      <c r="A12" s="58"/>
      <c r="B12" s="86"/>
      <c r="C12" s="88" t="s">
        <v>1387</v>
      </c>
      <c r="D12" s="88"/>
      <c r="E12" s="58" t="e">
        <f>#REF!</f>
        <v>#REF!</v>
      </c>
      <c r="F12" s="58"/>
    </row>
    <row r="13" spans="1:11" x14ac:dyDescent="0.35">
      <c r="A13" s="58"/>
      <c r="B13" s="86"/>
      <c r="C13" s="88" t="s">
        <v>1842</v>
      </c>
      <c r="D13" s="88"/>
      <c r="E13" s="58" t="e">
        <f>#REF!</f>
        <v>#REF!</v>
      </c>
      <c r="F13" s="58"/>
    </row>
    <row r="14" spans="1:11" x14ac:dyDescent="0.35">
      <c r="A14" s="58"/>
      <c r="B14" s="86"/>
      <c r="C14" s="88" t="s">
        <v>962</v>
      </c>
      <c r="D14" s="88"/>
      <c r="E14" s="58" t="e">
        <f>#REF!</f>
        <v>#REF!</v>
      </c>
      <c r="F14" s="58"/>
    </row>
    <row r="15" spans="1:11" x14ac:dyDescent="0.35">
      <c r="A15" s="58"/>
      <c r="B15" s="86"/>
      <c r="C15" s="88" t="s">
        <v>1530</v>
      </c>
      <c r="D15" s="88"/>
      <c r="E15" s="58" t="e">
        <f>#REF!</f>
        <v>#REF!</v>
      </c>
      <c r="F15" s="63"/>
    </row>
    <row r="16" spans="1:11" x14ac:dyDescent="0.35">
      <c r="A16" s="58"/>
      <c r="B16" s="61"/>
      <c r="C16" s="58"/>
      <c r="D16" s="58"/>
      <c r="E16" s="58"/>
      <c r="F16" s="63"/>
      <c r="G16" s="63"/>
      <c r="H16" s="75"/>
      <c r="I16" s="75"/>
      <c r="J16" s="75"/>
      <c r="K16" s="77"/>
    </row>
    <row r="17" spans="1:12" x14ac:dyDescent="0.35">
      <c r="A17" s="58"/>
      <c r="B17" s="86"/>
      <c r="C17" s="88" t="s">
        <v>1377</v>
      </c>
      <c r="D17" s="378">
        <f>ber_Opm!C2</f>
        <v>0</v>
      </c>
      <c r="E17" s="379"/>
      <c r="F17" s="379"/>
      <c r="G17" s="379"/>
      <c r="H17" s="379"/>
      <c r="I17" s="379"/>
      <c r="J17" s="379"/>
      <c r="K17" s="61"/>
    </row>
    <row r="18" spans="1:12" x14ac:dyDescent="0.35">
      <c r="A18" s="58"/>
      <c r="B18" s="86"/>
      <c r="C18" s="88"/>
      <c r="D18" s="379"/>
      <c r="E18" s="379"/>
      <c r="F18" s="379"/>
      <c r="G18" s="379"/>
      <c r="H18" s="379"/>
      <c r="I18" s="379"/>
      <c r="J18" s="379"/>
      <c r="K18" s="61"/>
    </row>
    <row r="19" spans="1:12" x14ac:dyDescent="0.35">
      <c r="A19" s="58"/>
      <c r="B19" s="61"/>
      <c r="C19" s="58"/>
      <c r="D19" s="58"/>
      <c r="E19" s="58"/>
      <c r="F19" s="61"/>
      <c r="G19" s="61"/>
      <c r="H19" s="62"/>
      <c r="I19" s="62"/>
      <c r="J19" s="62"/>
    </row>
    <row r="20" spans="1:12" ht="13.2" x14ac:dyDescent="0.4">
      <c r="A20" s="58"/>
      <c r="B20" s="61"/>
      <c r="C20" s="147" t="s">
        <v>1086</v>
      </c>
      <c r="D20" s="148" t="s">
        <v>1158</v>
      </c>
      <c r="E20" s="149"/>
      <c r="F20" s="150" t="s">
        <v>1118</v>
      </c>
      <c r="G20" s="150" t="s">
        <v>1086</v>
      </c>
      <c r="H20" s="151" t="s">
        <v>1158</v>
      </c>
      <c r="I20" s="152"/>
      <c r="J20" s="155" t="s">
        <v>1118</v>
      </c>
      <c r="K20" s="61"/>
      <c r="L20" s="104"/>
    </row>
    <row r="21" spans="1:12" x14ac:dyDescent="0.35">
      <c r="A21" s="58"/>
      <c r="B21" s="61"/>
      <c r="C21" s="147"/>
      <c r="D21" s="148"/>
      <c r="E21" s="149"/>
      <c r="F21" s="150"/>
      <c r="G21" s="150"/>
      <c r="H21" s="153"/>
      <c r="I21" s="154"/>
      <c r="J21" s="156"/>
      <c r="K21" s="61"/>
      <c r="L21" s="104"/>
    </row>
    <row r="22" spans="1:12" x14ac:dyDescent="0.35">
      <c r="A22" s="58"/>
      <c r="B22" s="61"/>
      <c r="C22" s="147"/>
      <c r="D22" s="148"/>
      <c r="E22" s="149"/>
      <c r="F22" s="150"/>
      <c r="G22" s="150"/>
      <c r="H22" s="153"/>
      <c r="I22" s="154"/>
      <c r="J22" s="156"/>
      <c r="K22" s="61"/>
      <c r="L22" s="104"/>
    </row>
    <row r="23" spans="1:12" x14ac:dyDescent="0.35">
      <c r="A23" s="58"/>
      <c r="B23" s="61"/>
      <c r="C23" s="147"/>
      <c r="D23" s="148"/>
      <c r="E23" s="149"/>
      <c r="F23" s="150"/>
      <c r="G23" s="150"/>
      <c r="H23" s="153"/>
      <c r="I23" s="154"/>
      <c r="J23" s="156"/>
      <c r="K23" s="61"/>
      <c r="L23" s="104"/>
    </row>
    <row r="24" spans="1:12" x14ac:dyDescent="0.35">
      <c r="A24" s="58"/>
      <c r="B24" s="61"/>
      <c r="C24" s="147"/>
      <c r="D24" s="148"/>
      <c r="E24" s="149"/>
      <c r="F24" s="150"/>
      <c r="G24" s="150"/>
      <c r="H24" s="153"/>
      <c r="I24" s="154"/>
      <c r="J24" s="156"/>
      <c r="K24" s="61"/>
      <c r="L24" s="104"/>
    </row>
    <row r="25" spans="1:12" x14ac:dyDescent="0.35">
      <c r="A25" s="58"/>
      <c r="B25" s="61"/>
      <c r="C25" s="147"/>
      <c r="D25" s="148"/>
      <c r="E25" s="149"/>
      <c r="F25" s="150"/>
      <c r="G25" s="150"/>
      <c r="H25" s="153"/>
      <c r="I25" s="154"/>
      <c r="J25" s="156"/>
      <c r="K25" s="61"/>
      <c r="L25" s="104"/>
    </row>
    <row r="26" spans="1:12" x14ac:dyDescent="0.35">
      <c r="A26" s="58"/>
      <c r="B26" s="61"/>
      <c r="C26" s="147"/>
      <c r="D26" s="148"/>
      <c r="E26" s="149"/>
      <c r="F26" s="150"/>
      <c r="G26" s="150"/>
      <c r="H26" s="153"/>
      <c r="I26" s="154"/>
      <c r="J26" s="156"/>
      <c r="K26" s="61"/>
      <c r="L26" s="104"/>
    </row>
    <row r="27" spans="1:12" x14ac:dyDescent="0.35">
      <c r="A27" s="58"/>
      <c r="B27" s="61"/>
      <c r="C27" s="147"/>
      <c r="D27" s="148"/>
      <c r="E27" s="149"/>
      <c r="F27" s="150"/>
      <c r="G27" s="150"/>
      <c r="H27" s="153"/>
      <c r="I27" s="154"/>
      <c r="J27" s="156"/>
      <c r="K27" s="61"/>
      <c r="L27" s="104"/>
    </row>
    <row r="28" spans="1:12" x14ac:dyDescent="0.35">
      <c r="A28" s="58"/>
      <c r="B28" s="61"/>
      <c r="C28" s="147"/>
      <c r="D28" s="148"/>
      <c r="E28" s="149"/>
      <c r="F28" s="150"/>
      <c r="G28" s="150"/>
      <c r="H28" s="153"/>
      <c r="I28" s="154"/>
      <c r="J28" s="156"/>
      <c r="K28" s="61"/>
      <c r="L28" s="104"/>
    </row>
    <row r="29" spans="1:12" x14ac:dyDescent="0.35">
      <c r="A29" s="58"/>
      <c r="B29" s="61"/>
      <c r="C29" s="147"/>
      <c r="D29" s="148"/>
      <c r="E29" s="149"/>
      <c r="F29" s="150"/>
      <c r="G29" s="150"/>
      <c r="H29" s="153"/>
      <c r="I29" s="154"/>
      <c r="J29" s="156"/>
      <c r="K29" s="61"/>
      <c r="L29" s="104"/>
    </row>
    <row r="30" spans="1:12" x14ac:dyDescent="0.35">
      <c r="A30" s="58"/>
      <c r="B30" s="61"/>
      <c r="C30" s="58"/>
      <c r="D30" s="58"/>
      <c r="E30" s="58"/>
      <c r="F30" s="58"/>
      <c r="G30" s="58"/>
      <c r="H30" s="62"/>
      <c r="I30" s="62"/>
      <c r="J30" s="62"/>
      <c r="K30" s="61"/>
      <c r="L30" s="104"/>
    </row>
    <row r="31" spans="1:12" ht="13.6" x14ac:dyDescent="0.35">
      <c r="A31" s="66"/>
      <c r="B31" s="71" t="str">
        <f>Intake!C7</f>
        <v>Voeding</v>
      </c>
      <c r="C31" s="66"/>
      <c r="D31" s="66"/>
      <c r="E31" s="66"/>
      <c r="F31" s="66"/>
      <c r="G31" s="66"/>
      <c r="H31" s="66"/>
      <c r="I31" s="66"/>
      <c r="J31" s="66"/>
      <c r="K31" s="61"/>
      <c r="L31" s="104"/>
    </row>
    <row r="32" spans="1:12" x14ac:dyDescent="0.35">
      <c r="A32" s="58"/>
      <c r="B32" s="86"/>
      <c r="C32" s="88" t="s">
        <v>1079</v>
      </c>
      <c r="D32" s="88"/>
      <c r="E32" s="58" t="str">
        <f>INDEX(tblSonde,ber_PO!A1,1)</f>
        <v>Geen sonde</v>
      </c>
      <c r="F32" s="58"/>
      <c r="G32" s="58"/>
      <c r="H32" s="58"/>
      <c r="I32" s="58"/>
      <c r="J32" s="58"/>
      <c r="K32" s="61"/>
      <c r="L32" s="104"/>
    </row>
    <row r="33" spans="1:12" x14ac:dyDescent="0.35">
      <c r="A33" s="58"/>
      <c r="B33" s="61"/>
      <c r="C33" s="58">
        <f>IF(E33&lt;&gt;"",INDEX(tblVoedingPO,KeuzePO_1,1),)</f>
        <v>0</v>
      </c>
      <c r="D33" s="58" t="str">
        <f>Intake!G8</f>
        <v/>
      </c>
      <c r="E33" s="58" t="str">
        <f>Intake!C8&amp;" "&amp;Intake!D8</f>
        <v xml:space="preserve"> </v>
      </c>
      <c r="F33" s="65" t="str">
        <f>IF(KeuzePO_2&gt;1,"met "&amp;Intake!C9&amp;" "&amp;Intake!D9&amp;" "&amp;INDEX(ber_PO!B22:B39,KeuzePO_2,1),"")</f>
        <v/>
      </c>
      <c r="G33" s="58"/>
      <c r="H33" s="58"/>
      <c r="I33" s="58" t="str">
        <f>Intake!I9</f>
        <v/>
      </c>
      <c r="J33" s="58"/>
      <c r="K33" s="61"/>
      <c r="L33" s="104"/>
    </row>
    <row r="34" spans="1:12" x14ac:dyDescent="0.35">
      <c r="A34" s="58"/>
      <c r="B34" s="86"/>
      <c r="C34" s="88"/>
      <c r="D34" s="88"/>
      <c r="E34" s="58"/>
      <c r="F34" s="65" t="str">
        <f>IF(ber_PO!P24&gt;1,"met "&amp;Intake!C10&amp;" "&amp;Intake!D10&amp;" "&amp;INDEX(ber_PO!B22:B33,KeuzePO_3,1),"")</f>
        <v/>
      </c>
      <c r="G34" s="58"/>
      <c r="H34" s="58"/>
      <c r="I34" s="58" t="str">
        <f>Intake!I10</f>
        <v/>
      </c>
      <c r="J34" s="58"/>
      <c r="K34" s="61"/>
      <c r="L34" s="104"/>
    </row>
    <row r="35" spans="1:12" x14ac:dyDescent="0.35">
      <c r="A35" s="58"/>
      <c r="B35" s="86"/>
      <c r="C35" s="88"/>
      <c r="D35" s="88"/>
      <c r="E35" s="58"/>
      <c r="F35" s="65" t="str">
        <f>IF(ber_PO!P25&gt;1,"met "&amp;Intake!C11&amp;" "&amp;Intake!D11&amp;" "&amp;INDEX(ber_PO!B22:B33,KeuzePO_4,1),"")</f>
        <v/>
      </c>
      <c r="G35" s="58"/>
      <c r="H35" s="58"/>
      <c r="I35" s="58" t="str">
        <f>Intake!I11</f>
        <v/>
      </c>
      <c r="J35" s="58"/>
      <c r="K35" s="64"/>
      <c r="L35" s="104"/>
    </row>
    <row r="36" spans="1:12" x14ac:dyDescent="0.35">
      <c r="A36" s="58"/>
      <c r="B36" s="61"/>
      <c r="C36" s="58"/>
      <c r="D36" s="58"/>
      <c r="E36" s="58"/>
      <c r="F36" s="58"/>
      <c r="G36" s="58"/>
      <c r="H36" s="58"/>
      <c r="I36" s="58"/>
      <c r="J36" s="58"/>
      <c r="K36" s="64"/>
      <c r="L36" s="104"/>
    </row>
    <row r="37" spans="1:12" x14ac:dyDescent="0.35">
      <c r="A37" s="66"/>
      <c r="B37" s="89"/>
      <c r="C37" s="90" t="s">
        <v>1377</v>
      </c>
      <c r="D37" s="367">
        <f>ber_Opm!C15</f>
        <v>0</v>
      </c>
      <c r="E37" s="368"/>
      <c r="F37" s="368"/>
      <c r="G37" s="368"/>
      <c r="H37" s="368"/>
      <c r="I37" s="368"/>
      <c r="J37" s="368"/>
      <c r="K37" s="64"/>
      <c r="L37" s="104"/>
    </row>
    <row r="38" spans="1:12" x14ac:dyDescent="0.35">
      <c r="A38" s="58"/>
      <c r="B38" s="61"/>
      <c r="C38" s="58"/>
      <c r="D38" s="58"/>
      <c r="E38" s="58"/>
      <c r="F38" s="58"/>
      <c r="G38" s="58"/>
      <c r="H38" s="58"/>
      <c r="I38" s="58"/>
      <c r="J38" s="58"/>
      <c r="K38" s="58"/>
      <c r="L38" s="104"/>
    </row>
    <row r="39" spans="1:12" ht="13.6" x14ac:dyDescent="0.35">
      <c r="A39" s="66"/>
      <c r="B39" s="71" t="s">
        <v>603</v>
      </c>
      <c r="C39" s="66"/>
      <c r="D39" s="66"/>
      <c r="E39" s="66"/>
      <c r="F39" s="66"/>
      <c r="G39" s="66"/>
      <c r="H39" s="66"/>
      <c r="I39" s="66"/>
      <c r="J39" s="66"/>
      <c r="K39" s="58"/>
      <c r="L39" s="104"/>
    </row>
    <row r="40" spans="1:12" x14ac:dyDescent="0.35">
      <c r="A40" s="58"/>
      <c r="B40" s="88"/>
      <c r="C40" s="88" t="s">
        <v>1871</v>
      </c>
      <c r="D40" s="386" t="str">
        <f>TRIM(Ber_Lab!B5&amp;"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"&amp;Ber_Lab!B31)</f>
        <v/>
      </c>
      <c r="E40" s="387"/>
      <c r="F40" s="387"/>
      <c r="G40" s="387"/>
      <c r="H40" s="387"/>
      <c r="I40" s="387"/>
      <c r="J40" s="387"/>
      <c r="K40" s="58"/>
      <c r="L40" s="104"/>
    </row>
    <row r="41" spans="1:12" x14ac:dyDescent="0.35">
      <c r="A41" s="58"/>
      <c r="B41" s="88"/>
      <c r="C41" s="88" t="s">
        <v>2163</v>
      </c>
      <c r="D41" s="384" t="str">
        <f>TRIM(Ber_Lab!D5&amp;"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"&amp;Ber_Lab!D31)</f>
        <v/>
      </c>
      <c r="E41" s="388"/>
      <c r="F41" s="388"/>
      <c r="G41" s="388"/>
      <c r="H41" s="388"/>
      <c r="I41" s="388"/>
      <c r="J41" s="388"/>
      <c r="K41" s="58"/>
      <c r="L41" s="104"/>
    </row>
    <row r="42" spans="1:12" x14ac:dyDescent="0.35">
      <c r="A42" s="58"/>
      <c r="B42" s="88"/>
      <c r="C42" s="88" t="s">
        <v>2164</v>
      </c>
      <c r="D42" s="384" t="str">
        <f>TRIM(Ber_Lab!F5&amp;"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"&amp;Ber_Lab!F31)</f>
        <v/>
      </c>
      <c r="E42" s="385"/>
      <c r="F42" s="385"/>
      <c r="G42" s="385"/>
      <c r="H42" s="385"/>
      <c r="I42" s="385"/>
      <c r="J42" s="385"/>
      <c r="K42" s="58"/>
      <c r="L42" s="104"/>
    </row>
    <row r="43" spans="1:12" x14ac:dyDescent="0.35">
      <c r="A43" s="58"/>
      <c r="B43" s="88"/>
      <c r="C43" s="88" t="s">
        <v>687</v>
      </c>
      <c r="D43" s="384" t="str">
        <f>TRIM(Ber_Lab!H5&amp;"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"&amp;Ber_Lab!H31)</f>
        <v/>
      </c>
      <c r="E43" s="385"/>
      <c r="F43" s="385"/>
      <c r="G43" s="385"/>
      <c r="H43" s="385"/>
      <c r="I43" s="385"/>
      <c r="J43" s="385"/>
      <c r="K43" s="58"/>
      <c r="L43" s="104"/>
    </row>
    <row r="44" spans="1:12" x14ac:dyDescent="0.35">
      <c r="A44" s="58"/>
      <c r="B44" s="88"/>
      <c r="C44" s="93" t="s">
        <v>72</v>
      </c>
      <c r="D44" s="384" t="str">
        <f>TRIM(Ber_Lab!L5&amp;" "&amp;Ber_Lab!L6&amp;" "&amp;Ber_Lab!L7&amp;" "&amp;Ber_Lab!L8&amp;" "&amp;Ber_Lab!L9&amp;" "&amp;Ber_Lab!L10&amp;" "&amp;Ber_Lab!L11&amp;" "&amp;Ber_Lab!L12&amp;" "&amp;Ber_Lab!L13&amp;" "&amp;Ber_Lab!L14&amp;" "&amp;Ber_Lab!L15&amp;" "&amp;Ber_Lab!L16&amp;" "&amp;Ber_Lab!L17&amp;" "&amp;Ber_Lab!L18&amp;" "&amp;Ber_Lab!L19&amp;" "&amp;Ber_Lab!L20&amp;" "&amp;Ber_Lab!L21&amp;" "&amp;Ber_Lab!L22&amp;" "&amp;Ber_Lab!L23&amp;" "&amp;Ber_Lab!L24&amp;" "&amp;Ber_Lab!L25&amp;" "&amp;Ber_Lab!L26&amp;" "&amp;Ber_Lab!L27&amp;" "&amp;Ber_Lab!L28&amp;" "&amp;Ber_Lab!L29&amp;" "&amp;Ber_Lab!L30&amp;" "&amp;Ber_Lab!L31)</f>
        <v/>
      </c>
      <c r="E44" s="389"/>
      <c r="F44" s="389"/>
      <c r="G44" s="389"/>
      <c r="H44" s="389"/>
      <c r="I44" s="389"/>
      <c r="J44" s="389"/>
      <c r="K44" s="58"/>
      <c r="L44" s="104"/>
    </row>
    <row r="45" spans="1:12" x14ac:dyDescent="0.35">
      <c r="A45" s="58"/>
      <c r="B45" s="88"/>
      <c r="C45" s="93" t="s">
        <v>1377</v>
      </c>
      <c r="D45" s="369">
        <f>ber_Opm!C10</f>
        <v>0</v>
      </c>
      <c r="E45" s="370"/>
      <c r="F45" s="370"/>
      <c r="G45" s="370"/>
      <c r="H45" s="370"/>
      <c r="I45" s="370"/>
      <c r="J45" s="370"/>
      <c r="K45" s="58"/>
      <c r="L45" s="104"/>
    </row>
    <row r="46" spans="1:12" x14ac:dyDescent="0.35">
      <c r="A46" s="66"/>
      <c r="B46" s="90"/>
      <c r="C46" s="92"/>
      <c r="D46" s="371"/>
      <c r="E46" s="371"/>
      <c r="F46" s="371"/>
      <c r="G46" s="371"/>
      <c r="H46" s="371"/>
      <c r="I46" s="371"/>
      <c r="J46" s="371"/>
      <c r="K46" s="58"/>
      <c r="L46" s="104"/>
    </row>
    <row r="47" spans="1:12" x14ac:dyDescent="0.35">
      <c r="A47" s="58"/>
      <c r="B47" s="61"/>
      <c r="C47" s="58"/>
      <c r="D47" s="58"/>
      <c r="E47" s="58"/>
      <c r="F47" s="58"/>
      <c r="G47" s="58"/>
      <c r="H47" s="58"/>
      <c r="I47" s="58"/>
      <c r="J47" s="58"/>
      <c r="K47" s="58"/>
      <c r="L47" s="104"/>
    </row>
    <row r="48" spans="1:12" ht="13.6" x14ac:dyDescent="0.35">
      <c r="A48" s="66"/>
      <c r="B48" s="71" t="s">
        <v>387</v>
      </c>
      <c r="C48" s="68"/>
      <c r="D48" s="66"/>
      <c r="E48" s="66"/>
      <c r="F48" s="66"/>
      <c r="G48" s="66"/>
      <c r="H48" s="66"/>
      <c r="I48" s="66"/>
      <c r="J48" s="66"/>
      <c r="K48" s="58"/>
      <c r="L48" s="104"/>
    </row>
    <row r="49" spans="1:12" x14ac:dyDescent="0.35">
      <c r="A49" s="58"/>
      <c r="B49" s="61" t="s">
        <v>1334</v>
      </c>
      <c r="C49" s="58">
        <f>INDEX(tblAanvAfspr,ber_Infusen!M1,1)</f>
        <v>0</v>
      </c>
      <c r="D49" s="58"/>
      <c r="E49" s="58"/>
      <c r="F49" s="58"/>
      <c r="G49" s="58"/>
      <c r="H49" s="58"/>
      <c r="I49" s="58"/>
      <c r="J49" s="58"/>
      <c r="K49" s="58"/>
      <c r="L49" s="104"/>
    </row>
    <row r="50" spans="1:12" x14ac:dyDescent="0.35">
      <c r="A50" s="58"/>
      <c r="B50" s="61" t="s">
        <v>1335</v>
      </c>
      <c r="C50" s="58">
        <f>INDEX(tblAanvAfspr,ber_Infusen!M2,1)</f>
        <v>0</v>
      </c>
      <c r="D50" s="58"/>
      <c r="E50" s="58"/>
      <c r="F50" s="58"/>
      <c r="G50" s="58"/>
      <c r="H50" s="58"/>
      <c r="I50" s="58"/>
      <c r="J50" s="58"/>
      <c r="K50" s="58"/>
      <c r="L50" s="104"/>
    </row>
    <row r="51" spans="1:12" x14ac:dyDescent="0.35">
      <c r="A51" s="58"/>
      <c r="B51" s="61" t="s">
        <v>1336</v>
      </c>
      <c r="C51" s="58">
        <f>INDEX(tblAanvAfspr,ber_Infusen!M3,1)</f>
        <v>0</v>
      </c>
      <c r="D51" s="58"/>
      <c r="E51" s="58"/>
      <c r="F51" s="58"/>
      <c r="G51" s="58"/>
      <c r="H51" s="58"/>
      <c r="I51" s="58"/>
      <c r="J51" s="58"/>
      <c r="K51" s="58"/>
      <c r="L51" s="104"/>
    </row>
    <row r="52" spans="1:12" x14ac:dyDescent="0.35">
      <c r="A52" s="58"/>
      <c r="B52" s="61" t="s">
        <v>1337</v>
      </c>
      <c r="C52" s="58">
        <f>INDEX(tblAanvAfspr,ber_Infusen!M4,1)</f>
        <v>0</v>
      </c>
      <c r="D52" s="58"/>
      <c r="E52" s="58"/>
      <c r="F52" s="58"/>
      <c r="G52" s="58"/>
      <c r="H52" s="58"/>
      <c r="I52" s="58"/>
      <c r="J52" s="58"/>
      <c r="K52" s="58"/>
      <c r="L52" s="104"/>
    </row>
    <row r="53" spans="1:12" x14ac:dyDescent="0.35">
      <c r="A53" s="58"/>
      <c r="B53" s="61" t="s">
        <v>1338</v>
      </c>
      <c r="C53" s="58" t="str">
        <f>IF(Controle_3&gt;0,Infusen!B23&amp;" "&amp;Infusen!C23&amp;", ","")&amp;IF(Controle_8&gt;0,Infusen!E24&amp;" "&amp;Infusen!F24&amp;", ","")&amp;IF(Controle_2&gt;0,Infusen!E23&amp;" "&amp;Infusen!F23&amp;", ","")&amp;IF(Controle_6&gt;0,Infusen!B24&amp;" "&amp;Infusen!C24&amp;", ","")</f>
        <v/>
      </c>
      <c r="D53" s="58"/>
      <c r="E53" s="58"/>
      <c r="F53" s="58"/>
      <c r="G53" s="58"/>
      <c r="H53" s="58"/>
      <c r="I53" s="58"/>
      <c r="J53" s="58"/>
      <c r="K53" s="58"/>
      <c r="L53" s="104"/>
    </row>
    <row r="54" spans="1:12" x14ac:dyDescent="0.35">
      <c r="A54" s="58"/>
      <c r="B54" s="61" t="s">
        <v>388</v>
      </c>
      <c r="C54" s="373" t="str">
        <f>IF(ber_Infusen!O1&gt;1,"Pacemaker: "&amp;INDEX(ber_Infusen!O2:O5,ber_Infusen!O1)&amp;", Modus:"&amp;INDEX(ber_Infusen!P2:P5,ber_Infusen!P1)&amp;"; Frequentie:"&amp;Infusen!C33&amp;", Atriale output:"&amp;Infusen!C35&amp;", Ventr. Output:"&amp;Infusen!C36&amp;", AV interval:"&amp;Infusen!C38&amp;", Atriale sens.:"&amp;Infusen!C40&amp;", Ventr. sens.:"&amp;Infusen!C41,"")</f>
        <v/>
      </c>
      <c r="D54" s="373"/>
      <c r="E54" s="373"/>
      <c r="F54" s="373"/>
      <c r="G54" s="373"/>
      <c r="H54" s="373"/>
      <c r="I54" s="373"/>
      <c r="J54" s="373"/>
      <c r="K54" s="58"/>
      <c r="L54" s="104"/>
    </row>
    <row r="55" spans="1:12" x14ac:dyDescent="0.35">
      <c r="A55" s="58"/>
      <c r="B55" s="61"/>
      <c r="C55" s="373"/>
      <c r="D55" s="373"/>
      <c r="E55" s="373"/>
      <c r="F55" s="373"/>
      <c r="G55" s="373"/>
      <c r="H55" s="373"/>
      <c r="I55" s="373"/>
      <c r="J55" s="373"/>
      <c r="K55" s="58"/>
      <c r="L55" s="104"/>
    </row>
    <row r="56" spans="1:12" ht="12.65" customHeight="1" x14ac:dyDescent="0.35">
      <c r="A56" s="58"/>
      <c r="B56" s="61" t="s">
        <v>389</v>
      </c>
      <c r="C56" s="376">
        <f>ber_Opm!C11</f>
        <v>0</v>
      </c>
      <c r="D56" s="376"/>
      <c r="E56" s="376"/>
      <c r="F56" s="376"/>
      <c r="G56" s="376"/>
      <c r="H56" s="376"/>
      <c r="I56" s="376"/>
      <c r="J56" s="376"/>
      <c r="K56" s="58"/>
      <c r="L56" s="104"/>
    </row>
    <row r="57" spans="1:12" ht="7" customHeight="1" x14ac:dyDescent="0.35">
      <c r="A57" s="58"/>
      <c r="B57" s="61"/>
      <c r="C57" s="377"/>
      <c r="D57" s="377"/>
      <c r="E57" s="377"/>
      <c r="F57" s="377"/>
      <c r="G57" s="377"/>
      <c r="H57" s="377"/>
      <c r="I57" s="377"/>
      <c r="J57" s="377"/>
      <c r="K57" s="58"/>
      <c r="L57" s="104"/>
    </row>
    <row r="58" spans="1:12" ht="7" customHeight="1" x14ac:dyDescent="0.35">
      <c r="A58" s="58"/>
      <c r="B58" s="61"/>
      <c r="C58" s="377"/>
      <c r="D58" s="377"/>
      <c r="E58" s="377"/>
      <c r="F58" s="377"/>
      <c r="G58" s="377"/>
      <c r="H58" s="377"/>
      <c r="I58" s="377"/>
      <c r="J58" s="377"/>
      <c r="K58" s="58"/>
      <c r="L58" s="104"/>
    </row>
    <row r="59" spans="1:12" ht="7" customHeight="1" x14ac:dyDescent="0.35">
      <c r="A59" s="58"/>
      <c r="B59" s="61"/>
      <c r="C59" s="377"/>
      <c r="D59" s="377"/>
      <c r="E59" s="377"/>
      <c r="F59" s="377"/>
      <c r="G59" s="377"/>
      <c r="H59" s="377"/>
      <c r="I59" s="377"/>
      <c r="J59" s="377"/>
      <c r="K59" s="58"/>
      <c r="L59" s="104"/>
    </row>
    <row r="60" spans="1:12" x14ac:dyDescent="0.35">
      <c r="A60" s="58"/>
      <c r="B60" s="61" t="s">
        <v>169</v>
      </c>
      <c r="C60" s="336" t="s">
        <v>383</v>
      </c>
      <c r="D60" s="335"/>
      <c r="E60" s="335"/>
      <c r="F60" s="335"/>
      <c r="G60" s="335"/>
      <c r="H60" s="335"/>
      <c r="I60" s="335"/>
      <c r="J60" s="335"/>
      <c r="K60" s="58"/>
      <c r="L60" s="104"/>
    </row>
    <row r="61" spans="1:12" x14ac:dyDescent="0.35">
      <c r="A61" s="58"/>
      <c r="B61" s="61"/>
      <c r="C61" s="336"/>
      <c r="D61" s="335"/>
      <c r="E61" s="335"/>
      <c r="F61" s="335"/>
      <c r="G61" s="335"/>
      <c r="H61" s="335"/>
      <c r="I61" s="335"/>
      <c r="J61" s="335"/>
      <c r="K61" s="58"/>
      <c r="L61" s="104"/>
    </row>
    <row r="62" spans="1:12" x14ac:dyDescent="0.35">
      <c r="A62" s="58"/>
      <c r="B62" s="61"/>
      <c r="C62" s="336"/>
      <c r="D62" s="335"/>
      <c r="E62" s="335"/>
      <c r="F62" s="335"/>
      <c r="G62" s="335"/>
      <c r="H62" s="335"/>
      <c r="I62" s="335"/>
      <c r="J62" s="335"/>
      <c r="K62" s="58"/>
      <c r="L62" s="104"/>
    </row>
    <row r="63" spans="1:12" x14ac:dyDescent="0.35">
      <c r="A63" s="58"/>
      <c r="B63" s="61"/>
      <c r="C63" s="336"/>
      <c r="D63" s="335"/>
      <c r="E63" s="335"/>
      <c r="F63" s="335"/>
      <c r="G63" s="335"/>
      <c r="H63" s="335"/>
      <c r="I63" s="335"/>
      <c r="J63" s="335"/>
      <c r="K63" s="58"/>
      <c r="L63" s="104"/>
    </row>
    <row r="64" spans="1:12" x14ac:dyDescent="0.35">
      <c r="A64" s="58"/>
      <c r="B64" s="72" t="s">
        <v>457</v>
      </c>
      <c r="C64" s="66"/>
      <c r="D64" s="66"/>
      <c r="E64" s="58"/>
      <c r="F64" s="58"/>
      <c r="G64" s="66" t="s">
        <v>1447</v>
      </c>
      <c r="H64" s="66"/>
      <c r="I64" s="66"/>
      <c r="J64" s="58"/>
      <c r="K64" s="58"/>
      <c r="L64" s="104"/>
    </row>
    <row r="65" spans="1:21" x14ac:dyDescent="0.35">
      <c r="A65" s="58"/>
      <c r="B65" s="61"/>
      <c r="C65" s="58"/>
      <c r="D65" s="58"/>
      <c r="E65" s="58"/>
      <c r="F65" s="58"/>
      <c r="G65" s="58"/>
      <c r="H65" s="58"/>
      <c r="I65" s="58"/>
      <c r="J65" s="58"/>
      <c r="K65" s="58"/>
      <c r="L65" s="104"/>
    </row>
    <row r="66" spans="1:21" x14ac:dyDescent="0.35">
      <c r="A66" s="58"/>
      <c r="B66" s="86"/>
      <c r="C66" s="87" t="e">
        <f>#REF!</f>
        <v>#REF!</v>
      </c>
      <c r="D66" s="56" t="e">
        <f>#REF!</f>
        <v>#REF!</v>
      </c>
      <c r="E66" s="87" t="e">
        <f>#REF!</f>
        <v>#REF!</v>
      </c>
      <c r="F66" s="366" t="e">
        <f>#REF!</f>
        <v>#REF!</v>
      </c>
      <c r="G66" s="366"/>
      <c r="H66" s="88" t="s">
        <v>1303</v>
      </c>
      <c r="I66" s="58" t="str">
        <f>Gewicht/10&amp;" kg"</f>
        <v>10 kg</v>
      </c>
      <c r="J66" s="57"/>
      <c r="K66" s="58"/>
      <c r="L66" s="104"/>
      <c r="M66" s="58"/>
      <c r="N66" s="58"/>
      <c r="O66" s="58"/>
      <c r="P66" s="58"/>
      <c r="Q66" s="58"/>
      <c r="R66" s="58"/>
      <c r="S66" s="58"/>
      <c r="T66" s="58"/>
      <c r="U66" s="58"/>
    </row>
    <row r="67" spans="1:21" x14ac:dyDescent="0.35">
      <c r="A67" s="58"/>
      <c r="B67" s="86"/>
      <c r="C67" s="87" t="e">
        <f>#REF!</f>
        <v>#REF!</v>
      </c>
      <c r="D67" s="59">
        <f ca="1">AfspraakDatum-OpnDatum+1</f>
        <v>829</v>
      </c>
      <c r="E67" s="87" t="e">
        <f>#REF!</f>
        <v>#REF!</v>
      </c>
      <c r="F67" s="60" t="e">
        <f>#REF!</f>
        <v>#REF!</v>
      </c>
      <c r="G67" s="57"/>
      <c r="H67" s="88" t="s">
        <v>632</v>
      </c>
      <c r="I67" s="58" t="str">
        <f>Lengte&amp;" cm"</f>
        <v>80 cm</v>
      </c>
      <c r="J67" s="57"/>
      <c r="K67" s="58"/>
      <c r="L67" s="104"/>
      <c r="M67" s="58"/>
      <c r="N67" s="58"/>
      <c r="O67" s="58"/>
      <c r="P67" s="58"/>
      <c r="Q67" s="58"/>
      <c r="R67" s="58"/>
      <c r="S67" s="58"/>
      <c r="T67" s="58"/>
      <c r="U67" s="58"/>
    </row>
    <row r="68" spans="1:21" x14ac:dyDescent="0.35">
      <c r="A68" s="58"/>
      <c r="B68" s="61"/>
      <c r="C68" s="58"/>
      <c r="D68" s="57"/>
      <c r="E68" s="58"/>
      <c r="F68" s="57"/>
      <c r="G68" s="58"/>
      <c r="H68" s="88" t="s">
        <v>634</v>
      </c>
      <c r="I68" s="58" t="str">
        <f>ROUND(POWER(Gewicht/10,0.425)*POWER(((Lengte/100)*100),0.725)*0.007184,2)&amp;" m2"</f>
        <v>0.46 m2</v>
      </c>
      <c r="J68" s="58"/>
      <c r="K68" s="58"/>
      <c r="L68" s="104"/>
      <c r="M68" s="58"/>
      <c r="N68" s="58"/>
      <c r="O68" s="58"/>
      <c r="P68" s="58"/>
      <c r="Q68" s="58"/>
      <c r="R68" s="58"/>
      <c r="S68" s="58"/>
      <c r="T68" s="58"/>
      <c r="U68" s="58"/>
    </row>
    <row r="69" spans="1:21" x14ac:dyDescent="0.35">
      <c r="A69" s="58"/>
      <c r="B69" s="61"/>
      <c r="C69" s="58"/>
      <c r="D69" s="57"/>
      <c r="E69" s="58"/>
      <c r="F69" s="57"/>
      <c r="G69" s="58"/>
      <c r="H69" s="58"/>
      <c r="I69" s="58"/>
      <c r="J69" s="58"/>
      <c r="K69" s="58"/>
      <c r="L69" s="104"/>
      <c r="M69" s="58"/>
      <c r="N69" s="58"/>
      <c r="O69" s="58"/>
      <c r="P69" s="58"/>
      <c r="Q69" s="58"/>
      <c r="R69" s="58"/>
      <c r="S69" s="58"/>
      <c r="T69" s="58"/>
      <c r="U69" s="58"/>
    </row>
    <row r="70" spans="1:21" ht="13.6" x14ac:dyDescent="0.35">
      <c r="A70" s="66"/>
      <c r="B70" s="71" t="s">
        <v>112</v>
      </c>
      <c r="C70" s="68"/>
      <c r="D70" s="66"/>
      <c r="E70" s="66"/>
      <c r="F70" s="66"/>
      <c r="G70" s="66"/>
      <c r="H70" s="69"/>
      <c r="I70" s="69"/>
      <c r="J70" s="69"/>
      <c r="K70" s="58"/>
      <c r="L70" s="104"/>
      <c r="M70" s="58"/>
      <c r="N70" s="58"/>
      <c r="O70" s="58"/>
      <c r="P70" s="58"/>
      <c r="Q70" s="58"/>
      <c r="R70" s="58"/>
      <c r="S70" s="58"/>
      <c r="T70" s="58"/>
      <c r="U70" s="58"/>
    </row>
    <row r="71" spans="1:21" x14ac:dyDescent="0.35">
      <c r="A71" s="58"/>
      <c r="B71" s="61">
        <v>1</v>
      </c>
      <c r="C71" s="58">
        <f>INDEX(tblInfusen,ber_Infusen!E2,1)</f>
        <v>0</v>
      </c>
      <c r="D71" s="58"/>
      <c r="E71" s="58"/>
      <c r="F71" s="58"/>
      <c r="G71" s="58"/>
      <c r="H71" s="62"/>
      <c r="I71" s="62"/>
      <c r="J71" s="62"/>
      <c r="K71" s="58"/>
      <c r="L71" s="104" t="str">
        <f t="shared" ref="L71:L76" si="0">IF(C71=0,"D","")</f>
        <v>D</v>
      </c>
      <c r="M71" s="58"/>
      <c r="N71" s="58"/>
      <c r="O71" s="58"/>
      <c r="P71" s="58"/>
      <c r="Q71" s="58"/>
      <c r="R71" s="58"/>
      <c r="S71" s="58"/>
      <c r="T71" s="58"/>
      <c r="U71" s="58"/>
    </row>
    <row r="72" spans="1:21" x14ac:dyDescent="0.35">
      <c r="A72" s="58"/>
      <c r="B72" s="61">
        <v>2</v>
      </c>
      <c r="C72" s="58">
        <f>INDEX(tblInfusen,ber_Infusen!E3,1)</f>
        <v>0</v>
      </c>
      <c r="D72" s="58"/>
      <c r="E72" s="58"/>
      <c r="F72" s="58"/>
      <c r="G72" s="58"/>
      <c r="H72" s="62"/>
      <c r="I72" s="62"/>
      <c r="J72" s="62"/>
      <c r="K72" s="58"/>
      <c r="L72" s="104" t="str">
        <f t="shared" si="0"/>
        <v>D</v>
      </c>
      <c r="M72" s="58"/>
      <c r="N72" s="58"/>
      <c r="O72" s="58"/>
      <c r="P72" s="58"/>
      <c r="Q72" s="58"/>
      <c r="R72" s="58"/>
      <c r="S72" s="58"/>
      <c r="T72" s="58"/>
      <c r="U72" s="58"/>
    </row>
    <row r="73" spans="1:21" x14ac:dyDescent="0.35">
      <c r="A73" s="58"/>
      <c r="B73" s="61">
        <v>3</v>
      </c>
      <c r="C73" s="58">
        <f>INDEX(tblInfusen,ber_Infusen!E4,1)</f>
        <v>0</v>
      </c>
      <c r="D73" s="58"/>
      <c r="E73" s="58"/>
      <c r="F73" s="58"/>
      <c r="G73" s="58"/>
      <c r="H73" s="62"/>
      <c r="I73" s="62"/>
      <c r="J73" s="62"/>
      <c r="K73" s="58"/>
      <c r="L73" s="104" t="str">
        <f t="shared" si="0"/>
        <v>D</v>
      </c>
      <c r="M73" s="58"/>
      <c r="N73" s="58"/>
      <c r="O73" s="58"/>
      <c r="P73" s="58"/>
      <c r="Q73" s="58"/>
      <c r="R73" s="58"/>
      <c r="S73" s="58"/>
      <c r="T73" s="58"/>
      <c r="U73" s="58"/>
    </row>
    <row r="74" spans="1:21" x14ac:dyDescent="0.35">
      <c r="A74" s="58"/>
      <c r="B74" s="61">
        <v>4</v>
      </c>
      <c r="C74" s="58">
        <f>INDEX(tblInfusen,ber_Infusen!E5,1)</f>
        <v>0</v>
      </c>
      <c r="D74" s="58"/>
      <c r="E74" s="58"/>
      <c r="F74" s="58"/>
      <c r="G74" s="58"/>
      <c r="H74" s="62"/>
      <c r="I74" s="62"/>
      <c r="J74" s="62"/>
      <c r="K74" s="58"/>
      <c r="L74" s="104" t="str">
        <f t="shared" si="0"/>
        <v>D</v>
      </c>
      <c r="M74" s="58"/>
      <c r="N74" s="58"/>
      <c r="O74" s="58"/>
      <c r="P74" s="58"/>
      <c r="Q74" s="58"/>
      <c r="R74" s="58"/>
      <c r="S74" s="58"/>
      <c r="T74" s="58"/>
      <c r="U74" s="58"/>
    </row>
    <row r="75" spans="1:21" x14ac:dyDescent="0.35">
      <c r="A75" s="58"/>
      <c r="B75" s="61">
        <v>5</v>
      </c>
      <c r="C75" s="58">
        <f>INDEX(tblInfusen,ber_Infusen!E6,1)</f>
        <v>0</v>
      </c>
      <c r="D75" s="58"/>
      <c r="E75" s="58"/>
      <c r="F75" s="58"/>
      <c r="G75" s="58"/>
      <c r="H75" s="62"/>
      <c r="I75" s="62"/>
      <c r="J75" s="62"/>
      <c r="K75" s="58"/>
      <c r="L75" s="104" t="str">
        <f t="shared" si="0"/>
        <v>D</v>
      </c>
      <c r="M75" s="58"/>
      <c r="N75" s="58"/>
      <c r="O75" s="58"/>
      <c r="P75" s="58"/>
      <c r="Q75" s="58"/>
      <c r="R75" s="58"/>
      <c r="S75" s="58"/>
      <c r="T75" s="58"/>
      <c r="U75" s="58"/>
    </row>
    <row r="76" spans="1:21" x14ac:dyDescent="0.35">
      <c r="A76" s="58"/>
      <c r="B76" s="61">
        <v>6</v>
      </c>
      <c r="C76" s="58">
        <f>INDEX(tblInfusen,ber_Infusen!E7,1)</f>
        <v>0</v>
      </c>
      <c r="D76" s="58"/>
      <c r="E76" s="58"/>
      <c r="F76" s="58"/>
      <c r="G76" s="58"/>
      <c r="H76" s="62"/>
      <c r="I76" s="62"/>
      <c r="J76" s="62"/>
      <c r="K76" s="58"/>
      <c r="L76" s="104" t="str">
        <f t="shared" si="0"/>
        <v>D</v>
      </c>
      <c r="M76" s="58"/>
      <c r="N76" s="58"/>
      <c r="O76" s="58"/>
      <c r="P76" s="58"/>
      <c r="Q76" s="58"/>
      <c r="R76" s="58"/>
      <c r="S76" s="58"/>
      <c r="T76" s="58"/>
      <c r="U76" s="58"/>
    </row>
    <row r="77" spans="1:21" x14ac:dyDescent="0.35">
      <c r="A77" s="58"/>
      <c r="B77" s="61"/>
      <c r="C77" s="58"/>
      <c r="D77" s="58"/>
      <c r="E77" s="58"/>
      <c r="F77" s="58"/>
      <c r="G77" s="58"/>
      <c r="H77" s="62"/>
      <c r="I77" s="62"/>
      <c r="J77" s="62"/>
      <c r="K77" s="58"/>
      <c r="L77" s="104"/>
      <c r="M77" s="58"/>
      <c r="N77" s="58"/>
      <c r="O77" s="58"/>
      <c r="P77" s="58"/>
      <c r="Q77" s="58"/>
      <c r="R77" s="58"/>
      <c r="S77" s="58"/>
      <c r="T77" s="58"/>
      <c r="U77" s="58"/>
    </row>
    <row r="78" spans="1:21" x14ac:dyDescent="0.35">
      <c r="A78" s="66"/>
      <c r="B78" s="89"/>
      <c r="C78" s="90" t="s">
        <v>1377</v>
      </c>
      <c r="D78" s="367">
        <f>ber_Opm!C3</f>
        <v>0</v>
      </c>
      <c r="E78" s="368"/>
      <c r="F78" s="368"/>
      <c r="G78" s="368"/>
      <c r="H78" s="368"/>
      <c r="I78" s="368"/>
      <c r="J78" s="368"/>
      <c r="K78" s="58"/>
      <c r="L78" s="104"/>
      <c r="M78" s="58"/>
      <c r="N78" s="58"/>
      <c r="O78" s="58"/>
      <c r="P78" s="58"/>
      <c r="Q78" s="58"/>
      <c r="R78" s="58"/>
      <c r="S78" s="58"/>
      <c r="T78" s="58"/>
      <c r="U78" s="58"/>
    </row>
    <row r="79" spans="1:21" x14ac:dyDescent="0.35">
      <c r="A79" s="58"/>
      <c r="B79" s="61"/>
      <c r="C79" s="58"/>
      <c r="D79" s="58"/>
      <c r="E79" s="58"/>
      <c r="F79" s="58"/>
      <c r="G79" s="58"/>
      <c r="H79" s="58"/>
      <c r="I79" s="58"/>
      <c r="J79" s="58"/>
      <c r="K79" s="58"/>
      <c r="L79" s="104"/>
      <c r="M79" s="58"/>
      <c r="N79" s="58"/>
      <c r="O79" s="58"/>
      <c r="P79" s="58"/>
      <c r="Q79" s="58"/>
      <c r="R79" s="58"/>
      <c r="S79" s="58"/>
      <c r="T79" s="58"/>
      <c r="U79" s="58"/>
    </row>
    <row r="80" spans="1:21" x14ac:dyDescent="0.35">
      <c r="A80" s="58"/>
      <c r="B80" s="61"/>
      <c r="C80" s="58"/>
      <c r="D80" s="58"/>
      <c r="E80" s="58"/>
      <c r="F80" s="58"/>
      <c r="G80" s="58"/>
      <c r="H80" s="58"/>
      <c r="I80" s="58"/>
      <c r="J80" s="58"/>
      <c r="K80" s="58"/>
      <c r="L80" s="104"/>
      <c r="M80" s="58"/>
      <c r="N80" s="58"/>
      <c r="O80" s="58"/>
      <c r="P80" s="58"/>
      <c r="Q80" s="58"/>
      <c r="R80" s="58"/>
      <c r="S80" s="58"/>
      <c r="T80" s="58"/>
      <c r="U80" s="58"/>
    </row>
    <row r="81" spans="1:21" ht="13.6" x14ac:dyDescent="0.35">
      <c r="A81" s="66"/>
      <c r="B81" s="71" t="s">
        <v>1378</v>
      </c>
      <c r="C81" s="66"/>
      <c r="D81" s="66"/>
      <c r="E81" s="66"/>
      <c r="F81" s="66"/>
      <c r="G81" s="66"/>
      <c r="H81" s="66"/>
      <c r="I81" s="66"/>
      <c r="J81" s="66"/>
      <c r="K81" s="58"/>
      <c r="L81" s="104"/>
      <c r="M81" s="58"/>
      <c r="N81" s="58"/>
      <c r="O81" s="58"/>
      <c r="P81" s="58"/>
      <c r="Q81" s="58"/>
      <c r="R81" s="58"/>
      <c r="S81" s="58"/>
      <c r="T81" s="58"/>
      <c r="U81" s="58"/>
    </row>
    <row r="82" spans="1:21" x14ac:dyDescent="0.35">
      <c r="A82" s="58"/>
      <c r="B82" s="86"/>
      <c r="C82" s="88" t="s">
        <v>1427</v>
      </c>
      <c r="D82" s="88"/>
      <c r="E82" s="88" t="s">
        <v>471</v>
      </c>
      <c r="F82" s="88"/>
      <c r="G82" s="88" t="s">
        <v>1430</v>
      </c>
      <c r="H82" s="88"/>
      <c r="I82" s="88"/>
      <c r="J82" s="88" t="s">
        <v>931</v>
      </c>
      <c r="K82" s="58"/>
      <c r="L82" s="104"/>
      <c r="M82" s="58"/>
      <c r="N82" s="58"/>
      <c r="O82" s="58"/>
      <c r="P82" s="58"/>
      <c r="Q82" s="58"/>
      <c r="R82" s="58"/>
      <c r="S82" s="58"/>
      <c r="T82" s="58"/>
      <c r="U82" s="58"/>
    </row>
    <row r="83" spans="1:21" x14ac:dyDescent="0.35">
      <c r="A83" s="58"/>
      <c r="B83" s="61">
        <v>1</v>
      </c>
      <c r="C83" s="58">
        <f>MedicatieIV!C8</f>
        <v>0</v>
      </c>
      <c r="D83" s="58"/>
      <c r="E83" s="58" t="str">
        <f>IF(C83&lt;&gt;0,MedicatieIV!D8&amp;" in "&amp;MedicatieIV!E8&amp;IF(AND(ber_IVmed!D5&lt;&gt;4,MedicatieIV!F8&lt;&gt;0)," "&amp;MedicatieIV!F8,""),"")</f>
        <v/>
      </c>
      <c r="F83" s="58"/>
      <c r="G83" s="58" t="str">
        <f>IF(C83&lt;&gt;0,MedicatieIV!G8&amp;" (="&amp;MedicatieIV!H8&amp;")","")</f>
        <v/>
      </c>
      <c r="H83" s="58"/>
      <c r="I83" s="58"/>
      <c r="J83" s="58" t="str">
        <f>MedicatieIV!I8</f>
        <v/>
      </c>
      <c r="K83" s="58"/>
      <c r="L83" s="104" t="str">
        <f t="shared" ref="L83:L97" si="1">IF(C83=0,"D","")</f>
        <v>D</v>
      </c>
      <c r="M83" s="58"/>
      <c r="N83" s="58"/>
      <c r="O83" s="58"/>
      <c r="P83" s="58"/>
      <c r="Q83" s="58"/>
      <c r="R83" s="58"/>
      <c r="S83" s="58"/>
      <c r="T83" s="58"/>
      <c r="U83" s="58"/>
    </row>
    <row r="84" spans="1:21" x14ac:dyDescent="0.35">
      <c r="A84" s="58"/>
      <c r="B84" s="61">
        <v>2</v>
      </c>
      <c r="C84" s="58">
        <f>MedicatieIV!C9</f>
        <v>0</v>
      </c>
      <c r="D84" s="58"/>
      <c r="E84" s="58" t="str">
        <f>IF(C84&lt;&gt;0,MedicatieIV!D9&amp;" in "&amp;MedicatieIV!E9&amp;IF(AND(ber_IVmed!D6&lt;&gt;4,MedicatieIV!F9&lt;&gt;0)," "&amp;MedicatieIV!F9,""),"")</f>
        <v/>
      </c>
      <c r="F84" s="58"/>
      <c r="G84" s="58" t="str">
        <f>IF(C84&lt;&gt;0,MedicatieIV!G9&amp;" (="&amp;MedicatieIV!H9&amp;")","")</f>
        <v/>
      </c>
      <c r="H84" s="58"/>
      <c r="I84" s="58"/>
      <c r="J84" s="58" t="str">
        <f>MedicatieIV!I9</f>
        <v/>
      </c>
      <c r="K84" s="58"/>
      <c r="L84" s="104" t="str">
        <f t="shared" si="1"/>
        <v>D</v>
      </c>
      <c r="M84" s="58"/>
      <c r="N84" s="58"/>
      <c r="O84" s="58"/>
      <c r="P84" s="58"/>
      <c r="Q84" s="58"/>
      <c r="R84" s="58"/>
      <c r="S84" s="58"/>
      <c r="T84" s="58"/>
      <c r="U84" s="58"/>
    </row>
    <row r="85" spans="1:21" x14ac:dyDescent="0.35">
      <c r="A85" s="58"/>
      <c r="B85" s="61">
        <v>3</v>
      </c>
      <c r="C85" s="58">
        <f>MedicatieIV!C10</f>
        <v>0</v>
      </c>
      <c r="D85" s="58"/>
      <c r="E85" s="58" t="str">
        <f>IF(C85&lt;&gt;0,MedicatieIV!D10&amp;" in "&amp;MedicatieIV!E10&amp;IF(AND(ber_IVmed!D7&lt;&gt;4,MedicatieIV!F10&lt;&gt;0)," "&amp;MedicatieIV!F10,""),"")</f>
        <v/>
      </c>
      <c r="F85" s="58"/>
      <c r="G85" s="58" t="str">
        <f>IF(C85&lt;&gt;0,MedicatieIV!G10&amp;" (="&amp;MedicatieIV!H10&amp;")","")</f>
        <v/>
      </c>
      <c r="H85" s="58"/>
      <c r="I85" s="58"/>
      <c r="J85" s="58" t="str">
        <f>MedicatieIV!I10</f>
        <v/>
      </c>
      <c r="K85" s="58"/>
      <c r="L85" s="104" t="str">
        <f t="shared" si="1"/>
        <v>D</v>
      </c>
      <c r="M85" s="58"/>
      <c r="N85" s="58"/>
      <c r="O85" s="58"/>
      <c r="P85" s="58"/>
      <c r="Q85" s="58"/>
      <c r="R85" s="58"/>
      <c r="S85" s="58"/>
      <c r="T85" s="58"/>
      <c r="U85" s="58"/>
    </row>
    <row r="86" spans="1:21" x14ac:dyDescent="0.35">
      <c r="A86" s="58"/>
      <c r="B86" s="61">
        <v>4</v>
      </c>
      <c r="C86" s="58">
        <f>MedicatieIV!C11</f>
        <v>0</v>
      </c>
      <c r="D86" s="58"/>
      <c r="E86" s="58" t="str">
        <f>IF(C86&lt;&gt;0,MedicatieIV!D11&amp;" in "&amp;MedicatieIV!E11&amp;IF(AND(ber_IVmed!D8&lt;&gt;4,MedicatieIV!F11&lt;&gt;0)," "&amp;MedicatieIV!F11,""),"")</f>
        <v/>
      </c>
      <c r="F86" s="58"/>
      <c r="G86" s="58" t="str">
        <f>IF(C86&lt;&gt;0,MedicatieIV!G11&amp;" (="&amp;MedicatieIV!H11&amp;")","")</f>
        <v/>
      </c>
      <c r="H86" s="58"/>
      <c r="I86" s="58"/>
      <c r="J86" s="58" t="str">
        <f>MedicatieIV!I11</f>
        <v/>
      </c>
      <c r="K86" s="58"/>
      <c r="L86" s="104" t="str">
        <f t="shared" si="1"/>
        <v>D</v>
      </c>
      <c r="M86" s="58"/>
      <c r="N86" s="58"/>
      <c r="O86" s="58"/>
      <c r="P86" s="58"/>
      <c r="Q86" s="58"/>
      <c r="R86" s="58"/>
      <c r="S86" s="58"/>
      <c r="T86" s="58"/>
      <c r="U86" s="58"/>
    </row>
    <row r="87" spans="1:21" x14ac:dyDescent="0.35">
      <c r="A87" s="58"/>
      <c r="B87" s="61">
        <v>5</v>
      </c>
      <c r="C87" s="58">
        <f>MedicatieIV!C12</f>
        <v>0</v>
      </c>
      <c r="D87" s="58"/>
      <c r="E87" s="58" t="str">
        <f>IF(C87&lt;&gt;0,MedicatieIV!D12&amp;" in "&amp;MedicatieIV!E12&amp;IF(AND(ber_IVmed!D10&lt;&gt;4,MedicatieIV!F12&lt;&gt;0)," "&amp;MedicatieIV!F12,""),"")</f>
        <v/>
      </c>
      <c r="F87" s="58"/>
      <c r="G87" s="58" t="str">
        <f>IF(C87&lt;&gt;0,MedicatieIV!G12&amp;" (="&amp;MedicatieIV!H12&amp;")","")</f>
        <v/>
      </c>
      <c r="H87" s="58"/>
      <c r="I87" s="58"/>
      <c r="J87" s="58" t="str">
        <f>MedicatieIV!I12</f>
        <v/>
      </c>
      <c r="K87" s="58"/>
      <c r="L87" s="104" t="str">
        <f t="shared" si="1"/>
        <v>D</v>
      </c>
      <c r="M87" s="58"/>
      <c r="N87" s="58"/>
      <c r="O87" s="58"/>
      <c r="P87" s="58"/>
      <c r="Q87" s="58"/>
      <c r="R87" s="58"/>
      <c r="S87" s="58"/>
      <c r="T87" s="58"/>
      <c r="U87" s="58"/>
    </row>
    <row r="88" spans="1:21" x14ac:dyDescent="0.35">
      <c r="A88" s="58"/>
      <c r="B88" s="61">
        <v>6</v>
      </c>
      <c r="C88" s="58">
        <f>MedicatieIV!C13</f>
        <v>0</v>
      </c>
      <c r="D88" s="58"/>
      <c r="E88" s="58" t="str">
        <f>IF(C88&lt;&gt;0,MedicatieIV!D13&amp;" in "&amp;MedicatieIV!E13&amp;IF(AND(ber_IVmed!D11&lt;&gt;4,MedicatieIV!F13&lt;&gt;0)," "&amp;MedicatieIV!F13,""),"")</f>
        <v/>
      </c>
      <c r="F88" s="58"/>
      <c r="G88" s="58" t="str">
        <f>IF(C88&lt;&gt;0,MedicatieIV!G13&amp;" (="&amp;MedicatieIV!H13&amp;")","")</f>
        <v/>
      </c>
      <c r="H88" s="58"/>
      <c r="I88" s="58"/>
      <c r="J88" s="58" t="str">
        <f>MedicatieIV!I13</f>
        <v/>
      </c>
      <c r="K88" s="58"/>
      <c r="L88" s="104" t="str">
        <f t="shared" si="1"/>
        <v>D</v>
      </c>
      <c r="M88" s="58"/>
      <c r="N88" s="58"/>
      <c r="O88" s="58"/>
      <c r="P88" s="58"/>
      <c r="Q88" s="58"/>
      <c r="R88" s="58"/>
      <c r="S88" s="58"/>
      <c r="T88" s="58"/>
      <c r="U88" s="58"/>
    </row>
    <row r="89" spans="1:21" x14ac:dyDescent="0.35">
      <c r="A89" s="58"/>
      <c r="B89" s="61">
        <v>7</v>
      </c>
      <c r="C89" s="58">
        <f>MedicatieIV!C14</f>
        <v>0</v>
      </c>
      <c r="D89" s="58"/>
      <c r="E89" s="58" t="str">
        <f>IF(C89&lt;&gt;0,MedicatieIV!D14&amp;" in "&amp;MedicatieIV!E14&amp;IF(AND(ber_IVmed!D12&lt;&gt;4,MedicatieIV!F14&lt;&gt;0)," "&amp;MedicatieIV!F14,""),"")</f>
        <v/>
      </c>
      <c r="F89" s="58"/>
      <c r="G89" s="58" t="str">
        <f>IF(C89&lt;&gt;0,MedicatieIV!G14&amp;" (="&amp;MedicatieIV!H14&amp;")","")</f>
        <v/>
      </c>
      <c r="H89" s="58"/>
      <c r="I89" s="58"/>
      <c r="J89" s="58" t="str">
        <f>MedicatieIV!I14</f>
        <v/>
      </c>
      <c r="K89" s="58"/>
      <c r="L89" s="104" t="str">
        <f t="shared" si="1"/>
        <v>D</v>
      </c>
      <c r="M89" s="58"/>
      <c r="N89" s="58"/>
      <c r="O89" s="58"/>
      <c r="P89" s="58"/>
      <c r="Q89" s="58"/>
      <c r="R89" s="58"/>
      <c r="S89" s="58"/>
      <c r="T89" s="58"/>
      <c r="U89" s="58"/>
    </row>
    <row r="90" spans="1:21" x14ac:dyDescent="0.35">
      <c r="A90" s="58"/>
      <c r="B90" s="61">
        <v>8</v>
      </c>
      <c r="C90" s="58">
        <f>MedicatieIV!C15</f>
        <v>0</v>
      </c>
      <c r="D90" s="58"/>
      <c r="E90" s="58" t="str">
        <f>IF(C90&lt;&gt;0,MedicatieIV!D15&amp;" in "&amp;MedicatieIV!E15&amp;IF(AND(ber_IVmed!D13&lt;&gt;4,MedicatieIV!F15&lt;&gt;0)," "&amp;MedicatieIV!F15,""),"")</f>
        <v/>
      </c>
      <c r="F90" s="58"/>
      <c r="G90" s="58" t="str">
        <f>IF(C90&lt;&gt;0,MedicatieIV!G15&amp;" (="&amp;MedicatieIV!H15&amp;")","")</f>
        <v/>
      </c>
      <c r="H90" s="58"/>
      <c r="I90" s="58"/>
      <c r="J90" s="58" t="str">
        <f>MedicatieIV!I15</f>
        <v/>
      </c>
      <c r="K90" s="58"/>
      <c r="L90" s="104" t="str">
        <f t="shared" si="1"/>
        <v>D</v>
      </c>
      <c r="M90" s="58"/>
      <c r="N90" s="58"/>
      <c r="O90" s="58"/>
      <c r="P90" s="58"/>
      <c r="Q90" s="58"/>
      <c r="R90" s="58"/>
      <c r="S90" s="58"/>
      <c r="T90" s="58"/>
      <c r="U90" s="58"/>
    </row>
    <row r="91" spans="1:21" x14ac:dyDescent="0.35">
      <c r="A91" s="58"/>
      <c r="B91" s="61">
        <v>9</v>
      </c>
      <c r="C91" s="58">
        <f>MedicatieIV!C16</f>
        <v>0</v>
      </c>
      <c r="D91" s="58"/>
      <c r="E91" s="58" t="str">
        <f>IF(C91&lt;&gt;0,MedicatieIV!D16&amp;" in "&amp;MedicatieIV!E16&amp;IF(AND(ber_IVmed!D14&lt;&gt;4,MedicatieIV!F16&lt;&gt;0)," "&amp;MedicatieIV!F16,""),"")</f>
        <v/>
      </c>
      <c r="F91" s="58"/>
      <c r="G91" s="58" t="str">
        <f>IF(C91&lt;&gt;0,MedicatieIV!G16&amp;" (="&amp;MedicatieIV!H16&amp;")","")</f>
        <v/>
      </c>
      <c r="H91" s="58"/>
      <c r="I91" s="58"/>
      <c r="J91" s="58" t="str">
        <f>MedicatieIV!I16</f>
        <v/>
      </c>
      <c r="K91" s="58"/>
      <c r="L91" s="104" t="str">
        <f t="shared" si="1"/>
        <v>D</v>
      </c>
      <c r="M91" s="58"/>
      <c r="N91" s="58"/>
      <c r="O91" s="58"/>
      <c r="P91" s="58"/>
      <c r="Q91" s="58"/>
      <c r="R91" s="58"/>
      <c r="S91" s="58"/>
      <c r="T91" s="58"/>
      <c r="U91" s="58"/>
    </row>
    <row r="92" spans="1:21" x14ac:dyDescent="0.35">
      <c r="A92" s="58"/>
      <c r="B92" s="61">
        <v>10</v>
      </c>
      <c r="C92" s="58">
        <f>MedicatieIV!C17</f>
        <v>0</v>
      </c>
      <c r="D92" s="58"/>
      <c r="E92" s="58" t="str">
        <f>IF(C92&lt;&gt;0,MedicatieIV!D17&amp;" in "&amp;MedicatieIV!E17&amp;IF(AND(ber_IVmed!#REF!&lt;&gt;4,MedicatieIV!F17&lt;&gt;0)," "&amp;MedicatieIV!F17,""),"")</f>
        <v/>
      </c>
      <c r="F92" s="58"/>
      <c r="G92" s="58" t="str">
        <f>IF(C92&lt;&gt;0,MedicatieIV!G17&amp;" (="&amp;MedicatieIV!H17&amp;")","")</f>
        <v/>
      </c>
      <c r="H92" s="58"/>
      <c r="I92" s="58"/>
      <c r="J92" s="58" t="str">
        <f>MedicatieIV!I17</f>
        <v/>
      </c>
      <c r="K92" s="58"/>
      <c r="L92" s="104" t="str">
        <f t="shared" si="1"/>
        <v>D</v>
      </c>
      <c r="M92" s="58"/>
      <c r="N92" s="58"/>
      <c r="O92" s="58"/>
      <c r="P92" s="58"/>
      <c r="Q92" s="58"/>
      <c r="R92" s="58"/>
      <c r="S92" s="58"/>
      <c r="T92" s="58"/>
      <c r="U92" s="58"/>
    </row>
    <row r="93" spans="1:21" x14ac:dyDescent="0.35">
      <c r="A93" s="58"/>
      <c r="B93" s="61">
        <v>11</v>
      </c>
      <c r="C93" s="58">
        <f>MedicatieIV!C19</f>
        <v>0</v>
      </c>
      <c r="D93" s="58"/>
      <c r="E93" s="58" t="str">
        <f>IF(C93&lt;&gt;0,MedicatieIV!D19&amp;" in "&amp;MedicatieIV!E19&amp;IF(AND(ber_IVmed!D27&lt;&gt;4,MedicatieIV!F19&lt;&gt;0)," "&amp;MedicatieIV!F19,""),"")</f>
        <v/>
      </c>
      <c r="F93" s="58"/>
      <c r="G93" s="58">
        <f>MedicatieIV!G19</f>
        <v>0</v>
      </c>
      <c r="H93" s="58"/>
      <c r="I93" s="58"/>
      <c r="J93" s="58" t="str">
        <f>MedicatieIV!I19</f>
        <v/>
      </c>
      <c r="K93" s="58"/>
      <c r="L93" s="104" t="str">
        <f t="shared" si="1"/>
        <v>D</v>
      </c>
      <c r="M93" s="58"/>
      <c r="N93" s="58"/>
      <c r="O93" s="58"/>
      <c r="P93" s="58"/>
      <c r="Q93" s="58"/>
      <c r="R93" s="58"/>
      <c r="S93" s="58"/>
      <c r="T93" s="58"/>
      <c r="U93" s="58"/>
    </row>
    <row r="94" spans="1:21" x14ac:dyDescent="0.35">
      <c r="A94" s="58"/>
      <c r="B94" s="61">
        <v>12</v>
      </c>
      <c r="C94" s="58">
        <f>MedicatieIV!C20</f>
        <v>0</v>
      </c>
      <c r="D94" s="58"/>
      <c r="E94" s="58" t="str">
        <f>IF(C94&lt;&gt;0,MedicatieIV!D20&amp;" in "&amp;MedicatieIV!E20&amp;IF(AND(ber_IVmed!D28&lt;&gt;4,MedicatieIV!F20&lt;&gt;0)," "&amp;MedicatieIV!F20,""),"")</f>
        <v/>
      </c>
      <c r="F94" s="58"/>
      <c r="G94" s="58">
        <f>MedicatieIV!G20</f>
        <v>0</v>
      </c>
      <c r="H94" s="58"/>
      <c r="I94" s="58"/>
      <c r="J94" s="58" t="str">
        <f>MedicatieIV!I20</f>
        <v/>
      </c>
      <c r="K94" s="58"/>
      <c r="L94" s="104" t="str">
        <f t="shared" si="1"/>
        <v>D</v>
      </c>
      <c r="M94" s="58"/>
      <c r="N94" s="58"/>
      <c r="O94" s="58"/>
      <c r="P94" s="58"/>
      <c r="Q94" s="58"/>
      <c r="R94" s="58"/>
      <c r="S94" s="58"/>
      <c r="T94" s="58"/>
      <c r="U94" s="58"/>
    </row>
    <row r="95" spans="1:21" x14ac:dyDescent="0.35">
      <c r="A95" s="58"/>
      <c r="B95" s="61">
        <v>13</v>
      </c>
      <c r="C95" s="58">
        <f>MedicatieIV!C21</f>
        <v>0</v>
      </c>
      <c r="D95" s="58"/>
      <c r="E95" s="58" t="str">
        <f>IF(C95&lt;&gt;0,MedicatieIV!D21&amp;" in "&amp;MedicatieIV!E21&amp;IF(AND(ber_IVmed!D29&lt;&gt;4,MedicatieIV!F21&lt;&gt;0)," "&amp;MedicatieIV!F21,""),"")</f>
        <v/>
      </c>
      <c r="F95" s="58"/>
      <c r="G95" s="58">
        <f>MedicatieIV!G21</f>
        <v>0</v>
      </c>
      <c r="H95" s="58"/>
      <c r="I95" s="58"/>
      <c r="J95" s="58" t="str">
        <f>MedicatieIV!I21</f>
        <v/>
      </c>
      <c r="K95" s="58"/>
      <c r="L95" s="104" t="str">
        <f t="shared" si="1"/>
        <v>D</v>
      </c>
      <c r="M95" s="58"/>
      <c r="N95" s="58"/>
      <c r="O95" s="58"/>
      <c r="P95" s="58"/>
      <c r="Q95" s="58"/>
      <c r="R95" s="58"/>
      <c r="S95" s="58"/>
      <c r="T95" s="58"/>
      <c r="U95" s="58"/>
    </row>
    <row r="96" spans="1:21" x14ac:dyDescent="0.35">
      <c r="A96" s="58"/>
      <c r="B96" s="61">
        <v>14</v>
      </c>
      <c r="C96" s="58">
        <f>MedicatieIV!C22</f>
        <v>0</v>
      </c>
      <c r="D96" s="58"/>
      <c r="E96" s="58" t="str">
        <f>IF(C96&lt;&gt;0,MedicatieIV!D22&amp;" in "&amp;MedicatieIV!E22&amp;IF(AND(ber_IVmed!D30&lt;&gt;4,MedicatieIV!F22&lt;&gt;0)," "&amp;MedicatieIV!F22,""),"")</f>
        <v/>
      </c>
      <c r="F96" s="58"/>
      <c r="G96" s="58">
        <f>MedicatieIV!G22</f>
        <v>0</v>
      </c>
      <c r="H96" s="58"/>
      <c r="I96" s="58"/>
      <c r="J96" s="58" t="str">
        <f>MedicatieIV!I22</f>
        <v/>
      </c>
      <c r="K96" s="58"/>
      <c r="L96" s="104" t="str">
        <f t="shared" si="1"/>
        <v>D</v>
      </c>
      <c r="M96" s="58"/>
      <c r="N96" s="58"/>
      <c r="O96" s="58"/>
      <c r="P96" s="58"/>
      <c r="Q96" s="58"/>
      <c r="R96" s="58"/>
      <c r="S96" s="58"/>
      <c r="T96" s="58"/>
      <c r="U96" s="58"/>
    </row>
    <row r="97" spans="1:21" x14ac:dyDescent="0.35">
      <c r="A97" s="58"/>
      <c r="B97" s="61">
        <v>15</v>
      </c>
      <c r="C97" s="58">
        <f>MedicatieIV!C23</f>
        <v>0</v>
      </c>
      <c r="D97" s="58"/>
      <c r="E97" s="58" t="str">
        <f>IF(C97&lt;&gt;0,MedicatieIV!D23&amp;" in "&amp;MedicatieIV!E23&amp;IF(AND(ber_IVmed!D31&lt;&gt;4,MedicatieIV!F23&lt;&gt;0)," "&amp;MedicatieIV!F23,""),"")</f>
        <v/>
      </c>
      <c r="F97" s="58"/>
      <c r="G97" s="58">
        <f>MedicatieIV!G23</f>
        <v>0</v>
      </c>
      <c r="H97" s="58"/>
      <c r="I97" s="58"/>
      <c r="J97" s="58" t="str">
        <f>MedicatieIV!I23</f>
        <v/>
      </c>
      <c r="K97" s="58"/>
      <c r="L97" s="104" t="str">
        <f t="shared" si="1"/>
        <v>D</v>
      </c>
      <c r="M97" s="58"/>
      <c r="N97" s="58"/>
      <c r="O97" s="58"/>
      <c r="P97" s="58"/>
      <c r="Q97" s="58"/>
      <c r="R97" s="58"/>
      <c r="S97" s="58"/>
      <c r="T97" s="58"/>
      <c r="U97" s="58"/>
    </row>
    <row r="98" spans="1:21" x14ac:dyDescent="0.35">
      <c r="A98" s="58"/>
      <c r="B98" s="61"/>
      <c r="C98" s="58"/>
      <c r="D98" s="58"/>
      <c r="E98" s="58"/>
      <c r="F98" s="58"/>
      <c r="G98" s="58"/>
      <c r="H98" s="58"/>
      <c r="I98" s="58"/>
      <c r="J98" s="58"/>
      <c r="K98" s="58"/>
      <c r="L98" s="104"/>
      <c r="M98" s="58"/>
      <c r="N98" s="58"/>
      <c r="O98" s="58"/>
      <c r="P98" s="58"/>
      <c r="Q98" s="58"/>
      <c r="R98" s="58"/>
      <c r="S98" s="58"/>
      <c r="T98" s="58"/>
      <c r="U98" s="58"/>
    </row>
    <row r="99" spans="1:21" x14ac:dyDescent="0.35">
      <c r="A99" s="58"/>
      <c r="B99" s="86"/>
      <c r="C99" s="88" t="s">
        <v>1377</v>
      </c>
      <c r="D99" s="369">
        <f>ber_Opm!C4</f>
        <v>0</v>
      </c>
      <c r="E99" s="369"/>
      <c r="F99" s="369"/>
      <c r="G99" s="369"/>
      <c r="H99" s="369"/>
      <c r="I99" s="369"/>
      <c r="J99" s="369"/>
      <c r="K99" s="58"/>
      <c r="L99" s="104"/>
      <c r="M99" s="58"/>
      <c r="N99" s="58"/>
      <c r="O99" s="58"/>
      <c r="P99" s="58"/>
      <c r="Q99" s="58"/>
      <c r="R99" s="58"/>
      <c r="S99" s="58"/>
      <c r="T99" s="58"/>
      <c r="U99" s="58"/>
    </row>
    <row r="100" spans="1:21" x14ac:dyDescent="0.35">
      <c r="A100" s="58"/>
      <c r="B100" s="61"/>
      <c r="C100" s="58"/>
      <c r="D100" s="372"/>
      <c r="E100" s="372"/>
      <c r="F100" s="372"/>
      <c r="G100" s="372"/>
      <c r="H100" s="372"/>
      <c r="I100" s="372"/>
      <c r="J100" s="372"/>
      <c r="K100" s="58"/>
      <c r="L100" s="104"/>
      <c r="M100" s="58"/>
      <c r="N100" s="58"/>
      <c r="O100" s="58"/>
      <c r="P100" s="58"/>
      <c r="Q100" s="58"/>
      <c r="R100" s="58"/>
      <c r="S100" s="58"/>
      <c r="T100" s="58"/>
      <c r="U100" s="58"/>
    </row>
    <row r="101" spans="1:21" ht="13.6" x14ac:dyDescent="0.35">
      <c r="A101" s="66"/>
      <c r="B101" s="71" t="str">
        <f>Intake!C14</f>
        <v>Infuus</v>
      </c>
      <c r="C101" s="68"/>
      <c r="D101" s="66"/>
      <c r="E101" s="66"/>
      <c r="F101" s="66"/>
      <c r="G101" s="66"/>
      <c r="H101" s="66"/>
      <c r="I101" s="66"/>
      <c r="J101" s="66"/>
      <c r="K101" s="58"/>
      <c r="L101" s="104"/>
      <c r="M101" s="58"/>
      <c r="N101" s="58"/>
      <c r="O101" s="58"/>
      <c r="P101" s="58"/>
      <c r="Q101" s="58"/>
      <c r="R101" s="58"/>
      <c r="S101" s="58"/>
      <c r="T101" s="58"/>
      <c r="U101" s="58"/>
    </row>
    <row r="102" spans="1:21" x14ac:dyDescent="0.35">
      <c r="A102" s="58"/>
      <c r="B102" s="86"/>
      <c r="C102" s="88"/>
      <c r="D102" s="118">
        <f>IF(E102&lt;&gt;"",Intake!C15,)</f>
        <v>0</v>
      </c>
      <c r="E102" s="67" t="str">
        <f>IF(TPN2tot6kg!G21&lt;&gt;0,TPN2tot6kg!A14&amp;" ml","")</f>
        <v/>
      </c>
      <c r="F102" s="67" t="str">
        <f>IF(TPN2tot6kg!G21&lt;&gt;0,TPN2tot6kg!G21&amp;" ml","")</f>
        <v/>
      </c>
      <c r="G102" s="124"/>
      <c r="H102" s="118">
        <f>IF(I102&lt;&gt;"",Intake!H15,)</f>
        <v>0</v>
      </c>
      <c r="I102" s="67" t="str">
        <f>Intake!I15</f>
        <v/>
      </c>
      <c r="J102" s="67" t="str">
        <f>Intake!J15</f>
        <v/>
      </c>
      <c r="K102" s="58"/>
      <c r="L102" s="104"/>
      <c r="M102" s="58"/>
      <c r="N102" s="58"/>
      <c r="O102" s="58"/>
      <c r="P102" s="58"/>
      <c r="Q102" s="58"/>
      <c r="R102" s="58"/>
      <c r="S102" s="58"/>
      <c r="T102" s="58"/>
      <c r="U102" s="58"/>
    </row>
    <row r="103" spans="1:21" x14ac:dyDescent="0.35">
      <c r="A103" s="58"/>
      <c r="B103" s="86"/>
      <c r="C103" s="88"/>
      <c r="D103" s="87" t="str">
        <f>IF(F103&lt;&gt;"",ber_TPN!A27,"")</f>
        <v/>
      </c>
      <c r="E103" s="58" t="str">
        <f>IF(ber_TPN!B4=4,ROUND(ber_TPN!D4,1)&amp;" ml/uur","")</f>
        <v/>
      </c>
      <c r="F103" s="58" t="str">
        <f>Intake!E16</f>
        <v/>
      </c>
      <c r="G103" s="88"/>
      <c r="H103" s="87">
        <f>IF(J103&lt;&gt;"",INDEX(tblSSTGlucose,SSTGlucose_2,1),)</f>
        <v>0</v>
      </c>
      <c r="I103" s="58"/>
      <c r="J103" s="58" t="str">
        <f>Intake!J17</f>
        <v/>
      </c>
      <c r="K103" s="58"/>
      <c r="L103" s="104" t="str">
        <f>IF(AND(D103="",H103=0),"D","")</f>
        <v>D</v>
      </c>
      <c r="M103" s="58"/>
      <c r="N103" s="58"/>
      <c r="O103" s="58"/>
      <c r="P103" s="58"/>
      <c r="Q103" s="58"/>
      <c r="R103" s="58"/>
      <c r="S103" s="58"/>
      <c r="T103" s="58"/>
      <c r="U103" s="58"/>
    </row>
    <row r="104" spans="1:21" x14ac:dyDescent="0.35">
      <c r="A104" s="58"/>
      <c r="B104" s="86"/>
      <c r="C104" s="88"/>
      <c r="D104" s="87" t="str">
        <f>IF(Intake!G16&lt;&gt;"","Peditrace","")</f>
        <v/>
      </c>
      <c r="E104" s="165" t="str">
        <f>IF(Intake!G16&lt;&gt;"",Intake!G16&amp;" "&amp;Intake!F17,"")</f>
        <v/>
      </c>
      <c r="F104" s="166"/>
      <c r="G104" s="88"/>
      <c r="H104" s="87">
        <f>IF(J104&lt;&gt;"",Intake!H18,)</f>
        <v>0</v>
      </c>
      <c r="I104" s="58"/>
      <c r="J104" s="58" t="str">
        <f>Intake!J18</f>
        <v/>
      </c>
      <c r="K104" s="58"/>
      <c r="L104" s="104" t="str">
        <f>IF(AND(D104="",H104=0),"D","")</f>
        <v>D</v>
      </c>
      <c r="M104" s="58"/>
      <c r="N104" s="58"/>
      <c r="O104" s="58"/>
      <c r="P104" s="58"/>
      <c r="Q104" s="58"/>
      <c r="R104" s="58"/>
      <c r="S104" s="58"/>
      <c r="T104" s="58"/>
      <c r="U104" s="58"/>
    </row>
    <row r="105" spans="1:21" x14ac:dyDescent="0.35">
      <c r="A105" s="58"/>
      <c r="B105" s="86"/>
      <c r="C105" s="88"/>
      <c r="D105" s="87">
        <f>IF(F105&lt;&gt;"",INDEX(tblSSTGlucose,SSTglucose,1),)</f>
        <v>0</v>
      </c>
      <c r="E105" s="58"/>
      <c r="F105" s="58" t="str">
        <f>IF(AND(TPN=2,SSTglucose&lt;11,Gewicht/10&lt;=50),ROUND(ber_TPN!F6,0)&amp;" ml","")</f>
        <v/>
      </c>
      <c r="G105" s="88"/>
      <c r="H105" s="87">
        <f>IF(J105&lt;&gt;"",Intake!H19,)</f>
        <v>0</v>
      </c>
      <c r="I105" s="58"/>
      <c r="J105" s="58" t="str">
        <f>Intake!J19</f>
        <v/>
      </c>
      <c r="K105" s="58"/>
      <c r="L105" s="104" t="str">
        <f>IF(AND(D105="",H105=0),"D","")</f>
        <v/>
      </c>
      <c r="M105" s="58"/>
      <c r="N105" s="58"/>
      <c r="O105" s="58"/>
      <c r="P105" s="58"/>
      <c r="Q105" s="58"/>
      <c r="R105" s="58"/>
      <c r="S105" s="58"/>
      <c r="T105" s="58"/>
      <c r="U105" s="58"/>
    </row>
    <row r="106" spans="1:21" x14ac:dyDescent="0.35">
      <c r="A106" s="58"/>
      <c r="B106" s="86"/>
      <c r="C106" s="88"/>
      <c r="D106" s="87">
        <f>IF(F106&lt;&gt;"",Intake!C18,)</f>
        <v>0</v>
      </c>
      <c r="E106" s="58"/>
      <c r="F106" s="58" t="str">
        <f>IF(AND(TPN2tot6kg!G14&lt;&gt;"",ber_TPN!$F$4&gt;0),TPN2tot6kg!G14&amp;" ml","")</f>
        <v/>
      </c>
      <c r="G106" s="58"/>
      <c r="H106" s="58"/>
      <c r="I106" s="58"/>
      <c r="J106" s="58"/>
      <c r="K106" s="58"/>
      <c r="L106" s="104" t="str">
        <f>IF(D106=0,"D","")</f>
        <v>D</v>
      </c>
      <c r="M106" s="58"/>
      <c r="N106" s="58"/>
      <c r="O106" s="58"/>
      <c r="P106" s="58"/>
      <c r="Q106" s="58"/>
      <c r="R106" s="58"/>
      <c r="S106" s="58"/>
      <c r="T106" s="58"/>
      <c r="U106" s="58"/>
    </row>
    <row r="107" spans="1:21" x14ac:dyDescent="0.35">
      <c r="A107" s="58"/>
      <c r="B107" s="86"/>
      <c r="C107" s="88"/>
      <c r="D107" s="87">
        <f>IF(F107&lt;&gt;"",Intake!C19,)</f>
        <v>0</v>
      </c>
      <c r="E107" s="58"/>
      <c r="F107" s="58" t="str">
        <f>IF(AND(TPN2tot6kg!G15&lt;&gt;"",ber_TPN!$F$4&gt;0),TPN2tot6kg!G15&amp;" ml","")</f>
        <v/>
      </c>
      <c r="G107" s="58"/>
      <c r="H107" s="58"/>
      <c r="I107" s="58"/>
      <c r="J107" s="58"/>
      <c r="K107" s="58"/>
      <c r="L107" s="104" t="str">
        <f>IF(D107=0,"D","")</f>
        <v>D</v>
      </c>
      <c r="M107" s="58"/>
      <c r="N107" s="58"/>
      <c r="O107" s="58"/>
      <c r="P107" s="58"/>
      <c r="Q107" s="58"/>
      <c r="R107" s="58"/>
      <c r="S107" s="58"/>
      <c r="T107" s="58"/>
      <c r="U107" s="58"/>
    </row>
    <row r="108" spans="1:21" x14ac:dyDescent="0.35">
      <c r="A108" s="58"/>
      <c r="B108" s="61"/>
      <c r="C108" s="58"/>
      <c r="D108" s="70"/>
      <c r="E108" s="58"/>
      <c r="F108" s="58"/>
      <c r="G108" s="58"/>
      <c r="H108" s="70"/>
      <c r="I108" s="58"/>
      <c r="J108" s="58"/>
      <c r="K108" s="58"/>
      <c r="L108" s="104"/>
      <c r="M108" s="58"/>
      <c r="N108" s="58"/>
      <c r="O108" s="58"/>
      <c r="P108" s="58"/>
      <c r="Q108" s="58"/>
      <c r="R108" s="58"/>
      <c r="S108" s="58"/>
      <c r="T108" s="58"/>
      <c r="U108" s="58"/>
    </row>
    <row r="109" spans="1:21" x14ac:dyDescent="0.35">
      <c r="A109" s="58"/>
      <c r="B109" s="86"/>
      <c r="C109" s="88"/>
      <c r="D109" s="119" t="str">
        <f>IF(F109&lt;&gt;"","Electrolyt/Glucose mengsel","")</f>
        <v/>
      </c>
      <c r="E109" s="66" t="str">
        <f>IF(AND(Gewicht/10&gt;50,TPNboven50kg!A27&lt;&gt;""),TPNboven50kg!A27,TPN2tot6kg!A29)</f>
        <v/>
      </c>
      <c r="F109" s="66" t="str">
        <f>IF(AND(Gewicht/10&gt;50,TPNboven50kg!G35&lt;&gt;0),TPNboven50kg!G35&amp;" ml",IF(TPN2tot6kg!G36&lt;&gt;0,TPN2tot6kg!G36&amp;" ml",""))</f>
        <v/>
      </c>
      <c r="G109" s="66"/>
      <c r="H109" s="121"/>
      <c r="I109" s="66"/>
      <c r="J109" s="66"/>
      <c r="K109" s="58"/>
      <c r="L109" s="104"/>
      <c r="M109" s="58"/>
      <c r="N109" s="58"/>
      <c r="O109" s="58"/>
      <c r="P109" s="58"/>
      <c r="Q109" s="58"/>
      <c r="R109" s="58"/>
      <c r="S109" s="58"/>
      <c r="T109" s="58"/>
      <c r="U109" s="58"/>
    </row>
    <row r="110" spans="1:21" x14ac:dyDescent="0.35">
      <c r="A110" s="58"/>
      <c r="B110" s="86"/>
      <c r="C110" s="88"/>
      <c r="D110" s="87">
        <f>IF(F110&lt;&gt;"",INDEX(tblSSTGlucose,SSTglucose,1),)</f>
        <v>0</v>
      </c>
      <c r="E110" s="117"/>
      <c r="F110" s="58" t="str">
        <f>IF(AND(OR(TPN=1,AND(TPN=2,SSTglucose&gt;10),Gewicht/10&gt;50),ROUND(ber_TPN!F6,0)&lt;&gt;0,SSTglucose&lt;&gt;2),ROUND(ber_TPN!F6,0)&amp;" ml","")</f>
        <v/>
      </c>
      <c r="G110" s="58"/>
      <c r="H110" s="58"/>
      <c r="I110" s="58"/>
      <c r="J110" s="58"/>
      <c r="K110" s="58"/>
      <c r="L110" s="104" t="str">
        <f>IF(D110=0,"D","")</f>
        <v>D</v>
      </c>
      <c r="M110" s="58"/>
      <c r="N110" s="58"/>
      <c r="O110" s="58"/>
      <c r="P110" s="58"/>
      <c r="Q110" s="58"/>
      <c r="R110" s="58"/>
      <c r="S110" s="58"/>
      <c r="T110" s="58"/>
      <c r="U110" s="58"/>
    </row>
    <row r="111" spans="1:21" x14ac:dyDescent="0.35">
      <c r="A111" s="58"/>
      <c r="B111" s="86"/>
      <c r="C111" s="88"/>
      <c r="D111" s="87">
        <f>IF(F111&lt;&gt;"","CaGluc 10%",)</f>
        <v>0</v>
      </c>
      <c r="E111" s="58"/>
      <c r="F111" s="58" t="str">
        <f>Intake!E21</f>
        <v/>
      </c>
      <c r="G111" s="58"/>
      <c r="H111" s="58"/>
      <c r="I111" s="58"/>
      <c r="J111" s="58"/>
      <c r="K111" s="58"/>
      <c r="L111" s="104" t="str">
        <f t="shared" ref="L111:L117" si="2">IF(D111=0,"D","")</f>
        <v>D</v>
      </c>
      <c r="M111" s="58"/>
      <c r="N111" s="58"/>
      <c r="O111" s="58"/>
      <c r="P111" s="58"/>
      <c r="Q111" s="58"/>
      <c r="R111" s="58"/>
      <c r="S111" s="58"/>
      <c r="T111" s="58"/>
      <c r="U111" s="58"/>
    </row>
    <row r="112" spans="1:21" x14ac:dyDescent="0.35">
      <c r="A112" s="58"/>
      <c r="B112" s="86"/>
      <c r="C112" s="88"/>
      <c r="D112" s="87">
        <f>IF(F112&lt;&gt;"","MgCl 10%",)</f>
        <v>0</v>
      </c>
      <c r="E112" s="58"/>
      <c r="F112" s="58" t="str">
        <f>Intake!E22</f>
        <v/>
      </c>
      <c r="G112" s="58"/>
      <c r="H112" s="58"/>
      <c r="I112" s="58"/>
      <c r="J112" s="58"/>
      <c r="K112" s="58"/>
      <c r="L112" s="104" t="str">
        <f t="shared" si="2"/>
        <v>D</v>
      </c>
      <c r="M112" s="58"/>
      <c r="N112" s="58"/>
      <c r="O112" s="58"/>
      <c r="P112" s="58"/>
      <c r="Q112" s="58"/>
      <c r="R112" s="58"/>
      <c r="S112" s="58"/>
      <c r="T112" s="58"/>
      <c r="U112" s="58"/>
    </row>
    <row r="113" spans="1:21" x14ac:dyDescent="0.35">
      <c r="A113" s="58"/>
      <c r="B113" s="86"/>
      <c r="C113" s="88"/>
      <c r="D113" s="87">
        <f>IF(F113&lt;&gt;"",Intake!C18,)</f>
        <v>0</v>
      </c>
      <c r="E113" s="58"/>
      <c r="F113" s="58" t="str">
        <f>IF(AND(Gewicht/10&gt;50,TPNboven50kg!G27&lt;&gt;0),TPNboven50kg!G27&amp;" ml",IF(OR(AND(TPN2tot6kg!G29&lt;&gt;0,ber_TPN!$F$4=0),AND(TPN2tot6kg!G29&lt;&gt;0,Gewicht/10&gt;50)),TPN2tot6kg!G29&amp;" ml",""))</f>
        <v/>
      </c>
      <c r="G113" s="58"/>
      <c r="H113" s="70"/>
      <c r="I113" s="58"/>
      <c r="J113" s="58"/>
      <c r="K113" s="58"/>
      <c r="L113" s="104" t="str">
        <f t="shared" si="2"/>
        <v>D</v>
      </c>
      <c r="M113" s="58"/>
      <c r="N113" s="58"/>
      <c r="O113" s="58"/>
      <c r="P113" s="58"/>
      <c r="Q113" s="58"/>
      <c r="R113" s="58"/>
      <c r="S113" s="58"/>
      <c r="T113" s="58"/>
      <c r="U113" s="58"/>
    </row>
    <row r="114" spans="1:21" x14ac:dyDescent="0.35">
      <c r="A114" s="58"/>
      <c r="B114" s="86"/>
      <c r="C114" s="88"/>
      <c r="D114" s="87">
        <f>IF(F114&lt;&gt;"",Intake!C19,)</f>
        <v>0</v>
      </c>
      <c r="E114" s="58"/>
      <c r="F114" s="58" t="str">
        <f>IF(AND(Gewicht/10&gt;51,TPNboven50kg!G28&lt;&gt;0),TPNboven50kg!G28&amp;" ml",IF(OR(AND(TPN2tot6kg!G30&lt;&gt;0,ber_TPN!$F$4=0),AND(TPN2tot6kg!G30&lt;&gt;0,Gewicht/10&gt;50)),TPN2tot6kg!G30&amp;" ml",""))</f>
        <v/>
      </c>
      <c r="G114" s="58"/>
      <c r="H114" s="70"/>
      <c r="I114" s="58"/>
      <c r="J114" s="58"/>
      <c r="K114" s="58"/>
      <c r="L114" s="104" t="str">
        <f t="shared" si="2"/>
        <v>D</v>
      </c>
      <c r="M114" s="58"/>
      <c r="N114" s="58"/>
      <c r="O114" s="58"/>
      <c r="P114" s="58"/>
      <c r="Q114" s="58"/>
      <c r="R114" s="58"/>
      <c r="S114" s="58"/>
      <c r="T114" s="58"/>
      <c r="U114" s="58"/>
    </row>
    <row r="115" spans="1:21" x14ac:dyDescent="0.35">
      <c r="A115" s="58"/>
      <c r="B115" s="86"/>
      <c r="C115" s="88"/>
      <c r="D115" s="87" t="str">
        <f>IF(F115&lt;&gt;"","Glucose 10%","")</f>
        <v/>
      </c>
      <c r="E115" s="58"/>
      <c r="F115" s="58" t="str">
        <f>IF(AND(Gewicht/10&gt;51,TPNboven50kg!G31&lt;&gt;0),TPNboven50kg!G31&amp;" ml",IF(AND(TPN2tot6kg!G33&lt;&gt;0,Gewicht/10&lt;=50),TPN2tot6kg!G33&amp;" ml",""))</f>
        <v/>
      </c>
      <c r="G115" s="58"/>
      <c r="H115" s="70"/>
      <c r="I115" s="58"/>
      <c r="J115" s="58"/>
      <c r="K115" s="58"/>
      <c r="L115" s="104" t="str">
        <f t="shared" si="2"/>
        <v/>
      </c>
      <c r="M115" s="58"/>
      <c r="N115" s="58"/>
      <c r="O115" s="58"/>
      <c r="P115" s="58"/>
      <c r="Q115" s="58"/>
      <c r="R115" s="58"/>
      <c r="S115" s="58"/>
      <c r="T115" s="58"/>
      <c r="U115" s="58"/>
    </row>
    <row r="116" spans="1:21" x14ac:dyDescent="0.35">
      <c r="A116" s="58"/>
      <c r="B116" s="61"/>
      <c r="C116" s="58"/>
      <c r="D116" s="58"/>
      <c r="E116" s="58"/>
      <c r="F116" s="58"/>
      <c r="G116" s="58"/>
      <c r="H116" s="58"/>
      <c r="I116" s="58"/>
      <c r="J116" s="58"/>
      <c r="K116" s="58"/>
      <c r="L116" s="104"/>
      <c r="M116" s="58"/>
      <c r="N116" s="58"/>
      <c r="O116" s="58"/>
      <c r="P116" s="58"/>
      <c r="Q116" s="58"/>
      <c r="R116" s="58"/>
      <c r="S116" s="58"/>
      <c r="T116" s="58"/>
      <c r="U116" s="58"/>
    </row>
    <row r="117" spans="1:21" x14ac:dyDescent="0.35">
      <c r="A117" s="58"/>
      <c r="B117" s="86"/>
      <c r="C117" s="88"/>
      <c r="D117" s="125">
        <f>IF(E117&lt;&gt;" ","KNaFosfaat",)</f>
        <v>0</v>
      </c>
      <c r="E117" s="66" t="str">
        <f>Intake!E23&amp;" "&amp;Intake!H23</f>
        <v xml:space="preserve"> </v>
      </c>
      <c r="F117" s="66"/>
      <c r="G117" s="58"/>
      <c r="H117" s="58"/>
      <c r="I117" s="58"/>
      <c r="J117" s="58"/>
      <c r="K117" s="58"/>
      <c r="L117" s="104" t="str">
        <f t="shared" si="2"/>
        <v>D</v>
      </c>
      <c r="M117" s="58"/>
      <c r="N117" s="58"/>
      <c r="O117" s="58"/>
      <c r="P117" s="58"/>
      <c r="Q117" s="58"/>
      <c r="R117" s="58"/>
      <c r="S117" s="58"/>
      <c r="T117" s="58"/>
      <c r="U117" s="58"/>
    </row>
    <row r="118" spans="1:21" x14ac:dyDescent="0.35">
      <c r="A118" s="58"/>
      <c r="B118" s="61"/>
      <c r="C118" s="58"/>
      <c r="D118" s="58"/>
      <c r="E118" s="58"/>
      <c r="F118" s="58"/>
      <c r="G118" s="58"/>
      <c r="H118" s="58"/>
      <c r="I118" s="58"/>
      <c r="J118" s="58"/>
      <c r="K118" s="58"/>
      <c r="L118" s="104"/>
      <c r="M118" s="58"/>
      <c r="N118" s="58"/>
      <c r="O118" s="58"/>
      <c r="P118" s="58"/>
      <c r="Q118" s="58"/>
      <c r="R118" s="58"/>
      <c r="S118" s="58"/>
      <c r="T118" s="58"/>
      <c r="U118" s="58"/>
    </row>
    <row r="119" spans="1:21" x14ac:dyDescent="0.35">
      <c r="A119" s="58"/>
      <c r="B119" s="86"/>
      <c r="C119" s="88"/>
      <c r="D119" s="120">
        <f>IF(E119&lt;&gt;"",Intake!C24,)</f>
        <v>0</v>
      </c>
      <c r="E119" s="66" t="str">
        <f>Intake!D24</f>
        <v/>
      </c>
      <c r="F119" s="66" t="str">
        <f>IF(ROUND(ber_TPN!F12,0)&gt;0,ROUND(ber_TPN!F12,0)&amp;" ml","")</f>
        <v/>
      </c>
      <c r="G119" s="58"/>
      <c r="H119" s="57"/>
      <c r="I119" s="58"/>
      <c r="J119" s="58"/>
      <c r="K119" s="58"/>
      <c r="L119" s="104"/>
      <c r="M119" s="58"/>
      <c r="N119" s="58"/>
      <c r="O119" s="58"/>
      <c r="P119" s="58"/>
      <c r="Q119" s="58"/>
      <c r="R119" s="58"/>
      <c r="S119" s="58"/>
      <c r="T119" s="58"/>
      <c r="U119" s="58"/>
    </row>
    <row r="120" spans="1:21" x14ac:dyDescent="0.35">
      <c r="A120" s="58"/>
      <c r="B120" s="86"/>
      <c r="C120" s="88"/>
      <c r="D120" s="87">
        <f>IF(F120&lt;&gt;"","Intralipid 20%",)</f>
        <v>0</v>
      </c>
      <c r="E120" s="58"/>
      <c r="F120" s="58" t="str">
        <f>Intake!E25</f>
        <v/>
      </c>
      <c r="G120" s="58"/>
      <c r="H120" s="70"/>
      <c r="I120" s="58"/>
      <c r="J120" s="58"/>
      <c r="K120" s="58"/>
      <c r="L120" s="104" t="str">
        <f>IF(D120=0,"D","")</f>
        <v>D</v>
      </c>
      <c r="M120" s="58"/>
      <c r="N120" s="58"/>
      <c r="O120" s="58"/>
      <c r="P120" s="58"/>
      <c r="Q120" s="58"/>
      <c r="R120" s="58"/>
      <c r="S120" s="58"/>
      <c r="T120" s="58"/>
      <c r="U120" s="58"/>
    </row>
    <row r="121" spans="1:21" x14ac:dyDescent="0.35">
      <c r="A121" s="58"/>
      <c r="B121" s="86"/>
      <c r="C121" s="88"/>
      <c r="D121" s="87">
        <f>IF(F121&lt;&gt;"","Vitintra Infant",)</f>
        <v>0</v>
      </c>
      <c r="E121" s="58"/>
      <c r="F121" s="58" t="str">
        <f>Intake!E26</f>
        <v/>
      </c>
      <c r="G121" s="58"/>
      <c r="H121" s="70"/>
      <c r="I121" s="58"/>
      <c r="J121" s="58"/>
      <c r="K121" s="58"/>
      <c r="L121" s="104" t="str">
        <f>IF(D121=0,"D","")</f>
        <v>D</v>
      </c>
      <c r="M121" s="58"/>
      <c r="N121" s="58"/>
      <c r="O121" s="58"/>
      <c r="P121" s="58"/>
      <c r="Q121" s="58"/>
      <c r="R121" s="58"/>
      <c r="S121" s="58"/>
      <c r="T121" s="58"/>
      <c r="U121" s="58"/>
    </row>
    <row r="122" spans="1:21" x14ac:dyDescent="0.35">
      <c r="A122" s="58"/>
      <c r="B122" s="86"/>
      <c r="C122" s="88"/>
      <c r="D122" s="87">
        <f>IF(F122&lt;&gt;"","Soluvit",)</f>
        <v>0</v>
      </c>
      <c r="E122" s="58"/>
      <c r="F122" s="58" t="str">
        <f>Intake!E27</f>
        <v/>
      </c>
      <c r="G122" s="58"/>
      <c r="H122" s="70"/>
      <c r="I122" s="58"/>
      <c r="J122" s="58"/>
      <c r="K122" s="58"/>
      <c r="L122" s="104" t="str">
        <f>IF(D122=0,"D","")</f>
        <v>D</v>
      </c>
      <c r="M122" s="58"/>
      <c r="N122" s="58"/>
      <c r="O122" s="58"/>
      <c r="P122" s="58"/>
      <c r="Q122" s="58"/>
      <c r="R122" s="58"/>
      <c r="S122" s="58"/>
      <c r="T122" s="58"/>
      <c r="U122" s="58"/>
    </row>
    <row r="123" spans="1:21" x14ac:dyDescent="0.35">
      <c r="A123" s="58"/>
      <c r="B123" s="61"/>
      <c r="C123" s="70"/>
      <c r="D123" s="58"/>
      <c r="E123" s="58"/>
      <c r="F123" s="58"/>
      <c r="G123" s="58"/>
      <c r="H123" s="58"/>
      <c r="I123" s="58"/>
      <c r="J123" s="58"/>
      <c r="K123" s="58"/>
      <c r="L123" s="104"/>
      <c r="M123" s="58"/>
      <c r="N123" s="58"/>
      <c r="O123" s="58"/>
      <c r="P123" s="58"/>
      <c r="Q123" s="58"/>
      <c r="R123" s="58"/>
      <c r="S123" s="58"/>
      <c r="T123" s="58"/>
      <c r="U123" s="58"/>
    </row>
    <row r="124" spans="1:21" x14ac:dyDescent="0.35">
      <c r="A124" s="66"/>
      <c r="B124" s="89"/>
      <c r="C124" s="90" t="s">
        <v>1377</v>
      </c>
      <c r="D124" s="367">
        <f>ber_Opm!C9</f>
        <v>0</v>
      </c>
      <c r="E124" s="368"/>
      <c r="F124" s="368"/>
      <c r="G124" s="368"/>
      <c r="H124" s="368"/>
      <c r="I124" s="368"/>
      <c r="J124" s="368"/>
      <c r="K124" s="58"/>
      <c r="L124" s="104"/>
      <c r="M124" s="58"/>
      <c r="N124" s="58"/>
      <c r="O124" s="58"/>
      <c r="P124" s="58"/>
      <c r="Q124" s="58"/>
      <c r="R124" s="58"/>
      <c r="S124" s="58"/>
      <c r="T124" s="58"/>
      <c r="U124" s="58"/>
    </row>
    <row r="125" spans="1:21" x14ac:dyDescent="0.35">
      <c r="A125" s="58"/>
      <c r="B125" s="61"/>
      <c r="C125" s="58"/>
      <c r="D125" s="58"/>
      <c r="E125" s="58"/>
      <c r="F125" s="58"/>
      <c r="G125" s="58"/>
      <c r="H125" s="58"/>
      <c r="I125" s="58"/>
      <c r="J125" s="58"/>
      <c r="K125" s="58"/>
      <c r="L125" s="104"/>
      <c r="M125" s="58"/>
      <c r="N125" s="58"/>
      <c r="O125" s="58"/>
      <c r="P125" s="58"/>
      <c r="Q125" s="58"/>
      <c r="R125" s="58"/>
      <c r="S125" s="58"/>
      <c r="T125" s="58"/>
      <c r="U125" s="58"/>
    </row>
    <row r="126" spans="1:21" x14ac:dyDescent="0.35">
      <c r="A126" s="58"/>
      <c r="B126" s="61"/>
      <c r="C126" s="58"/>
      <c r="D126" s="58"/>
      <c r="E126" s="58"/>
      <c r="F126" s="58"/>
      <c r="G126" s="58"/>
      <c r="H126" s="58"/>
      <c r="I126" s="58"/>
      <c r="J126" s="58"/>
      <c r="K126" s="58"/>
      <c r="L126" s="104"/>
      <c r="M126" s="58"/>
      <c r="N126" s="58"/>
      <c r="O126" s="58"/>
      <c r="P126" s="58"/>
      <c r="Q126" s="58"/>
      <c r="R126" s="58"/>
      <c r="S126" s="58"/>
      <c r="T126" s="58"/>
      <c r="U126" s="58"/>
    </row>
    <row r="127" spans="1:21" ht="13.6" x14ac:dyDescent="0.35">
      <c r="A127" s="66"/>
      <c r="B127" s="71" t="s">
        <v>1707</v>
      </c>
      <c r="C127" s="68"/>
      <c r="D127" s="66"/>
      <c r="E127" s="66"/>
      <c r="F127" s="66"/>
      <c r="G127" s="66"/>
      <c r="H127" s="66"/>
      <c r="I127" s="66"/>
      <c r="J127" s="66"/>
      <c r="K127" s="58"/>
      <c r="L127" s="104"/>
      <c r="M127" s="58"/>
      <c r="N127" s="58"/>
      <c r="O127" s="58"/>
      <c r="P127" s="58"/>
      <c r="Q127" s="58"/>
      <c r="R127" s="58"/>
      <c r="S127" s="58"/>
      <c r="T127" s="58"/>
      <c r="U127" s="58"/>
    </row>
    <row r="128" spans="1:21" x14ac:dyDescent="0.35">
      <c r="A128" s="58"/>
      <c r="B128" s="86"/>
      <c r="C128" s="87" t="str">
        <f>Intake!B31</f>
        <v>Vocht</v>
      </c>
      <c r="D128" s="58" t="str">
        <f>Intake!D31</f>
        <v>0 ml/kg</v>
      </c>
      <c r="E128" s="87" t="str">
        <f>Intake!B32</f>
        <v>Calorieen</v>
      </c>
      <c r="F128" s="58" t="str">
        <f>Intake!D32</f>
        <v>0 kCal/kg</v>
      </c>
      <c r="G128" s="87" t="str">
        <f>Intake!B35</f>
        <v>Kalium</v>
      </c>
      <c r="H128" s="58" t="str">
        <f>Intake!D35</f>
        <v>0 mmol/kg</v>
      </c>
      <c r="I128" s="87" t="str">
        <f>Intake!B34</f>
        <v xml:space="preserve">Natrium </v>
      </c>
      <c r="J128" s="58" t="str">
        <f>Intake!D34</f>
        <v>0 mmol/kg</v>
      </c>
      <c r="K128" s="58"/>
      <c r="L128" s="104"/>
      <c r="M128" s="58"/>
      <c r="N128" s="58"/>
      <c r="O128" s="58"/>
      <c r="P128" s="58"/>
      <c r="Q128" s="58"/>
      <c r="R128" s="58"/>
      <c r="S128" s="58"/>
      <c r="T128" s="58"/>
      <c r="U128" s="58"/>
    </row>
    <row r="129" spans="1:21" x14ac:dyDescent="0.35">
      <c r="A129" s="58"/>
      <c r="B129" s="86"/>
      <c r="C129" s="87" t="str">
        <f>Intake!H31</f>
        <v>Eiwit</v>
      </c>
      <c r="D129" s="58" t="str">
        <f>Intake!I31</f>
        <v>0  gram/kg</v>
      </c>
      <c r="E129" s="87" t="str">
        <f>Intake!H32</f>
        <v>Vet</v>
      </c>
      <c r="F129" s="58" t="str">
        <f>Intake!I32</f>
        <v>0 gram/kg</v>
      </c>
      <c r="G129" s="87" t="str">
        <f>Intake!H33</f>
        <v>Calcium</v>
      </c>
      <c r="H129" s="58" t="str">
        <f>Intake!I33</f>
        <v>0 mmol/kg</v>
      </c>
      <c r="I129" s="87" t="str">
        <f>Intake!H35</f>
        <v>Fosfaat</v>
      </c>
      <c r="J129" s="58" t="str">
        <f>Intake!I35</f>
        <v>0 mmol/kg</v>
      </c>
      <c r="K129" s="58"/>
      <c r="L129" s="104"/>
      <c r="M129" s="58"/>
      <c r="N129" s="58"/>
      <c r="O129" s="58"/>
      <c r="P129" s="58"/>
      <c r="Q129" s="58"/>
      <c r="R129" s="58"/>
      <c r="S129" s="58"/>
      <c r="T129" s="58"/>
      <c r="U129" s="58"/>
    </row>
    <row r="130" spans="1:21" x14ac:dyDescent="0.35">
      <c r="A130" s="66"/>
      <c r="B130" s="89"/>
      <c r="C130" s="91" t="str">
        <f>Intake!B33</f>
        <v>Glucose/KH</v>
      </c>
      <c r="D130" s="66" t="str">
        <f>Intake!D33</f>
        <v>0 g/kg</v>
      </c>
      <c r="E130" s="90"/>
      <c r="F130" s="66"/>
      <c r="G130" s="91" t="s">
        <v>1494</v>
      </c>
      <c r="H130" s="66" t="str">
        <f>Intake!I34</f>
        <v>0 mmol/kg</v>
      </c>
      <c r="I130" s="90"/>
      <c r="J130" s="66"/>
      <c r="K130" s="58"/>
      <c r="L130" s="104"/>
      <c r="M130" s="58"/>
      <c r="N130" s="58"/>
      <c r="O130" s="58"/>
      <c r="P130" s="58"/>
      <c r="Q130" s="58"/>
      <c r="R130" s="58"/>
      <c r="S130" s="58"/>
      <c r="T130" s="58"/>
      <c r="U130" s="58"/>
    </row>
    <row r="131" spans="1:21" x14ac:dyDescent="0.35">
      <c r="A131" s="58"/>
      <c r="B131" s="86"/>
      <c r="C131" s="87" t="e">
        <f>#REF!</f>
        <v>#REF!</v>
      </c>
      <c r="D131" s="56" t="e">
        <f>#REF!</f>
        <v>#REF!</v>
      </c>
      <c r="E131" s="87" t="e">
        <f>#REF!</f>
        <v>#REF!</v>
      </c>
      <c r="F131" s="366" t="e">
        <f>#REF!</f>
        <v>#REF!</v>
      </c>
      <c r="G131" s="366"/>
      <c r="H131" s="88" t="s">
        <v>1303</v>
      </c>
      <c r="I131" s="58" t="str">
        <f>Gewicht/10&amp;" kg"</f>
        <v>10 kg</v>
      </c>
      <c r="J131" s="57"/>
      <c r="K131" s="58"/>
      <c r="L131" s="104"/>
      <c r="M131" s="58"/>
      <c r="N131" s="58"/>
      <c r="O131" s="58"/>
      <c r="P131" s="58"/>
      <c r="Q131" s="58"/>
      <c r="R131" s="58"/>
      <c r="S131" s="58"/>
      <c r="T131" s="58"/>
      <c r="U131" s="58"/>
    </row>
    <row r="132" spans="1:21" x14ac:dyDescent="0.35">
      <c r="A132" s="58"/>
      <c r="B132" s="86"/>
      <c r="C132" s="87" t="e">
        <f>#REF!</f>
        <v>#REF!</v>
      </c>
      <c r="D132" s="59">
        <f ca="1">AfspraakDatum-OpnDatum+1</f>
        <v>829</v>
      </c>
      <c r="E132" s="87" t="e">
        <f>#REF!</f>
        <v>#REF!</v>
      </c>
      <c r="F132" s="60" t="e">
        <f>#REF!</f>
        <v>#REF!</v>
      </c>
      <c r="G132" s="57"/>
      <c r="H132" s="88" t="s">
        <v>632</v>
      </c>
      <c r="I132" s="58" t="str">
        <f>Lengte&amp;" cm"</f>
        <v>80 cm</v>
      </c>
      <c r="J132" s="57"/>
      <c r="K132" s="58"/>
      <c r="L132" s="104"/>
      <c r="M132" s="58"/>
      <c r="N132" s="58"/>
      <c r="O132" s="58"/>
      <c r="P132" s="58"/>
      <c r="Q132" s="58"/>
      <c r="R132" s="58"/>
      <c r="S132" s="58"/>
      <c r="T132" s="58"/>
      <c r="U132" s="58"/>
    </row>
    <row r="133" spans="1:21" x14ac:dyDescent="0.35">
      <c r="A133" s="58"/>
      <c r="B133" s="61"/>
      <c r="C133" s="58"/>
      <c r="D133" s="57"/>
      <c r="E133" s="58"/>
      <c r="F133" s="57"/>
      <c r="G133" s="58"/>
      <c r="H133" s="88" t="s">
        <v>634</v>
      </c>
      <c r="I133" s="58" t="str">
        <f>ROUND(POWER(Gewicht/10,0.425)*POWER(((Lengte/100)*100),0.725)*0.007184,2)&amp;" m2"</f>
        <v>0.46 m2</v>
      </c>
      <c r="J133" s="58"/>
      <c r="K133" s="58"/>
      <c r="L133" s="104"/>
      <c r="M133" s="58"/>
      <c r="N133" s="58"/>
      <c r="O133" s="58"/>
      <c r="P133" s="58"/>
      <c r="Q133" s="58"/>
      <c r="R133" s="58"/>
      <c r="S133" s="58"/>
      <c r="T133" s="58"/>
      <c r="U133" s="58"/>
    </row>
    <row r="134" spans="1:21" x14ac:dyDescent="0.35">
      <c r="A134" s="58"/>
      <c r="B134" s="61"/>
      <c r="C134" s="58"/>
      <c r="D134" s="57"/>
      <c r="E134" s="58"/>
      <c r="F134" s="57"/>
      <c r="G134" s="58"/>
      <c r="H134" s="58"/>
      <c r="I134" s="58"/>
      <c r="J134" s="58"/>
      <c r="K134" s="58"/>
      <c r="L134" s="104"/>
      <c r="M134" s="58"/>
    </row>
    <row r="135" spans="1:21" x14ac:dyDescent="0.35">
      <c r="A135" s="58"/>
      <c r="B135" s="61"/>
      <c r="C135" s="58"/>
      <c r="D135" s="57"/>
      <c r="E135" s="58"/>
      <c r="F135" s="57"/>
      <c r="G135" s="58"/>
      <c r="H135" s="58"/>
      <c r="I135" s="58"/>
      <c r="J135" s="58"/>
      <c r="K135" s="58"/>
      <c r="L135" s="104"/>
      <c r="M135" s="58"/>
    </row>
    <row r="136" spans="1:21" x14ac:dyDescent="0.35">
      <c r="A136" s="58"/>
      <c r="B136" s="61"/>
      <c r="C136" s="58"/>
      <c r="D136" s="57"/>
      <c r="E136" s="58"/>
      <c r="F136" s="57"/>
      <c r="G136" s="58"/>
      <c r="H136" s="58"/>
      <c r="I136" s="58"/>
      <c r="J136" s="58"/>
      <c r="K136" s="58"/>
      <c r="L136" s="104"/>
      <c r="M136" s="58"/>
    </row>
    <row r="137" spans="1:21" ht="13.6" x14ac:dyDescent="0.35">
      <c r="A137" s="58"/>
      <c r="B137" s="71" t="s">
        <v>172</v>
      </c>
      <c r="C137" s="66"/>
      <c r="D137" s="72"/>
      <c r="E137" s="66"/>
      <c r="F137" s="71" t="str">
        <f>IF(Comfort,"Ja","Nee")</f>
        <v>Ja</v>
      </c>
      <c r="G137" s="58"/>
      <c r="H137" s="58"/>
      <c r="I137" s="58"/>
      <c r="J137" s="58"/>
      <c r="K137" s="58"/>
      <c r="L137" s="104"/>
      <c r="M137" s="58"/>
    </row>
    <row r="138" spans="1:21" x14ac:dyDescent="0.35">
      <c r="A138" s="58"/>
      <c r="B138" s="61"/>
      <c r="C138" s="58"/>
      <c r="D138" s="58"/>
      <c r="E138" s="58"/>
      <c r="F138" s="58"/>
      <c r="G138" s="58"/>
      <c r="H138" s="58"/>
      <c r="I138" s="58"/>
      <c r="J138" s="58"/>
      <c r="K138" s="58"/>
      <c r="L138" s="104"/>
      <c r="M138" s="58"/>
    </row>
    <row r="139" spans="1:21" x14ac:dyDescent="0.35">
      <c r="A139" s="58"/>
      <c r="B139" s="61"/>
      <c r="C139" s="58"/>
      <c r="D139" s="325" t="s">
        <v>1286</v>
      </c>
      <c r="E139" s="58"/>
      <c r="F139" s="58"/>
      <c r="G139" s="325" t="s">
        <v>625</v>
      </c>
      <c r="H139" s="58"/>
      <c r="I139" s="58"/>
      <c r="J139" s="58"/>
      <c r="K139" s="58"/>
      <c r="L139" s="104"/>
      <c r="M139" s="58"/>
    </row>
    <row r="140" spans="1:21" ht="25" customHeight="1" x14ac:dyDescent="0.4">
      <c r="A140" s="364" t="s">
        <v>623</v>
      </c>
      <c r="B140" s="365"/>
      <c r="C140" s="147" t="s">
        <v>624</v>
      </c>
      <c r="D140" s="147" t="s">
        <v>626</v>
      </c>
      <c r="E140" s="364" t="s">
        <v>628</v>
      </c>
      <c r="F140" s="365"/>
      <c r="G140" s="155" t="s">
        <v>626</v>
      </c>
      <c r="H140" s="364" t="s">
        <v>627</v>
      </c>
      <c r="I140" s="365"/>
      <c r="J140" s="155" t="s">
        <v>1118</v>
      </c>
      <c r="K140" s="61"/>
      <c r="L140" s="104"/>
      <c r="M140" s="58"/>
    </row>
    <row r="141" spans="1:21" ht="25" customHeight="1" x14ac:dyDescent="0.35">
      <c r="A141" s="148"/>
      <c r="B141" s="327"/>
      <c r="C141" s="147"/>
      <c r="D141" s="147"/>
      <c r="E141" s="148"/>
      <c r="F141" s="327"/>
      <c r="G141" s="150"/>
      <c r="H141" s="153"/>
      <c r="I141" s="154"/>
      <c r="J141" s="156"/>
      <c r="K141" s="61"/>
      <c r="L141" s="104"/>
      <c r="M141" s="58"/>
    </row>
    <row r="142" spans="1:21" ht="25" customHeight="1" x14ac:dyDescent="0.35">
      <c r="A142" s="148"/>
      <c r="B142" s="327"/>
      <c r="C142" s="147"/>
      <c r="D142" s="147"/>
      <c r="E142" s="148"/>
      <c r="F142" s="327"/>
      <c r="G142" s="150"/>
      <c r="H142" s="153"/>
      <c r="I142" s="154"/>
      <c r="J142" s="156"/>
      <c r="K142" s="61"/>
      <c r="L142" s="104"/>
      <c r="M142" s="58"/>
    </row>
    <row r="143" spans="1:21" ht="25" customHeight="1" x14ac:dyDescent="0.35">
      <c r="A143" s="148"/>
      <c r="B143" s="327"/>
      <c r="C143" s="147"/>
      <c r="D143" s="147"/>
      <c r="E143" s="148"/>
      <c r="F143" s="327"/>
      <c r="G143" s="150"/>
      <c r="H143" s="153"/>
      <c r="I143" s="154"/>
      <c r="J143" s="156"/>
      <c r="K143" s="61"/>
      <c r="L143" s="104"/>
      <c r="M143" s="58"/>
    </row>
    <row r="144" spans="1:21" ht="25" customHeight="1" x14ac:dyDescent="0.35">
      <c r="A144" s="148"/>
      <c r="B144" s="327"/>
      <c r="C144" s="147"/>
      <c r="D144" s="147"/>
      <c r="E144" s="148"/>
      <c r="F144" s="327"/>
      <c r="G144" s="150"/>
      <c r="H144" s="153"/>
      <c r="I144" s="154"/>
      <c r="J144" s="156"/>
      <c r="K144" s="61"/>
      <c r="L144" s="104"/>
      <c r="M144" s="58"/>
    </row>
    <row r="145" spans="1:13" ht="25" customHeight="1" x14ac:dyDescent="0.35">
      <c r="A145" s="148"/>
      <c r="B145" s="327"/>
      <c r="C145" s="147"/>
      <c r="D145" s="147"/>
      <c r="E145" s="148"/>
      <c r="F145" s="327"/>
      <c r="G145" s="150"/>
      <c r="H145" s="153"/>
      <c r="I145" s="154"/>
      <c r="J145" s="156"/>
      <c r="K145" s="61"/>
      <c r="L145" s="104"/>
      <c r="M145" s="58"/>
    </row>
    <row r="146" spans="1:13" ht="25" customHeight="1" x14ac:dyDescent="0.35">
      <c r="A146" s="148"/>
      <c r="B146" s="327"/>
      <c r="C146" s="147"/>
      <c r="D146" s="147"/>
      <c r="E146" s="148"/>
      <c r="F146" s="327"/>
      <c r="G146" s="150"/>
      <c r="H146" s="153"/>
      <c r="I146" s="154"/>
      <c r="J146" s="156"/>
      <c r="K146" s="61"/>
      <c r="L146" s="104"/>
      <c r="M146" s="58"/>
    </row>
    <row r="147" spans="1:13" ht="25" customHeight="1" x14ac:dyDescent="0.35">
      <c r="A147" s="148"/>
      <c r="B147" s="327"/>
      <c r="C147" s="147"/>
      <c r="D147" s="147"/>
      <c r="E147" s="148"/>
      <c r="F147" s="327"/>
      <c r="G147" s="150"/>
      <c r="H147" s="153"/>
      <c r="I147" s="154"/>
      <c r="J147" s="156"/>
      <c r="K147" s="61"/>
      <c r="L147" s="104"/>
      <c r="M147" s="58"/>
    </row>
    <row r="148" spans="1:13" ht="25" customHeight="1" x14ac:dyDescent="0.35">
      <c r="A148" s="148"/>
      <c r="B148" s="327"/>
      <c r="C148" s="147"/>
      <c r="D148" s="147"/>
      <c r="E148" s="148"/>
      <c r="F148" s="327"/>
      <c r="G148" s="150"/>
      <c r="H148" s="153"/>
      <c r="I148" s="154"/>
      <c r="J148" s="156"/>
      <c r="K148" s="61"/>
      <c r="L148" s="104"/>
      <c r="M148" s="58"/>
    </row>
    <row r="149" spans="1:13" ht="25" customHeight="1" x14ac:dyDescent="0.35">
      <c r="A149" s="148"/>
      <c r="B149" s="327"/>
      <c r="C149" s="147"/>
      <c r="D149" s="147"/>
      <c r="E149" s="148"/>
      <c r="F149" s="327"/>
      <c r="G149" s="150"/>
      <c r="H149" s="153"/>
      <c r="I149" s="154"/>
      <c r="J149" s="156"/>
      <c r="K149" s="61"/>
      <c r="L149" s="104"/>
      <c r="M149" s="58"/>
    </row>
    <row r="150" spans="1:13" ht="25" customHeight="1" x14ac:dyDescent="0.35">
      <c r="A150" s="148"/>
      <c r="B150" s="327"/>
      <c r="C150" s="147"/>
      <c r="D150" s="147"/>
      <c r="E150" s="148"/>
      <c r="F150" s="327"/>
      <c r="G150" s="150"/>
      <c r="H150" s="153"/>
      <c r="I150" s="154"/>
      <c r="J150" s="156"/>
      <c r="L150" s="104"/>
      <c r="M150" s="105"/>
    </row>
    <row r="151" spans="1:13" ht="25" customHeight="1" x14ac:dyDescent="0.35">
      <c r="A151" s="148"/>
      <c r="B151" s="327"/>
      <c r="C151" s="147"/>
      <c r="D151" s="147"/>
      <c r="E151" s="148"/>
      <c r="F151" s="327"/>
      <c r="G151" s="150"/>
      <c r="H151" s="153"/>
      <c r="I151" s="154"/>
      <c r="J151" s="156"/>
      <c r="L151" s="104"/>
      <c r="M151" s="105"/>
    </row>
    <row r="152" spans="1:13" ht="25" customHeight="1" x14ac:dyDescent="0.35">
      <c r="A152" s="148"/>
      <c r="B152" s="327"/>
      <c r="C152" s="147"/>
      <c r="D152" s="147"/>
      <c r="E152" s="148"/>
      <c r="F152" s="327"/>
      <c r="G152" s="150"/>
      <c r="H152" s="153"/>
      <c r="I152" s="154"/>
      <c r="J152" s="156"/>
      <c r="L152" s="104"/>
      <c r="M152" s="105"/>
    </row>
    <row r="153" spans="1:13" ht="25" customHeight="1" x14ac:dyDescent="0.35">
      <c r="A153" s="148"/>
      <c r="B153" s="327"/>
      <c r="C153" s="147"/>
      <c r="D153" s="147"/>
      <c r="E153" s="148"/>
      <c r="F153" s="327"/>
      <c r="G153" s="150"/>
      <c r="H153" s="153"/>
      <c r="I153" s="154"/>
      <c r="J153" s="156"/>
      <c r="L153" s="104"/>
      <c r="M153" s="105"/>
    </row>
    <row r="154" spans="1:13" ht="25" customHeight="1" x14ac:dyDescent="0.35">
      <c r="A154" s="148"/>
      <c r="B154" s="327"/>
      <c r="C154" s="147"/>
      <c r="D154" s="147"/>
      <c r="E154" s="148"/>
      <c r="F154" s="327"/>
      <c r="G154" s="150"/>
      <c r="H154" s="153"/>
      <c r="I154" s="154"/>
      <c r="J154" s="156"/>
      <c r="L154" s="104"/>
      <c r="M154" s="105"/>
    </row>
    <row r="155" spans="1:13" ht="25" customHeight="1" x14ac:dyDescent="0.35">
      <c r="A155" s="148"/>
      <c r="B155" s="327"/>
      <c r="C155" s="147"/>
      <c r="D155" s="147"/>
      <c r="E155" s="148"/>
      <c r="F155" s="327"/>
      <c r="G155" s="150"/>
      <c r="H155" s="153"/>
      <c r="I155" s="154"/>
      <c r="J155" s="156"/>
      <c r="L155" s="104"/>
      <c r="M155" s="105"/>
    </row>
    <row r="156" spans="1:13" ht="25" customHeight="1" x14ac:dyDescent="0.35">
      <c r="A156" s="148"/>
      <c r="B156" s="327"/>
      <c r="C156" s="147"/>
      <c r="D156" s="147"/>
      <c r="E156" s="148"/>
      <c r="F156" s="327"/>
      <c r="G156" s="150"/>
      <c r="H156" s="153"/>
      <c r="I156" s="154"/>
      <c r="J156" s="156"/>
      <c r="L156" s="104"/>
      <c r="M156" s="105"/>
    </row>
    <row r="157" spans="1:13" ht="25" customHeight="1" x14ac:dyDescent="0.35">
      <c r="A157" s="148"/>
      <c r="B157" s="327"/>
      <c r="C157" s="147"/>
      <c r="D157" s="147"/>
      <c r="E157" s="148"/>
      <c r="F157" s="327"/>
      <c r="G157" s="150"/>
      <c r="H157" s="153"/>
      <c r="I157" s="154"/>
      <c r="J157" s="156"/>
      <c r="L157" s="104"/>
      <c r="M157" s="105"/>
    </row>
    <row r="158" spans="1:13" ht="25" customHeight="1" x14ac:dyDescent="0.4">
      <c r="A158" s="331" t="s">
        <v>629</v>
      </c>
      <c r="B158" s="329"/>
      <c r="C158" s="328"/>
      <c r="D158" s="328"/>
      <c r="E158" s="328"/>
      <c r="F158" s="329"/>
      <c r="G158" s="329"/>
      <c r="H158" s="330"/>
      <c r="I158" s="330"/>
      <c r="J158" s="330"/>
      <c r="L158" s="104"/>
      <c r="M158" s="105"/>
    </row>
    <row r="159" spans="1:13" x14ac:dyDescent="0.35">
      <c r="M159" s="105"/>
    </row>
  </sheetData>
  <sheetProtection password="CC20" sheet="1" objects="1" scenarios="1" selectLockedCells="1" selectUnlockedCells="1"/>
  <mergeCells count="19">
    <mergeCell ref="F131:G131"/>
    <mergeCell ref="A140:B140"/>
    <mergeCell ref="E140:F140"/>
    <mergeCell ref="H140:I140"/>
    <mergeCell ref="D44:J44"/>
    <mergeCell ref="D99:J100"/>
    <mergeCell ref="D45:J46"/>
    <mergeCell ref="D78:J78"/>
    <mergeCell ref="C56:J59"/>
    <mergeCell ref="F66:G66"/>
    <mergeCell ref="C54:J55"/>
    <mergeCell ref="F2:G2"/>
    <mergeCell ref="D17:J18"/>
    <mergeCell ref="D42:J42"/>
    <mergeCell ref="D43:J43"/>
    <mergeCell ref="D124:J124"/>
    <mergeCell ref="D37:J37"/>
    <mergeCell ref="D40:J40"/>
    <mergeCell ref="D41:J41"/>
  </mergeCells>
  <phoneticPr fontId="26" type="noConversion"/>
  <pageMargins left="0.28999999999999998" right="0.27" top="0.39" bottom="0.18" header="0.17" footer="0.17"/>
  <pageSetup paperSize="9" scale="97" orientation="portrait" r:id="rId1"/>
  <headerFooter alignWithMargins="0">
    <oddHeader xml:space="preserve">&amp;CBed 0&amp;R&amp;"Arial,Cursief"&amp;9Datum en tijd:&amp;D,  &amp;T </oddHeader>
  </headerFooter>
  <rowBreaks count="2" manualBreakCount="2">
    <brk id="65" max="9" man="1"/>
    <brk id="130" max="9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bBead"/>
  <dimension ref="A1:AQ12"/>
  <sheetViews>
    <sheetView workbookViewId="0">
      <selection activeCell="B3" sqref="B3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  <col min="9" max="9" width="8" bestFit="1" customWidth="1"/>
    <col min="11" max="11" width="10.59765625" bestFit="1" customWidth="1"/>
    <col min="12" max="12" width="9.265625" bestFit="1" customWidth="1"/>
    <col min="13" max="13" width="7.59765625" bestFit="1" customWidth="1"/>
    <col min="14" max="14" width="3.3984375" bestFit="1" customWidth="1"/>
    <col min="15" max="15" width="12.59765625" bestFit="1" customWidth="1"/>
    <col min="16" max="16" width="16.1328125" bestFit="1" customWidth="1"/>
    <col min="17" max="17" width="10.265625" bestFit="1" customWidth="1"/>
    <col min="18" max="18" width="11" bestFit="1" customWidth="1"/>
    <col min="19" max="19" width="5" bestFit="1" customWidth="1"/>
    <col min="20" max="20" width="5.265625" bestFit="1" customWidth="1"/>
    <col min="21" max="21" width="8.1328125" bestFit="1" customWidth="1"/>
    <col min="22" max="22" width="7.265625" bestFit="1" customWidth="1"/>
    <col min="23" max="23" width="10.1328125" bestFit="1" customWidth="1"/>
    <col min="24" max="24" width="5" bestFit="1" customWidth="1"/>
    <col min="25" max="25" width="3" bestFit="1" customWidth="1"/>
    <col min="26" max="26" width="8.265625" bestFit="1" customWidth="1"/>
    <col min="27" max="27" width="6.59765625" bestFit="1" customWidth="1"/>
    <col min="28" max="29" width="8.1328125" bestFit="1" customWidth="1"/>
    <col min="30" max="30" width="7.3984375" bestFit="1" customWidth="1"/>
    <col min="31" max="31" width="8.59765625" bestFit="1" customWidth="1"/>
    <col min="32" max="32" width="6.265625" bestFit="1" customWidth="1"/>
    <col min="33" max="33" width="6.59765625" bestFit="1" customWidth="1"/>
    <col min="34" max="34" width="4.86328125" bestFit="1" customWidth="1"/>
    <col min="35" max="35" width="11.1328125" bestFit="1" customWidth="1"/>
    <col min="36" max="37" width="8.265625" bestFit="1" customWidth="1"/>
    <col min="38" max="38" width="8.3984375" bestFit="1" customWidth="1"/>
    <col min="39" max="39" width="9.59765625" bestFit="1" customWidth="1"/>
    <col min="40" max="40" width="6" bestFit="1" customWidth="1"/>
    <col min="41" max="41" width="6.59765625" bestFit="1" customWidth="1"/>
  </cols>
  <sheetData>
    <row r="1" spans="1:43" x14ac:dyDescent="0.35">
      <c r="A1" t="s">
        <v>1869</v>
      </c>
      <c r="B1" t="s">
        <v>969</v>
      </c>
      <c r="C1" t="s">
        <v>970</v>
      </c>
      <c r="D1" t="s">
        <v>971</v>
      </c>
      <c r="E1" t="s">
        <v>972</v>
      </c>
      <c r="F1" t="s">
        <v>973</v>
      </c>
      <c r="G1" t="s">
        <v>1303</v>
      </c>
      <c r="H1" t="s">
        <v>632</v>
      </c>
      <c r="I1" t="s">
        <v>1739</v>
      </c>
      <c r="J1" t="s">
        <v>974</v>
      </c>
      <c r="K1" t="s">
        <v>1761</v>
      </c>
      <c r="L1" t="s">
        <v>633</v>
      </c>
      <c r="M1" t="s">
        <v>2102</v>
      </c>
      <c r="N1" t="s">
        <v>1530</v>
      </c>
      <c r="O1" t="s">
        <v>1277</v>
      </c>
      <c r="P1" t="s">
        <v>1278</v>
      </c>
      <c r="Q1" t="s">
        <v>525</v>
      </c>
      <c r="R1" t="s">
        <v>975</v>
      </c>
      <c r="S1" t="s">
        <v>1074</v>
      </c>
      <c r="T1" t="s">
        <v>1075</v>
      </c>
      <c r="U1" t="s">
        <v>1280</v>
      </c>
      <c r="V1" t="s">
        <v>1763</v>
      </c>
      <c r="W1" t="s">
        <v>1764</v>
      </c>
      <c r="X1" t="s">
        <v>1765</v>
      </c>
      <c r="Y1" t="s">
        <v>1076</v>
      </c>
      <c r="Z1" t="s">
        <v>1077</v>
      </c>
      <c r="AA1" t="s">
        <v>1078</v>
      </c>
      <c r="AB1" t="s">
        <v>1766</v>
      </c>
      <c r="AC1" t="s">
        <v>1443</v>
      </c>
      <c r="AD1" t="s">
        <v>1750</v>
      </c>
      <c r="AE1" t="s">
        <v>1751</v>
      </c>
      <c r="AF1" t="s">
        <v>1752</v>
      </c>
      <c r="AG1" t="s">
        <v>1753</v>
      </c>
      <c r="AH1" t="s">
        <v>962</v>
      </c>
      <c r="AI1" t="s">
        <v>1754</v>
      </c>
      <c r="AJ1" t="s">
        <v>1755</v>
      </c>
      <c r="AK1" t="s">
        <v>1756</v>
      </c>
      <c r="AL1" t="s">
        <v>1757</v>
      </c>
      <c r="AM1" t="s">
        <v>1758</v>
      </c>
      <c r="AN1" t="s">
        <v>1759</v>
      </c>
      <c r="AO1" t="s">
        <v>1760</v>
      </c>
      <c r="AP1" t="s">
        <v>1693</v>
      </c>
      <c r="AQ1" t="s">
        <v>2145</v>
      </c>
    </row>
    <row r="2" spans="1:43" x14ac:dyDescent="0.35">
      <c r="B2" s="42">
        <f ca="1">TODAY()</f>
        <v>42191</v>
      </c>
      <c r="C2" s="42">
        <v>41363</v>
      </c>
      <c r="D2" t="s">
        <v>1271</v>
      </c>
      <c r="E2" t="s">
        <v>1272</v>
      </c>
      <c r="F2" s="42">
        <v>40909</v>
      </c>
      <c r="G2">
        <v>100</v>
      </c>
      <c r="H2">
        <v>80</v>
      </c>
      <c r="I2">
        <v>1</v>
      </c>
      <c r="J2">
        <v>60</v>
      </c>
      <c r="K2">
        <v>18</v>
      </c>
      <c r="L2">
        <v>1</v>
      </c>
      <c r="M2">
        <v>1</v>
      </c>
      <c r="O2" t="b">
        <v>0</v>
      </c>
      <c r="P2" t="b">
        <v>0</v>
      </c>
      <c r="Q2" t="s">
        <v>1692</v>
      </c>
      <c r="R2">
        <v>1</v>
      </c>
      <c r="S2">
        <v>30</v>
      </c>
      <c r="T2">
        <v>5</v>
      </c>
      <c r="U2">
        <v>6</v>
      </c>
      <c r="V2">
        <v>30</v>
      </c>
      <c r="W2">
        <v>80</v>
      </c>
      <c r="X2">
        <v>40</v>
      </c>
      <c r="Y2">
        <v>0</v>
      </c>
      <c r="Z2">
        <v>5</v>
      </c>
      <c r="AA2">
        <v>17</v>
      </c>
      <c r="AD2">
        <v>30</v>
      </c>
      <c r="AP2">
        <v>20</v>
      </c>
      <c r="AQ2" s="348"/>
    </row>
    <row r="3" spans="1:43" x14ac:dyDescent="0.35">
      <c r="C3" s="7"/>
      <c r="D3" s="7"/>
      <c r="E3" s="7"/>
      <c r="G3" s="7"/>
      <c r="K3">
        <v>20</v>
      </c>
      <c r="L3">
        <v>5</v>
      </c>
    </row>
    <row r="4" spans="1:43" x14ac:dyDescent="0.35">
      <c r="C4" s="7"/>
      <c r="D4" s="7"/>
      <c r="E4" s="7"/>
      <c r="G4" s="7"/>
    </row>
    <row r="12" spans="1:43" x14ac:dyDescent="0.35">
      <c r="I12" t="s">
        <v>1073</v>
      </c>
    </row>
  </sheetData>
  <phoneticPr fontId="26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emp"/>
  <dimension ref="A1:FIO754"/>
  <sheetViews>
    <sheetView workbookViewId="0">
      <selection sqref="A1:C754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 4305:4305" x14ac:dyDescent="0.35">
      <c r="A1" t="s">
        <v>806</v>
      </c>
      <c r="B1" t="s">
        <v>807</v>
      </c>
    </row>
    <row r="2" spans="1:2 4305:4305" x14ac:dyDescent="0.35">
      <c r="A2" t="s">
        <v>971</v>
      </c>
      <c r="B2" t="s">
        <v>1271</v>
      </c>
      <c r="FIO2">
        <v>30</v>
      </c>
    </row>
    <row r="3" spans="1:2 4305:4305" x14ac:dyDescent="0.35">
      <c r="A3" t="s">
        <v>95</v>
      </c>
      <c r="B3">
        <v>10</v>
      </c>
    </row>
    <row r="4" spans="1:2 4305:4305" x14ac:dyDescent="0.35">
      <c r="A4" t="s">
        <v>96</v>
      </c>
      <c r="B4">
        <v>20</v>
      </c>
    </row>
    <row r="5" spans="1:2 4305:4305" x14ac:dyDescent="0.35">
      <c r="A5" t="s">
        <v>97</v>
      </c>
      <c r="B5">
        <v>5000</v>
      </c>
    </row>
    <row r="6" spans="1:2 4305:4305" x14ac:dyDescent="0.35">
      <c r="A6" t="s">
        <v>546</v>
      </c>
      <c r="B6">
        <v>2</v>
      </c>
    </row>
    <row r="7" spans="1:2 4305:4305" x14ac:dyDescent="0.35">
      <c r="A7" t="s">
        <v>547</v>
      </c>
      <c r="B7">
        <v>10</v>
      </c>
    </row>
    <row r="8" spans="1:2 4305:4305" x14ac:dyDescent="0.35">
      <c r="A8" t="s">
        <v>548</v>
      </c>
      <c r="B8">
        <v>5</v>
      </c>
    </row>
    <row r="9" spans="1:2 4305:4305" x14ac:dyDescent="0.35">
      <c r="A9" t="s">
        <v>1874</v>
      </c>
      <c r="B9">
        <v>10</v>
      </c>
    </row>
    <row r="10" spans="1:2 4305:4305" x14ac:dyDescent="0.35">
      <c r="A10" t="s">
        <v>2117</v>
      </c>
      <c r="B10">
        <v>10</v>
      </c>
    </row>
    <row r="11" spans="1:2 4305:4305" x14ac:dyDescent="0.35">
      <c r="A11" t="s">
        <v>2110</v>
      </c>
    </row>
    <row r="12" spans="1:2 4305:4305" x14ac:dyDescent="0.35">
      <c r="A12" t="s">
        <v>2111</v>
      </c>
      <c r="B12">
        <v>5</v>
      </c>
    </row>
    <row r="13" spans="1:2 4305:4305" x14ac:dyDescent="0.35">
      <c r="A13" t="s">
        <v>2112</v>
      </c>
    </row>
    <row r="14" spans="1:2 4305:4305" x14ac:dyDescent="0.35">
      <c r="A14" t="s">
        <v>1875</v>
      </c>
      <c r="B14">
        <v>1</v>
      </c>
    </row>
    <row r="15" spans="1:2 4305:4305" x14ac:dyDescent="0.35">
      <c r="A15" t="s">
        <v>2113</v>
      </c>
    </row>
    <row r="16" spans="1:2 4305:4305" x14ac:dyDescent="0.35">
      <c r="A16" t="s">
        <v>2114</v>
      </c>
      <c r="B16">
        <v>50</v>
      </c>
    </row>
    <row r="17" spans="1:2" x14ac:dyDescent="0.35">
      <c r="A17" t="s">
        <v>2115</v>
      </c>
      <c r="B17">
        <v>5</v>
      </c>
    </row>
    <row r="18" spans="1:2" x14ac:dyDescent="0.35">
      <c r="A18" t="s">
        <v>2116</v>
      </c>
      <c r="B18">
        <v>500</v>
      </c>
    </row>
    <row r="19" spans="1:2" x14ac:dyDescent="0.35">
      <c r="A19" t="s">
        <v>1876</v>
      </c>
      <c r="B19">
        <v>10</v>
      </c>
    </row>
    <row r="20" spans="1:2" x14ac:dyDescent="0.35">
      <c r="A20" t="s">
        <v>1877</v>
      </c>
      <c r="B20">
        <v>50</v>
      </c>
    </row>
    <row r="21" spans="1:2" x14ac:dyDescent="0.35">
      <c r="A21" t="s">
        <v>1878</v>
      </c>
      <c r="B21">
        <v>150</v>
      </c>
    </row>
    <row r="22" spans="1:2" x14ac:dyDescent="0.35">
      <c r="A22" t="s">
        <v>1879</v>
      </c>
      <c r="B22">
        <v>2500</v>
      </c>
    </row>
    <row r="23" spans="1:2" x14ac:dyDescent="0.35">
      <c r="A23" t="s">
        <v>1880</v>
      </c>
      <c r="B23">
        <v>200</v>
      </c>
    </row>
    <row r="24" spans="1:2" x14ac:dyDescent="0.35">
      <c r="A24" t="s">
        <v>1881</v>
      </c>
      <c r="B24">
        <v>50</v>
      </c>
    </row>
    <row r="25" spans="1:2" x14ac:dyDescent="0.35">
      <c r="A25" t="s">
        <v>1882</v>
      </c>
      <c r="B25">
        <v>100</v>
      </c>
    </row>
    <row r="26" spans="1:2" x14ac:dyDescent="0.35">
      <c r="A26" t="s">
        <v>1279</v>
      </c>
      <c r="B26">
        <v>1</v>
      </c>
    </row>
    <row r="27" spans="1:2" x14ac:dyDescent="0.35">
      <c r="A27" t="s">
        <v>525</v>
      </c>
      <c r="B27" t="s">
        <v>1692</v>
      </c>
    </row>
    <row r="28" spans="1:2" x14ac:dyDescent="0.35">
      <c r="A28" t="s">
        <v>1807</v>
      </c>
      <c r="B28" t="b">
        <v>0</v>
      </c>
    </row>
    <row r="29" spans="1:2" x14ac:dyDescent="0.35">
      <c r="A29" t="s">
        <v>1808</v>
      </c>
    </row>
    <row r="30" spans="1:2" x14ac:dyDescent="0.35">
      <c r="A30" t="s">
        <v>962</v>
      </c>
    </row>
    <row r="31" spans="1:2" x14ac:dyDescent="0.35">
      <c r="A31" t="s">
        <v>1285</v>
      </c>
      <c r="B31" t="b">
        <v>1</v>
      </c>
    </row>
    <row r="32" spans="1:2" x14ac:dyDescent="0.35">
      <c r="A32" t="s">
        <v>1923</v>
      </c>
    </row>
    <row r="33" spans="1:1" x14ac:dyDescent="0.35">
      <c r="A33" t="s">
        <v>1700</v>
      </c>
    </row>
    <row r="34" spans="1:1" x14ac:dyDescent="0.35">
      <c r="A34" t="s">
        <v>1702</v>
      </c>
    </row>
    <row r="35" spans="1:1" x14ac:dyDescent="0.35">
      <c r="A35" t="s">
        <v>1704</v>
      </c>
    </row>
    <row r="36" spans="1:1" x14ac:dyDescent="0.35">
      <c r="A36" t="s">
        <v>1706</v>
      </c>
    </row>
    <row r="37" spans="1:1" x14ac:dyDescent="0.35">
      <c r="A37" t="s">
        <v>1746</v>
      </c>
    </row>
    <row r="38" spans="1:1" x14ac:dyDescent="0.35">
      <c r="A38" t="s">
        <v>1748</v>
      </c>
    </row>
    <row r="39" spans="1:1" x14ac:dyDescent="0.35">
      <c r="A39" t="s">
        <v>1780</v>
      </c>
    </row>
    <row r="40" spans="1:1" x14ac:dyDescent="0.35">
      <c r="A40" t="s">
        <v>1782</v>
      </c>
    </row>
    <row r="41" spans="1:1" x14ac:dyDescent="0.35">
      <c r="A41" t="s">
        <v>1784</v>
      </c>
    </row>
    <row r="42" spans="1:1" x14ac:dyDescent="0.35">
      <c r="A42" t="s">
        <v>1753</v>
      </c>
    </row>
    <row r="43" spans="1:1" x14ac:dyDescent="0.35">
      <c r="A43" t="s">
        <v>1758</v>
      </c>
    </row>
    <row r="44" spans="1:1" x14ac:dyDescent="0.35">
      <c r="A44" t="s">
        <v>221</v>
      </c>
    </row>
    <row r="45" spans="1:1" x14ac:dyDescent="0.35">
      <c r="A45" t="s">
        <v>222</v>
      </c>
    </row>
    <row r="46" spans="1:1" x14ac:dyDescent="0.35">
      <c r="A46" t="s">
        <v>223</v>
      </c>
    </row>
    <row r="47" spans="1:1" x14ac:dyDescent="0.35">
      <c r="A47" t="s">
        <v>224</v>
      </c>
    </row>
    <row r="48" spans="1:1" x14ac:dyDescent="0.35">
      <c r="A48" t="s">
        <v>40</v>
      </c>
    </row>
    <row r="49" spans="1:2" x14ac:dyDescent="0.35">
      <c r="A49" t="s">
        <v>41</v>
      </c>
    </row>
    <row r="50" spans="1:2" x14ac:dyDescent="0.35">
      <c r="A50" t="s">
        <v>1635</v>
      </c>
    </row>
    <row r="51" spans="1:2" x14ac:dyDescent="0.35">
      <c r="A51" t="s">
        <v>1636</v>
      </c>
    </row>
    <row r="52" spans="1:2" x14ac:dyDescent="0.35">
      <c r="A52" t="s">
        <v>1637</v>
      </c>
    </row>
    <row r="53" spans="1:2" x14ac:dyDescent="0.35">
      <c r="A53" t="s">
        <v>1638</v>
      </c>
    </row>
    <row r="54" spans="1:2" x14ac:dyDescent="0.35">
      <c r="A54" t="s">
        <v>987</v>
      </c>
    </row>
    <row r="55" spans="1:2" x14ac:dyDescent="0.35">
      <c r="A55" t="s">
        <v>988</v>
      </c>
    </row>
    <row r="56" spans="1:2" x14ac:dyDescent="0.35">
      <c r="A56" t="s">
        <v>989</v>
      </c>
    </row>
    <row r="57" spans="1:2" x14ac:dyDescent="0.35">
      <c r="A57" t="s">
        <v>990</v>
      </c>
    </row>
    <row r="58" spans="1:2" x14ac:dyDescent="0.35">
      <c r="A58" t="s">
        <v>173</v>
      </c>
    </row>
    <row r="59" spans="1:2" x14ac:dyDescent="0.35">
      <c r="A59" t="s">
        <v>174</v>
      </c>
    </row>
    <row r="60" spans="1:2" x14ac:dyDescent="0.35">
      <c r="A60" t="s">
        <v>175</v>
      </c>
    </row>
    <row r="61" spans="1:2" x14ac:dyDescent="0.35">
      <c r="A61" t="s">
        <v>176</v>
      </c>
    </row>
    <row r="62" spans="1:2" x14ac:dyDescent="0.35">
      <c r="A62" t="s">
        <v>177</v>
      </c>
    </row>
    <row r="63" spans="1:2" x14ac:dyDescent="0.35">
      <c r="A63" t="s">
        <v>392</v>
      </c>
    </row>
    <row r="64" spans="1:2" x14ac:dyDescent="0.35">
      <c r="A64" t="s">
        <v>1750</v>
      </c>
      <c r="B64">
        <v>30</v>
      </c>
    </row>
    <row r="65" spans="1:2" x14ac:dyDescent="0.35">
      <c r="A65" t="s">
        <v>1757</v>
      </c>
    </row>
    <row r="66" spans="1:2" x14ac:dyDescent="0.35">
      <c r="A66" t="s">
        <v>633</v>
      </c>
      <c r="B66">
        <v>1</v>
      </c>
    </row>
    <row r="67" spans="1:2" x14ac:dyDescent="0.35">
      <c r="A67" t="s">
        <v>393</v>
      </c>
    </row>
    <row r="68" spans="1:2" x14ac:dyDescent="0.35">
      <c r="A68" t="s">
        <v>394</v>
      </c>
    </row>
    <row r="69" spans="1:2" x14ac:dyDescent="0.35">
      <c r="A69" t="s">
        <v>395</v>
      </c>
    </row>
    <row r="70" spans="1:2" x14ac:dyDescent="0.35">
      <c r="A70" t="s">
        <v>396</v>
      </c>
    </row>
    <row r="71" spans="1:2" x14ac:dyDescent="0.35">
      <c r="A71" t="s">
        <v>397</v>
      </c>
    </row>
    <row r="72" spans="1:2" x14ac:dyDescent="0.35">
      <c r="A72" t="s">
        <v>398</v>
      </c>
    </row>
    <row r="73" spans="1:2" x14ac:dyDescent="0.35">
      <c r="A73" t="s">
        <v>399</v>
      </c>
    </row>
    <row r="74" spans="1:2" x14ac:dyDescent="0.35">
      <c r="A74" t="s">
        <v>400</v>
      </c>
    </row>
    <row r="75" spans="1:2" x14ac:dyDescent="0.35">
      <c r="A75" t="s">
        <v>401</v>
      </c>
    </row>
    <row r="76" spans="1:2" x14ac:dyDescent="0.35">
      <c r="A76" t="s">
        <v>402</v>
      </c>
    </row>
    <row r="77" spans="1:2" x14ac:dyDescent="0.35">
      <c r="A77" t="s">
        <v>403</v>
      </c>
    </row>
    <row r="78" spans="1:2" x14ac:dyDescent="0.35">
      <c r="A78" t="s">
        <v>404</v>
      </c>
    </row>
    <row r="79" spans="1:2" x14ac:dyDescent="0.35">
      <c r="A79" t="s">
        <v>405</v>
      </c>
    </row>
    <row r="80" spans="1:2" x14ac:dyDescent="0.35">
      <c r="A80" t="s">
        <v>406</v>
      </c>
    </row>
    <row r="81" spans="1:2" x14ac:dyDescent="0.35">
      <c r="A81" t="s">
        <v>407</v>
      </c>
    </row>
    <row r="82" spans="1:2" x14ac:dyDescent="0.35">
      <c r="A82" t="s">
        <v>408</v>
      </c>
    </row>
    <row r="83" spans="1:2" x14ac:dyDescent="0.35">
      <c r="A83" t="s">
        <v>409</v>
      </c>
    </row>
    <row r="84" spans="1:2" x14ac:dyDescent="0.35">
      <c r="A84" t="s">
        <v>1034</v>
      </c>
    </row>
    <row r="85" spans="1:2" x14ac:dyDescent="0.35">
      <c r="A85" t="s">
        <v>1035</v>
      </c>
    </row>
    <row r="86" spans="1:2" x14ac:dyDescent="0.35">
      <c r="A86" t="s">
        <v>1071</v>
      </c>
    </row>
    <row r="87" spans="1:2" x14ac:dyDescent="0.35">
      <c r="A87" t="s">
        <v>1074</v>
      </c>
      <c r="B87">
        <v>30</v>
      </c>
    </row>
    <row r="88" spans="1:2" x14ac:dyDescent="0.35">
      <c r="A88" t="s">
        <v>1763</v>
      </c>
      <c r="B88">
        <v>30</v>
      </c>
    </row>
    <row r="89" spans="1:2" x14ac:dyDescent="0.35">
      <c r="A89" t="s">
        <v>1751</v>
      </c>
    </row>
    <row r="90" spans="1:2" x14ac:dyDescent="0.35">
      <c r="A90" t="s">
        <v>1755</v>
      </c>
    </row>
    <row r="91" spans="1:2" x14ac:dyDescent="0.35">
      <c r="A91" t="s">
        <v>702</v>
      </c>
      <c r="B91">
        <v>1</v>
      </c>
    </row>
    <row r="92" spans="1:2" x14ac:dyDescent="0.35">
      <c r="A92" t="s">
        <v>703</v>
      </c>
    </row>
    <row r="93" spans="1:2" x14ac:dyDescent="0.35">
      <c r="A93" t="s">
        <v>704</v>
      </c>
    </row>
    <row r="94" spans="1:2" x14ac:dyDescent="0.35">
      <c r="A94" t="s">
        <v>705</v>
      </c>
    </row>
    <row r="95" spans="1:2" x14ac:dyDescent="0.35">
      <c r="A95" t="s">
        <v>973</v>
      </c>
      <c r="B95">
        <v>40909</v>
      </c>
    </row>
    <row r="96" spans="1:2" x14ac:dyDescent="0.35">
      <c r="A96" t="s">
        <v>1303</v>
      </c>
      <c r="B96">
        <v>100</v>
      </c>
    </row>
    <row r="97" spans="1:2" x14ac:dyDescent="0.35">
      <c r="A97" t="s">
        <v>1278</v>
      </c>
      <c r="B97" t="b">
        <v>0</v>
      </c>
    </row>
    <row r="98" spans="1:2" x14ac:dyDescent="0.35">
      <c r="A98" t="s">
        <v>692</v>
      </c>
      <c r="B98">
        <v>1</v>
      </c>
    </row>
    <row r="99" spans="1:2" x14ac:dyDescent="0.35">
      <c r="A99" t="s">
        <v>693</v>
      </c>
      <c r="B99">
        <v>1</v>
      </c>
    </row>
    <row r="100" spans="1:2" x14ac:dyDescent="0.35">
      <c r="A100" t="s">
        <v>694</v>
      </c>
      <c r="B100">
        <v>1</v>
      </c>
    </row>
    <row r="101" spans="1:2" x14ac:dyDescent="0.35">
      <c r="A101" t="s">
        <v>695</v>
      </c>
      <c r="B101">
        <v>1</v>
      </c>
    </row>
    <row r="102" spans="1:2" x14ac:dyDescent="0.35">
      <c r="A102" t="s">
        <v>696</v>
      </c>
      <c r="B102">
        <v>1</v>
      </c>
    </row>
    <row r="103" spans="1:2" x14ac:dyDescent="0.35">
      <c r="A103" t="s">
        <v>1849</v>
      </c>
      <c r="B103">
        <v>1</v>
      </c>
    </row>
    <row r="104" spans="1:2" x14ac:dyDescent="0.35">
      <c r="A104" t="s">
        <v>1756</v>
      </c>
    </row>
    <row r="105" spans="1:2" x14ac:dyDescent="0.35">
      <c r="A105" t="s">
        <v>1850</v>
      </c>
      <c r="B105">
        <v>5</v>
      </c>
    </row>
    <row r="106" spans="1:2" x14ac:dyDescent="0.35">
      <c r="A106" t="s">
        <v>1851</v>
      </c>
      <c r="B106">
        <v>20</v>
      </c>
    </row>
    <row r="107" spans="1:2" x14ac:dyDescent="0.35">
      <c r="A107" t="s">
        <v>1852</v>
      </c>
      <c r="B107">
        <v>15</v>
      </c>
    </row>
    <row r="108" spans="1:2" x14ac:dyDescent="0.35">
      <c r="A108" t="s">
        <v>1853</v>
      </c>
      <c r="B108">
        <v>10</v>
      </c>
    </row>
    <row r="109" spans="1:2" x14ac:dyDescent="0.35">
      <c r="A109" t="s">
        <v>1854</v>
      </c>
      <c r="B109">
        <v>10</v>
      </c>
    </row>
    <row r="110" spans="1:2" x14ac:dyDescent="0.35">
      <c r="A110" t="s">
        <v>1263</v>
      </c>
      <c r="B110">
        <v>10</v>
      </c>
    </row>
    <row r="111" spans="1:2" x14ac:dyDescent="0.35">
      <c r="A111" t="s">
        <v>1264</v>
      </c>
      <c r="B111">
        <v>30</v>
      </c>
    </row>
    <row r="112" spans="1:2" x14ac:dyDescent="0.35">
      <c r="A112" t="s">
        <v>1265</v>
      </c>
      <c r="B112">
        <v>250</v>
      </c>
    </row>
    <row r="113" spans="1:2" x14ac:dyDescent="0.35">
      <c r="A113" t="s">
        <v>2151</v>
      </c>
    </row>
    <row r="114" spans="1:2" x14ac:dyDescent="0.35">
      <c r="A114" t="s">
        <v>2152</v>
      </c>
      <c r="B114">
        <v>10</v>
      </c>
    </row>
    <row r="115" spans="1:2" x14ac:dyDescent="0.35">
      <c r="A115" t="s">
        <v>2153</v>
      </c>
    </row>
    <row r="116" spans="1:2" x14ac:dyDescent="0.35">
      <c r="A116" t="s">
        <v>1855</v>
      </c>
      <c r="B116">
        <v>10</v>
      </c>
    </row>
    <row r="117" spans="1:2" x14ac:dyDescent="0.35">
      <c r="A117" t="s">
        <v>2118</v>
      </c>
    </row>
    <row r="118" spans="1:2" x14ac:dyDescent="0.35">
      <c r="A118" t="s">
        <v>2119</v>
      </c>
      <c r="B118">
        <v>6</v>
      </c>
    </row>
    <row r="119" spans="1:2" x14ac:dyDescent="0.35">
      <c r="A119" t="s">
        <v>2149</v>
      </c>
      <c r="B119">
        <v>2</v>
      </c>
    </row>
    <row r="120" spans="1:2" x14ac:dyDescent="0.35">
      <c r="A120" t="s">
        <v>2150</v>
      </c>
      <c r="B120">
        <v>70</v>
      </c>
    </row>
    <row r="121" spans="1:2" x14ac:dyDescent="0.35">
      <c r="A121" t="s">
        <v>1856</v>
      </c>
      <c r="B121">
        <v>5</v>
      </c>
    </row>
    <row r="122" spans="1:2" x14ac:dyDescent="0.35">
      <c r="A122" t="s">
        <v>1857</v>
      </c>
      <c r="B122">
        <v>25</v>
      </c>
    </row>
    <row r="123" spans="1:2" x14ac:dyDescent="0.35">
      <c r="A123" t="s">
        <v>1858</v>
      </c>
      <c r="B123">
        <v>100</v>
      </c>
    </row>
    <row r="124" spans="1:2" x14ac:dyDescent="0.35">
      <c r="A124" t="s">
        <v>1859</v>
      </c>
      <c r="B124">
        <v>10</v>
      </c>
    </row>
    <row r="125" spans="1:2" x14ac:dyDescent="0.35">
      <c r="A125" t="s">
        <v>1860</v>
      </c>
      <c r="B125">
        <v>5</v>
      </c>
    </row>
    <row r="126" spans="1:2" x14ac:dyDescent="0.35">
      <c r="A126" t="s">
        <v>1861</v>
      </c>
      <c r="B126">
        <v>10</v>
      </c>
    </row>
    <row r="127" spans="1:2" x14ac:dyDescent="0.35">
      <c r="A127" t="s">
        <v>979</v>
      </c>
      <c r="B127">
        <v>5</v>
      </c>
    </row>
    <row r="128" spans="1:2" x14ac:dyDescent="0.35">
      <c r="A128" t="s">
        <v>2002</v>
      </c>
      <c r="B128">
        <v>10</v>
      </c>
    </row>
    <row r="129" spans="1:2" x14ac:dyDescent="0.35">
      <c r="A129" t="s">
        <v>2003</v>
      </c>
      <c r="B129">
        <v>10</v>
      </c>
    </row>
    <row r="130" spans="1:2" x14ac:dyDescent="0.35">
      <c r="A130" t="s">
        <v>2004</v>
      </c>
      <c r="B130">
        <v>10</v>
      </c>
    </row>
    <row r="131" spans="1:2" x14ac:dyDescent="0.35">
      <c r="A131" t="s">
        <v>2005</v>
      </c>
      <c r="B131">
        <v>10</v>
      </c>
    </row>
    <row r="132" spans="1:2" x14ac:dyDescent="0.35">
      <c r="A132" t="s">
        <v>2006</v>
      </c>
      <c r="B132">
        <v>10</v>
      </c>
    </row>
    <row r="133" spans="1:2" x14ac:dyDescent="0.35">
      <c r="A133" t="s">
        <v>1542</v>
      </c>
      <c r="B133">
        <v>10</v>
      </c>
    </row>
    <row r="134" spans="1:2" x14ac:dyDescent="0.35">
      <c r="A134" t="s">
        <v>1543</v>
      </c>
      <c r="B134">
        <v>10</v>
      </c>
    </row>
    <row r="135" spans="1:2" x14ac:dyDescent="0.35">
      <c r="A135" t="s">
        <v>1262</v>
      </c>
      <c r="B135">
        <v>10</v>
      </c>
    </row>
    <row r="136" spans="1:2" x14ac:dyDescent="0.35">
      <c r="A136" t="s">
        <v>2158</v>
      </c>
    </row>
    <row r="137" spans="1:2" x14ac:dyDescent="0.35">
      <c r="A137" t="s">
        <v>2159</v>
      </c>
      <c r="B137">
        <v>10</v>
      </c>
    </row>
    <row r="138" spans="1:2" x14ac:dyDescent="0.35">
      <c r="A138" t="s">
        <v>2160</v>
      </c>
    </row>
    <row r="139" spans="1:2" x14ac:dyDescent="0.35">
      <c r="A139" t="s">
        <v>2007</v>
      </c>
      <c r="B139">
        <v>10</v>
      </c>
    </row>
    <row r="140" spans="1:2" x14ac:dyDescent="0.35">
      <c r="A140" t="s">
        <v>2154</v>
      </c>
    </row>
    <row r="141" spans="1:2" x14ac:dyDescent="0.35">
      <c r="A141" t="s">
        <v>2155</v>
      </c>
      <c r="B141">
        <v>10</v>
      </c>
    </row>
    <row r="142" spans="1:2" x14ac:dyDescent="0.35">
      <c r="A142" t="s">
        <v>2156</v>
      </c>
      <c r="B142">
        <v>10</v>
      </c>
    </row>
    <row r="143" spans="1:2" x14ac:dyDescent="0.35">
      <c r="A143" t="s">
        <v>2157</v>
      </c>
      <c r="B143">
        <v>10</v>
      </c>
    </row>
    <row r="144" spans="1:2" x14ac:dyDescent="0.35">
      <c r="A144" t="s">
        <v>2008</v>
      </c>
      <c r="B144">
        <v>10</v>
      </c>
    </row>
    <row r="145" spans="1:2" x14ac:dyDescent="0.35">
      <c r="A145" t="s">
        <v>733</v>
      </c>
      <c r="B145">
        <v>10</v>
      </c>
    </row>
    <row r="146" spans="1:2" x14ac:dyDescent="0.35">
      <c r="A146" t="s">
        <v>996</v>
      </c>
      <c r="B146">
        <v>10</v>
      </c>
    </row>
    <row r="147" spans="1:2" x14ac:dyDescent="0.35">
      <c r="A147" t="s">
        <v>1546</v>
      </c>
      <c r="B147">
        <v>10</v>
      </c>
    </row>
    <row r="148" spans="1:2" x14ac:dyDescent="0.35">
      <c r="A148" t="s">
        <v>1547</v>
      </c>
      <c r="B148">
        <v>10</v>
      </c>
    </row>
    <row r="149" spans="1:2" x14ac:dyDescent="0.35">
      <c r="A149" t="s">
        <v>225</v>
      </c>
      <c r="B149">
        <v>10</v>
      </c>
    </row>
    <row r="150" spans="1:2" x14ac:dyDescent="0.35">
      <c r="A150" t="s">
        <v>226</v>
      </c>
      <c r="B150">
        <v>10</v>
      </c>
    </row>
    <row r="151" spans="1:2" x14ac:dyDescent="0.35">
      <c r="A151" t="s">
        <v>647</v>
      </c>
      <c r="B151" t="b">
        <v>0</v>
      </c>
    </row>
    <row r="152" spans="1:2" x14ac:dyDescent="0.35">
      <c r="A152" t="s">
        <v>1728</v>
      </c>
    </row>
    <row r="153" spans="1:2" x14ac:dyDescent="0.35">
      <c r="A153" t="s">
        <v>648</v>
      </c>
    </row>
    <row r="154" spans="1:2" x14ac:dyDescent="0.35">
      <c r="A154" t="s">
        <v>1729</v>
      </c>
    </row>
    <row r="155" spans="1:2" x14ac:dyDescent="0.35">
      <c r="A155" t="s">
        <v>706</v>
      </c>
      <c r="B155">
        <v>1</v>
      </c>
    </row>
    <row r="156" spans="1:2" x14ac:dyDescent="0.35">
      <c r="A156" t="s">
        <v>707</v>
      </c>
    </row>
    <row r="157" spans="1:2" x14ac:dyDescent="0.35">
      <c r="A157" t="s">
        <v>708</v>
      </c>
    </row>
    <row r="158" spans="1:2" x14ac:dyDescent="0.35">
      <c r="A158" t="s">
        <v>709</v>
      </c>
    </row>
    <row r="159" spans="1:2" x14ac:dyDescent="0.35">
      <c r="A159" t="s">
        <v>1493</v>
      </c>
      <c r="B159" t="b">
        <v>0</v>
      </c>
    </row>
    <row r="160" spans="1:2" x14ac:dyDescent="0.35">
      <c r="A160" t="s">
        <v>181</v>
      </c>
    </row>
    <row r="161" spans="1:3" x14ac:dyDescent="0.35">
      <c r="A161" t="s">
        <v>1883</v>
      </c>
      <c r="C161" t="s">
        <v>1073</v>
      </c>
    </row>
    <row r="162" spans="1:3" x14ac:dyDescent="0.35">
      <c r="A162" t="s">
        <v>1891</v>
      </c>
      <c r="C162" t="s">
        <v>1073</v>
      </c>
    </row>
    <row r="163" spans="1:3" x14ac:dyDescent="0.35">
      <c r="A163" t="s">
        <v>1892</v>
      </c>
      <c r="C163" t="s">
        <v>1073</v>
      </c>
    </row>
    <row r="164" spans="1:3" x14ac:dyDescent="0.35">
      <c r="A164" t="s">
        <v>688</v>
      </c>
      <c r="C164" t="s">
        <v>1073</v>
      </c>
    </row>
    <row r="165" spans="1:3" x14ac:dyDescent="0.35">
      <c r="A165" t="s">
        <v>689</v>
      </c>
      <c r="C165" t="s">
        <v>1073</v>
      </c>
    </row>
    <row r="166" spans="1:3" x14ac:dyDescent="0.35">
      <c r="A166" t="s">
        <v>690</v>
      </c>
      <c r="C166" t="s">
        <v>1073</v>
      </c>
    </row>
    <row r="167" spans="1:3" x14ac:dyDescent="0.35">
      <c r="A167" t="s">
        <v>691</v>
      </c>
      <c r="C167" t="s">
        <v>1073</v>
      </c>
    </row>
    <row r="168" spans="1:3" x14ac:dyDescent="0.35">
      <c r="A168" t="s">
        <v>1396</v>
      </c>
      <c r="C168" t="s">
        <v>1073</v>
      </c>
    </row>
    <row r="169" spans="1:3" x14ac:dyDescent="0.35">
      <c r="A169" t="s">
        <v>1397</v>
      </c>
      <c r="C169" t="s">
        <v>1073</v>
      </c>
    </row>
    <row r="170" spans="1:3" x14ac:dyDescent="0.35">
      <c r="A170" t="s">
        <v>1884</v>
      </c>
      <c r="C170" t="s">
        <v>1073</v>
      </c>
    </row>
    <row r="171" spans="1:3" x14ac:dyDescent="0.35">
      <c r="A171" t="s">
        <v>1885</v>
      </c>
      <c r="C171" t="s">
        <v>1073</v>
      </c>
    </row>
    <row r="172" spans="1:3" x14ac:dyDescent="0.35">
      <c r="A172" t="s">
        <v>1886</v>
      </c>
      <c r="C172" t="s">
        <v>1073</v>
      </c>
    </row>
    <row r="173" spans="1:3" x14ac:dyDescent="0.35">
      <c r="A173" t="s">
        <v>1887</v>
      </c>
      <c r="C173" t="s">
        <v>1073</v>
      </c>
    </row>
    <row r="174" spans="1:3" x14ac:dyDescent="0.35">
      <c r="A174" t="s">
        <v>1888</v>
      </c>
      <c r="C174" t="s">
        <v>1073</v>
      </c>
    </row>
    <row r="175" spans="1:3" x14ac:dyDescent="0.35">
      <c r="A175" t="s">
        <v>1889</v>
      </c>
      <c r="C175" t="s">
        <v>1073</v>
      </c>
    </row>
    <row r="176" spans="1:3" x14ac:dyDescent="0.35">
      <c r="A176" t="s">
        <v>1890</v>
      </c>
      <c r="C176" t="s">
        <v>1073</v>
      </c>
    </row>
    <row r="177" spans="1:3" x14ac:dyDescent="0.35">
      <c r="A177" t="s">
        <v>502</v>
      </c>
      <c r="C177" t="s">
        <v>1073</v>
      </c>
    </row>
    <row r="178" spans="1:3" x14ac:dyDescent="0.35">
      <c r="A178" t="s">
        <v>503</v>
      </c>
      <c r="C178" t="s">
        <v>1073</v>
      </c>
    </row>
    <row r="179" spans="1:3" x14ac:dyDescent="0.35">
      <c r="A179" t="s">
        <v>504</v>
      </c>
      <c r="C179" t="s">
        <v>1073</v>
      </c>
    </row>
    <row r="180" spans="1:3" x14ac:dyDescent="0.35">
      <c r="A180" t="s">
        <v>505</v>
      </c>
      <c r="C180" t="s">
        <v>1073</v>
      </c>
    </row>
    <row r="181" spans="1:3" x14ac:dyDescent="0.35">
      <c r="A181" t="s">
        <v>506</v>
      </c>
      <c r="C181" t="s">
        <v>1073</v>
      </c>
    </row>
    <row r="182" spans="1:3" x14ac:dyDescent="0.35">
      <c r="A182" t="s">
        <v>507</v>
      </c>
      <c r="C182" t="s">
        <v>1073</v>
      </c>
    </row>
    <row r="183" spans="1:3" x14ac:dyDescent="0.35">
      <c r="A183" t="s">
        <v>508</v>
      </c>
      <c r="C183" t="s">
        <v>1073</v>
      </c>
    </row>
    <row r="184" spans="1:3" x14ac:dyDescent="0.35">
      <c r="A184" t="s">
        <v>509</v>
      </c>
      <c r="C184" t="s">
        <v>1073</v>
      </c>
    </row>
    <row r="185" spans="1:3" x14ac:dyDescent="0.35">
      <c r="A185" t="s">
        <v>510</v>
      </c>
      <c r="C185" t="s">
        <v>1073</v>
      </c>
    </row>
    <row r="186" spans="1:3" x14ac:dyDescent="0.35">
      <c r="A186" t="s">
        <v>511</v>
      </c>
      <c r="C186" t="s">
        <v>1073</v>
      </c>
    </row>
    <row r="187" spans="1:3" x14ac:dyDescent="0.35">
      <c r="A187" t="s">
        <v>512</v>
      </c>
      <c r="C187" t="s">
        <v>1073</v>
      </c>
    </row>
    <row r="188" spans="1:3" x14ac:dyDescent="0.35">
      <c r="A188" t="s">
        <v>513</v>
      </c>
      <c r="C188" t="s">
        <v>1073</v>
      </c>
    </row>
    <row r="189" spans="1:3" x14ac:dyDescent="0.35">
      <c r="A189" t="s">
        <v>514</v>
      </c>
      <c r="C189" t="s">
        <v>1073</v>
      </c>
    </row>
    <row r="190" spans="1:3" x14ac:dyDescent="0.35">
      <c r="A190" t="s">
        <v>515</v>
      </c>
      <c r="C190" t="s">
        <v>1073</v>
      </c>
    </row>
    <row r="191" spans="1:3" x14ac:dyDescent="0.35">
      <c r="A191" t="s">
        <v>516</v>
      </c>
      <c r="C191" t="s">
        <v>1073</v>
      </c>
    </row>
    <row r="192" spans="1:3" x14ac:dyDescent="0.35">
      <c r="A192" t="s">
        <v>517</v>
      </c>
      <c r="C192" t="s">
        <v>1073</v>
      </c>
    </row>
    <row r="193" spans="1:3" x14ac:dyDescent="0.35">
      <c r="A193" t="s">
        <v>1195</v>
      </c>
      <c r="C193" t="s">
        <v>1073</v>
      </c>
    </row>
    <row r="194" spans="1:3" x14ac:dyDescent="0.35">
      <c r="A194" t="s">
        <v>1196</v>
      </c>
      <c r="C194" t="s">
        <v>1073</v>
      </c>
    </row>
    <row r="195" spans="1:3" x14ac:dyDescent="0.35">
      <c r="A195" t="s">
        <v>1197</v>
      </c>
      <c r="C195" t="s">
        <v>1073</v>
      </c>
    </row>
    <row r="196" spans="1:3" x14ac:dyDescent="0.35">
      <c r="A196" t="s">
        <v>1198</v>
      </c>
      <c r="C196" t="s">
        <v>1073</v>
      </c>
    </row>
    <row r="197" spans="1:3" x14ac:dyDescent="0.35">
      <c r="A197" t="s">
        <v>1199</v>
      </c>
      <c r="C197" t="s">
        <v>1073</v>
      </c>
    </row>
    <row r="198" spans="1:3" x14ac:dyDescent="0.35">
      <c r="A198" t="s">
        <v>1200</v>
      </c>
      <c r="C198" t="s">
        <v>1073</v>
      </c>
    </row>
    <row r="199" spans="1:3" x14ac:dyDescent="0.35">
      <c r="A199" t="s">
        <v>1201</v>
      </c>
      <c r="C199" t="s">
        <v>1073</v>
      </c>
    </row>
    <row r="200" spans="1:3" x14ac:dyDescent="0.35">
      <c r="A200" t="s">
        <v>1202</v>
      </c>
      <c r="C200" t="s">
        <v>1073</v>
      </c>
    </row>
    <row r="201" spans="1:3" x14ac:dyDescent="0.35">
      <c r="A201" t="s">
        <v>1203</v>
      </c>
      <c r="C201" t="s">
        <v>1073</v>
      </c>
    </row>
    <row r="202" spans="1:3" x14ac:dyDescent="0.35">
      <c r="A202" t="s">
        <v>1204</v>
      </c>
      <c r="C202" t="s">
        <v>1073</v>
      </c>
    </row>
    <row r="203" spans="1:3" x14ac:dyDescent="0.35">
      <c r="A203" t="s">
        <v>1205</v>
      </c>
      <c r="C203" t="s">
        <v>1073</v>
      </c>
    </row>
    <row r="204" spans="1:3" x14ac:dyDescent="0.35">
      <c r="A204" t="s">
        <v>1206</v>
      </c>
      <c r="C204" t="s">
        <v>1073</v>
      </c>
    </row>
    <row r="205" spans="1:3" x14ac:dyDescent="0.35">
      <c r="A205" t="s">
        <v>1207</v>
      </c>
      <c r="C205" t="s">
        <v>1073</v>
      </c>
    </row>
    <row r="206" spans="1:3" x14ac:dyDescent="0.35">
      <c r="A206" t="s">
        <v>1208</v>
      </c>
      <c r="C206" t="s">
        <v>1073</v>
      </c>
    </row>
    <row r="207" spans="1:3" x14ac:dyDescent="0.35">
      <c r="A207" t="s">
        <v>1209</v>
      </c>
      <c r="C207" t="s">
        <v>1073</v>
      </c>
    </row>
    <row r="208" spans="1:3" x14ac:dyDescent="0.35">
      <c r="A208" t="s">
        <v>1210</v>
      </c>
      <c r="C208" t="s">
        <v>1073</v>
      </c>
    </row>
    <row r="209" spans="1:3" x14ac:dyDescent="0.35">
      <c r="A209" t="s">
        <v>1211</v>
      </c>
      <c r="C209" t="s">
        <v>1073</v>
      </c>
    </row>
    <row r="210" spans="1:3" x14ac:dyDescent="0.35">
      <c r="A210" t="s">
        <v>1212</v>
      </c>
      <c r="C210" t="s">
        <v>1073</v>
      </c>
    </row>
    <row r="211" spans="1:3" x14ac:dyDescent="0.35">
      <c r="A211" t="s">
        <v>1213</v>
      </c>
      <c r="C211" t="s">
        <v>1073</v>
      </c>
    </row>
    <row r="212" spans="1:3" x14ac:dyDescent="0.35">
      <c r="A212" t="s">
        <v>1214</v>
      </c>
      <c r="C212" t="s">
        <v>1073</v>
      </c>
    </row>
    <row r="213" spans="1:3" x14ac:dyDescent="0.35">
      <c r="A213" t="s">
        <v>1215</v>
      </c>
      <c r="C213" t="s">
        <v>1073</v>
      </c>
    </row>
    <row r="214" spans="1:3" x14ac:dyDescent="0.35">
      <c r="A214" t="s">
        <v>1216</v>
      </c>
      <c r="C214" t="s">
        <v>1073</v>
      </c>
    </row>
    <row r="215" spans="1:3" x14ac:dyDescent="0.35">
      <c r="A215" t="s">
        <v>1217</v>
      </c>
      <c r="C215" t="s">
        <v>1073</v>
      </c>
    </row>
    <row r="216" spans="1:3" x14ac:dyDescent="0.35">
      <c r="A216" t="s">
        <v>1218</v>
      </c>
      <c r="C216" t="s">
        <v>1073</v>
      </c>
    </row>
    <row r="217" spans="1:3" x14ac:dyDescent="0.35">
      <c r="A217" t="s">
        <v>1219</v>
      </c>
      <c r="C217" t="s">
        <v>1073</v>
      </c>
    </row>
    <row r="218" spans="1:3" x14ac:dyDescent="0.35">
      <c r="A218" t="s">
        <v>1220</v>
      </c>
      <c r="C218" t="s">
        <v>1073</v>
      </c>
    </row>
    <row r="219" spans="1:3" x14ac:dyDescent="0.35">
      <c r="A219" t="s">
        <v>1221</v>
      </c>
      <c r="C219" t="s">
        <v>1073</v>
      </c>
    </row>
    <row r="220" spans="1:3" x14ac:dyDescent="0.35">
      <c r="A220" t="s">
        <v>1222</v>
      </c>
      <c r="C220" t="s">
        <v>1073</v>
      </c>
    </row>
    <row r="221" spans="1:3" x14ac:dyDescent="0.35">
      <c r="A221" t="s">
        <v>1223</v>
      </c>
      <c r="C221" t="s">
        <v>1073</v>
      </c>
    </row>
    <row r="222" spans="1:3" x14ac:dyDescent="0.35">
      <c r="A222" t="s">
        <v>1224</v>
      </c>
      <c r="C222" t="s">
        <v>1073</v>
      </c>
    </row>
    <row r="223" spans="1:3" x14ac:dyDescent="0.35">
      <c r="A223" t="s">
        <v>1225</v>
      </c>
      <c r="C223" t="s">
        <v>1073</v>
      </c>
    </row>
    <row r="224" spans="1:3" x14ac:dyDescent="0.35">
      <c r="A224" t="s">
        <v>1226</v>
      </c>
      <c r="C224" t="s">
        <v>1073</v>
      </c>
    </row>
    <row r="225" spans="1:3" x14ac:dyDescent="0.35">
      <c r="A225" t="s">
        <v>1227</v>
      </c>
      <c r="C225" t="s">
        <v>1073</v>
      </c>
    </row>
    <row r="226" spans="1:3" x14ac:dyDescent="0.35">
      <c r="A226" t="s">
        <v>1228</v>
      </c>
      <c r="C226" t="s">
        <v>1073</v>
      </c>
    </row>
    <row r="227" spans="1:3" x14ac:dyDescent="0.35">
      <c r="A227" t="s">
        <v>1229</v>
      </c>
      <c r="C227" t="s">
        <v>1073</v>
      </c>
    </row>
    <row r="228" spans="1:3" x14ac:dyDescent="0.35">
      <c r="A228" t="s">
        <v>1230</v>
      </c>
      <c r="C228" t="s">
        <v>1073</v>
      </c>
    </row>
    <row r="229" spans="1:3" x14ac:dyDescent="0.35">
      <c r="A229" t="s">
        <v>1231</v>
      </c>
      <c r="C229" t="s">
        <v>1073</v>
      </c>
    </row>
    <row r="230" spans="1:3" x14ac:dyDescent="0.35">
      <c r="A230" t="s">
        <v>1232</v>
      </c>
      <c r="C230" t="s">
        <v>1073</v>
      </c>
    </row>
    <row r="231" spans="1:3" x14ac:dyDescent="0.35">
      <c r="A231" t="s">
        <v>1233</v>
      </c>
      <c r="C231" t="s">
        <v>1073</v>
      </c>
    </row>
    <row r="232" spans="1:3" x14ac:dyDescent="0.35">
      <c r="A232" t="s">
        <v>1234</v>
      </c>
      <c r="C232" t="s">
        <v>1073</v>
      </c>
    </row>
    <row r="233" spans="1:3" x14ac:dyDescent="0.35">
      <c r="A233" t="s">
        <v>1235</v>
      </c>
      <c r="C233" t="s">
        <v>1073</v>
      </c>
    </row>
    <row r="234" spans="1:3" x14ac:dyDescent="0.35">
      <c r="A234" t="s">
        <v>1236</v>
      </c>
      <c r="C234" t="s">
        <v>1073</v>
      </c>
    </row>
    <row r="235" spans="1:3" x14ac:dyDescent="0.35">
      <c r="A235" t="s">
        <v>1237</v>
      </c>
      <c r="C235" t="s">
        <v>1073</v>
      </c>
    </row>
    <row r="236" spans="1:3" x14ac:dyDescent="0.35">
      <c r="A236" t="s">
        <v>1238</v>
      </c>
      <c r="C236" t="s">
        <v>1073</v>
      </c>
    </row>
    <row r="237" spans="1:3" x14ac:dyDescent="0.35">
      <c r="A237" t="s">
        <v>1239</v>
      </c>
      <c r="C237" t="s">
        <v>1073</v>
      </c>
    </row>
    <row r="238" spans="1:3" x14ac:dyDescent="0.35">
      <c r="A238" t="s">
        <v>1240</v>
      </c>
      <c r="C238" t="s">
        <v>1073</v>
      </c>
    </row>
    <row r="239" spans="1:3" x14ac:dyDescent="0.35">
      <c r="A239" t="s">
        <v>1241</v>
      </c>
      <c r="C239" t="s">
        <v>1073</v>
      </c>
    </row>
    <row r="240" spans="1:3" x14ac:dyDescent="0.35">
      <c r="A240" t="s">
        <v>1242</v>
      </c>
      <c r="C240" t="s">
        <v>1073</v>
      </c>
    </row>
    <row r="241" spans="1:3" x14ac:dyDescent="0.35">
      <c r="A241" t="s">
        <v>1243</v>
      </c>
      <c r="C241" t="s">
        <v>1073</v>
      </c>
    </row>
    <row r="242" spans="1:3" x14ac:dyDescent="0.35">
      <c r="A242" t="s">
        <v>1244</v>
      </c>
    </row>
    <row r="243" spans="1:3" x14ac:dyDescent="0.35">
      <c r="A243" t="s">
        <v>1245</v>
      </c>
    </row>
    <row r="244" spans="1:3" x14ac:dyDescent="0.35">
      <c r="A244" t="s">
        <v>1246</v>
      </c>
    </row>
    <row r="245" spans="1:3" x14ac:dyDescent="0.35">
      <c r="A245" t="s">
        <v>1247</v>
      </c>
    </row>
    <row r="246" spans="1:3" x14ac:dyDescent="0.35">
      <c r="A246" t="s">
        <v>1248</v>
      </c>
    </row>
    <row r="247" spans="1:3" x14ac:dyDescent="0.35">
      <c r="A247" t="s">
        <v>1249</v>
      </c>
    </row>
    <row r="248" spans="1:3" x14ac:dyDescent="0.35">
      <c r="A248" t="s">
        <v>1250</v>
      </c>
    </row>
    <row r="249" spans="1:3" x14ac:dyDescent="0.35">
      <c r="A249" t="s">
        <v>1251</v>
      </c>
    </row>
    <row r="250" spans="1:3" x14ac:dyDescent="0.35">
      <c r="A250" t="s">
        <v>1252</v>
      </c>
    </row>
    <row r="251" spans="1:3" x14ac:dyDescent="0.35">
      <c r="A251" t="s">
        <v>1253</v>
      </c>
    </row>
    <row r="252" spans="1:3" x14ac:dyDescent="0.35">
      <c r="A252" t="s">
        <v>1254</v>
      </c>
    </row>
    <row r="253" spans="1:3" x14ac:dyDescent="0.35">
      <c r="A253" t="s">
        <v>1255</v>
      </c>
    </row>
    <row r="254" spans="1:3" x14ac:dyDescent="0.35">
      <c r="A254" t="s">
        <v>1256</v>
      </c>
    </row>
    <row r="255" spans="1:3" x14ac:dyDescent="0.35">
      <c r="A255" t="s">
        <v>1257</v>
      </c>
    </row>
    <row r="256" spans="1:3" x14ac:dyDescent="0.35">
      <c r="A256" t="s">
        <v>1258</v>
      </c>
    </row>
    <row r="257" spans="1:1" x14ac:dyDescent="0.35">
      <c r="A257" t="s">
        <v>1259</v>
      </c>
    </row>
    <row r="258" spans="1:1" x14ac:dyDescent="0.35">
      <c r="A258" t="s">
        <v>1260</v>
      </c>
    </row>
    <row r="259" spans="1:1" x14ac:dyDescent="0.35">
      <c r="A259" t="s">
        <v>1261</v>
      </c>
    </row>
    <row r="260" spans="1:1" x14ac:dyDescent="0.35">
      <c r="A260" t="s">
        <v>650</v>
      </c>
    </row>
    <row r="261" spans="1:1" x14ac:dyDescent="0.35">
      <c r="A261" t="s">
        <v>651</v>
      </c>
    </row>
    <row r="262" spans="1:1" x14ac:dyDescent="0.35">
      <c r="A262" t="s">
        <v>652</v>
      </c>
    </row>
    <row r="263" spans="1:1" x14ac:dyDescent="0.35">
      <c r="A263" t="s">
        <v>653</v>
      </c>
    </row>
    <row r="264" spans="1:1" x14ac:dyDescent="0.35">
      <c r="A264" t="s">
        <v>654</v>
      </c>
    </row>
    <row r="265" spans="1:1" x14ac:dyDescent="0.35">
      <c r="A265" t="s">
        <v>655</v>
      </c>
    </row>
    <row r="266" spans="1:1" x14ac:dyDescent="0.35">
      <c r="A266" t="s">
        <v>656</v>
      </c>
    </row>
    <row r="267" spans="1:1" x14ac:dyDescent="0.35">
      <c r="A267" t="s">
        <v>657</v>
      </c>
    </row>
    <row r="268" spans="1:1" x14ac:dyDescent="0.35">
      <c r="A268" t="s">
        <v>658</v>
      </c>
    </row>
    <row r="269" spans="1:1" x14ac:dyDescent="0.35">
      <c r="A269" t="s">
        <v>1671</v>
      </c>
    </row>
    <row r="270" spans="1:1" x14ac:dyDescent="0.35">
      <c r="A270" t="s">
        <v>414</v>
      </c>
    </row>
    <row r="271" spans="1:1" x14ac:dyDescent="0.35">
      <c r="A271" t="s">
        <v>423</v>
      </c>
    </row>
    <row r="272" spans="1:1" x14ac:dyDescent="0.35">
      <c r="A272" t="s">
        <v>424</v>
      </c>
    </row>
    <row r="273" spans="1:1" x14ac:dyDescent="0.35">
      <c r="A273" t="s">
        <v>425</v>
      </c>
    </row>
    <row r="274" spans="1:1" x14ac:dyDescent="0.35">
      <c r="A274" t="s">
        <v>426</v>
      </c>
    </row>
    <row r="275" spans="1:1" x14ac:dyDescent="0.35">
      <c r="A275" t="s">
        <v>427</v>
      </c>
    </row>
    <row r="276" spans="1:1" x14ac:dyDescent="0.35">
      <c r="A276" t="s">
        <v>428</v>
      </c>
    </row>
    <row r="277" spans="1:1" x14ac:dyDescent="0.35">
      <c r="A277" t="s">
        <v>429</v>
      </c>
    </row>
    <row r="278" spans="1:1" x14ac:dyDescent="0.35">
      <c r="A278" t="s">
        <v>1672</v>
      </c>
    </row>
    <row r="279" spans="1:1" x14ac:dyDescent="0.35">
      <c r="A279" t="s">
        <v>1673</v>
      </c>
    </row>
    <row r="280" spans="1:1" x14ac:dyDescent="0.35">
      <c r="A280" t="s">
        <v>1674</v>
      </c>
    </row>
    <row r="281" spans="1:1" x14ac:dyDescent="0.35">
      <c r="A281" t="s">
        <v>1675</v>
      </c>
    </row>
    <row r="282" spans="1:1" x14ac:dyDescent="0.35">
      <c r="A282" t="s">
        <v>1676</v>
      </c>
    </row>
    <row r="283" spans="1:1" x14ac:dyDescent="0.35">
      <c r="A283" t="s">
        <v>1677</v>
      </c>
    </row>
    <row r="284" spans="1:1" x14ac:dyDescent="0.35">
      <c r="A284" t="s">
        <v>410</v>
      </c>
    </row>
    <row r="285" spans="1:1" x14ac:dyDescent="0.35">
      <c r="A285" t="s">
        <v>411</v>
      </c>
    </row>
    <row r="286" spans="1:1" x14ac:dyDescent="0.35">
      <c r="A286" t="s">
        <v>412</v>
      </c>
    </row>
    <row r="287" spans="1:1" x14ac:dyDescent="0.35">
      <c r="A287" t="s">
        <v>413</v>
      </c>
    </row>
    <row r="288" spans="1:1" x14ac:dyDescent="0.35">
      <c r="A288" t="s">
        <v>415</v>
      </c>
    </row>
    <row r="289" spans="1:1" x14ac:dyDescent="0.35">
      <c r="A289" t="s">
        <v>416</v>
      </c>
    </row>
    <row r="290" spans="1:1" x14ac:dyDescent="0.35">
      <c r="A290" t="s">
        <v>417</v>
      </c>
    </row>
    <row r="291" spans="1:1" x14ac:dyDescent="0.35">
      <c r="A291" t="s">
        <v>418</v>
      </c>
    </row>
    <row r="292" spans="1:1" x14ac:dyDescent="0.35">
      <c r="A292" t="s">
        <v>419</v>
      </c>
    </row>
    <row r="293" spans="1:1" x14ac:dyDescent="0.35">
      <c r="A293" t="s">
        <v>420</v>
      </c>
    </row>
    <row r="294" spans="1:1" x14ac:dyDescent="0.35">
      <c r="A294" t="s">
        <v>421</v>
      </c>
    </row>
    <row r="295" spans="1:1" x14ac:dyDescent="0.35">
      <c r="A295" t="s">
        <v>422</v>
      </c>
    </row>
    <row r="296" spans="1:1" x14ac:dyDescent="0.35">
      <c r="A296" t="s">
        <v>484</v>
      </c>
    </row>
    <row r="297" spans="1:1" x14ac:dyDescent="0.35">
      <c r="A297" t="s">
        <v>494</v>
      </c>
    </row>
    <row r="298" spans="1:1" x14ac:dyDescent="0.35">
      <c r="A298" t="s">
        <v>495</v>
      </c>
    </row>
    <row r="299" spans="1:1" x14ac:dyDescent="0.35">
      <c r="A299" t="s">
        <v>496</v>
      </c>
    </row>
    <row r="300" spans="1:1" x14ac:dyDescent="0.35">
      <c r="A300" t="s">
        <v>497</v>
      </c>
    </row>
    <row r="301" spans="1:1" x14ac:dyDescent="0.35">
      <c r="A301" t="s">
        <v>498</v>
      </c>
    </row>
    <row r="302" spans="1:1" x14ac:dyDescent="0.35">
      <c r="A302" t="s">
        <v>499</v>
      </c>
    </row>
    <row r="303" spans="1:1" x14ac:dyDescent="0.35">
      <c r="A303" t="s">
        <v>500</v>
      </c>
    </row>
    <row r="304" spans="1:1" x14ac:dyDescent="0.35">
      <c r="A304" t="s">
        <v>501</v>
      </c>
    </row>
    <row r="305" spans="1:1" x14ac:dyDescent="0.35">
      <c r="A305" t="s">
        <v>485</v>
      </c>
    </row>
    <row r="306" spans="1:1" x14ac:dyDescent="0.35">
      <c r="A306" t="s">
        <v>486</v>
      </c>
    </row>
    <row r="307" spans="1:1" x14ac:dyDescent="0.35">
      <c r="A307" t="s">
        <v>487</v>
      </c>
    </row>
    <row r="308" spans="1:1" x14ac:dyDescent="0.35">
      <c r="A308" t="s">
        <v>488</v>
      </c>
    </row>
    <row r="309" spans="1:1" x14ac:dyDescent="0.35">
      <c r="A309" t="s">
        <v>489</v>
      </c>
    </row>
    <row r="310" spans="1:1" x14ac:dyDescent="0.35">
      <c r="A310" t="s">
        <v>490</v>
      </c>
    </row>
    <row r="311" spans="1:1" x14ac:dyDescent="0.35">
      <c r="A311" t="s">
        <v>491</v>
      </c>
    </row>
    <row r="312" spans="1:1" x14ac:dyDescent="0.35">
      <c r="A312" t="s">
        <v>492</v>
      </c>
    </row>
    <row r="313" spans="1:1" x14ac:dyDescent="0.35">
      <c r="A313" t="s">
        <v>493</v>
      </c>
    </row>
    <row r="314" spans="1:1" x14ac:dyDescent="0.35">
      <c r="A314" t="s">
        <v>430</v>
      </c>
    </row>
    <row r="315" spans="1:1" x14ac:dyDescent="0.35">
      <c r="A315" t="s">
        <v>431</v>
      </c>
    </row>
    <row r="316" spans="1:1" x14ac:dyDescent="0.35">
      <c r="A316" t="s">
        <v>432</v>
      </c>
    </row>
    <row r="317" spans="1:1" x14ac:dyDescent="0.35">
      <c r="A317" t="s">
        <v>433</v>
      </c>
    </row>
    <row r="318" spans="1:1" x14ac:dyDescent="0.35">
      <c r="A318" t="s">
        <v>434</v>
      </c>
    </row>
    <row r="319" spans="1:1" x14ac:dyDescent="0.35">
      <c r="A319" t="s">
        <v>435</v>
      </c>
    </row>
    <row r="320" spans="1:1" x14ac:dyDescent="0.35">
      <c r="A320" t="s">
        <v>436</v>
      </c>
    </row>
    <row r="321" spans="1:1" x14ac:dyDescent="0.35">
      <c r="A321" t="s">
        <v>437</v>
      </c>
    </row>
    <row r="322" spans="1:1" x14ac:dyDescent="0.35">
      <c r="A322" t="s">
        <v>1103</v>
      </c>
    </row>
    <row r="323" spans="1:1" x14ac:dyDescent="0.35">
      <c r="A323" t="s">
        <v>0</v>
      </c>
    </row>
    <row r="324" spans="1:1" x14ac:dyDescent="0.35">
      <c r="A324" t="s">
        <v>10</v>
      </c>
    </row>
    <row r="325" spans="1:1" x14ac:dyDescent="0.35">
      <c r="A325" t="s">
        <v>11</v>
      </c>
    </row>
    <row r="326" spans="1:1" x14ac:dyDescent="0.35">
      <c r="A326" t="s">
        <v>12</v>
      </c>
    </row>
    <row r="327" spans="1:1" x14ac:dyDescent="0.35">
      <c r="A327" t="s">
        <v>13</v>
      </c>
    </row>
    <row r="328" spans="1:1" x14ac:dyDescent="0.35">
      <c r="A328" t="s">
        <v>14</v>
      </c>
    </row>
    <row r="329" spans="1:1" x14ac:dyDescent="0.35">
      <c r="A329" t="s">
        <v>15</v>
      </c>
    </row>
    <row r="330" spans="1:1" x14ac:dyDescent="0.35">
      <c r="A330" t="s">
        <v>16</v>
      </c>
    </row>
    <row r="331" spans="1:1" x14ac:dyDescent="0.35">
      <c r="A331" t="s">
        <v>17</v>
      </c>
    </row>
    <row r="332" spans="1:1" x14ac:dyDescent="0.35">
      <c r="A332" t="s">
        <v>1</v>
      </c>
    </row>
    <row r="333" spans="1:1" x14ac:dyDescent="0.35">
      <c r="A333" t="s">
        <v>2</v>
      </c>
    </row>
    <row r="334" spans="1:1" x14ac:dyDescent="0.35">
      <c r="A334" t="s">
        <v>3</v>
      </c>
    </row>
    <row r="335" spans="1:1" x14ac:dyDescent="0.35">
      <c r="A335" t="s">
        <v>4</v>
      </c>
    </row>
    <row r="336" spans="1:1" x14ac:dyDescent="0.35">
      <c r="A336" t="s">
        <v>5</v>
      </c>
    </row>
    <row r="337" spans="1:2" x14ac:dyDescent="0.35">
      <c r="A337" t="s">
        <v>6</v>
      </c>
    </row>
    <row r="338" spans="1:2" x14ac:dyDescent="0.35">
      <c r="A338" t="s">
        <v>7</v>
      </c>
    </row>
    <row r="339" spans="1:2" x14ac:dyDescent="0.35">
      <c r="A339" t="s">
        <v>8</v>
      </c>
    </row>
    <row r="340" spans="1:2" x14ac:dyDescent="0.35">
      <c r="A340" t="s">
        <v>9</v>
      </c>
    </row>
    <row r="341" spans="1:2" x14ac:dyDescent="0.35">
      <c r="A341" t="s">
        <v>1104</v>
      </c>
    </row>
    <row r="342" spans="1:2" x14ac:dyDescent="0.35">
      <c r="A342" t="s">
        <v>1105</v>
      </c>
    </row>
    <row r="343" spans="1:2" x14ac:dyDescent="0.35">
      <c r="A343" t="s">
        <v>1106</v>
      </c>
    </row>
    <row r="344" spans="1:2" x14ac:dyDescent="0.35">
      <c r="A344" t="s">
        <v>1107</v>
      </c>
    </row>
    <row r="345" spans="1:2" x14ac:dyDescent="0.35">
      <c r="A345" t="s">
        <v>1108</v>
      </c>
    </row>
    <row r="346" spans="1:2" x14ac:dyDescent="0.35">
      <c r="A346" t="s">
        <v>1109</v>
      </c>
    </row>
    <row r="347" spans="1:2" x14ac:dyDescent="0.35">
      <c r="A347" t="s">
        <v>1110</v>
      </c>
    </row>
    <row r="348" spans="1:2" x14ac:dyDescent="0.35">
      <c r="A348" t="s">
        <v>1111</v>
      </c>
    </row>
    <row r="349" spans="1:2" x14ac:dyDescent="0.35">
      <c r="A349" t="s">
        <v>1112</v>
      </c>
    </row>
    <row r="350" spans="1:2" x14ac:dyDescent="0.35">
      <c r="A350" t="s">
        <v>632</v>
      </c>
      <c r="B350">
        <v>80</v>
      </c>
    </row>
    <row r="351" spans="1:2" x14ac:dyDescent="0.35">
      <c r="A351" t="s">
        <v>1615</v>
      </c>
      <c r="B351">
        <v>0</v>
      </c>
    </row>
    <row r="352" spans="1:2" x14ac:dyDescent="0.35">
      <c r="A352" t="s">
        <v>218</v>
      </c>
    </row>
    <row r="353" spans="1:1" x14ac:dyDescent="0.35">
      <c r="A353" t="s">
        <v>219</v>
      </c>
    </row>
    <row r="354" spans="1:1" x14ac:dyDescent="0.35">
      <c r="A354" t="s">
        <v>776</v>
      </c>
    </row>
    <row r="355" spans="1:1" x14ac:dyDescent="0.35">
      <c r="A355" t="s">
        <v>711</v>
      </c>
    </row>
    <row r="356" spans="1:1" x14ac:dyDescent="0.35">
      <c r="A356" t="s">
        <v>712</v>
      </c>
    </row>
    <row r="357" spans="1:1" x14ac:dyDescent="0.35">
      <c r="A357" t="s">
        <v>713</v>
      </c>
    </row>
    <row r="358" spans="1:1" x14ac:dyDescent="0.35">
      <c r="A358" t="s">
        <v>368</v>
      </c>
    </row>
    <row r="359" spans="1:1" x14ac:dyDescent="0.35">
      <c r="A359" t="s">
        <v>369</v>
      </c>
    </row>
    <row r="360" spans="1:1" x14ac:dyDescent="0.35">
      <c r="A360" t="s">
        <v>370</v>
      </c>
    </row>
    <row r="361" spans="1:1" x14ac:dyDescent="0.35">
      <c r="A361" t="s">
        <v>1585</v>
      </c>
    </row>
    <row r="362" spans="1:1" x14ac:dyDescent="0.35">
      <c r="A362" t="s">
        <v>1586</v>
      </c>
    </row>
    <row r="363" spans="1:1" x14ac:dyDescent="0.35">
      <c r="A363" t="s">
        <v>1587</v>
      </c>
    </row>
    <row r="364" spans="1:1" x14ac:dyDescent="0.35">
      <c r="A364" t="s">
        <v>1588</v>
      </c>
    </row>
    <row r="365" spans="1:1" x14ac:dyDescent="0.35">
      <c r="A365" t="s">
        <v>1589</v>
      </c>
    </row>
    <row r="366" spans="1:1" x14ac:dyDescent="0.35">
      <c r="A366" t="s">
        <v>1179</v>
      </c>
    </row>
    <row r="367" spans="1:1" x14ac:dyDescent="0.35">
      <c r="A367" t="s">
        <v>1180</v>
      </c>
    </row>
    <row r="368" spans="1:1" x14ac:dyDescent="0.35">
      <c r="A368" t="s">
        <v>1181</v>
      </c>
    </row>
    <row r="369" spans="1:1" x14ac:dyDescent="0.35">
      <c r="A369" t="s">
        <v>1182</v>
      </c>
    </row>
    <row r="370" spans="1:1" x14ac:dyDescent="0.35">
      <c r="A370" t="s">
        <v>1382</v>
      </c>
    </row>
    <row r="371" spans="1:1" x14ac:dyDescent="0.35">
      <c r="A371" t="s">
        <v>1383</v>
      </c>
    </row>
    <row r="372" spans="1:1" x14ac:dyDescent="0.35">
      <c r="A372" t="s">
        <v>720</v>
      </c>
    </row>
    <row r="373" spans="1:1" x14ac:dyDescent="0.35">
      <c r="A373" t="s">
        <v>721</v>
      </c>
    </row>
    <row r="374" spans="1:1" x14ac:dyDescent="0.35">
      <c r="A374" t="s">
        <v>722</v>
      </c>
    </row>
    <row r="375" spans="1:1" x14ac:dyDescent="0.35">
      <c r="A375" t="s">
        <v>723</v>
      </c>
    </row>
    <row r="376" spans="1:1" x14ac:dyDescent="0.35">
      <c r="A376" t="s">
        <v>724</v>
      </c>
    </row>
    <row r="377" spans="1:1" x14ac:dyDescent="0.35">
      <c r="A377" t="s">
        <v>725</v>
      </c>
    </row>
    <row r="378" spans="1:1" x14ac:dyDescent="0.35">
      <c r="A378" t="s">
        <v>1590</v>
      </c>
    </row>
    <row r="379" spans="1:1" x14ac:dyDescent="0.35">
      <c r="A379" t="s">
        <v>1591</v>
      </c>
    </row>
    <row r="380" spans="1:1" x14ac:dyDescent="0.35">
      <c r="A380" t="s">
        <v>1592</v>
      </c>
    </row>
    <row r="381" spans="1:1" x14ac:dyDescent="0.35">
      <c r="A381" t="s">
        <v>1593</v>
      </c>
    </row>
    <row r="382" spans="1:1" x14ac:dyDescent="0.35">
      <c r="A382" t="s">
        <v>1036</v>
      </c>
    </row>
    <row r="383" spans="1:1" x14ac:dyDescent="0.35">
      <c r="A383" t="s">
        <v>1037</v>
      </c>
    </row>
    <row r="384" spans="1:1" x14ac:dyDescent="0.35">
      <c r="A384" t="s">
        <v>1038</v>
      </c>
    </row>
    <row r="385" spans="1:2" x14ac:dyDescent="0.35">
      <c r="A385" t="s">
        <v>2096</v>
      </c>
    </row>
    <row r="386" spans="1:2" x14ac:dyDescent="0.35">
      <c r="A386" t="s">
        <v>786</v>
      </c>
    </row>
    <row r="387" spans="1:2" x14ac:dyDescent="0.35">
      <c r="A387" t="s">
        <v>787</v>
      </c>
    </row>
    <row r="388" spans="1:2" x14ac:dyDescent="0.35">
      <c r="A388" t="s">
        <v>788</v>
      </c>
    </row>
    <row r="389" spans="1:2" x14ac:dyDescent="0.35">
      <c r="A389" t="s">
        <v>1894</v>
      </c>
    </row>
    <row r="390" spans="1:2" x14ac:dyDescent="0.35">
      <c r="A390" t="s">
        <v>1895</v>
      </c>
    </row>
    <row r="391" spans="1:2" x14ac:dyDescent="0.35">
      <c r="A391" t="s">
        <v>1896</v>
      </c>
    </row>
    <row r="392" spans="1:2" x14ac:dyDescent="0.35">
      <c r="A392" t="s">
        <v>1897</v>
      </c>
      <c r="B392">
        <v>1</v>
      </c>
    </row>
    <row r="393" spans="1:2" x14ac:dyDescent="0.35">
      <c r="A393" t="s">
        <v>1898</v>
      </c>
      <c r="B393">
        <v>1</v>
      </c>
    </row>
    <row r="394" spans="1:2" x14ac:dyDescent="0.35">
      <c r="A394" t="s">
        <v>1899</v>
      </c>
    </row>
    <row r="395" spans="1:2" x14ac:dyDescent="0.35">
      <c r="A395" t="s">
        <v>1900</v>
      </c>
    </row>
    <row r="396" spans="1:2" x14ac:dyDescent="0.35">
      <c r="A396" t="s">
        <v>1901</v>
      </c>
    </row>
    <row r="397" spans="1:2" x14ac:dyDescent="0.35">
      <c r="A397" t="s">
        <v>1979</v>
      </c>
    </row>
    <row r="398" spans="1:2" x14ac:dyDescent="0.35">
      <c r="A398" t="s">
        <v>1980</v>
      </c>
    </row>
    <row r="399" spans="1:2" x14ac:dyDescent="0.35">
      <c r="A399" t="s">
        <v>1981</v>
      </c>
      <c r="B399">
        <v>1</v>
      </c>
    </row>
    <row r="400" spans="1:2" x14ac:dyDescent="0.35">
      <c r="A400" t="s">
        <v>1982</v>
      </c>
      <c r="B400">
        <v>1</v>
      </c>
    </row>
    <row r="401" spans="1:2" x14ac:dyDescent="0.35">
      <c r="A401" t="s">
        <v>1983</v>
      </c>
      <c r="B401">
        <v>1</v>
      </c>
    </row>
    <row r="402" spans="1:2" x14ac:dyDescent="0.35">
      <c r="A402" t="s">
        <v>1984</v>
      </c>
      <c r="B402">
        <v>1</v>
      </c>
    </row>
    <row r="403" spans="1:2" x14ac:dyDescent="0.35">
      <c r="A403" t="s">
        <v>1985</v>
      </c>
      <c r="B403">
        <v>1</v>
      </c>
    </row>
    <row r="404" spans="1:2" x14ac:dyDescent="0.35">
      <c r="A404" t="s">
        <v>1060</v>
      </c>
      <c r="B404">
        <v>1</v>
      </c>
    </row>
    <row r="405" spans="1:2" x14ac:dyDescent="0.35">
      <c r="A405" t="s">
        <v>1061</v>
      </c>
      <c r="B405">
        <v>1</v>
      </c>
    </row>
    <row r="406" spans="1:2" x14ac:dyDescent="0.35">
      <c r="A406" t="s">
        <v>1062</v>
      </c>
      <c r="B406">
        <v>1</v>
      </c>
    </row>
    <row r="407" spans="1:2" x14ac:dyDescent="0.35">
      <c r="A407" t="s">
        <v>1063</v>
      </c>
    </row>
    <row r="408" spans="1:2" x14ac:dyDescent="0.35">
      <c r="A408" t="s">
        <v>1064</v>
      </c>
    </row>
    <row r="409" spans="1:2" x14ac:dyDescent="0.35">
      <c r="A409" t="s">
        <v>1065</v>
      </c>
    </row>
    <row r="410" spans="1:2" x14ac:dyDescent="0.35">
      <c r="A410" t="s">
        <v>1066</v>
      </c>
    </row>
    <row r="411" spans="1:2" x14ac:dyDescent="0.35">
      <c r="A411" t="s">
        <v>1067</v>
      </c>
    </row>
    <row r="412" spans="1:2" x14ac:dyDescent="0.35">
      <c r="A412" t="s">
        <v>1068</v>
      </c>
    </row>
    <row r="413" spans="1:2" x14ac:dyDescent="0.35">
      <c r="A413" t="s">
        <v>1069</v>
      </c>
      <c r="B413">
        <v>50</v>
      </c>
    </row>
    <row r="414" spans="1:2" x14ac:dyDescent="0.35">
      <c r="A414" t="s">
        <v>1070</v>
      </c>
      <c r="B414">
        <v>50</v>
      </c>
    </row>
    <row r="415" spans="1:2" x14ac:dyDescent="0.35">
      <c r="A415" t="s">
        <v>1087</v>
      </c>
      <c r="B415">
        <v>50</v>
      </c>
    </row>
    <row r="416" spans="1:2" x14ac:dyDescent="0.35">
      <c r="A416" t="s">
        <v>2087</v>
      </c>
      <c r="B416">
        <v>50</v>
      </c>
    </row>
    <row r="417" spans="1:2" x14ac:dyDescent="0.35">
      <c r="A417" t="s">
        <v>2088</v>
      </c>
      <c r="B417">
        <v>50</v>
      </c>
    </row>
    <row r="418" spans="1:2" x14ac:dyDescent="0.35">
      <c r="A418" t="s">
        <v>349</v>
      </c>
      <c r="B418">
        <v>50</v>
      </c>
    </row>
    <row r="419" spans="1:2" x14ac:dyDescent="0.35">
      <c r="A419" t="s">
        <v>350</v>
      </c>
      <c r="B419">
        <v>50</v>
      </c>
    </row>
    <row r="420" spans="1:2" x14ac:dyDescent="0.35">
      <c r="A420" t="s">
        <v>1541</v>
      </c>
      <c r="B420">
        <v>50</v>
      </c>
    </row>
    <row r="421" spans="1:2" x14ac:dyDescent="0.35">
      <c r="A421" t="s">
        <v>66</v>
      </c>
    </row>
    <row r="422" spans="1:2" x14ac:dyDescent="0.35">
      <c r="A422" t="s">
        <v>67</v>
      </c>
      <c r="B422">
        <v>50</v>
      </c>
    </row>
    <row r="423" spans="1:2" x14ac:dyDescent="0.35">
      <c r="A423" t="s">
        <v>68</v>
      </c>
    </row>
    <row r="424" spans="1:2" x14ac:dyDescent="0.35">
      <c r="A424" t="s">
        <v>1288</v>
      </c>
      <c r="B424">
        <v>50</v>
      </c>
    </row>
    <row r="425" spans="1:2" x14ac:dyDescent="0.35">
      <c r="A425" t="s">
        <v>62</v>
      </c>
    </row>
    <row r="426" spans="1:2" x14ac:dyDescent="0.35">
      <c r="A426" t="s">
        <v>63</v>
      </c>
      <c r="B426">
        <v>50</v>
      </c>
    </row>
    <row r="427" spans="1:2" x14ac:dyDescent="0.35">
      <c r="A427" t="s">
        <v>64</v>
      </c>
      <c r="B427">
        <v>50</v>
      </c>
    </row>
    <row r="428" spans="1:2" x14ac:dyDescent="0.35">
      <c r="A428" t="s">
        <v>65</v>
      </c>
      <c r="B428">
        <v>50</v>
      </c>
    </row>
    <row r="429" spans="1:2" x14ac:dyDescent="0.35">
      <c r="A429" t="s">
        <v>1289</v>
      </c>
      <c r="B429">
        <v>1</v>
      </c>
    </row>
    <row r="430" spans="1:2" x14ac:dyDescent="0.35">
      <c r="A430" t="s">
        <v>1290</v>
      </c>
      <c r="B430">
        <v>50</v>
      </c>
    </row>
    <row r="431" spans="1:2" x14ac:dyDescent="0.35">
      <c r="A431" t="s">
        <v>2080</v>
      </c>
      <c r="B431">
        <v>50</v>
      </c>
    </row>
    <row r="432" spans="1:2" x14ac:dyDescent="0.35">
      <c r="A432" t="s">
        <v>1151</v>
      </c>
      <c r="B432">
        <v>50</v>
      </c>
    </row>
    <row r="433" spans="1:2" x14ac:dyDescent="0.35">
      <c r="A433" t="s">
        <v>1152</v>
      </c>
      <c r="B433">
        <v>50</v>
      </c>
    </row>
    <row r="434" spans="1:2" x14ac:dyDescent="0.35">
      <c r="A434" t="s">
        <v>1153</v>
      </c>
      <c r="B434">
        <v>50</v>
      </c>
    </row>
    <row r="435" spans="1:2" x14ac:dyDescent="0.35">
      <c r="A435" t="s">
        <v>1809</v>
      </c>
      <c r="B435">
        <v>50</v>
      </c>
    </row>
    <row r="436" spans="1:2" x14ac:dyDescent="0.35">
      <c r="A436" t="s">
        <v>1810</v>
      </c>
      <c r="B436">
        <v>4</v>
      </c>
    </row>
    <row r="437" spans="1:2" x14ac:dyDescent="0.35">
      <c r="A437" t="s">
        <v>1811</v>
      </c>
      <c r="B437">
        <v>4</v>
      </c>
    </row>
    <row r="438" spans="1:2" x14ac:dyDescent="0.35">
      <c r="A438" t="s">
        <v>1812</v>
      </c>
      <c r="B438">
        <v>4</v>
      </c>
    </row>
    <row r="439" spans="1:2" x14ac:dyDescent="0.35">
      <c r="A439" t="s">
        <v>1580</v>
      </c>
      <c r="B439">
        <v>4</v>
      </c>
    </row>
    <row r="440" spans="1:2" x14ac:dyDescent="0.35">
      <c r="A440" t="s">
        <v>1741</v>
      </c>
      <c r="B440">
        <v>4</v>
      </c>
    </row>
    <row r="441" spans="1:2" x14ac:dyDescent="0.35">
      <c r="A441" t="s">
        <v>1742</v>
      </c>
      <c r="B441">
        <v>4</v>
      </c>
    </row>
    <row r="442" spans="1:2" x14ac:dyDescent="0.35">
      <c r="A442" t="s">
        <v>1743</v>
      </c>
      <c r="B442">
        <v>4</v>
      </c>
    </row>
    <row r="443" spans="1:2" x14ac:dyDescent="0.35">
      <c r="A443" t="s">
        <v>1744</v>
      </c>
      <c r="B443">
        <v>4</v>
      </c>
    </row>
    <row r="444" spans="1:2" x14ac:dyDescent="0.35">
      <c r="A444" t="s">
        <v>1578</v>
      </c>
      <c r="B444">
        <v>4</v>
      </c>
    </row>
    <row r="445" spans="1:2" x14ac:dyDescent="0.35">
      <c r="A445" t="s">
        <v>1579</v>
      </c>
      <c r="B445">
        <v>4</v>
      </c>
    </row>
    <row r="446" spans="1:2" x14ac:dyDescent="0.35">
      <c r="A446" t="s">
        <v>1574</v>
      </c>
      <c r="B446">
        <v>4</v>
      </c>
    </row>
    <row r="447" spans="1:2" x14ac:dyDescent="0.35">
      <c r="A447" t="s">
        <v>1575</v>
      </c>
      <c r="B447">
        <v>4</v>
      </c>
    </row>
    <row r="448" spans="1:2" x14ac:dyDescent="0.35">
      <c r="A448" t="s">
        <v>1576</v>
      </c>
      <c r="B448">
        <v>4</v>
      </c>
    </row>
    <row r="449" spans="1:2" x14ac:dyDescent="0.35">
      <c r="A449" t="s">
        <v>1536</v>
      </c>
      <c r="B449">
        <v>4</v>
      </c>
    </row>
    <row r="450" spans="1:2" x14ac:dyDescent="0.35">
      <c r="A450" t="s">
        <v>1537</v>
      </c>
      <c r="B450">
        <v>4</v>
      </c>
    </row>
    <row r="451" spans="1:2" x14ac:dyDescent="0.35">
      <c r="A451" t="s">
        <v>1538</v>
      </c>
      <c r="B451">
        <v>1</v>
      </c>
    </row>
    <row r="452" spans="1:2" x14ac:dyDescent="0.35">
      <c r="A452" t="s">
        <v>1539</v>
      </c>
    </row>
    <row r="453" spans="1:2" x14ac:dyDescent="0.35">
      <c r="A453" t="s">
        <v>1540</v>
      </c>
    </row>
    <row r="454" spans="1:2" x14ac:dyDescent="0.35">
      <c r="A454" t="s">
        <v>1951</v>
      </c>
    </row>
    <row r="455" spans="1:2" x14ac:dyDescent="0.35">
      <c r="A455" t="s">
        <v>1952</v>
      </c>
    </row>
    <row r="456" spans="1:2" x14ac:dyDescent="0.35">
      <c r="A456" t="s">
        <v>1953</v>
      </c>
    </row>
    <row r="457" spans="1:2" x14ac:dyDescent="0.35">
      <c r="A457" t="s">
        <v>1954</v>
      </c>
    </row>
    <row r="458" spans="1:2" x14ac:dyDescent="0.35">
      <c r="A458" t="s">
        <v>1955</v>
      </c>
    </row>
    <row r="459" spans="1:2" x14ac:dyDescent="0.35">
      <c r="A459" t="s">
        <v>1956</v>
      </c>
    </row>
    <row r="460" spans="1:2" x14ac:dyDescent="0.35">
      <c r="A460" t="s">
        <v>1957</v>
      </c>
    </row>
    <row r="461" spans="1:2" x14ac:dyDescent="0.35">
      <c r="A461" t="s">
        <v>1958</v>
      </c>
    </row>
    <row r="462" spans="1:2" x14ac:dyDescent="0.35">
      <c r="A462" t="s">
        <v>1959</v>
      </c>
    </row>
    <row r="463" spans="1:2" x14ac:dyDescent="0.35">
      <c r="A463" t="s">
        <v>1960</v>
      </c>
    </row>
    <row r="464" spans="1:2" x14ac:dyDescent="0.35">
      <c r="A464" t="s">
        <v>1961</v>
      </c>
    </row>
    <row r="465" spans="1:1" x14ac:dyDescent="0.35">
      <c r="A465" t="s">
        <v>1962</v>
      </c>
    </row>
    <row r="466" spans="1:1" x14ac:dyDescent="0.35">
      <c r="A466" t="s">
        <v>1963</v>
      </c>
    </row>
    <row r="467" spans="1:1" x14ac:dyDescent="0.35">
      <c r="A467" t="s">
        <v>1362</v>
      </c>
    </row>
    <row r="468" spans="1:1" x14ac:dyDescent="0.35">
      <c r="A468" t="s">
        <v>1363</v>
      </c>
    </row>
    <row r="469" spans="1:1" x14ac:dyDescent="0.35">
      <c r="A469" t="s">
        <v>1364</v>
      </c>
    </row>
    <row r="470" spans="1:1" x14ac:dyDescent="0.35">
      <c r="A470" t="s">
        <v>567</v>
      </c>
    </row>
    <row r="471" spans="1:1" x14ac:dyDescent="0.35">
      <c r="A471" t="s">
        <v>568</v>
      </c>
    </row>
    <row r="472" spans="1:1" x14ac:dyDescent="0.35">
      <c r="A472" t="s">
        <v>569</v>
      </c>
    </row>
    <row r="473" spans="1:1" x14ac:dyDescent="0.35">
      <c r="A473" t="s">
        <v>570</v>
      </c>
    </row>
    <row r="474" spans="1:1" x14ac:dyDescent="0.35">
      <c r="A474" t="s">
        <v>571</v>
      </c>
    </row>
    <row r="475" spans="1:1" x14ac:dyDescent="0.35">
      <c r="A475" t="s">
        <v>572</v>
      </c>
    </row>
    <row r="476" spans="1:1" x14ac:dyDescent="0.35">
      <c r="A476" t="s">
        <v>1365</v>
      </c>
    </row>
    <row r="477" spans="1:1" x14ac:dyDescent="0.35">
      <c r="A477" t="s">
        <v>1366</v>
      </c>
    </row>
    <row r="478" spans="1:1" x14ac:dyDescent="0.35">
      <c r="A478" t="s">
        <v>1367</v>
      </c>
    </row>
    <row r="479" spans="1:1" x14ac:dyDescent="0.35">
      <c r="A479" t="s">
        <v>893</v>
      </c>
    </row>
    <row r="480" spans="1:1" x14ac:dyDescent="0.35">
      <c r="A480" t="s">
        <v>894</v>
      </c>
    </row>
    <row r="481" spans="1:1" x14ac:dyDescent="0.35">
      <c r="A481" t="s">
        <v>895</v>
      </c>
    </row>
    <row r="482" spans="1:1" x14ac:dyDescent="0.35">
      <c r="A482" t="s">
        <v>896</v>
      </c>
    </row>
    <row r="483" spans="1:1" x14ac:dyDescent="0.35">
      <c r="A483" t="s">
        <v>897</v>
      </c>
    </row>
    <row r="484" spans="1:1" x14ac:dyDescent="0.35">
      <c r="A484" t="s">
        <v>898</v>
      </c>
    </row>
    <row r="485" spans="1:1" x14ac:dyDescent="0.35">
      <c r="A485" t="s">
        <v>899</v>
      </c>
    </row>
    <row r="486" spans="1:1" x14ac:dyDescent="0.35">
      <c r="A486" t="s">
        <v>900</v>
      </c>
    </row>
    <row r="487" spans="1:1" x14ac:dyDescent="0.35">
      <c r="A487" t="s">
        <v>901</v>
      </c>
    </row>
    <row r="488" spans="1:1" x14ac:dyDescent="0.35">
      <c r="A488" t="s">
        <v>902</v>
      </c>
    </row>
    <row r="489" spans="1:1" x14ac:dyDescent="0.35">
      <c r="A489" t="s">
        <v>903</v>
      </c>
    </row>
    <row r="490" spans="1:1" x14ac:dyDescent="0.35">
      <c r="A490" t="s">
        <v>904</v>
      </c>
    </row>
    <row r="491" spans="1:1" x14ac:dyDescent="0.35">
      <c r="A491" t="s">
        <v>905</v>
      </c>
    </row>
    <row r="492" spans="1:1" x14ac:dyDescent="0.35">
      <c r="A492" t="s">
        <v>906</v>
      </c>
    </row>
    <row r="493" spans="1:1" x14ac:dyDescent="0.35">
      <c r="A493" t="s">
        <v>907</v>
      </c>
    </row>
    <row r="494" spans="1:1" x14ac:dyDescent="0.35">
      <c r="A494" t="s">
        <v>908</v>
      </c>
    </row>
    <row r="495" spans="1:1" x14ac:dyDescent="0.35">
      <c r="A495" t="s">
        <v>909</v>
      </c>
    </row>
    <row r="496" spans="1:1" x14ac:dyDescent="0.35">
      <c r="A496" t="s">
        <v>910</v>
      </c>
    </row>
    <row r="497" spans="1:1" x14ac:dyDescent="0.35">
      <c r="A497" t="s">
        <v>911</v>
      </c>
    </row>
    <row r="498" spans="1:1" x14ac:dyDescent="0.35">
      <c r="A498" t="s">
        <v>1415</v>
      </c>
    </row>
    <row r="499" spans="1:1" x14ac:dyDescent="0.35">
      <c r="A499" t="s">
        <v>1416</v>
      </c>
    </row>
    <row r="500" spans="1:1" x14ac:dyDescent="0.35">
      <c r="A500" t="s">
        <v>1909</v>
      </c>
    </row>
    <row r="501" spans="1:1" x14ac:dyDescent="0.35">
      <c r="A501" t="s">
        <v>1134</v>
      </c>
    </row>
    <row r="502" spans="1:1" x14ac:dyDescent="0.35">
      <c r="A502" t="s">
        <v>1135</v>
      </c>
    </row>
    <row r="503" spans="1:1" x14ac:dyDescent="0.35">
      <c r="A503" t="s">
        <v>810</v>
      </c>
    </row>
    <row r="504" spans="1:1" x14ac:dyDescent="0.35">
      <c r="A504" t="s">
        <v>811</v>
      </c>
    </row>
    <row r="505" spans="1:1" x14ac:dyDescent="0.35">
      <c r="A505" t="s">
        <v>812</v>
      </c>
    </row>
    <row r="506" spans="1:1" x14ac:dyDescent="0.35">
      <c r="A506" t="s">
        <v>813</v>
      </c>
    </row>
    <row r="507" spans="1:1" x14ac:dyDescent="0.35">
      <c r="A507" t="s">
        <v>814</v>
      </c>
    </row>
    <row r="508" spans="1:1" x14ac:dyDescent="0.35">
      <c r="A508" t="s">
        <v>573</v>
      </c>
    </row>
    <row r="509" spans="1:1" x14ac:dyDescent="0.35">
      <c r="A509" t="s">
        <v>2081</v>
      </c>
    </row>
    <row r="510" spans="1:1" x14ac:dyDescent="0.35">
      <c r="A510" t="s">
        <v>2082</v>
      </c>
    </row>
    <row r="511" spans="1:1" x14ac:dyDescent="0.35">
      <c r="A511" t="s">
        <v>2083</v>
      </c>
    </row>
    <row r="512" spans="1:1" x14ac:dyDescent="0.35">
      <c r="A512" t="s">
        <v>2084</v>
      </c>
    </row>
    <row r="513" spans="1:1" x14ac:dyDescent="0.35">
      <c r="A513" t="s">
        <v>2085</v>
      </c>
    </row>
    <row r="514" spans="1:1" x14ac:dyDescent="0.35">
      <c r="A514" t="s">
        <v>2086</v>
      </c>
    </row>
    <row r="515" spans="1:1" x14ac:dyDescent="0.35">
      <c r="A515" t="s">
        <v>212</v>
      </c>
    </row>
    <row r="516" spans="1:1" x14ac:dyDescent="0.35">
      <c r="A516" t="s">
        <v>213</v>
      </c>
    </row>
    <row r="517" spans="1:1" x14ac:dyDescent="0.35">
      <c r="A517" t="s">
        <v>214</v>
      </c>
    </row>
    <row r="518" spans="1:1" x14ac:dyDescent="0.35">
      <c r="A518" t="s">
        <v>215</v>
      </c>
    </row>
    <row r="519" spans="1:1" x14ac:dyDescent="0.35">
      <c r="A519" t="s">
        <v>216</v>
      </c>
    </row>
    <row r="520" spans="1:1" x14ac:dyDescent="0.35">
      <c r="A520" t="s">
        <v>217</v>
      </c>
    </row>
    <row r="521" spans="1:1" x14ac:dyDescent="0.35">
      <c r="A521" t="s">
        <v>646</v>
      </c>
    </row>
    <row r="522" spans="1:1" x14ac:dyDescent="0.35">
      <c r="A522" t="s">
        <v>390</v>
      </c>
    </row>
    <row r="523" spans="1:1" x14ac:dyDescent="0.35">
      <c r="A523" t="s">
        <v>391</v>
      </c>
    </row>
    <row r="524" spans="1:1" x14ac:dyDescent="0.35">
      <c r="A524" t="s">
        <v>149</v>
      </c>
    </row>
    <row r="525" spans="1:1" x14ac:dyDescent="0.35">
      <c r="A525" t="s">
        <v>150</v>
      </c>
    </row>
    <row r="526" spans="1:1" x14ac:dyDescent="0.35">
      <c r="A526" t="s">
        <v>1522</v>
      </c>
    </row>
    <row r="527" spans="1:1" x14ac:dyDescent="0.35">
      <c r="A527" t="s">
        <v>1523</v>
      </c>
    </row>
    <row r="528" spans="1:1" x14ac:dyDescent="0.35">
      <c r="A528" t="s">
        <v>1524</v>
      </c>
    </row>
    <row r="529" spans="1:2" x14ac:dyDescent="0.35">
      <c r="A529" t="s">
        <v>1395</v>
      </c>
    </row>
    <row r="530" spans="1:2" x14ac:dyDescent="0.35">
      <c r="A530" t="s">
        <v>1485</v>
      </c>
    </row>
    <row r="531" spans="1:2" x14ac:dyDescent="0.35">
      <c r="A531" t="s">
        <v>1486</v>
      </c>
      <c r="B531">
        <v>1500</v>
      </c>
    </row>
    <row r="532" spans="1:2" x14ac:dyDescent="0.35">
      <c r="A532" t="s">
        <v>1487</v>
      </c>
      <c r="B532">
        <v>1500</v>
      </c>
    </row>
    <row r="533" spans="1:2" x14ac:dyDescent="0.35">
      <c r="A533" t="s">
        <v>1488</v>
      </c>
      <c r="B533">
        <v>1500</v>
      </c>
    </row>
    <row r="534" spans="1:2" x14ac:dyDescent="0.35">
      <c r="A534" t="s">
        <v>206</v>
      </c>
      <c r="B534">
        <v>1500</v>
      </c>
    </row>
    <row r="535" spans="1:2" x14ac:dyDescent="0.35">
      <c r="A535" t="s">
        <v>207</v>
      </c>
      <c r="B535">
        <v>1500</v>
      </c>
    </row>
    <row r="536" spans="1:2" x14ac:dyDescent="0.35">
      <c r="A536" t="s">
        <v>351</v>
      </c>
      <c r="B536">
        <v>1500</v>
      </c>
    </row>
    <row r="537" spans="1:2" x14ac:dyDescent="0.35">
      <c r="A537" t="s">
        <v>352</v>
      </c>
      <c r="B537">
        <v>1500</v>
      </c>
    </row>
    <row r="538" spans="1:2" x14ac:dyDescent="0.35">
      <c r="A538" t="s">
        <v>1136</v>
      </c>
      <c r="B538">
        <v>1500</v>
      </c>
    </row>
    <row r="539" spans="1:2" x14ac:dyDescent="0.35">
      <c r="A539" t="s">
        <v>1145</v>
      </c>
      <c r="B539">
        <v>1500</v>
      </c>
    </row>
    <row r="540" spans="1:2" x14ac:dyDescent="0.35">
      <c r="A540" t="s">
        <v>1146</v>
      </c>
      <c r="B540">
        <v>1500</v>
      </c>
    </row>
    <row r="541" spans="1:2" x14ac:dyDescent="0.35">
      <c r="A541" t="s">
        <v>1147</v>
      </c>
      <c r="B541">
        <v>1500</v>
      </c>
    </row>
    <row r="542" spans="1:2" x14ac:dyDescent="0.35">
      <c r="A542" t="s">
        <v>1148</v>
      </c>
      <c r="B542">
        <v>1500</v>
      </c>
    </row>
    <row r="543" spans="1:2" x14ac:dyDescent="0.35">
      <c r="A543" t="s">
        <v>1149</v>
      </c>
      <c r="B543">
        <v>1500</v>
      </c>
    </row>
    <row r="544" spans="1:2" x14ac:dyDescent="0.35">
      <c r="A544" t="s">
        <v>1150</v>
      </c>
      <c r="B544">
        <v>1500</v>
      </c>
    </row>
    <row r="545" spans="1:2" x14ac:dyDescent="0.35">
      <c r="A545" t="s">
        <v>1144</v>
      </c>
      <c r="B545">
        <v>1500</v>
      </c>
    </row>
    <row r="546" spans="1:2" x14ac:dyDescent="0.35">
      <c r="A546" t="s">
        <v>146</v>
      </c>
      <c r="B546">
        <v>1500</v>
      </c>
    </row>
    <row r="547" spans="1:2" x14ac:dyDescent="0.35">
      <c r="A547" t="s">
        <v>147</v>
      </c>
      <c r="B547">
        <v>1500</v>
      </c>
    </row>
    <row r="548" spans="1:2" x14ac:dyDescent="0.35">
      <c r="A548" t="s">
        <v>148</v>
      </c>
      <c r="B548">
        <v>1500</v>
      </c>
    </row>
    <row r="549" spans="1:2" x14ac:dyDescent="0.35">
      <c r="A549" t="s">
        <v>832</v>
      </c>
      <c r="B549">
        <v>1500</v>
      </c>
    </row>
    <row r="550" spans="1:2" x14ac:dyDescent="0.35">
      <c r="A550" t="s">
        <v>833</v>
      </c>
      <c r="B550">
        <v>1500</v>
      </c>
    </row>
    <row r="551" spans="1:2" x14ac:dyDescent="0.35">
      <c r="A551" t="s">
        <v>1130</v>
      </c>
      <c r="B551">
        <v>1</v>
      </c>
    </row>
    <row r="552" spans="1:2" x14ac:dyDescent="0.35">
      <c r="A552" t="s">
        <v>1131</v>
      </c>
      <c r="B552">
        <v>1</v>
      </c>
    </row>
    <row r="553" spans="1:2" x14ac:dyDescent="0.35">
      <c r="A553" t="s">
        <v>1132</v>
      </c>
      <c r="B553">
        <v>1</v>
      </c>
    </row>
    <row r="554" spans="1:2" x14ac:dyDescent="0.35">
      <c r="A554" t="s">
        <v>1133</v>
      </c>
      <c r="B554">
        <v>1</v>
      </c>
    </row>
    <row r="555" spans="1:2" x14ac:dyDescent="0.35">
      <c r="A555" t="s">
        <v>1937</v>
      </c>
      <c r="B555">
        <v>1</v>
      </c>
    </row>
    <row r="556" spans="1:2" x14ac:dyDescent="0.35">
      <c r="A556" t="s">
        <v>1938</v>
      </c>
      <c r="B556">
        <v>1</v>
      </c>
    </row>
    <row r="557" spans="1:2" x14ac:dyDescent="0.35">
      <c r="A557" t="s">
        <v>1939</v>
      </c>
      <c r="B557">
        <v>1</v>
      </c>
    </row>
    <row r="558" spans="1:2" x14ac:dyDescent="0.35">
      <c r="A558" t="s">
        <v>1940</v>
      </c>
      <c r="B558">
        <v>1</v>
      </c>
    </row>
    <row r="559" spans="1:2" x14ac:dyDescent="0.35">
      <c r="A559" t="s">
        <v>1941</v>
      </c>
      <c r="B559">
        <v>1</v>
      </c>
    </row>
    <row r="560" spans="1:2" x14ac:dyDescent="0.35">
      <c r="A560" t="s">
        <v>1964</v>
      </c>
      <c r="B560">
        <v>1</v>
      </c>
    </row>
    <row r="561" spans="1:2" x14ac:dyDescent="0.35">
      <c r="A561" t="s">
        <v>1965</v>
      </c>
      <c r="B561">
        <v>1</v>
      </c>
    </row>
    <row r="562" spans="1:2" x14ac:dyDescent="0.35">
      <c r="A562" t="s">
        <v>1966</v>
      </c>
      <c r="B562">
        <v>1</v>
      </c>
    </row>
    <row r="563" spans="1:2" x14ac:dyDescent="0.35">
      <c r="A563" t="s">
        <v>1967</v>
      </c>
      <c r="B563">
        <v>1</v>
      </c>
    </row>
    <row r="564" spans="1:2" x14ac:dyDescent="0.35">
      <c r="A564" t="s">
        <v>1968</v>
      </c>
      <c r="B564">
        <v>1</v>
      </c>
    </row>
    <row r="565" spans="1:2" x14ac:dyDescent="0.35">
      <c r="A565" t="s">
        <v>1969</v>
      </c>
      <c r="B565">
        <v>1</v>
      </c>
    </row>
    <row r="566" spans="1:2" x14ac:dyDescent="0.35">
      <c r="A566" t="s">
        <v>1970</v>
      </c>
      <c r="B566">
        <v>1</v>
      </c>
    </row>
    <row r="567" spans="1:2" x14ac:dyDescent="0.35">
      <c r="A567" t="s">
        <v>1594</v>
      </c>
      <c r="B567">
        <v>1</v>
      </c>
    </row>
    <row r="568" spans="1:2" x14ac:dyDescent="0.35">
      <c r="A568" t="s">
        <v>1767</v>
      </c>
      <c r="B568">
        <v>1</v>
      </c>
    </row>
    <row r="569" spans="1:2" x14ac:dyDescent="0.35">
      <c r="A569" t="s">
        <v>1768</v>
      </c>
      <c r="B569">
        <v>1</v>
      </c>
    </row>
    <row r="570" spans="1:2" x14ac:dyDescent="0.35">
      <c r="A570" t="s">
        <v>1769</v>
      </c>
      <c r="B570">
        <v>1</v>
      </c>
    </row>
    <row r="571" spans="1:2" x14ac:dyDescent="0.35">
      <c r="A571" t="s">
        <v>1770</v>
      </c>
    </row>
    <row r="572" spans="1:2" x14ac:dyDescent="0.35">
      <c r="A572" t="s">
        <v>1771</v>
      </c>
    </row>
    <row r="573" spans="1:2" x14ac:dyDescent="0.35">
      <c r="A573" t="s">
        <v>927</v>
      </c>
    </row>
    <row r="574" spans="1:2" x14ac:dyDescent="0.35">
      <c r="A574" t="s">
        <v>1137</v>
      </c>
    </row>
    <row r="575" spans="1:2" x14ac:dyDescent="0.35">
      <c r="A575" t="s">
        <v>1138</v>
      </c>
    </row>
    <row r="576" spans="1:2" x14ac:dyDescent="0.35">
      <c r="A576" t="s">
        <v>1139</v>
      </c>
    </row>
    <row r="577" spans="1:2" x14ac:dyDescent="0.35">
      <c r="A577" t="s">
        <v>1140</v>
      </c>
    </row>
    <row r="578" spans="1:2" x14ac:dyDescent="0.35">
      <c r="A578" t="s">
        <v>1141</v>
      </c>
    </row>
    <row r="579" spans="1:2" x14ac:dyDescent="0.35">
      <c r="A579" t="s">
        <v>1142</v>
      </c>
    </row>
    <row r="580" spans="1:2" x14ac:dyDescent="0.35">
      <c r="A580" t="s">
        <v>1712</v>
      </c>
    </row>
    <row r="581" spans="1:2" x14ac:dyDescent="0.35">
      <c r="A581" t="s">
        <v>1667</v>
      </c>
    </row>
    <row r="582" spans="1:2" x14ac:dyDescent="0.35">
      <c r="A582" t="s">
        <v>1668</v>
      </c>
    </row>
    <row r="583" spans="1:2" x14ac:dyDescent="0.35">
      <c r="A583" t="s">
        <v>1669</v>
      </c>
    </row>
    <row r="584" spans="1:2" x14ac:dyDescent="0.35">
      <c r="A584" t="s">
        <v>1670</v>
      </c>
    </row>
    <row r="585" spans="1:2" x14ac:dyDescent="0.35">
      <c r="A585" t="s">
        <v>1902</v>
      </c>
    </row>
    <row r="586" spans="1:2" x14ac:dyDescent="0.35">
      <c r="A586" t="s">
        <v>1998</v>
      </c>
    </row>
    <row r="587" spans="1:2" x14ac:dyDescent="0.35">
      <c r="A587" t="s">
        <v>1999</v>
      </c>
    </row>
    <row r="588" spans="1:2" x14ac:dyDescent="0.35">
      <c r="A588" t="s">
        <v>2000</v>
      </c>
    </row>
    <row r="589" spans="1:2" x14ac:dyDescent="0.35">
      <c r="A589" t="s">
        <v>2001</v>
      </c>
    </row>
    <row r="590" spans="1:2" x14ac:dyDescent="0.35">
      <c r="A590" t="s">
        <v>565</v>
      </c>
    </row>
    <row r="591" spans="1:2" x14ac:dyDescent="0.35">
      <c r="A591" t="s">
        <v>791</v>
      </c>
      <c r="B591" t="b">
        <v>0</v>
      </c>
    </row>
    <row r="592" spans="1:2" x14ac:dyDescent="0.35">
      <c r="A592" t="s">
        <v>792</v>
      </c>
    </row>
    <row r="593" spans="1:2" x14ac:dyDescent="0.35">
      <c r="A593" t="s">
        <v>1280</v>
      </c>
      <c r="B593">
        <v>6</v>
      </c>
    </row>
    <row r="594" spans="1:2" x14ac:dyDescent="0.35">
      <c r="A594" t="s">
        <v>793</v>
      </c>
      <c r="B594" t="b">
        <v>0</v>
      </c>
    </row>
    <row r="595" spans="1:2" x14ac:dyDescent="0.35">
      <c r="A595" t="s">
        <v>114</v>
      </c>
    </row>
    <row r="596" spans="1:2" x14ac:dyDescent="0.35">
      <c r="A596" t="s">
        <v>1914</v>
      </c>
    </row>
    <row r="597" spans="1:2" x14ac:dyDescent="0.35">
      <c r="A597" t="s">
        <v>115</v>
      </c>
    </row>
    <row r="598" spans="1:2" x14ac:dyDescent="0.35">
      <c r="A598" t="s">
        <v>2103</v>
      </c>
    </row>
    <row r="599" spans="1:2" x14ac:dyDescent="0.35">
      <c r="A599" t="s">
        <v>585</v>
      </c>
    </row>
    <row r="600" spans="1:2" x14ac:dyDescent="0.35">
      <c r="A600" t="s">
        <v>586</v>
      </c>
    </row>
    <row r="601" spans="1:2" x14ac:dyDescent="0.35">
      <c r="A601" t="s">
        <v>1419</v>
      </c>
    </row>
    <row r="602" spans="1:2" x14ac:dyDescent="0.35">
      <c r="A602" t="s">
        <v>1420</v>
      </c>
    </row>
    <row r="603" spans="1:2" x14ac:dyDescent="0.35">
      <c r="A603" t="s">
        <v>1421</v>
      </c>
    </row>
    <row r="604" spans="1:2" x14ac:dyDescent="0.35">
      <c r="A604" t="s">
        <v>727</v>
      </c>
    </row>
    <row r="605" spans="1:2" x14ac:dyDescent="0.35">
      <c r="A605" t="s">
        <v>728</v>
      </c>
    </row>
    <row r="606" spans="1:2" x14ac:dyDescent="0.35">
      <c r="A606" t="s">
        <v>729</v>
      </c>
    </row>
    <row r="607" spans="1:2" x14ac:dyDescent="0.35">
      <c r="A607" t="s">
        <v>730</v>
      </c>
    </row>
    <row r="608" spans="1:2" x14ac:dyDescent="0.35">
      <c r="A608" t="s">
        <v>731</v>
      </c>
    </row>
    <row r="609" spans="1:1" x14ac:dyDescent="0.35">
      <c r="A609" t="s">
        <v>978</v>
      </c>
    </row>
    <row r="610" spans="1:1" x14ac:dyDescent="0.35">
      <c r="A610" t="s">
        <v>800</v>
      </c>
    </row>
    <row r="611" spans="1:1" x14ac:dyDescent="0.35">
      <c r="A611" t="s">
        <v>801</v>
      </c>
    </row>
    <row r="612" spans="1:1" x14ac:dyDescent="0.35">
      <c r="A612" t="s">
        <v>802</v>
      </c>
    </row>
    <row r="613" spans="1:1" x14ac:dyDescent="0.35">
      <c r="A613" t="s">
        <v>764</v>
      </c>
    </row>
    <row r="614" spans="1:1" x14ac:dyDescent="0.35">
      <c r="A614" t="s">
        <v>765</v>
      </c>
    </row>
    <row r="615" spans="1:1" x14ac:dyDescent="0.35">
      <c r="A615" t="s">
        <v>1583</v>
      </c>
    </row>
    <row r="616" spans="1:1" x14ac:dyDescent="0.35">
      <c r="A616" t="s">
        <v>1584</v>
      </c>
    </row>
    <row r="617" spans="1:1" x14ac:dyDescent="0.35">
      <c r="A617" t="s">
        <v>1412</v>
      </c>
    </row>
    <row r="618" spans="1:1" x14ac:dyDescent="0.35">
      <c r="A618" t="s">
        <v>1413</v>
      </c>
    </row>
    <row r="619" spans="1:1" x14ac:dyDescent="0.35">
      <c r="A619" t="s">
        <v>1414</v>
      </c>
    </row>
    <row r="620" spans="1:1" x14ac:dyDescent="0.35">
      <c r="A620" t="s">
        <v>615</v>
      </c>
    </row>
    <row r="621" spans="1:1" x14ac:dyDescent="0.35">
      <c r="A621" t="s">
        <v>616</v>
      </c>
    </row>
    <row r="622" spans="1:1" x14ac:dyDescent="0.35">
      <c r="A622" t="s">
        <v>617</v>
      </c>
    </row>
    <row r="623" spans="1:1" x14ac:dyDescent="0.35">
      <c r="A623" t="s">
        <v>618</v>
      </c>
    </row>
    <row r="624" spans="1:1" x14ac:dyDescent="0.35">
      <c r="A624" t="s">
        <v>619</v>
      </c>
    </row>
    <row r="625" spans="1:2" x14ac:dyDescent="0.35">
      <c r="A625" t="s">
        <v>824</v>
      </c>
    </row>
    <row r="626" spans="1:2" x14ac:dyDescent="0.35">
      <c r="A626" t="s">
        <v>819</v>
      </c>
    </row>
    <row r="627" spans="1:2" x14ac:dyDescent="0.35">
      <c r="A627" t="s">
        <v>820</v>
      </c>
    </row>
    <row r="628" spans="1:2" x14ac:dyDescent="0.35">
      <c r="A628" t="s">
        <v>821</v>
      </c>
    </row>
    <row r="629" spans="1:2" x14ac:dyDescent="0.35">
      <c r="A629" t="s">
        <v>822</v>
      </c>
    </row>
    <row r="630" spans="1:2" x14ac:dyDescent="0.35">
      <c r="A630" t="s">
        <v>823</v>
      </c>
    </row>
    <row r="631" spans="1:2" x14ac:dyDescent="0.35">
      <c r="A631" t="s">
        <v>1434</v>
      </c>
    </row>
    <row r="632" spans="1:2" x14ac:dyDescent="0.35">
      <c r="A632" t="s">
        <v>1708</v>
      </c>
    </row>
    <row r="633" spans="1:2" x14ac:dyDescent="0.35">
      <c r="A633" t="s">
        <v>970</v>
      </c>
      <c r="B633">
        <v>41363</v>
      </c>
    </row>
    <row r="634" spans="1:2" x14ac:dyDescent="0.35">
      <c r="A634" t="s">
        <v>479</v>
      </c>
      <c r="B634">
        <v>1</v>
      </c>
    </row>
    <row r="635" spans="1:2" x14ac:dyDescent="0.35">
      <c r="A635" t="s">
        <v>1621</v>
      </c>
      <c r="B635">
        <v>1</v>
      </c>
    </row>
    <row r="636" spans="1:2" x14ac:dyDescent="0.35">
      <c r="A636" t="s">
        <v>1623</v>
      </c>
      <c r="B636">
        <v>1</v>
      </c>
    </row>
    <row r="637" spans="1:2" x14ac:dyDescent="0.35">
      <c r="A637" t="s">
        <v>1625</v>
      </c>
      <c r="B637">
        <v>1</v>
      </c>
    </row>
    <row r="638" spans="1:2" x14ac:dyDescent="0.35">
      <c r="A638" t="s">
        <v>1627</v>
      </c>
      <c r="B638">
        <v>1</v>
      </c>
    </row>
    <row r="639" spans="1:2" x14ac:dyDescent="0.35">
      <c r="A639" t="s">
        <v>1629</v>
      </c>
      <c r="B639">
        <v>1</v>
      </c>
    </row>
    <row r="640" spans="1:2" x14ac:dyDescent="0.35">
      <c r="A640" t="s">
        <v>1869</v>
      </c>
    </row>
    <row r="641" spans="1:2" x14ac:dyDescent="0.35">
      <c r="A641" t="s">
        <v>1465</v>
      </c>
    </row>
    <row r="642" spans="1:2" x14ac:dyDescent="0.35">
      <c r="A642" t="s">
        <v>1075</v>
      </c>
      <c r="B642">
        <v>5</v>
      </c>
    </row>
    <row r="643" spans="1:2" x14ac:dyDescent="0.35">
      <c r="A643" t="s">
        <v>1177</v>
      </c>
    </row>
    <row r="644" spans="1:2" x14ac:dyDescent="0.35">
      <c r="A644" t="s">
        <v>344</v>
      </c>
    </row>
    <row r="645" spans="1:2" x14ac:dyDescent="0.35">
      <c r="A645" t="s">
        <v>347</v>
      </c>
    </row>
    <row r="646" spans="1:2" x14ac:dyDescent="0.35">
      <c r="A646" t="s">
        <v>346</v>
      </c>
    </row>
    <row r="647" spans="1:2" x14ac:dyDescent="0.35">
      <c r="A647" t="s">
        <v>343</v>
      </c>
    </row>
    <row r="648" spans="1:2" x14ac:dyDescent="0.35">
      <c r="A648" t="s">
        <v>342</v>
      </c>
    </row>
    <row r="649" spans="1:2" x14ac:dyDescent="0.35">
      <c r="A649" t="s">
        <v>345</v>
      </c>
    </row>
    <row r="650" spans="1:2" x14ac:dyDescent="0.35">
      <c r="A650" t="s">
        <v>348</v>
      </c>
    </row>
    <row r="651" spans="1:2" x14ac:dyDescent="0.35">
      <c r="A651" t="s">
        <v>1443</v>
      </c>
    </row>
    <row r="652" spans="1:2" x14ac:dyDescent="0.35">
      <c r="A652" t="s">
        <v>1766</v>
      </c>
    </row>
    <row r="653" spans="1:2" x14ac:dyDescent="0.35">
      <c r="A653" t="s">
        <v>1188</v>
      </c>
    </row>
    <row r="654" spans="1:2" x14ac:dyDescent="0.35">
      <c r="A654" t="s">
        <v>1190</v>
      </c>
    </row>
    <row r="655" spans="1:2" x14ac:dyDescent="0.35">
      <c r="A655" t="s">
        <v>1192</v>
      </c>
    </row>
    <row r="656" spans="1:2" x14ac:dyDescent="0.35">
      <c r="A656" t="s">
        <v>1194</v>
      </c>
    </row>
    <row r="657" spans="1:1" x14ac:dyDescent="0.35">
      <c r="A657" t="s">
        <v>2044</v>
      </c>
    </row>
    <row r="658" spans="1:1" x14ac:dyDescent="0.35">
      <c r="A658" t="s">
        <v>2046</v>
      </c>
    </row>
    <row r="659" spans="1:1" x14ac:dyDescent="0.35">
      <c r="A659" t="s">
        <v>2048</v>
      </c>
    </row>
    <row r="660" spans="1:1" x14ac:dyDescent="0.35">
      <c r="A660" t="s">
        <v>2050</v>
      </c>
    </row>
    <row r="661" spans="1:1" x14ac:dyDescent="0.35">
      <c r="A661" t="s">
        <v>1084</v>
      </c>
    </row>
    <row r="662" spans="1:1" x14ac:dyDescent="0.35">
      <c r="A662" t="s">
        <v>1903</v>
      </c>
    </row>
    <row r="663" spans="1:1" x14ac:dyDescent="0.35">
      <c r="A663" t="s">
        <v>1905</v>
      </c>
    </row>
    <row r="664" spans="1:1" x14ac:dyDescent="0.35">
      <c r="A664" t="s">
        <v>1907</v>
      </c>
    </row>
    <row r="665" spans="1:1" x14ac:dyDescent="0.35">
      <c r="A665" t="s">
        <v>1039</v>
      </c>
    </row>
    <row r="666" spans="1:1" x14ac:dyDescent="0.35">
      <c r="A666" t="s">
        <v>1041</v>
      </c>
    </row>
    <row r="667" spans="1:1" x14ac:dyDescent="0.35">
      <c r="A667" t="s">
        <v>1043</v>
      </c>
    </row>
    <row r="668" spans="1:1" x14ac:dyDescent="0.35">
      <c r="A668" t="s">
        <v>1045</v>
      </c>
    </row>
    <row r="669" spans="1:1" x14ac:dyDescent="0.35">
      <c r="A669" t="s">
        <v>1047</v>
      </c>
    </row>
    <row r="670" spans="1:1" x14ac:dyDescent="0.35">
      <c r="A670" t="s">
        <v>1049</v>
      </c>
    </row>
    <row r="671" spans="1:1" x14ac:dyDescent="0.35">
      <c r="A671" t="s">
        <v>1051</v>
      </c>
    </row>
    <row r="672" spans="1:1" x14ac:dyDescent="0.35">
      <c r="A672" t="s">
        <v>1053</v>
      </c>
    </row>
    <row r="673" spans="1:2" x14ac:dyDescent="0.35">
      <c r="A673" t="s">
        <v>1077</v>
      </c>
      <c r="B673">
        <v>5</v>
      </c>
    </row>
    <row r="674" spans="1:2" x14ac:dyDescent="0.35">
      <c r="A674" t="s">
        <v>951</v>
      </c>
      <c r="B674" t="b">
        <v>0</v>
      </c>
    </row>
    <row r="675" spans="1:2" x14ac:dyDescent="0.35">
      <c r="A675" t="s">
        <v>1915</v>
      </c>
      <c r="B675">
        <v>1</v>
      </c>
    </row>
    <row r="676" spans="1:2" x14ac:dyDescent="0.35">
      <c r="A676" t="s">
        <v>965</v>
      </c>
      <c r="B676">
        <v>1</v>
      </c>
    </row>
    <row r="677" spans="1:2" x14ac:dyDescent="0.35">
      <c r="A677" t="s">
        <v>1478</v>
      </c>
    </row>
    <row r="678" spans="1:2" x14ac:dyDescent="0.35">
      <c r="A678" t="s">
        <v>1479</v>
      </c>
    </row>
    <row r="679" spans="1:2" x14ac:dyDescent="0.35">
      <c r="A679" t="s">
        <v>1480</v>
      </c>
    </row>
    <row r="680" spans="1:2" x14ac:dyDescent="0.35">
      <c r="A680" t="s">
        <v>1481</v>
      </c>
    </row>
    <row r="681" spans="1:2" x14ac:dyDescent="0.35">
      <c r="A681" t="s">
        <v>1482</v>
      </c>
    </row>
    <row r="682" spans="1:2" x14ac:dyDescent="0.35">
      <c r="A682" t="s">
        <v>1483</v>
      </c>
    </row>
    <row r="683" spans="1:2" x14ac:dyDescent="0.35">
      <c r="A683" t="s">
        <v>912</v>
      </c>
    </row>
    <row r="684" spans="1:2" x14ac:dyDescent="0.35">
      <c r="A684" t="s">
        <v>1949</v>
      </c>
    </row>
    <row r="685" spans="1:2" x14ac:dyDescent="0.35">
      <c r="A685" t="s">
        <v>1950</v>
      </c>
    </row>
    <row r="686" spans="1:2" x14ac:dyDescent="0.35">
      <c r="A686" t="s">
        <v>1455</v>
      </c>
      <c r="B686">
        <v>0</v>
      </c>
    </row>
    <row r="687" spans="1:2" x14ac:dyDescent="0.35">
      <c r="A687" t="s">
        <v>1381</v>
      </c>
      <c r="B687">
        <v>1</v>
      </c>
    </row>
    <row r="688" spans="1:2" x14ac:dyDescent="0.35">
      <c r="A688" t="s">
        <v>2039</v>
      </c>
      <c r="B688">
        <v>1</v>
      </c>
    </row>
    <row r="689" spans="1:1" x14ac:dyDescent="0.35">
      <c r="A689" t="s">
        <v>1916</v>
      </c>
    </row>
    <row r="690" spans="1:1" x14ac:dyDescent="0.35">
      <c r="A690" t="s">
        <v>777</v>
      </c>
    </row>
    <row r="691" spans="1:1" x14ac:dyDescent="0.35">
      <c r="A691" t="s">
        <v>778</v>
      </c>
    </row>
    <row r="692" spans="1:1" x14ac:dyDescent="0.35">
      <c r="A692" t="s">
        <v>779</v>
      </c>
    </row>
    <row r="693" spans="1:1" x14ac:dyDescent="0.35">
      <c r="A693" t="s">
        <v>780</v>
      </c>
    </row>
    <row r="694" spans="1:1" x14ac:dyDescent="0.35">
      <c r="A694" t="s">
        <v>781</v>
      </c>
    </row>
    <row r="695" spans="1:1" x14ac:dyDescent="0.35">
      <c r="A695" t="s">
        <v>782</v>
      </c>
    </row>
    <row r="696" spans="1:1" x14ac:dyDescent="0.35">
      <c r="A696" t="s">
        <v>783</v>
      </c>
    </row>
    <row r="697" spans="1:1" x14ac:dyDescent="0.35">
      <c r="A697" t="s">
        <v>784</v>
      </c>
    </row>
    <row r="698" spans="1:1" x14ac:dyDescent="0.35">
      <c r="A698" t="s">
        <v>785</v>
      </c>
    </row>
    <row r="699" spans="1:1" x14ac:dyDescent="0.35">
      <c r="A699" t="s">
        <v>84</v>
      </c>
    </row>
    <row r="700" spans="1:1" x14ac:dyDescent="0.35">
      <c r="A700" t="s">
        <v>85</v>
      </c>
    </row>
    <row r="701" spans="1:1" x14ac:dyDescent="0.35">
      <c r="A701" t="s">
        <v>86</v>
      </c>
    </row>
    <row r="702" spans="1:1" x14ac:dyDescent="0.35">
      <c r="A702" t="s">
        <v>87</v>
      </c>
    </row>
    <row r="703" spans="1:1" x14ac:dyDescent="0.35">
      <c r="A703" t="s">
        <v>88</v>
      </c>
    </row>
    <row r="704" spans="1:1" x14ac:dyDescent="0.35">
      <c r="A704" t="s">
        <v>89</v>
      </c>
    </row>
    <row r="705" spans="1:2" x14ac:dyDescent="0.35">
      <c r="A705" t="s">
        <v>90</v>
      </c>
    </row>
    <row r="706" spans="1:2" x14ac:dyDescent="0.35">
      <c r="A706" t="s">
        <v>91</v>
      </c>
    </row>
    <row r="707" spans="1:2" x14ac:dyDescent="0.35">
      <c r="A707" t="s">
        <v>92</v>
      </c>
    </row>
    <row r="708" spans="1:2" x14ac:dyDescent="0.35">
      <c r="A708" t="s">
        <v>93</v>
      </c>
    </row>
    <row r="709" spans="1:2" x14ac:dyDescent="0.35">
      <c r="A709" t="s">
        <v>94</v>
      </c>
    </row>
    <row r="710" spans="1:2" x14ac:dyDescent="0.35">
      <c r="A710" t="s">
        <v>2104</v>
      </c>
      <c r="B710">
        <v>1500</v>
      </c>
    </row>
    <row r="711" spans="1:2" x14ac:dyDescent="0.35">
      <c r="A711" t="s">
        <v>2105</v>
      </c>
      <c r="B711">
        <v>1500</v>
      </c>
    </row>
    <row r="712" spans="1:2" x14ac:dyDescent="0.35">
      <c r="A712" t="s">
        <v>2106</v>
      </c>
      <c r="B712">
        <v>1500</v>
      </c>
    </row>
    <row r="713" spans="1:2" x14ac:dyDescent="0.35">
      <c r="A713" t="s">
        <v>2107</v>
      </c>
      <c r="B713">
        <v>1500</v>
      </c>
    </row>
    <row r="714" spans="1:2" x14ac:dyDescent="0.35">
      <c r="A714" t="s">
        <v>34</v>
      </c>
      <c r="B714">
        <v>1500</v>
      </c>
    </row>
    <row r="715" spans="1:2" x14ac:dyDescent="0.35">
      <c r="A715" t="s">
        <v>35</v>
      </c>
      <c r="B715">
        <v>1500</v>
      </c>
    </row>
    <row r="716" spans="1:2" x14ac:dyDescent="0.35">
      <c r="A716" t="s">
        <v>36</v>
      </c>
      <c r="B716">
        <v>1500</v>
      </c>
    </row>
    <row r="717" spans="1:2" x14ac:dyDescent="0.35">
      <c r="A717" t="s">
        <v>37</v>
      </c>
      <c r="B717">
        <v>1500</v>
      </c>
    </row>
    <row r="718" spans="1:2" x14ac:dyDescent="0.35">
      <c r="A718" t="s">
        <v>38</v>
      </c>
      <c r="B718">
        <v>1500</v>
      </c>
    </row>
    <row r="719" spans="1:2" x14ac:dyDescent="0.35">
      <c r="A719" t="s">
        <v>862</v>
      </c>
      <c r="B719">
        <v>1500</v>
      </c>
    </row>
    <row r="720" spans="1:2" x14ac:dyDescent="0.35">
      <c r="A720" t="s">
        <v>863</v>
      </c>
      <c r="B720">
        <v>1500</v>
      </c>
    </row>
    <row r="721" spans="1:2" x14ac:dyDescent="0.35">
      <c r="A721" t="s">
        <v>864</v>
      </c>
      <c r="B721">
        <v>1500</v>
      </c>
    </row>
    <row r="722" spans="1:2" x14ac:dyDescent="0.35">
      <c r="A722" t="s">
        <v>108</v>
      </c>
      <c r="B722">
        <v>1500</v>
      </c>
    </row>
    <row r="723" spans="1:2" x14ac:dyDescent="0.35">
      <c r="A723" t="s">
        <v>109</v>
      </c>
      <c r="B723">
        <v>1500</v>
      </c>
    </row>
    <row r="724" spans="1:2" x14ac:dyDescent="0.35">
      <c r="A724" t="s">
        <v>110</v>
      </c>
      <c r="B724">
        <v>1500</v>
      </c>
    </row>
    <row r="725" spans="1:2" x14ac:dyDescent="0.35">
      <c r="A725" t="s">
        <v>111</v>
      </c>
      <c r="B725">
        <v>1500</v>
      </c>
    </row>
    <row r="726" spans="1:2" x14ac:dyDescent="0.35">
      <c r="A726" t="s">
        <v>1267</v>
      </c>
      <c r="B726">
        <v>1500</v>
      </c>
    </row>
    <row r="727" spans="1:2" x14ac:dyDescent="0.35">
      <c r="A727" t="s">
        <v>1268</v>
      </c>
      <c r="B727">
        <v>1500</v>
      </c>
    </row>
    <row r="728" spans="1:2" x14ac:dyDescent="0.35">
      <c r="A728" t="s">
        <v>1269</v>
      </c>
      <c r="B728">
        <v>1500</v>
      </c>
    </row>
    <row r="729" spans="1:2" x14ac:dyDescent="0.35">
      <c r="A729" t="s">
        <v>1270</v>
      </c>
      <c r="B729">
        <v>1500</v>
      </c>
    </row>
    <row r="730" spans="1:2" x14ac:dyDescent="0.35">
      <c r="A730" t="s">
        <v>1760</v>
      </c>
    </row>
    <row r="731" spans="1:2" x14ac:dyDescent="0.35">
      <c r="A731" t="s">
        <v>1765</v>
      </c>
      <c r="B731">
        <v>40</v>
      </c>
    </row>
    <row r="732" spans="1:2" x14ac:dyDescent="0.35">
      <c r="A732" t="s">
        <v>1764</v>
      </c>
      <c r="B732">
        <v>80</v>
      </c>
    </row>
    <row r="733" spans="1:2" x14ac:dyDescent="0.35">
      <c r="A733" t="s">
        <v>1754</v>
      </c>
    </row>
    <row r="734" spans="1:2" x14ac:dyDescent="0.35">
      <c r="A734" t="s">
        <v>1752</v>
      </c>
    </row>
    <row r="735" spans="1:2" x14ac:dyDescent="0.35">
      <c r="A735" t="s">
        <v>1759</v>
      </c>
    </row>
    <row r="736" spans="1:2" x14ac:dyDescent="0.35">
      <c r="A736" t="s">
        <v>1739</v>
      </c>
      <c r="B736">
        <v>1</v>
      </c>
    </row>
    <row r="737" spans="1:2" x14ac:dyDescent="0.35">
      <c r="A737" t="s">
        <v>1076</v>
      </c>
      <c r="B737">
        <v>0</v>
      </c>
    </row>
    <row r="738" spans="1:2" x14ac:dyDescent="0.35">
      <c r="A738" t="s">
        <v>1011</v>
      </c>
      <c r="B738">
        <v>1</v>
      </c>
    </row>
    <row r="739" spans="1:2" x14ac:dyDescent="0.35">
      <c r="A739" t="s">
        <v>1917</v>
      </c>
    </row>
    <row r="740" spans="1:2" x14ac:dyDescent="0.35">
      <c r="A740" t="s">
        <v>1078</v>
      </c>
      <c r="B740">
        <v>17</v>
      </c>
    </row>
    <row r="741" spans="1:2" x14ac:dyDescent="0.35">
      <c r="A741" t="s">
        <v>1761</v>
      </c>
      <c r="B741">
        <v>18</v>
      </c>
    </row>
    <row r="742" spans="1:2" x14ac:dyDescent="0.35">
      <c r="A742" t="s">
        <v>974</v>
      </c>
      <c r="B742">
        <v>60</v>
      </c>
    </row>
    <row r="743" spans="1:2" x14ac:dyDescent="0.35">
      <c r="A743" t="s">
        <v>1918</v>
      </c>
      <c r="B743" t="b">
        <v>0</v>
      </c>
    </row>
    <row r="744" spans="1:2" x14ac:dyDescent="0.35">
      <c r="A744" t="s">
        <v>1919</v>
      </c>
      <c r="B744">
        <v>1</v>
      </c>
    </row>
    <row r="745" spans="1:2" x14ac:dyDescent="0.35">
      <c r="A745" t="s">
        <v>710</v>
      </c>
      <c r="B745">
        <v>0</v>
      </c>
    </row>
    <row r="746" spans="1:2" x14ac:dyDescent="0.35">
      <c r="A746" t="s">
        <v>1633</v>
      </c>
    </row>
    <row r="747" spans="1:2" x14ac:dyDescent="0.35">
      <c r="A747" t="s">
        <v>1634</v>
      </c>
    </row>
    <row r="748" spans="1:2" x14ac:dyDescent="0.35">
      <c r="A748" t="s">
        <v>980</v>
      </c>
    </row>
    <row r="749" spans="1:2" x14ac:dyDescent="0.35">
      <c r="A749" t="s">
        <v>972</v>
      </c>
      <c r="B749" t="s">
        <v>1272</v>
      </c>
    </row>
    <row r="750" spans="1:2" x14ac:dyDescent="0.35">
      <c r="A750" t="s">
        <v>1417</v>
      </c>
      <c r="B750" t="b">
        <v>0</v>
      </c>
    </row>
    <row r="751" spans="1:2" x14ac:dyDescent="0.35">
      <c r="A751" t="s">
        <v>2102</v>
      </c>
      <c r="B751">
        <v>1</v>
      </c>
    </row>
    <row r="752" spans="1:2" x14ac:dyDescent="0.35">
      <c r="A752" t="s">
        <v>2137</v>
      </c>
      <c r="B752" t="b">
        <v>0</v>
      </c>
    </row>
    <row r="753" spans="1:2" x14ac:dyDescent="0.35">
      <c r="A753" t="s">
        <v>2138</v>
      </c>
      <c r="B753">
        <v>30</v>
      </c>
    </row>
    <row r="754" spans="1:2" x14ac:dyDescent="0.35">
      <c r="A754" t="s">
        <v>2109</v>
      </c>
      <c r="B754">
        <v>3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ienten"/>
  <dimension ref="A1:T1562"/>
  <sheetViews>
    <sheetView zoomScaleNormal="100" workbookViewId="0">
      <pane xSplit="1" ySplit="1" topLeftCell="B56" activePane="bottomRight" state="frozen"/>
      <selection pane="topRight" activeCell="B1" sqref="B1"/>
      <selection pane="bottomLeft" activeCell="A2" sqref="A2"/>
      <selection pane="bottomRight" activeCell="A87" sqref="A87"/>
    </sheetView>
  </sheetViews>
  <sheetFormatPr defaultRowHeight="12.85" x14ac:dyDescent="0.35"/>
  <cols>
    <col min="1" max="1" width="27.3984375" customWidth="1"/>
    <col min="2" max="2" width="28.59765625" customWidth="1"/>
    <col min="3" max="3" width="20.265625" style="78" customWidth="1"/>
    <col min="7" max="7" width="18.59765625" customWidth="1"/>
  </cols>
  <sheetData>
    <row r="1" spans="1:20" x14ac:dyDescent="0.35">
      <c r="A1" t="s">
        <v>806</v>
      </c>
      <c r="B1" t="s">
        <v>807</v>
      </c>
      <c r="C1" s="78" t="s">
        <v>1119</v>
      </c>
      <c r="T1">
        <v>0</v>
      </c>
    </row>
    <row r="2" spans="1:20" x14ac:dyDescent="0.35">
      <c r="A2" s="25" t="s">
        <v>971</v>
      </c>
      <c r="B2" s="78" t="s">
        <v>1271</v>
      </c>
      <c r="C2" s="78" t="s">
        <v>1271</v>
      </c>
    </row>
    <row r="3" spans="1:20" x14ac:dyDescent="0.35">
      <c r="A3" s="25" t="s">
        <v>95</v>
      </c>
      <c r="B3" s="78">
        <v>10</v>
      </c>
      <c r="C3" s="78">
        <v>10</v>
      </c>
      <c r="D3">
        <v>10</v>
      </c>
    </row>
    <row r="4" spans="1:20" x14ac:dyDescent="0.35">
      <c r="A4" s="25" t="s">
        <v>96</v>
      </c>
      <c r="B4" s="78">
        <v>20</v>
      </c>
      <c r="C4" s="78">
        <v>20</v>
      </c>
      <c r="D4">
        <v>10</v>
      </c>
    </row>
    <row r="5" spans="1:20" x14ac:dyDescent="0.35">
      <c r="A5" t="s">
        <v>97</v>
      </c>
      <c r="B5">
        <v>5000</v>
      </c>
      <c r="C5">
        <v>5000</v>
      </c>
      <c r="D5">
        <v>1000</v>
      </c>
    </row>
    <row r="6" spans="1:20" x14ac:dyDescent="0.35">
      <c r="A6" s="25" t="s">
        <v>546</v>
      </c>
      <c r="B6" s="78">
        <v>2</v>
      </c>
      <c r="C6" s="78">
        <v>2</v>
      </c>
      <c r="D6">
        <v>2</v>
      </c>
    </row>
    <row r="7" spans="1:20" x14ac:dyDescent="0.35">
      <c r="A7" s="25" t="s">
        <v>547</v>
      </c>
      <c r="B7" s="78">
        <v>10</v>
      </c>
      <c r="C7" s="78">
        <v>10</v>
      </c>
      <c r="D7">
        <v>5</v>
      </c>
    </row>
    <row r="8" spans="1:20" x14ac:dyDescent="0.35">
      <c r="A8" s="25" t="s">
        <v>548</v>
      </c>
      <c r="B8" s="78">
        <v>5</v>
      </c>
      <c r="C8" s="78">
        <v>5</v>
      </c>
      <c r="D8">
        <v>50</v>
      </c>
    </row>
    <row r="9" spans="1:20" x14ac:dyDescent="0.35">
      <c r="A9" s="25" t="s">
        <v>1874</v>
      </c>
      <c r="B9" s="78">
        <v>10</v>
      </c>
      <c r="C9" s="78">
        <v>10</v>
      </c>
      <c r="D9">
        <v>1</v>
      </c>
    </row>
    <row r="10" spans="1:20" x14ac:dyDescent="0.35">
      <c r="A10" s="25" t="s">
        <v>2117</v>
      </c>
      <c r="B10" s="78">
        <v>10</v>
      </c>
      <c r="C10" s="78">
        <v>10</v>
      </c>
      <c r="D10">
        <v>1</v>
      </c>
    </row>
    <row r="11" spans="1:20" x14ac:dyDescent="0.35">
      <c r="A11" t="s">
        <v>2110</v>
      </c>
      <c r="C11"/>
    </row>
    <row r="12" spans="1:20" x14ac:dyDescent="0.35">
      <c r="A12" t="s">
        <v>2111</v>
      </c>
      <c r="B12">
        <v>5</v>
      </c>
      <c r="C12">
        <v>5</v>
      </c>
      <c r="D12">
        <v>1</v>
      </c>
    </row>
    <row r="13" spans="1:20" x14ac:dyDescent="0.35">
      <c r="A13" t="s">
        <v>2112</v>
      </c>
      <c r="C13"/>
    </row>
    <row r="14" spans="1:20" x14ac:dyDescent="0.35">
      <c r="A14" s="25" t="s">
        <v>1875</v>
      </c>
      <c r="B14" s="78">
        <v>1</v>
      </c>
      <c r="C14" s="78">
        <v>1</v>
      </c>
      <c r="D14">
        <v>0.1</v>
      </c>
    </row>
    <row r="15" spans="1:20" x14ac:dyDescent="0.35">
      <c r="A15" t="s">
        <v>2113</v>
      </c>
      <c r="C15"/>
    </row>
    <row r="16" spans="1:20" x14ac:dyDescent="0.35">
      <c r="A16" t="s">
        <v>2114</v>
      </c>
      <c r="B16">
        <v>50</v>
      </c>
      <c r="C16">
        <v>50</v>
      </c>
      <c r="D16">
        <v>10</v>
      </c>
    </row>
    <row r="17" spans="1:4" x14ac:dyDescent="0.35">
      <c r="A17" t="s">
        <v>2115</v>
      </c>
      <c r="B17">
        <v>5</v>
      </c>
      <c r="C17">
        <v>5</v>
      </c>
      <c r="D17">
        <v>1</v>
      </c>
    </row>
    <row r="18" spans="1:4" x14ac:dyDescent="0.35">
      <c r="A18" t="s">
        <v>2116</v>
      </c>
      <c r="B18">
        <v>500</v>
      </c>
      <c r="C18">
        <v>500</v>
      </c>
      <c r="D18">
        <v>100</v>
      </c>
    </row>
    <row r="19" spans="1:4" x14ac:dyDescent="0.35">
      <c r="A19" s="25" t="s">
        <v>1876</v>
      </c>
      <c r="B19" s="78">
        <v>10</v>
      </c>
      <c r="C19" s="78">
        <v>10</v>
      </c>
      <c r="D19">
        <v>10</v>
      </c>
    </row>
    <row r="20" spans="1:4" x14ac:dyDescent="0.35">
      <c r="A20" s="25" t="s">
        <v>1877</v>
      </c>
      <c r="B20" s="78">
        <v>50</v>
      </c>
      <c r="C20" s="78">
        <v>50</v>
      </c>
      <c r="D20">
        <v>0.5</v>
      </c>
    </row>
    <row r="21" spans="1:4" x14ac:dyDescent="0.35">
      <c r="A21" s="25" t="s">
        <v>1878</v>
      </c>
      <c r="B21" s="78">
        <v>150</v>
      </c>
      <c r="C21" s="78">
        <v>150</v>
      </c>
      <c r="D21">
        <v>0.15</v>
      </c>
    </row>
    <row r="22" spans="1:4" x14ac:dyDescent="0.35">
      <c r="A22" s="25" t="s">
        <v>1879</v>
      </c>
      <c r="B22" s="78">
        <v>2500</v>
      </c>
      <c r="C22" s="78">
        <v>2500</v>
      </c>
      <c r="D22">
        <v>12.5</v>
      </c>
    </row>
    <row r="23" spans="1:4" x14ac:dyDescent="0.35">
      <c r="A23" s="25" t="s">
        <v>1880</v>
      </c>
      <c r="B23" s="78">
        <v>200</v>
      </c>
      <c r="C23" s="78">
        <v>200</v>
      </c>
      <c r="D23">
        <v>40</v>
      </c>
    </row>
    <row r="24" spans="1:4" x14ac:dyDescent="0.35">
      <c r="A24" s="25" t="s">
        <v>1881</v>
      </c>
      <c r="B24" s="78">
        <v>50</v>
      </c>
      <c r="C24" s="78">
        <v>50</v>
      </c>
      <c r="D24">
        <v>5</v>
      </c>
    </row>
    <row r="25" spans="1:4" x14ac:dyDescent="0.35">
      <c r="A25" s="25" t="s">
        <v>1882</v>
      </c>
      <c r="B25" s="78">
        <v>100</v>
      </c>
      <c r="C25" s="78">
        <v>100</v>
      </c>
      <c r="D25">
        <v>25</v>
      </c>
    </row>
    <row r="26" spans="1:4" x14ac:dyDescent="0.35">
      <c r="A26" s="25" t="s">
        <v>1279</v>
      </c>
      <c r="B26" s="78">
        <v>1</v>
      </c>
      <c r="C26" s="78">
        <v>1</v>
      </c>
    </row>
    <row r="27" spans="1:4" x14ac:dyDescent="0.35">
      <c r="A27" s="25" t="s">
        <v>525</v>
      </c>
      <c r="B27" s="78" t="s">
        <v>1692</v>
      </c>
      <c r="C27" s="78" t="s">
        <v>1692</v>
      </c>
    </row>
    <row r="28" spans="1:4" x14ac:dyDescent="0.35">
      <c r="A28" s="25" t="s">
        <v>1807</v>
      </c>
      <c r="B28" s="78" t="b">
        <v>0</v>
      </c>
      <c r="C28" s="78" t="b">
        <v>0</v>
      </c>
    </row>
    <row r="29" spans="1:4" x14ac:dyDescent="0.35">
      <c r="A29" s="25" t="s">
        <v>1808</v>
      </c>
      <c r="B29" s="78"/>
    </row>
    <row r="30" spans="1:4" x14ac:dyDescent="0.35">
      <c r="A30" s="25" t="s">
        <v>962</v>
      </c>
      <c r="B30" s="78"/>
    </row>
    <row r="31" spans="1:4" x14ac:dyDescent="0.35">
      <c r="A31" s="25" t="s">
        <v>1285</v>
      </c>
      <c r="B31" t="b">
        <v>1</v>
      </c>
      <c r="C31" t="b">
        <v>1</v>
      </c>
    </row>
    <row r="32" spans="1:4" x14ac:dyDescent="0.35">
      <c r="A32" s="106" t="s">
        <v>1923</v>
      </c>
      <c r="C32"/>
    </row>
    <row r="33" spans="1:3" x14ac:dyDescent="0.35">
      <c r="A33" s="106" t="s">
        <v>1700</v>
      </c>
      <c r="C33"/>
    </row>
    <row r="34" spans="1:3" x14ac:dyDescent="0.35">
      <c r="A34" s="106" t="s">
        <v>1702</v>
      </c>
      <c r="C34"/>
    </row>
    <row r="35" spans="1:3" x14ac:dyDescent="0.35">
      <c r="A35" s="106" t="s">
        <v>1704</v>
      </c>
      <c r="C35"/>
    </row>
    <row r="36" spans="1:3" x14ac:dyDescent="0.35">
      <c r="A36" s="106" t="s">
        <v>1706</v>
      </c>
      <c r="C36"/>
    </row>
    <row r="37" spans="1:3" x14ac:dyDescent="0.35">
      <c r="A37" s="106" t="s">
        <v>1746</v>
      </c>
      <c r="C37"/>
    </row>
    <row r="38" spans="1:3" x14ac:dyDescent="0.35">
      <c r="A38" s="106" t="s">
        <v>1748</v>
      </c>
      <c r="C38"/>
    </row>
    <row r="39" spans="1:3" x14ac:dyDescent="0.35">
      <c r="A39" s="106" t="s">
        <v>1780</v>
      </c>
      <c r="C39"/>
    </row>
    <row r="40" spans="1:3" x14ac:dyDescent="0.35">
      <c r="A40" s="106" t="s">
        <v>1782</v>
      </c>
      <c r="C40"/>
    </row>
    <row r="41" spans="1:3" x14ac:dyDescent="0.35">
      <c r="A41" s="106" t="s">
        <v>1784</v>
      </c>
      <c r="C41"/>
    </row>
    <row r="42" spans="1:3" x14ac:dyDescent="0.35">
      <c r="A42" s="25" t="s">
        <v>1753</v>
      </c>
      <c r="B42" s="78"/>
    </row>
    <row r="43" spans="1:3" x14ac:dyDescent="0.35">
      <c r="A43" s="25" t="s">
        <v>1758</v>
      </c>
      <c r="B43" s="78"/>
    </row>
    <row r="44" spans="1:3" x14ac:dyDescent="0.35">
      <c r="A44" s="25" t="s">
        <v>221</v>
      </c>
      <c r="B44" s="78"/>
    </row>
    <row r="45" spans="1:3" x14ac:dyDescent="0.35">
      <c r="A45" s="25" t="s">
        <v>222</v>
      </c>
      <c r="B45" s="78"/>
    </row>
    <row r="46" spans="1:3" x14ac:dyDescent="0.35">
      <c r="A46" s="25" t="s">
        <v>223</v>
      </c>
      <c r="B46" s="78"/>
    </row>
    <row r="47" spans="1:3" x14ac:dyDescent="0.35">
      <c r="A47" s="25" t="s">
        <v>224</v>
      </c>
      <c r="B47" s="78"/>
    </row>
    <row r="48" spans="1:3" x14ac:dyDescent="0.35">
      <c r="A48" s="25" t="s">
        <v>40</v>
      </c>
      <c r="B48" s="78"/>
    </row>
    <row r="49" spans="1:3" x14ac:dyDescent="0.35">
      <c r="A49" s="25" t="s">
        <v>41</v>
      </c>
      <c r="B49" s="78"/>
    </row>
    <row r="50" spans="1:3" x14ac:dyDescent="0.35">
      <c r="A50" s="25" t="s">
        <v>1635</v>
      </c>
      <c r="B50" s="78"/>
    </row>
    <row r="51" spans="1:3" x14ac:dyDescent="0.35">
      <c r="A51" s="25" t="s">
        <v>1636</v>
      </c>
      <c r="B51" s="78"/>
    </row>
    <row r="52" spans="1:3" x14ac:dyDescent="0.35">
      <c r="A52" s="25" t="s">
        <v>1637</v>
      </c>
      <c r="B52" s="78"/>
    </row>
    <row r="53" spans="1:3" x14ac:dyDescent="0.35">
      <c r="A53" s="25" t="s">
        <v>1638</v>
      </c>
      <c r="B53" s="78"/>
    </row>
    <row r="54" spans="1:3" x14ac:dyDescent="0.35">
      <c r="A54" s="25" t="s">
        <v>987</v>
      </c>
      <c r="B54" s="78"/>
    </row>
    <row r="55" spans="1:3" x14ac:dyDescent="0.35">
      <c r="A55" s="25" t="s">
        <v>988</v>
      </c>
      <c r="B55" s="78"/>
    </row>
    <row r="56" spans="1:3" x14ac:dyDescent="0.35">
      <c r="A56" s="25" t="s">
        <v>989</v>
      </c>
      <c r="B56" s="78"/>
    </row>
    <row r="57" spans="1:3" x14ac:dyDescent="0.35">
      <c r="A57" s="25" t="s">
        <v>990</v>
      </c>
      <c r="B57" s="78"/>
    </row>
    <row r="58" spans="1:3" x14ac:dyDescent="0.35">
      <c r="A58" s="25" t="s">
        <v>173</v>
      </c>
      <c r="B58" s="78"/>
    </row>
    <row r="59" spans="1:3" x14ac:dyDescent="0.35">
      <c r="A59" s="25" t="s">
        <v>174</v>
      </c>
      <c r="B59" s="78"/>
    </row>
    <row r="60" spans="1:3" x14ac:dyDescent="0.35">
      <c r="A60" s="25" t="s">
        <v>175</v>
      </c>
      <c r="B60" s="78"/>
    </row>
    <row r="61" spans="1:3" x14ac:dyDescent="0.35">
      <c r="A61" s="25" t="s">
        <v>176</v>
      </c>
      <c r="B61" s="78"/>
    </row>
    <row r="62" spans="1:3" x14ac:dyDescent="0.35">
      <c r="A62" s="25" t="s">
        <v>177</v>
      </c>
      <c r="B62" s="78"/>
    </row>
    <row r="63" spans="1:3" x14ac:dyDescent="0.35">
      <c r="A63" s="25" t="s">
        <v>392</v>
      </c>
      <c r="B63" s="78"/>
    </row>
    <row r="64" spans="1:3" x14ac:dyDescent="0.35">
      <c r="A64" s="25" t="s">
        <v>1750</v>
      </c>
      <c r="B64" s="78">
        <v>30</v>
      </c>
      <c r="C64" s="78">
        <v>30</v>
      </c>
    </row>
    <row r="65" spans="1:3" x14ac:dyDescent="0.35">
      <c r="A65" s="25" t="s">
        <v>1757</v>
      </c>
      <c r="B65" s="78"/>
    </row>
    <row r="66" spans="1:3" x14ac:dyDescent="0.35">
      <c r="A66" s="25" t="s">
        <v>633</v>
      </c>
      <c r="B66" s="78">
        <v>1</v>
      </c>
      <c r="C66" s="78">
        <v>1</v>
      </c>
    </row>
    <row r="67" spans="1:3" x14ac:dyDescent="0.35">
      <c r="A67" s="25" t="s">
        <v>393</v>
      </c>
      <c r="B67" s="78"/>
    </row>
    <row r="68" spans="1:3" x14ac:dyDescent="0.35">
      <c r="A68" s="25" t="s">
        <v>394</v>
      </c>
      <c r="B68" s="78"/>
    </row>
    <row r="69" spans="1:3" x14ac:dyDescent="0.35">
      <c r="A69" s="25" t="s">
        <v>395</v>
      </c>
      <c r="B69" s="78"/>
    </row>
    <row r="70" spans="1:3" x14ac:dyDescent="0.35">
      <c r="A70" s="25" t="s">
        <v>396</v>
      </c>
      <c r="B70" s="78"/>
    </row>
    <row r="71" spans="1:3" x14ac:dyDescent="0.35">
      <c r="A71" s="25" t="s">
        <v>397</v>
      </c>
      <c r="B71" s="78"/>
    </row>
    <row r="72" spans="1:3" x14ac:dyDescent="0.35">
      <c r="A72" s="25" t="s">
        <v>398</v>
      </c>
      <c r="B72" s="78"/>
    </row>
    <row r="73" spans="1:3" x14ac:dyDescent="0.35">
      <c r="A73" s="25" t="s">
        <v>399</v>
      </c>
      <c r="B73" s="78"/>
    </row>
    <row r="74" spans="1:3" x14ac:dyDescent="0.35">
      <c r="A74" s="25" t="s">
        <v>400</v>
      </c>
      <c r="B74" s="78"/>
    </row>
    <row r="75" spans="1:3" x14ac:dyDescent="0.35">
      <c r="A75" s="25" t="s">
        <v>401</v>
      </c>
      <c r="B75" s="78"/>
    </row>
    <row r="76" spans="1:3" x14ac:dyDescent="0.35">
      <c r="A76" s="25" t="s">
        <v>402</v>
      </c>
      <c r="B76" s="78"/>
    </row>
    <row r="77" spans="1:3" x14ac:dyDescent="0.35">
      <c r="A77" s="25" t="s">
        <v>403</v>
      </c>
      <c r="B77" s="78"/>
    </row>
    <row r="78" spans="1:3" x14ac:dyDescent="0.35">
      <c r="A78" s="25" t="s">
        <v>404</v>
      </c>
      <c r="B78" s="78"/>
    </row>
    <row r="79" spans="1:3" x14ac:dyDescent="0.35">
      <c r="A79" s="25" t="s">
        <v>405</v>
      </c>
      <c r="B79" s="78"/>
    </row>
    <row r="80" spans="1:3" x14ac:dyDescent="0.35">
      <c r="A80" s="25" t="s">
        <v>406</v>
      </c>
      <c r="B80" s="78"/>
    </row>
    <row r="81" spans="1:3" x14ac:dyDescent="0.35">
      <c r="A81" s="25" t="s">
        <v>407</v>
      </c>
      <c r="B81" s="78"/>
    </row>
    <row r="82" spans="1:3" x14ac:dyDescent="0.35">
      <c r="A82" s="25" t="s">
        <v>408</v>
      </c>
      <c r="B82" s="78"/>
    </row>
    <row r="83" spans="1:3" x14ac:dyDescent="0.35">
      <c r="A83" s="25" t="s">
        <v>409</v>
      </c>
      <c r="B83" s="78"/>
    </row>
    <row r="84" spans="1:3" x14ac:dyDescent="0.35">
      <c r="A84" s="25" t="s">
        <v>1034</v>
      </c>
      <c r="B84" s="78"/>
    </row>
    <row r="85" spans="1:3" x14ac:dyDescent="0.35">
      <c r="A85" s="25" t="s">
        <v>1035</v>
      </c>
      <c r="B85" s="78"/>
    </row>
    <row r="86" spans="1:3" x14ac:dyDescent="0.35">
      <c r="A86" s="25" t="s">
        <v>1071</v>
      </c>
      <c r="B86" s="78"/>
    </row>
    <row r="87" spans="1:3" x14ac:dyDescent="0.35">
      <c r="A87" s="25" t="s">
        <v>1074</v>
      </c>
      <c r="B87" s="78">
        <v>30</v>
      </c>
      <c r="C87" s="78">
        <v>30</v>
      </c>
    </row>
    <row r="88" spans="1:3" x14ac:dyDescent="0.35">
      <c r="A88" s="25" t="s">
        <v>1763</v>
      </c>
      <c r="B88" s="78">
        <v>30</v>
      </c>
      <c r="C88" s="78">
        <v>30</v>
      </c>
    </row>
    <row r="89" spans="1:3" x14ac:dyDescent="0.35">
      <c r="A89" s="25" t="s">
        <v>1751</v>
      </c>
      <c r="B89" s="78"/>
    </row>
    <row r="90" spans="1:3" x14ac:dyDescent="0.35">
      <c r="A90" s="25" t="s">
        <v>1755</v>
      </c>
      <c r="B90" s="78"/>
    </row>
    <row r="91" spans="1:3" x14ac:dyDescent="0.35">
      <c r="A91" s="74" t="s">
        <v>702</v>
      </c>
      <c r="B91" s="78">
        <v>1</v>
      </c>
      <c r="C91" s="78">
        <v>1</v>
      </c>
    </row>
    <row r="92" spans="1:3" x14ac:dyDescent="0.35">
      <c r="A92" s="74" t="s">
        <v>703</v>
      </c>
      <c r="B92" s="78"/>
    </row>
    <row r="93" spans="1:3" x14ac:dyDescent="0.35">
      <c r="A93" s="74" t="s">
        <v>704</v>
      </c>
      <c r="B93" s="78"/>
    </row>
    <row r="94" spans="1:3" x14ac:dyDescent="0.35">
      <c r="A94" s="74" t="s">
        <v>705</v>
      </c>
      <c r="B94" s="78"/>
    </row>
    <row r="95" spans="1:3" x14ac:dyDescent="0.35">
      <c r="A95" s="25" t="s">
        <v>973</v>
      </c>
      <c r="B95" s="79">
        <v>40909</v>
      </c>
      <c r="C95" s="79">
        <v>40909</v>
      </c>
    </row>
    <row r="96" spans="1:3" x14ac:dyDescent="0.35">
      <c r="A96" s="25" t="s">
        <v>1303</v>
      </c>
      <c r="B96" s="78">
        <v>100</v>
      </c>
      <c r="C96" s="78">
        <v>100</v>
      </c>
    </row>
    <row r="97" spans="1:3" x14ac:dyDescent="0.35">
      <c r="A97" s="25" t="s">
        <v>1278</v>
      </c>
      <c r="B97" s="78" t="b">
        <v>0</v>
      </c>
      <c r="C97" s="78" t="b">
        <v>0</v>
      </c>
    </row>
    <row r="98" spans="1:3" x14ac:dyDescent="0.35">
      <c r="A98" s="25" t="s">
        <v>692</v>
      </c>
      <c r="B98" s="78">
        <v>1</v>
      </c>
      <c r="C98" s="78">
        <v>1</v>
      </c>
    </row>
    <row r="99" spans="1:3" x14ac:dyDescent="0.35">
      <c r="A99" s="25" t="s">
        <v>693</v>
      </c>
      <c r="B99" s="78">
        <v>1</v>
      </c>
      <c r="C99" s="78">
        <v>1</v>
      </c>
    </row>
    <row r="100" spans="1:3" x14ac:dyDescent="0.35">
      <c r="A100" s="25" t="s">
        <v>694</v>
      </c>
      <c r="B100" s="78">
        <v>1</v>
      </c>
      <c r="C100" s="78">
        <v>1</v>
      </c>
    </row>
    <row r="101" spans="1:3" x14ac:dyDescent="0.35">
      <c r="A101" s="25" t="s">
        <v>695</v>
      </c>
      <c r="B101" s="78">
        <v>1</v>
      </c>
      <c r="C101" s="78">
        <v>1</v>
      </c>
    </row>
    <row r="102" spans="1:3" x14ac:dyDescent="0.35">
      <c r="A102" s="25" t="s">
        <v>696</v>
      </c>
      <c r="B102" s="78">
        <v>1</v>
      </c>
      <c r="C102" s="78">
        <v>1</v>
      </c>
    </row>
    <row r="103" spans="1:3" x14ac:dyDescent="0.35">
      <c r="A103" s="25" t="s">
        <v>1849</v>
      </c>
      <c r="B103" s="78">
        <v>1</v>
      </c>
      <c r="C103" s="78">
        <v>1</v>
      </c>
    </row>
    <row r="104" spans="1:3" x14ac:dyDescent="0.35">
      <c r="A104" s="25" t="s">
        <v>1756</v>
      </c>
      <c r="B104" s="78"/>
    </row>
    <row r="105" spans="1:3" x14ac:dyDescent="0.35">
      <c r="A105" s="25" t="s">
        <v>1850</v>
      </c>
      <c r="B105" s="78">
        <v>5</v>
      </c>
      <c r="C105" s="78">
        <v>5</v>
      </c>
    </row>
    <row r="106" spans="1:3" x14ac:dyDescent="0.35">
      <c r="A106" s="25" t="s">
        <v>1851</v>
      </c>
      <c r="B106" s="78">
        <v>20</v>
      </c>
      <c r="C106" s="78">
        <v>20</v>
      </c>
    </row>
    <row r="107" spans="1:3" x14ac:dyDescent="0.35">
      <c r="A107" s="25" t="s">
        <v>1852</v>
      </c>
      <c r="B107" s="78">
        <v>15</v>
      </c>
      <c r="C107" s="78">
        <v>15</v>
      </c>
    </row>
    <row r="108" spans="1:3" x14ac:dyDescent="0.35">
      <c r="A108" s="25" t="s">
        <v>1853</v>
      </c>
      <c r="B108" s="78">
        <v>10</v>
      </c>
      <c r="C108" s="78">
        <v>10</v>
      </c>
    </row>
    <row r="109" spans="1:3" x14ac:dyDescent="0.35">
      <c r="A109" s="25" t="s">
        <v>1854</v>
      </c>
      <c r="B109" s="78">
        <v>10</v>
      </c>
      <c r="C109" s="78">
        <v>10</v>
      </c>
    </row>
    <row r="110" spans="1:3" x14ac:dyDescent="0.35">
      <c r="A110" t="s">
        <v>1263</v>
      </c>
      <c r="B110">
        <v>10</v>
      </c>
      <c r="C110">
        <v>10</v>
      </c>
    </row>
    <row r="111" spans="1:3" x14ac:dyDescent="0.35">
      <c r="A111" t="s">
        <v>1264</v>
      </c>
      <c r="B111">
        <v>30</v>
      </c>
      <c r="C111">
        <v>30</v>
      </c>
    </row>
    <row r="112" spans="1:3" x14ac:dyDescent="0.35">
      <c r="A112" t="s">
        <v>1265</v>
      </c>
      <c r="B112">
        <v>250</v>
      </c>
      <c r="C112">
        <v>250</v>
      </c>
    </row>
    <row r="113" spans="1:3" x14ac:dyDescent="0.35">
      <c r="A113" t="s">
        <v>2151</v>
      </c>
      <c r="C113"/>
    </row>
    <row r="114" spans="1:3" x14ac:dyDescent="0.35">
      <c r="A114" t="s">
        <v>2152</v>
      </c>
      <c r="B114">
        <v>10</v>
      </c>
      <c r="C114">
        <v>10</v>
      </c>
    </row>
    <row r="115" spans="1:3" x14ac:dyDescent="0.35">
      <c r="A115" t="s">
        <v>2153</v>
      </c>
      <c r="C115"/>
    </row>
    <row r="116" spans="1:3" x14ac:dyDescent="0.35">
      <c r="A116" s="25" t="s">
        <v>1855</v>
      </c>
      <c r="B116" s="78">
        <v>10</v>
      </c>
      <c r="C116" s="78">
        <v>10</v>
      </c>
    </row>
    <row r="117" spans="1:3" x14ac:dyDescent="0.35">
      <c r="A117" s="25" t="s">
        <v>2118</v>
      </c>
      <c r="B117" s="78"/>
    </row>
    <row r="118" spans="1:3" x14ac:dyDescent="0.35">
      <c r="A118" s="25" t="s">
        <v>2119</v>
      </c>
      <c r="B118" s="78">
        <v>6</v>
      </c>
      <c r="C118" s="78">
        <v>6</v>
      </c>
    </row>
    <row r="119" spans="1:3" x14ac:dyDescent="0.35">
      <c r="A119" s="25" t="s">
        <v>2149</v>
      </c>
      <c r="B119" s="78">
        <v>2</v>
      </c>
      <c r="C119" s="78">
        <v>2</v>
      </c>
    </row>
    <row r="120" spans="1:3" x14ac:dyDescent="0.35">
      <c r="A120" s="25" t="s">
        <v>2150</v>
      </c>
      <c r="B120" s="78">
        <v>70</v>
      </c>
      <c r="C120" s="78">
        <v>70</v>
      </c>
    </row>
    <row r="121" spans="1:3" x14ac:dyDescent="0.35">
      <c r="A121" s="25" t="s">
        <v>1856</v>
      </c>
      <c r="B121" s="78">
        <v>5</v>
      </c>
      <c r="C121" s="78">
        <v>5</v>
      </c>
    </row>
    <row r="122" spans="1:3" x14ac:dyDescent="0.35">
      <c r="A122" s="25" t="s">
        <v>1857</v>
      </c>
      <c r="B122" s="78">
        <v>25</v>
      </c>
      <c r="C122" s="78">
        <v>25</v>
      </c>
    </row>
    <row r="123" spans="1:3" x14ac:dyDescent="0.35">
      <c r="A123" s="25" t="s">
        <v>1858</v>
      </c>
      <c r="B123" s="78">
        <v>100</v>
      </c>
      <c r="C123" s="78">
        <v>100</v>
      </c>
    </row>
    <row r="124" spans="1:3" x14ac:dyDescent="0.35">
      <c r="A124" s="25" t="s">
        <v>1859</v>
      </c>
      <c r="B124" s="78">
        <v>10</v>
      </c>
      <c r="C124" s="78">
        <v>10</v>
      </c>
    </row>
    <row r="125" spans="1:3" x14ac:dyDescent="0.35">
      <c r="A125" s="25" t="s">
        <v>1860</v>
      </c>
      <c r="B125" s="78">
        <v>5</v>
      </c>
      <c r="C125" s="78">
        <v>5</v>
      </c>
    </row>
    <row r="126" spans="1:3" x14ac:dyDescent="0.35">
      <c r="A126" s="25" t="s">
        <v>1861</v>
      </c>
      <c r="B126" s="78">
        <v>10</v>
      </c>
      <c r="C126" s="78">
        <v>10</v>
      </c>
    </row>
    <row r="127" spans="1:3" x14ac:dyDescent="0.35">
      <c r="A127" s="25" t="s">
        <v>979</v>
      </c>
      <c r="B127" s="78">
        <v>5</v>
      </c>
      <c r="C127" s="78">
        <v>5</v>
      </c>
    </row>
    <row r="128" spans="1:3" x14ac:dyDescent="0.35">
      <c r="A128" s="25" t="s">
        <v>2002</v>
      </c>
      <c r="B128" s="78">
        <v>10</v>
      </c>
      <c r="C128" s="78">
        <v>10</v>
      </c>
    </row>
    <row r="129" spans="1:3" x14ac:dyDescent="0.35">
      <c r="A129" s="25" t="s">
        <v>2003</v>
      </c>
      <c r="B129" s="78">
        <v>10</v>
      </c>
      <c r="C129" s="78">
        <v>10</v>
      </c>
    </row>
    <row r="130" spans="1:3" x14ac:dyDescent="0.35">
      <c r="A130" s="25" t="s">
        <v>2004</v>
      </c>
      <c r="B130" s="78">
        <v>10</v>
      </c>
      <c r="C130" s="78">
        <v>10</v>
      </c>
    </row>
    <row r="131" spans="1:3" x14ac:dyDescent="0.35">
      <c r="A131" s="25" t="s">
        <v>2005</v>
      </c>
      <c r="B131" s="78">
        <v>10</v>
      </c>
      <c r="C131" s="78">
        <v>10</v>
      </c>
    </row>
    <row r="132" spans="1:3" x14ac:dyDescent="0.35">
      <c r="A132" s="25" t="s">
        <v>2006</v>
      </c>
      <c r="B132" s="78">
        <v>10</v>
      </c>
      <c r="C132" s="78">
        <v>10</v>
      </c>
    </row>
    <row r="133" spans="1:3" x14ac:dyDescent="0.35">
      <c r="A133" t="s">
        <v>1542</v>
      </c>
      <c r="B133">
        <v>10</v>
      </c>
      <c r="C133">
        <v>10</v>
      </c>
    </row>
    <row r="134" spans="1:3" x14ac:dyDescent="0.35">
      <c r="A134" t="s">
        <v>1543</v>
      </c>
      <c r="B134">
        <v>10</v>
      </c>
      <c r="C134">
        <v>10</v>
      </c>
    </row>
    <row r="135" spans="1:3" x14ac:dyDescent="0.35">
      <c r="A135" t="s">
        <v>1262</v>
      </c>
      <c r="B135">
        <v>10</v>
      </c>
      <c r="C135">
        <v>10</v>
      </c>
    </row>
    <row r="136" spans="1:3" x14ac:dyDescent="0.35">
      <c r="A136" t="s">
        <v>2158</v>
      </c>
      <c r="C136"/>
    </row>
    <row r="137" spans="1:3" x14ac:dyDescent="0.35">
      <c r="A137" t="s">
        <v>2159</v>
      </c>
      <c r="B137">
        <v>10</v>
      </c>
      <c r="C137">
        <v>10</v>
      </c>
    </row>
    <row r="138" spans="1:3" x14ac:dyDescent="0.35">
      <c r="A138" t="s">
        <v>2160</v>
      </c>
      <c r="C138"/>
    </row>
    <row r="139" spans="1:3" x14ac:dyDescent="0.35">
      <c r="A139" s="25" t="s">
        <v>2007</v>
      </c>
      <c r="B139" s="78">
        <v>10</v>
      </c>
      <c r="C139" s="78">
        <v>10</v>
      </c>
    </row>
    <row r="140" spans="1:3" x14ac:dyDescent="0.35">
      <c r="A140" s="25" t="s">
        <v>2154</v>
      </c>
      <c r="B140" s="78"/>
    </row>
    <row r="141" spans="1:3" x14ac:dyDescent="0.35">
      <c r="A141" s="25" t="s">
        <v>2155</v>
      </c>
      <c r="B141" s="78">
        <v>10</v>
      </c>
      <c r="C141" s="78">
        <v>10</v>
      </c>
    </row>
    <row r="142" spans="1:3" x14ac:dyDescent="0.35">
      <c r="A142" s="25" t="s">
        <v>2156</v>
      </c>
      <c r="B142" s="78">
        <v>10</v>
      </c>
      <c r="C142" s="78">
        <v>10</v>
      </c>
    </row>
    <row r="143" spans="1:3" x14ac:dyDescent="0.35">
      <c r="A143" s="25" t="s">
        <v>2157</v>
      </c>
      <c r="B143" s="78">
        <v>10</v>
      </c>
      <c r="C143" s="78">
        <v>10</v>
      </c>
    </row>
    <row r="144" spans="1:3" x14ac:dyDescent="0.35">
      <c r="A144" s="25" t="s">
        <v>2008</v>
      </c>
      <c r="B144" s="78">
        <v>10</v>
      </c>
      <c r="C144" s="78">
        <v>10</v>
      </c>
    </row>
    <row r="145" spans="1:8" x14ac:dyDescent="0.35">
      <c r="A145" s="25" t="s">
        <v>733</v>
      </c>
      <c r="B145" s="78">
        <v>10</v>
      </c>
      <c r="C145" s="78">
        <v>10</v>
      </c>
    </row>
    <row r="146" spans="1:8" x14ac:dyDescent="0.35">
      <c r="A146" s="25" t="s">
        <v>996</v>
      </c>
      <c r="B146" s="78">
        <v>10</v>
      </c>
      <c r="C146" s="78">
        <v>10</v>
      </c>
    </row>
    <row r="147" spans="1:8" x14ac:dyDescent="0.35">
      <c r="A147" s="25" t="s">
        <v>1546</v>
      </c>
      <c r="B147" s="78">
        <v>10</v>
      </c>
      <c r="C147" s="78">
        <v>10</v>
      </c>
    </row>
    <row r="148" spans="1:8" x14ac:dyDescent="0.35">
      <c r="A148" s="25" t="s">
        <v>1547</v>
      </c>
      <c r="B148" s="78">
        <v>10</v>
      </c>
      <c r="C148" s="78">
        <v>10</v>
      </c>
    </row>
    <row r="149" spans="1:8" x14ac:dyDescent="0.35">
      <c r="A149" s="25" t="s">
        <v>225</v>
      </c>
      <c r="B149" s="78">
        <v>10</v>
      </c>
      <c r="C149" s="78">
        <v>10</v>
      </c>
    </row>
    <row r="150" spans="1:8" x14ac:dyDescent="0.35">
      <c r="A150" s="25" t="s">
        <v>226</v>
      </c>
      <c r="B150" s="78">
        <v>10</v>
      </c>
      <c r="C150" s="78">
        <v>10</v>
      </c>
    </row>
    <row r="151" spans="1:8" x14ac:dyDescent="0.35">
      <c r="A151" s="25" t="s">
        <v>647</v>
      </c>
      <c r="B151" s="78" t="b">
        <v>0</v>
      </c>
      <c r="C151" s="78" t="b">
        <v>0</v>
      </c>
    </row>
    <row r="152" spans="1:8" x14ac:dyDescent="0.35">
      <c r="A152" s="25" t="s">
        <v>1728</v>
      </c>
      <c r="C152"/>
    </row>
    <row r="153" spans="1:8" x14ac:dyDescent="0.35">
      <c r="A153" s="25" t="s">
        <v>648</v>
      </c>
      <c r="B153" s="78"/>
    </row>
    <row r="154" spans="1:8" x14ac:dyDescent="0.35">
      <c r="A154" s="25" t="s">
        <v>1729</v>
      </c>
      <c r="C154"/>
    </row>
    <row r="155" spans="1:8" x14ac:dyDescent="0.35">
      <c r="A155" s="74" t="s">
        <v>706</v>
      </c>
      <c r="B155" s="78">
        <v>1</v>
      </c>
      <c r="C155" s="78">
        <v>1</v>
      </c>
    </row>
    <row r="156" spans="1:8" x14ac:dyDescent="0.35">
      <c r="A156" s="74" t="s">
        <v>707</v>
      </c>
      <c r="B156" s="78"/>
    </row>
    <row r="157" spans="1:8" x14ac:dyDescent="0.35">
      <c r="A157" s="74" t="s">
        <v>708</v>
      </c>
      <c r="B157" s="78"/>
      <c r="G157" s="25"/>
      <c r="H157" s="25"/>
    </row>
    <row r="158" spans="1:8" x14ac:dyDescent="0.35">
      <c r="A158" s="74" t="s">
        <v>709</v>
      </c>
      <c r="B158" s="78"/>
      <c r="G158" s="25"/>
      <c r="H158" s="25"/>
    </row>
    <row r="159" spans="1:8" x14ac:dyDescent="0.35">
      <c r="A159" s="25" t="s">
        <v>1493</v>
      </c>
      <c r="B159" s="78" t="b">
        <v>0</v>
      </c>
      <c r="C159" s="78" t="b">
        <v>0</v>
      </c>
      <c r="G159" s="25"/>
      <c r="H159" s="25"/>
    </row>
    <row r="160" spans="1:8" x14ac:dyDescent="0.35">
      <c r="A160" s="25" t="s">
        <v>181</v>
      </c>
      <c r="B160" s="78"/>
      <c r="G160" s="25"/>
      <c r="H160" s="25"/>
    </row>
    <row r="161" spans="1:8" x14ac:dyDescent="0.35">
      <c r="A161" s="25" t="s">
        <v>1883</v>
      </c>
      <c r="B161" s="78"/>
      <c r="G161" s="25"/>
      <c r="H161" s="25"/>
    </row>
    <row r="162" spans="1:8" x14ac:dyDescent="0.35">
      <c r="A162" s="25" t="s">
        <v>1891</v>
      </c>
      <c r="B162" s="78"/>
      <c r="G162" s="25"/>
      <c r="H162" s="25"/>
    </row>
    <row r="163" spans="1:8" x14ac:dyDescent="0.35">
      <c r="A163" s="25" t="s">
        <v>1892</v>
      </c>
      <c r="B163" s="78"/>
      <c r="G163" s="25"/>
      <c r="H163" s="25"/>
    </row>
    <row r="164" spans="1:8" x14ac:dyDescent="0.35">
      <c r="A164" s="25" t="s">
        <v>688</v>
      </c>
      <c r="B164" s="78"/>
      <c r="G164" s="25"/>
      <c r="H164" s="25"/>
    </row>
    <row r="165" spans="1:8" x14ac:dyDescent="0.35">
      <c r="A165" s="25" t="s">
        <v>689</v>
      </c>
      <c r="B165" s="78"/>
      <c r="G165" s="25"/>
      <c r="H165" s="25"/>
    </row>
    <row r="166" spans="1:8" x14ac:dyDescent="0.35">
      <c r="A166" s="25" t="s">
        <v>690</v>
      </c>
      <c r="B166" s="78"/>
      <c r="G166" s="25"/>
      <c r="H166" s="25"/>
    </row>
    <row r="167" spans="1:8" x14ac:dyDescent="0.35">
      <c r="A167" s="25" t="s">
        <v>691</v>
      </c>
      <c r="B167" s="78"/>
      <c r="G167" s="25"/>
      <c r="H167" s="25"/>
    </row>
    <row r="168" spans="1:8" x14ac:dyDescent="0.35">
      <c r="A168" s="25" t="s">
        <v>1396</v>
      </c>
      <c r="B168" s="78"/>
      <c r="G168" s="25"/>
      <c r="H168" s="25"/>
    </row>
    <row r="169" spans="1:8" x14ac:dyDescent="0.35">
      <c r="A169" s="25" t="s">
        <v>1397</v>
      </c>
      <c r="B169" s="78"/>
      <c r="G169" s="25"/>
      <c r="H169" s="25"/>
    </row>
    <row r="170" spans="1:8" x14ac:dyDescent="0.35">
      <c r="A170" s="25" t="s">
        <v>1884</v>
      </c>
      <c r="B170" s="78"/>
      <c r="G170" s="25"/>
      <c r="H170" s="25"/>
    </row>
    <row r="171" spans="1:8" x14ac:dyDescent="0.35">
      <c r="A171" s="25" t="s">
        <v>1885</v>
      </c>
      <c r="B171" s="78"/>
      <c r="G171" s="25"/>
      <c r="H171" s="25"/>
    </row>
    <row r="172" spans="1:8" x14ac:dyDescent="0.35">
      <c r="A172" s="25" t="s">
        <v>1886</v>
      </c>
      <c r="B172" s="78"/>
      <c r="G172" s="25"/>
      <c r="H172" s="25"/>
    </row>
    <row r="173" spans="1:8" x14ac:dyDescent="0.35">
      <c r="A173" s="25" t="s">
        <v>1887</v>
      </c>
      <c r="B173" s="78"/>
      <c r="G173" s="25"/>
      <c r="H173" s="25"/>
    </row>
    <row r="174" spans="1:8" x14ac:dyDescent="0.35">
      <c r="A174" s="25" t="s">
        <v>1888</v>
      </c>
      <c r="B174" s="78"/>
      <c r="G174" s="25"/>
      <c r="H174" s="25"/>
    </row>
    <row r="175" spans="1:8" x14ac:dyDescent="0.35">
      <c r="A175" s="25" t="s">
        <v>1889</v>
      </c>
      <c r="B175" s="78"/>
      <c r="G175" s="25"/>
      <c r="H175" s="25"/>
    </row>
    <row r="176" spans="1:8" x14ac:dyDescent="0.35">
      <c r="A176" s="25" t="s">
        <v>1890</v>
      </c>
      <c r="B176" s="78"/>
      <c r="G176" s="25"/>
      <c r="H176" s="25"/>
    </row>
    <row r="177" spans="1:8" x14ac:dyDescent="0.35">
      <c r="A177" s="25" t="s">
        <v>502</v>
      </c>
      <c r="B177" s="78"/>
      <c r="G177" s="25"/>
      <c r="H177" s="25"/>
    </row>
    <row r="178" spans="1:8" x14ac:dyDescent="0.35">
      <c r="A178" s="25" t="s">
        <v>503</v>
      </c>
      <c r="B178" s="78"/>
      <c r="G178" s="25"/>
      <c r="H178" s="25"/>
    </row>
    <row r="179" spans="1:8" x14ac:dyDescent="0.35">
      <c r="A179" s="25" t="s">
        <v>504</v>
      </c>
      <c r="B179" s="78"/>
      <c r="G179" s="25"/>
      <c r="H179" s="25"/>
    </row>
    <row r="180" spans="1:8" x14ac:dyDescent="0.35">
      <c r="A180" s="25" t="s">
        <v>505</v>
      </c>
      <c r="B180" s="78"/>
      <c r="G180" s="25"/>
      <c r="H180" s="25"/>
    </row>
    <row r="181" spans="1:8" x14ac:dyDescent="0.35">
      <c r="A181" s="25" t="s">
        <v>506</v>
      </c>
      <c r="B181" s="78"/>
      <c r="G181" s="25"/>
      <c r="H181" s="25"/>
    </row>
    <row r="182" spans="1:8" x14ac:dyDescent="0.35">
      <c r="A182" s="25" t="s">
        <v>507</v>
      </c>
      <c r="B182" s="78"/>
      <c r="G182" s="25"/>
      <c r="H182" s="25"/>
    </row>
    <row r="183" spans="1:8" x14ac:dyDescent="0.35">
      <c r="A183" s="25" t="s">
        <v>508</v>
      </c>
      <c r="B183" s="78"/>
      <c r="G183" s="25"/>
      <c r="H183" s="25"/>
    </row>
    <row r="184" spans="1:8" x14ac:dyDescent="0.35">
      <c r="A184" s="25" t="s">
        <v>509</v>
      </c>
      <c r="B184" s="78"/>
      <c r="G184" s="25"/>
      <c r="H184" s="25"/>
    </row>
    <row r="185" spans="1:8" x14ac:dyDescent="0.35">
      <c r="A185" s="25" t="s">
        <v>510</v>
      </c>
      <c r="B185" s="78"/>
      <c r="G185" s="25"/>
      <c r="H185" s="25"/>
    </row>
    <row r="186" spans="1:8" x14ac:dyDescent="0.35">
      <c r="A186" s="25" t="s">
        <v>511</v>
      </c>
      <c r="B186" s="78"/>
      <c r="G186" s="25"/>
      <c r="H186" s="25"/>
    </row>
    <row r="187" spans="1:8" x14ac:dyDescent="0.35">
      <c r="A187" s="25" t="s">
        <v>512</v>
      </c>
      <c r="B187" s="78"/>
      <c r="G187" s="25"/>
      <c r="H187" s="25"/>
    </row>
    <row r="188" spans="1:8" x14ac:dyDescent="0.35">
      <c r="A188" s="25" t="s">
        <v>513</v>
      </c>
      <c r="B188" s="78"/>
      <c r="G188" s="25"/>
      <c r="H188" s="25"/>
    </row>
    <row r="189" spans="1:8" x14ac:dyDescent="0.35">
      <c r="A189" s="25" t="s">
        <v>514</v>
      </c>
      <c r="B189" s="78"/>
      <c r="G189" s="25"/>
      <c r="H189" s="25"/>
    </row>
    <row r="190" spans="1:8" x14ac:dyDescent="0.35">
      <c r="A190" s="25" t="s">
        <v>515</v>
      </c>
      <c r="B190" s="78"/>
      <c r="G190" s="25"/>
      <c r="H190" s="25"/>
    </row>
    <row r="191" spans="1:8" x14ac:dyDescent="0.35">
      <c r="A191" s="25" t="s">
        <v>516</v>
      </c>
      <c r="B191" s="78"/>
      <c r="G191" s="25"/>
      <c r="H191" s="25"/>
    </row>
    <row r="192" spans="1:8" x14ac:dyDescent="0.35">
      <c r="A192" s="25" t="s">
        <v>517</v>
      </c>
      <c r="B192" s="78"/>
      <c r="G192" s="25"/>
      <c r="H192" s="25"/>
    </row>
    <row r="193" spans="1:8" x14ac:dyDescent="0.35">
      <c r="A193" s="25" t="s">
        <v>1195</v>
      </c>
      <c r="B193" s="78"/>
      <c r="G193" s="25"/>
      <c r="H193" s="25"/>
    </row>
    <row r="194" spans="1:8" x14ac:dyDescent="0.35">
      <c r="A194" s="25" t="s">
        <v>1196</v>
      </c>
      <c r="B194" s="78"/>
      <c r="G194" s="25"/>
      <c r="H194" s="25"/>
    </row>
    <row r="195" spans="1:8" x14ac:dyDescent="0.35">
      <c r="A195" s="25" t="s">
        <v>1197</v>
      </c>
      <c r="B195" s="78"/>
      <c r="G195" s="25"/>
      <c r="H195" s="25"/>
    </row>
    <row r="196" spans="1:8" x14ac:dyDescent="0.35">
      <c r="A196" s="25" t="s">
        <v>1198</v>
      </c>
      <c r="B196" s="78"/>
      <c r="G196" s="25"/>
      <c r="H196" s="25"/>
    </row>
    <row r="197" spans="1:8" x14ac:dyDescent="0.35">
      <c r="A197" s="25" t="s">
        <v>1199</v>
      </c>
      <c r="B197" s="78"/>
      <c r="G197" s="25"/>
      <c r="H197" s="25"/>
    </row>
    <row r="198" spans="1:8" x14ac:dyDescent="0.35">
      <c r="A198" s="25" t="s">
        <v>1200</v>
      </c>
      <c r="B198" s="78"/>
      <c r="G198" s="25"/>
      <c r="H198" s="25"/>
    </row>
    <row r="199" spans="1:8" x14ac:dyDescent="0.35">
      <c r="A199" s="25" t="s">
        <v>1201</v>
      </c>
      <c r="B199" s="78"/>
      <c r="G199" s="25"/>
      <c r="H199" s="25"/>
    </row>
    <row r="200" spans="1:8" x14ac:dyDescent="0.35">
      <c r="A200" s="25" t="s">
        <v>1202</v>
      </c>
      <c r="B200" s="78"/>
      <c r="G200" s="25"/>
      <c r="H200" s="25"/>
    </row>
    <row r="201" spans="1:8" x14ac:dyDescent="0.35">
      <c r="A201" s="25" t="s">
        <v>1203</v>
      </c>
      <c r="B201" s="78"/>
      <c r="G201" s="25"/>
      <c r="H201" s="25"/>
    </row>
    <row r="202" spans="1:8" x14ac:dyDescent="0.35">
      <c r="A202" s="25" t="s">
        <v>1204</v>
      </c>
      <c r="B202" s="78"/>
      <c r="G202" s="25"/>
      <c r="H202" s="25"/>
    </row>
    <row r="203" spans="1:8" x14ac:dyDescent="0.35">
      <c r="A203" s="25" t="s">
        <v>1205</v>
      </c>
      <c r="B203" s="78"/>
      <c r="G203" s="25"/>
      <c r="H203" s="25"/>
    </row>
    <row r="204" spans="1:8" x14ac:dyDescent="0.35">
      <c r="A204" s="25" t="s">
        <v>1206</v>
      </c>
      <c r="B204" s="78"/>
      <c r="G204" s="25"/>
      <c r="H204" s="25"/>
    </row>
    <row r="205" spans="1:8" x14ac:dyDescent="0.35">
      <c r="A205" s="25" t="s">
        <v>1207</v>
      </c>
      <c r="B205" s="78"/>
      <c r="G205" s="25"/>
      <c r="H205" s="25"/>
    </row>
    <row r="206" spans="1:8" x14ac:dyDescent="0.35">
      <c r="A206" s="25" t="s">
        <v>1208</v>
      </c>
      <c r="B206" s="78"/>
      <c r="G206" s="25"/>
      <c r="H206" s="25"/>
    </row>
    <row r="207" spans="1:8" x14ac:dyDescent="0.35">
      <c r="A207" s="25" t="s">
        <v>1209</v>
      </c>
      <c r="B207" s="78"/>
      <c r="G207" s="25"/>
      <c r="H207" s="25"/>
    </row>
    <row r="208" spans="1:8" x14ac:dyDescent="0.35">
      <c r="A208" s="25" t="s">
        <v>1210</v>
      </c>
      <c r="B208" s="78"/>
      <c r="G208" s="25"/>
      <c r="H208" s="25"/>
    </row>
    <row r="209" spans="1:8" x14ac:dyDescent="0.35">
      <c r="A209" s="25" t="s">
        <v>1211</v>
      </c>
      <c r="B209" s="78"/>
      <c r="G209" s="25"/>
      <c r="H209" s="25"/>
    </row>
    <row r="210" spans="1:8" x14ac:dyDescent="0.35">
      <c r="A210" s="25" t="s">
        <v>1212</v>
      </c>
      <c r="B210" s="78"/>
      <c r="G210" s="25"/>
      <c r="H210" s="25"/>
    </row>
    <row r="211" spans="1:8" x14ac:dyDescent="0.35">
      <c r="A211" s="25" t="s">
        <v>1213</v>
      </c>
      <c r="B211" s="78"/>
      <c r="G211" s="25"/>
      <c r="H211" s="25"/>
    </row>
    <row r="212" spans="1:8" x14ac:dyDescent="0.35">
      <c r="A212" s="25" t="s">
        <v>1214</v>
      </c>
      <c r="B212" s="78"/>
      <c r="G212" s="25"/>
      <c r="H212" s="25"/>
    </row>
    <row r="213" spans="1:8" x14ac:dyDescent="0.35">
      <c r="A213" s="25" t="s">
        <v>1215</v>
      </c>
      <c r="B213" s="78"/>
      <c r="G213" s="25"/>
      <c r="H213" s="25"/>
    </row>
    <row r="214" spans="1:8" x14ac:dyDescent="0.35">
      <c r="A214" s="25" t="s">
        <v>1216</v>
      </c>
      <c r="B214" s="78"/>
      <c r="G214" s="25"/>
      <c r="H214" s="25"/>
    </row>
    <row r="215" spans="1:8" x14ac:dyDescent="0.35">
      <c r="A215" s="25" t="s">
        <v>1217</v>
      </c>
      <c r="B215" s="78"/>
      <c r="G215" s="25"/>
      <c r="H215" s="25"/>
    </row>
    <row r="216" spans="1:8" x14ac:dyDescent="0.35">
      <c r="A216" s="25" t="s">
        <v>1218</v>
      </c>
      <c r="B216" s="78"/>
      <c r="G216" s="25"/>
      <c r="H216" s="25"/>
    </row>
    <row r="217" spans="1:8" x14ac:dyDescent="0.35">
      <c r="A217" s="25" t="s">
        <v>1219</v>
      </c>
      <c r="B217" s="78"/>
      <c r="G217" s="25"/>
      <c r="H217" s="25"/>
    </row>
    <row r="218" spans="1:8" x14ac:dyDescent="0.35">
      <c r="A218" s="25" t="s">
        <v>1220</v>
      </c>
      <c r="B218" s="78"/>
      <c r="G218" s="25"/>
      <c r="H218" s="25"/>
    </row>
    <row r="219" spans="1:8" x14ac:dyDescent="0.35">
      <c r="A219" s="25" t="s">
        <v>1221</v>
      </c>
      <c r="B219" s="78"/>
      <c r="G219" s="25"/>
      <c r="H219" s="25"/>
    </row>
    <row r="220" spans="1:8" x14ac:dyDescent="0.35">
      <c r="A220" s="25" t="s">
        <v>1222</v>
      </c>
      <c r="B220" s="78"/>
      <c r="G220" s="25"/>
      <c r="H220" s="25"/>
    </row>
    <row r="221" spans="1:8" x14ac:dyDescent="0.35">
      <c r="A221" s="25" t="s">
        <v>1223</v>
      </c>
      <c r="B221" s="78"/>
      <c r="G221" s="25"/>
      <c r="H221" s="25"/>
    </row>
    <row r="222" spans="1:8" x14ac:dyDescent="0.35">
      <c r="A222" s="25" t="s">
        <v>1224</v>
      </c>
      <c r="B222" s="78"/>
      <c r="G222" s="25"/>
      <c r="H222" s="25"/>
    </row>
    <row r="223" spans="1:8" x14ac:dyDescent="0.35">
      <c r="A223" s="25" t="s">
        <v>1225</v>
      </c>
      <c r="B223" s="78"/>
      <c r="G223" s="25"/>
      <c r="H223" s="25"/>
    </row>
    <row r="224" spans="1:8" x14ac:dyDescent="0.35">
      <c r="A224" s="25" t="s">
        <v>1226</v>
      </c>
      <c r="B224" s="78"/>
      <c r="G224" s="25"/>
      <c r="H224" s="25"/>
    </row>
    <row r="225" spans="1:8" x14ac:dyDescent="0.35">
      <c r="A225" s="25" t="s">
        <v>1227</v>
      </c>
      <c r="B225" s="78"/>
      <c r="G225" s="25"/>
      <c r="H225" s="25"/>
    </row>
    <row r="226" spans="1:8" x14ac:dyDescent="0.35">
      <c r="A226" s="25" t="s">
        <v>1228</v>
      </c>
      <c r="B226" s="78"/>
      <c r="G226" s="25"/>
      <c r="H226" s="25"/>
    </row>
    <row r="227" spans="1:8" x14ac:dyDescent="0.35">
      <c r="A227" s="25" t="s">
        <v>1229</v>
      </c>
      <c r="B227" s="78"/>
      <c r="G227" s="25"/>
      <c r="H227" s="25"/>
    </row>
    <row r="228" spans="1:8" x14ac:dyDescent="0.35">
      <c r="A228" s="25" t="s">
        <v>1230</v>
      </c>
      <c r="B228" s="78"/>
      <c r="G228" s="25"/>
      <c r="H228" s="25"/>
    </row>
    <row r="229" spans="1:8" x14ac:dyDescent="0.35">
      <c r="A229" s="25" t="s">
        <v>1231</v>
      </c>
      <c r="B229" s="78"/>
      <c r="G229" s="25"/>
      <c r="H229" s="25"/>
    </row>
    <row r="230" spans="1:8" x14ac:dyDescent="0.35">
      <c r="A230" s="25" t="s">
        <v>1232</v>
      </c>
      <c r="B230" s="78"/>
      <c r="G230" s="25"/>
      <c r="H230" s="25"/>
    </row>
    <row r="231" spans="1:8" x14ac:dyDescent="0.35">
      <c r="A231" s="25" t="s">
        <v>1233</v>
      </c>
      <c r="B231" s="78"/>
      <c r="G231" s="25"/>
      <c r="H231" s="25"/>
    </row>
    <row r="232" spans="1:8" x14ac:dyDescent="0.35">
      <c r="A232" s="25" t="s">
        <v>1234</v>
      </c>
      <c r="B232" s="78"/>
      <c r="G232" s="25"/>
      <c r="H232" s="25"/>
    </row>
    <row r="233" spans="1:8" x14ac:dyDescent="0.35">
      <c r="A233" s="25" t="s">
        <v>1235</v>
      </c>
      <c r="B233" s="78"/>
      <c r="G233" s="25"/>
      <c r="H233" s="25"/>
    </row>
    <row r="234" spans="1:8" x14ac:dyDescent="0.35">
      <c r="A234" s="25" t="s">
        <v>1236</v>
      </c>
      <c r="B234" s="78"/>
      <c r="G234" s="25"/>
      <c r="H234" s="25"/>
    </row>
    <row r="235" spans="1:8" x14ac:dyDescent="0.35">
      <c r="A235" s="25" t="s">
        <v>1237</v>
      </c>
      <c r="B235" s="78"/>
      <c r="G235" s="25"/>
      <c r="H235" s="25"/>
    </row>
    <row r="236" spans="1:8" x14ac:dyDescent="0.35">
      <c r="A236" s="25" t="s">
        <v>1238</v>
      </c>
      <c r="B236" s="78"/>
      <c r="G236" s="25"/>
      <c r="H236" s="25"/>
    </row>
    <row r="237" spans="1:8" x14ac:dyDescent="0.35">
      <c r="A237" s="25" t="s">
        <v>1239</v>
      </c>
      <c r="B237" s="78"/>
      <c r="G237" s="25"/>
      <c r="H237" s="25"/>
    </row>
    <row r="238" spans="1:8" x14ac:dyDescent="0.35">
      <c r="A238" s="25" t="s">
        <v>1240</v>
      </c>
      <c r="B238" s="78"/>
      <c r="G238" s="25"/>
      <c r="H238" s="25"/>
    </row>
    <row r="239" spans="1:8" x14ac:dyDescent="0.35">
      <c r="A239" s="25" t="s">
        <v>1241</v>
      </c>
      <c r="B239" s="78"/>
      <c r="G239" s="25"/>
      <c r="H239" s="25"/>
    </row>
    <row r="240" spans="1:8" x14ac:dyDescent="0.35">
      <c r="A240" s="25" t="s">
        <v>1242</v>
      </c>
      <c r="B240" s="78"/>
      <c r="G240" s="25"/>
      <c r="H240" s="25"/>
    </row>
    <row r="241" spans="1:8" x14ac:dyDescent="0.35">
      <c r="A241" s="25" t="s">
        <v>1243</v>
      </c>
      <c r="B241" s="78"/>
      <c r="G241" s="25"/>
      <c r="H241" s="25"/>
    </row>
    <row r="242" spans="1:8" x14ac:dyDescent="0.35">
      <c r="A242" s="25" t="s">
        <v>1244</v>
      </c>
      <c r="B242" s="78"/>
      <c r="G242" s="25"/>
      <c r="H242" s="25"/>
    </row>
    <row r="243" spans="1:8" x14ac:dyDescent="0.35">
      <c r="A243" s="25" t="s">
        <v>1245</v>
      </c>
      <c r="B243" s="78"/>
      <c r="G243" s="25"/>
      <c r="H243" s="25"/>
    </row>
    <row r="244" spans="1:8" x14ac:dyDescent="0.35">
      <c r="A244" s="25" t="s">
        <v>1246</v>
      </c>
      <c r="B244" s="78"/>
      <c r="G244" s="25"/>
      <c r="H244" s="25"/>
    </row>
    <row r="245" spans="1:8" x14ac:dyDescent="0.35">
      <c r="A245" s="25" t="s">
        <v>1247</v>
      </c>
      <c r="B245" s="78"/>
      <c r="G245" s="25"/>
      <c r="H245" s="25"/>
    </row>
    <row r="246" spans="1:8" x14ac:dyDescent="0.35">
      <c r="A246" s="25" t="s">
        <v>1248</v>
      </c>
      <c r="B246" s="78"/>
      <c r="G246" s="25"/>
      <c r="H246" s="25"/>
    </row>
    <row r="247" spans="1:8" x14ac:dyDescent="0.35">
      <c r="A247" s="25" t="s">
        <v>1249</v>
      </c>
      <c r="B247" s="78"/>
      <c r="G247" s="25"/>
      <c r="H247" s="25"/>
    </row>
    <row r="248" spans="1:8" x14ac:dyDescent="0.35">
      <c r="A248" s="25" t="s">
        <v>1250</v>
      </c>
      <c r="B248" s="78"/>
      <c r="G248" s="25"/>
      <c r="H248" s="25"/>
    </row>
    <row r="249" spans="1:8" x14ac:dyDescent="0.35">
      <c r="A249" s="25" t="s">
        <v>1251</v>
      </c>
      <c r="B249" s="78"/>
      <c r="G249" s="25"/>
      <c r="H249" s="25"/>
    </row>
    <row r="250" spans="1:8" x14ac:dyDescent="0.35">
      <c r="A250" s="25" t="s">
        <v>1252</v>
      </c>
      <c r="B250" s="78"/>
      <c r="G250" s="25"/>
      <c r="H250" s="25"/>
    </row>
    <row r="251" spans="1:8" x14ac:dyDescent="0.35">
      <c r="A251" s="25" t="s">
        <v>1253</v>
      </c>
      <c r="B251" s="78"/>
      <c r="G251" s="25"/>
      <c r="H251" s="25"/>
    </row>
    <row r="252" spans="1:8" x14ac:dyDescent="0.35">
      <c r="A252" s="25" t="s">
        <v>1254</v>
      </c>
      <c r="B252" s="78"/>
      <c r="G252" s="25"/>
      <c r="H252" s="25"/>
    </row>
    <row r="253" spans="1:8" x14ac:dyDescent="0.35">
      <c r="A253" s="25" t="s">
        <v>1255</v>
      </c>
      <c r="B253" s="78"/>
      <c r="G253" s="25"/>
      <c r="H253" s="25"/>
    </row>
    <row r="254" spans="1:8" x14ac:dyDescent="0.35">
      <c r="A254" s="25" t="s">
        <v>1256</v>
      </c>
      <c r="B254" s="78"/>
      <c r="G254" s="25"/>
      <c r="H254" s="25"/>
    </row>
    <row r="255" spans="1:8" x14ac:dyDescent="0.35">
      <c r="A255" s="25" t="s">
        <v>1257</v>
      </c>
      <c r="B255" s="78"/>
      <c r="G255" s="25"/>
      <c r="H255" s="25"/>
    </row>
    <row r="256" spans="1:8" x14ac:dyDescent="0.35">
      <c r="A256" s="25" t="s">
        <v>1258</v>
      </c>
      <c r="B256" s="78"/>
      <c r="G256" s="25"/>
      <c r="H256" s="25"/>
    </row>
    <row r="257" spans="1:8" x14ac:dyDescent="0.35">
      <c r="A257" s="25" t="s">
        <v>1259</v>
      </c>
      <c r="B257" s="78"/>
      <c r="G257" s="25"/>
      <c r="H257" s="25"/>
    </row>
    <row r="258" spans="1:8" x14ac:dyDescent="0.35">
      <c r="A258" s="25" t="s">
        <v>1260</v>
      </c>
      <c r="B258" s="78"/>
      <c r="G258" s="25"/>
      <c r="H258" s="25"/>
    </row>
    <row r="259" spans="1:8" x14ac:dyDescent="0.35">
      <c r="A259" s="25" t="s">
        <v>1261</v>
      </c>
      <c r="B259" s="78"/>
      <c r="G259" s="25"/>
      <c r="H259" s="25"/>
    </row>
    <row r="260" spans="1:8" x14ac:dyDescent="0.35">
      <c r="A260" s="25" t="s">
        <v>650</v>
      </c>
      <c r="B260" s="78"/>
      <c r="G260" s="25"/>
      <c r="H260" s="25"/>
    </row>
    <row r="261" spans="1:8" x14ac:dyDescent="0.35">
      <c r="A261" s="25" t="s">
        <v>651</v>
      </c>
      <c r="B261" s="78"/>
      <c r="G261" s="25"/>
      <c r="H261" s="25"/>
    </row>
    <row r="262" spans="1:8" x14ac:dyDescent="0.35">
      <c r="A262" s="25" t="s">
        <v>652</v>
      </c>
      <c r="B262" s="78"/>
      <c r="G262" s="25"/>
      <c r="H262" s="25"/>
    </row>
    <row r="263" spans="1:8" x14ac:dyDescent="0.35">
      <c r="A263" s="25" t="s">
        <v>653</v>
      </c>
      <c r="B263" s="78"/>
      <c r="G263" s="25"/>
      <c r="H263" s="25"/>
    </row>
    <row r="264" spans="1:8" x14ac:dyDescent="0.35">
      <c r="A264" s="25" t="s">
        <v>654</v>
      </c>
      <c r="B264" s="78"/>
      <c r="G264" s="25"/>
      <c r="H264" s="25"/>
    </row>
    <row r="265" spans="1:8" x14ac:dyDescent="0.35">
      <c r="A265" s="25" t="s">
        <v>655</v>
      </c>
      <c r="B265" s="78"/>
      <c r="G265" s="25"/>
      <c r="H265" s="25"/>
    </row>
    <row r="266" spans="1:8" x14ac:dyDescent="0.35">
      <c r="A266" s="25" t="s">
        <v>656</v>
      </c>
      <c r="B266" s="78"/>
      <c r="G266" s="25"/>
      <c r="H266" s="25"/>
    </row>
    <row r="267" spans="1:8" x14ac:dyDescent="0.35">
      <c r="A267" s="25" t="s">
        <v>657</v>
      </c>
      <c r="B267" s="78"/>
      <c r="G267" s="25"/>
      <c r="H267" s="25"/>
    </row>
    <row r="268" spans="1:8" x14ac:dyDescent="0.35">
      <c r="A268" s="25" t="s">
        <v>658</v>
      </c>
      <c r="B268" s="78"/>
      <c r="G268" s="25"/>
      <c r="H268" s="25"/>
    </row>
    <row r="269" spans="1:8" x14ac:dyDescent="0.35">
      <c r="A269" s="25" t="s">
        <v>1671</v>
      </c>
      <c r="B269" s="78"/>
      <c r="G269" s="25"/>
      <c r="H269" s="25"/>
    </row>
    <row r="270" spans="1:8" x14ac:dyDescent="0.35">
      <c r="A270" s="25" t="s">
        <v>414</v>
      </c>
      <c r="B270" s="78"/>
      <c r="G270" s="25"/>
      <c r="H270" s="25"/>
    </row>
    <row r="271" spans="1:8" x14ac:dyDescent="0.35">
      <c r="A271" s="25" t="s">
        <v>423</v>
      </c>
      <c r="B271" s="78"/>
      <c r="G271" s="25"/>
      <c r="H271" s="25"/>
    </row>
    <row r="272" spans="1:8" x14ac:dyDescent="0.35">
      <c r="A272" s="25" t="s">
        <v>424</v>
      </c>
      <c r="B272" s="78"/>
      <c r="G272" s="25"/>
      <c r="H272" s="25"/>
    </row>
    <row r="273" spans="1:8" x14ac:dyDescent="0.35">
      <c r="A273" s="25" t="s">
        <v>425</v>
      </c>
      <c r="B273" s="78"/>
      <c r="G273" s="25"/>
      <c r="H273" s="25"/>
    </row>
    <row r="274" spans="1:8" x14ac:dyDescent="0.35">
      <c r="A274" s="25" t="s">
        <v>426</v>
      </c>
      <c r="B274" s="78"/>
      <c r="G274" s="25"/>
      <c r="H274" s="25"/>
    </row>
    <row r="275" spans="1:8" x14ac:dyDescent="0.35">
      <c r="A275" s="25" t="s">
        <v>427</v>
      </c>
      <c r="B275" s="78"/>
      <c r="G275" s="25"/>
      <c r="H275" s="25"/>
    </row>
    <row r="276" spans="1:8" x14ac:dyDescent="0.35">
      <c r="A276" s="25" t="s">
        <v>428</v>
      </c>
      <c r="B276" s="78"/>
      <c r="G276" s="25"/>
      <c r="H276" s="25"/>
    </row>
    <row r="277" spans="1:8" x14ac:dyDescent="0.35">
      <c r="A277" s="25" t="s">
        <v>429</v>
      </c>
      <c r="B277" s="78"/>
      <c r="G277" s="25"/>
      <c r="H277" s="25"/>
    </row>
    <row r="278" spans="1:8" x14ac:dyDescent="0.35">
      <c r="A278" s="25" t="s">
        <v>1672</v>
      </c>
      <c r="B278" s="78"/>
      <c r="G278" s="25"/>
      <c r="H278" s="25"/>
    </row>
    <row r="279" spans="1:8" x14ac:dyDescent="0.35">
      <c r="A279" s="25" t="s">
        <v>1673</v>
      </c>
      <c r="B279" s="78"/>
      <c r="G279" s="25"/>
      <c r="H279" s="25"/>
    </row>
    <row r="280" spans="1:8" x14ac:dyDescent="0.35">
      <c r="A280" s="25" t="s">
        <v>1674</v>
      </c>
      <c r="B280" s="78"/>
      <c r="G280" s="25"/>
      <c r="H280" s="25"/>
    </row>
    <row r="281" spans="1:8" x14ac:dyDescent="0.35">
      <c r="A281" s="25" t="s">
        <v>1675</v>
      </c>
      <c r="B281" s="78"/>
      <c r="G281" s="25"/>
      <c r="H281" s="25"/>
    </row>
    <row r="282" spans="1:8" x14ac:dyDescent="0.35">
      <c r="A282" s="25" t="s">
        <v>1676</v>
      </c>
      <c r="B282" s="78"/>
      <c r="G282" s="25"/>
      <c r="H282" s="25"/>
    </row>
    <row r="283" spans="1:8" x14ac:dyDescent="0.35">
      <c r="A283" s="25" t="s">
        <v>1677</v>
      </c>
      <c r="B283" s="78"/>
      <c r="G283" s="25"/>
      <c r="H283" s="25"/>
    </row>
    <row r="284" spans="1:8" x14ac:dyDescent="0.35">
      <c r="A284" s="25" t="s">
        <v>410</v>
      </c>
      <c r="B284" s="78"/>
      <c r="G284" s="25"/>
      <c r="H284" s="25"/>
    </row>
    <row r="285" spans="1:8" x14ac:dyDescent="0.35">
      <c r="A285" s="25" t="s">
        <v>411</v>
      </c>
      <c r="B285" s="78"/>
      <c r="G285" s="25"/>
      <c r="H285" s="25"/>
    </row>
    <row r="286" spans="1:8" x14ac:dyDescent="0.35">
      <c r="A286" s="25" t="s">
        <v>412</v>
      </c>
      <c r="B286" s="78"/>
      <c r="G286" s="25"/>
      <c r="H286" s="25"/>
    </row>
    <row r="287" spans="1:8" x14ac:dyDescent="0.35">
      <c r="A287" s="25" t="s">
        <v>413</v>
      </c>
      <c r="B287" s="78"/>
      <c r="G287" s="25"/>
      <c r="H287" s="25"/>
    </row>
    <row r="288" spans="1:8" x14ac:dyDescent="0.35">
      <c r="A288" s="25" t="s">
        <v>415</v>
      </c>
      <c r="B288" s="78"/>
      <c r="G288" s="25"/>
      <c r="H288" s="25"/>
    </row>
    <row r="289" spans="1:8" x14ac:dyDescent="0.35">
      <c r="A289" s="25" t="s">
        <v>416</v>
      </c>
      <c r="B289" s="78"/>
      <c r="G289" s="25"/>
      <c r="H289" s="25"/>
    </row>
    <row r="290" spans="1:8" x14ac:dyDescent="0.35">
      <c r="A290" s="25" t="s">
        <v>417</v>
      </c>
      <c r="B290" s="78"/>
      <c r="G290" s="25"/>
      <c r="H290" s="25"/>
    </row>
    <row r="291" spans="1:8" x14ac:dyDescent="0.35">
      <c r="A291" s="25" t="s">
        <v>418</v>
      </c>
      <c r="B291" s="78"/>
      <c r="G291" s="25"/>
      <c r="H291" s="25"/>
    </row>
    <row r="292" spans="1:8" x14ac:dyDescent="0.35">
      <c r="A292" s="25" t="s">
        <v>419</v>
      </c>
      <c r="B292" s="78"/>
      <c r="G292" s="25"/>
      <c r="H292" s="25"/>
    </row>
    <row r="293" spans="1:8" x14ac:dyDescent="0.35">
      <c r="A293" s="25" t="s">
        <v>420</v>
      </c>
      <c r="B293" s="78"/>
      <c r="G293" s="25"/>
      <c r="H293" s="25"/>
    </row>
    <row r="294" spans="1:8" x14ac:dyDescent="0.35">
      <c r="A294" s="25" t="s">
        <v>421</v>
      </c>
      <c r="B294" s="78"/>
      <c r="G294" s="25"/>
      <c r="H294" s="25"/>
    </row>
    <row r="295" spans="1:8" x14ac:dyDescent="0.35">
      <c r="A295" s="25" t="s">
        <v>422</v>
      </c>
      <c r="B295" s="78"/>
      <c r="G295" s="25"/>
      <c r="H295" s="25"/>
    </row>
    <row r="296" spans="1:8" x14ac:dyDescent="0.35">
      <c r="A296" s="25" t="s">
        <v>484</v>
      </c>
      <c r="B296" s="78"/>
      <c r="G296" s="25"/>
      <c r="H296" s="25"/>
    </row>
    <row r="297" spans="1:8" x14ac:dyDescent="0.35">
      <c r="A297" s="25" t="s">
        <v>494</v>
      </c>
      <c r="B297" s="78"/>
      <c r="G297" s="25"/>
      <c r="H297" s="25"/>
    </row>
    <row r="298" spans="1:8" x14ac:dyDescent="0.35">
      <c r="A298" s="25" t="s">
        <v>495</v>
      </c>
      <c r="B298" s="78"/>
      <c r="G298" s="25"/>
      <c r="H298" s="25"/>
    </row>
    <row r="299" spans="1:8" x14ac:dyDescent="0.35">
      <c r="A299" s="25" t="s">
        <v>496</v>
      </c>
      <c r="B299" s="78"/>
      <c r="G299" s="25"/>
      <c r="H299" s="25"/>
    </row>
    <row r="300" spans="1:8" x14ac:dyDescent="0.35">
      <c r="A300" s="25" t="s">
        <v>497</v>
      </c>
      <c r="B300" s="78"/>
      <c r="G300" s="25"/>
      <c r="H300" s="25"/>
    </row>
    <row r="301" spans="1:8" x14ac:dyDescent="0.35">
      <c r="A301" s="25" t="s">
        <v>498</v>
      </c>
      <c r="B301" s="78"/>
      <c r="G301" s="25"/>
      <c r="H301" s="25"/>
    </row>
    <row r="302" spans="1:8" x14ac:dyDescent="0.35">
      <c r="A302" s="25" t="s">
        <v>499</v>
      </c>
      <c r="B302" s="78"/>
      <c r="G302" s="25"/>
      <c r="H302" s="25"/>
    </row>
    <row r="303" spans="1:8" x14ac:dyDescent="0.35">
      <c r="A303" s="25" t="s">
        <v>500</v>
      </c>
      <c r="B303" s="78"/>
      <c r="G303" s="25"/>
      <c r="H303" s="25"/>
    </row>
    <row r="304" spans="1:8" x14ac:dyDescent="0.35">
      <c r="A304" s="25" t="s">
        <v>501</v>
      </c>
      <c r="B304" s="78"/>
      <c r="G304" s="25"/>
      <c r="H304" s="25"/>
    </row>
    <row r="305" spans="1:8" x14ac:dyDescent="0.35">
      <c r="A305" s="25" t="s">
        <v>485</v>
      </c>
      <c r="B305" s="78"/>
      <c r="G305" s="25"/>
      <c r="H305" s="25"/>
    </row>
    <row r="306" spans="1:8" x14ac:dyDescent="0.35">
      <c r="A306" s="25" t="s">
        <v>486</v>
      </c>
      <c r="B306" s="78"/>
      <c r="G306" s="25"/>
      <c r="H306" s="25"/>
    </row>
    <row r="307" spans="1:8" x14ac:dyDescent="0.35">
      <c r="A307" s="25" t="s">
        <v>487</v>
      </c>
      <c r="B307" s="78"/>
      <c r="G307" s="25"/>
      <c r="H307" s="25"/>
    </row>
    <row r="308" spans="1:8" x14ac:dyDescent="0.35">
      <c r="A308" s="25" t="s">
        <v>488</v>
      </c>
      <c r="B308" s="78"/>
      <c r="G308" s="25"/>
      <c r="H308" s="25"/>
    </row>
    <row r="309" spans="1:8" x14ac:dyDescent="0.35">
      <c r="A309" s="25" t="s">
        <v>489</v>
      </c>
      <c r="B309" s="78"/>
      <c r="G309" s="25"/>
      <c r="H309" s="25"/>
    </row>
    <row r="310" spans="1:8" x14ac:dyDescent="0.35">
      <c r="A310" s="25" t="s">
        <v>490</v>
      </c>
      <c r="B310" s="78"/>
      <c r="G310" s="25"/>
      <c r="H310" s="25"/>
    </row>
    <row r="311" spans="1:8" x14ac:dyDescent="0.35">
      <c r="A311" s="25" t="s">
        <v>491</v>
      </c>
      <c r="B311" s="78"/>
      <c r="G311" s="25"/>
      <c r="H311" s="25"/>
    </row>
    <row r="312" spans="1:8" x14ac:dyDescent="0.35">
      <c r="A312" s="25" t="s">
        <v>492</v>
      </c>
      <c r="B312" s="78"/>
      <c r="G312" s="25"/>
      <c r="H312" s="25"/>
    </row>
    <row r="313" spans="1:8" x14ac:dyDescent="0.35">
      <c r="A313" s="25" t="s">
        <v>493</v>
      </c>
      <c r="B313" s="78"/>
      <c r="G313" s="25"/>
      <c r="H313" s="25"/>
    </row>
    <row r="314" spans="1:8" x14ac:dyDescent="0.35">
      <c r="A314" s="25" t="s">
        <v>430</v>
      </c>
      <c r="B314" s="78"/>
      <c r="G314" s="25"/>
      <c r="H314" s="25"/>
    </row>
    <row r="315" spans="1:8" x14ac:dyDescent="0.35">
      <c r="A315" s="25" t="s">
        <v>431</v>
      </c>
      <c r="B315" s="78"/>
      <c r="G315" s="25"/>
      <c r="H315" s="25"/>
    </row>
    <row r="316" spans="1:8" x14ac:dyDescent="0.35">
      <c r="A316" s="25" t="s">
        <v>432</v>
      </c>
      <c r="B316" s="78"/>
      <c r="G316" s="25"/>
      <c r="H316" s="25"/>
    </row>
    <row r="317" spans="1:8" x14ac:dyDescent="0.35">
      <c r="A317" s="25" t="s">
        <v>433</v>
      </c>
      <c r="B317" s="78"/>
      <c r="G317" s="25"/>
      <c r="H317" s="25"/>
    </row>
    <row r="318" spans="1:8" x14ac:dyDescent="0.35">
      <c r="A318" s="25" t="s">
        <v>434</v>
      </c>
      <c r="B318" s="78"/>
      <c r="G318" s="25"/>
      <c r="H318" s="25"/>
    </row>
    <row r="319" spans="1:8" x14ac:dyDescent="0.35">
      <c r="A319" s="25" t="s">
        <v>435</v>
      </c>
      <c r="B319" s="78"/>
      <c r="G319" s="25"/>
      <c r="H319" s="25"/>
    </row>
    <row r="320" spans="1:8" x14ac:dyDescent="0.35">
      <c r="A320" s="25" t="s">
        <v>436</v>
      </c>
      <c r="B320" s="78"/>
      <c r="G320" s="25"/>
      <c r="H320" s="25"/>
    </row>
    <row r="321" spans="1:8" x14ac:dyDescent="0.35">
      <c r="A321" s="25" t="s">
        <v>437</v>
      </c>
      <c r="B321" s="78"/>
      <c r="G321" s="25"/>
      <c r="H321" s="25"/>
    </row>
    <row r="322" spans="1:8" x14ac:dyDescent="0.35">
      <c r="A322" s="25" t="s">
        <v>1103</v>
      </c>
      <c r="B322" s="78"/>
      <c r="G322" s="25"/>
      <c r="H322" s="25"/>
    </row>
    <row r="323" spans="1:8" x14ac:dyDescent="0.35">
      <c r="A323" s="25" t="s">
        <v>0</v>
      </c>
      <c r="B323" s="78"/>
      <c r="G323" s="25"/>
      <c r="H323" s="25"/>
    </row>
    <row r="324" spans="1:8" x14ac:dyDescent="0.35">
      <c r="A324" s="25" t="s">
        <v>10</v>
      </c>
      <c r="B324" s="78"/>
      <c r="G324" s="25"/>
      <c r="H324" s="25"/>
    </row>
    <row r="325" spans="1:8" x14ac:dyDescent="0.35">
      <c r="A325" s="25" t="s">
        <v>11</v>
      </c>
      <c r="B325" s="78"/>
      <c r="G325" s="25"/>
      <c r="H325" s="25"/>
    </row>
    <row r="326" spans="1:8" x14ac:dyDescent="0.35">
      <c r="A326" s="25" t="s">
        <v>12</v>
      </c>
      <c r="B326" s="78"/>
      <c r="G326" s="25"/>
      <c r="H326" s="25"/>
    </row>
    <row r="327" spans="1:8" x14ac:dyDescent="0.35">
      <c r="A327" s="25" t="s">
        <v>13</v>
      </c>
      <c r="B327" s="78"/>
      <c r="G327" s="25"/>
      <c r="H327" s="25"/>
    </row>
    <row r="328" spans="1:8" x14ac:dyDescent="0.35">
      <c r="A328" s="25" t="s">
        <v>14</v>
      </c>
      <c r="B328" s="78"/>
      <c r="G328" s="25"/>
      <c r="H328" s="25"/>
    </row>
    <row r="329" spans="1:8" x14ac:dyDescent="0.35">
      <c r="A329" s="25" t="s">
        <v>15</v>
      </c>
      <c r="B329" s="78"/>
      <c r="G329" s="25"/>
      <c r="H329" s="25"/>
    </row>
    <row r="330" spans="1:8" x14ac:dyDescent="0.35">
      <c r="A330" s="25" t="s">
        <v>16</v>
      </c>
      <c r="B330" s="78"/>
      <c r="G330" s="25"/>
      <c r="H330" s="25"/>
    </row>
    <row r="331" spans="1:8" x14ac:dyDescent="0.35">
      <c r="A331" s="25" t="s">
        <v>17</v>
      </c>
      <c r="B331" s="78"/>
      <c r="G331" s="25"/>
      <c r="H331" s="25"/>
    </row>
    <row r="332" spans="1:8" x14ac:dyDescent="0.35">
      <c r="A332" s="25" t="s">
        <v>1</v>
      </c>
      <c r="B332" s="78"/>
      <c r="G332" s="25"/>
      <c r="H332" s="25"/>
    </row>
    <row r="333" spans="1:8" x14ac:dyDescent="0.35">
      <c r="A333" s="25" t="s">
        <v>2</v>
      </c>
      <c r="B333" s="78"/>
      <c r="G333" s="25"/>
      <c r="H333" s="25"/>
    </row>
    <row r="334" spans="1:8" x14ac:dyDescent="0.35">
      <c r="A334" s="25" t="s">
        <v>3</v>
      </c>
      <c r="B334" s="78"/>
      <c r="G334" s="25"/>
      <c r="H334" s="25"/>
    </row>
    <row r="335" spans="1:8" x14ac:dyDescent="0.35">
      <c r="A335" s="25" t="s">
        <v>4</v>
      </c>
      <c r="B335" s="78"/>
      <c r="G335" s="25"/>
      <c r="H335" s="25"/>
    </row>
    <row r="336" spans="1:8" x14ac:dyDescent="0.35">
      <c r="A336" s="25" t="s">
        <v>5</v>
      </c>
      <c r="B336" s="78"/>
      <c r="G336" s="25"/>
      <c r="H336" s="25"/>
    </row>
    <row r="337" spans="1:8" x14ac:dyDescent="0.35">
      <c r="A337" s="25" t="s">
        <v>6</v>
      </c>
      <c r="B337" s="78"/>
      <c r="G337" s="25"/>
      <c r="H337" s="25"/>
    </row>
    <row r="338" spans="1:8" x14ac:dyDescent="0.35">
      <c r="A338" s="25" t="s">
        <v>7</v>
      </c>
      <c r="B338" s="78"/>
      <c r="G338" s="25"/>
      <c r="H338" s="25"/>
    </row>
    <row r="339" spans="1:8" x14ac:dyDescent="0.35">
      <c r="A339" s="25" t="s">
        <v>8</v>
      </c>
      <c r="B339" s="78"/>
      <c r="G339" s="25"/>
      <c r="H339" s="25"/>
    </row>
    <row r="340" spans="1:8" x14ac:dyDescent="0.35">
      <c r="A340" s="25" t="s">
        <v>9</v>
      </c>
      <c r="B340" s="78"/>
      <c r="G340" s="25"/>
      <c r="H340" s="25"/>
    </row>
    <row r="341" spans="1:8" x14ac:dyDescent="0.35">
      <c r="A341" s="25" t="s">
        <v>1104</v>
      </c>
      <c r="B341" s="78"/>
      <c r="G341" s="25"/>
      <c r="H341" s="25"/>
    </row>
    <row r="342" spans="1:8" x14ac:dyDescent="0.35">
      <c r="A342" s="25" t="s">
        <v>1105</v>
      </c>
      <c r="B342" s="78"/>
      <c r="G342" s="25"/>
      <c r="H342" s="25"/>
    </row>
    <row r="343" spans="1:8" x14ac:dyDescent="0.35">
      <c r="A343" s="25" t="s">
        <v>1106</v>
      </c>
      <c r="B343" s="78"/>
      <c r="G343" s="25"/>
      <c r="H343" s="25"/>
    </row>
    <row r="344" spans="1:8" x14ac:dyDescent="0.35">
      <c r="A344" s="25" t="s">
        <v>1107</v>
      </c>
      <c r="B344" s="78"/>
      <c r="G344" s="25"/>
      <c r="H344" s="25"/>
    </row>
    <row r="345" spans="1:8" x14ac:dyDescent="0.35">
      <c r="A345" s="25" t="s">
        <v>1108</v>
      </c>
      <c r="B345" s="78"/>
      <c r="G345" s="25"/>
      <c r="H345" s="25"/>
    </row>
    <row r="346" spans="1:8" x14ac:dyDescent="0.35">
      <c r="A346" s="25" t="s">
        <v>1109</v>
      </c>
      <c r="B346" s="78"/>
      <c r="G346" s="25"/>
      <c r="H346" s="25"/>
    </row>
    <row r="347" spans="1:8" x14ac:dyDescent="0.35">
      <c r="A347" s="25" t="s">
        <v>1110</v>
      </c>
      <c r="B347" s="78"/>
      <c r="G347" s="25"/>
      <c r="H347" s="25"/>
    </row>
    <row r="348" spans="1:8" x14ac:dyDescent="0.35">
      <c r="A348" s="25" t="s">
        <v>1111</v>
      </c>
      <c r="B348" s="78"/>
      <c r="G348" s="25"/>
      <c r="H348" s="25"/>
    </row>
    <row r="349" spans="1:8" x14ac:dyDescent="0.35">
      <c r="A349" s="25" t="s">
        <v>1112</v>
      </c>
      <c r="B349" s="78"/>
      <c r="G349" s="25"/>
      <c r="H349" s="25"/>
    </row>
    <row r="350" spans="1:8" x14ac:dyDescent="0.35">
      <c r="A350" s="25" t="s">
        <v>632</v>
      </c>
      <c r="B350" s="78">
        <v>80</v>
      </c>
      <c r="C350" s="78">
        <v>80</v>
      </c>
      <c r="G350" s="25"/>
      <c r="H350" s="25"/>
    </row>
    <row r="351" spans="1:8" x14ac:dyDescent="0.35">
      <c r="A351" s="25" t="s">
        <v>1615</v>
      </c>
      <c r="B351" s="78">
        <v>0</v>
      </c>
      <c r="C351" s="78">
        <v>0</v>
      </c>
      <c r="G351" s="25"/>
      <c r="H351" s="25"/>
    </row>
    <row r="352" spans="1:8" x14ac:dyDescent="0.35">
      <c r="A352" s="25" t="s">
        <v>218</v>
      </c>
      <c r="B352" s="78"/>
      <c r="G352" s="25"/>
      <c r="H352" s="25"/>
    </row>
    <row r="353" spans="1:8" x14ac:dyDescent="0.35">
      <c r="A353" s="25" t="s">
        <v>219</v>
      </c>
      <c r="B353" s="78"/>
      <c r="G353" s="25"/>
      <c r="H353" s="25"/>
    </row>
    <row r="354" spans="1:8" x14ac:dyDescent="0.35">
      <c r="A354" s="25" t="s">
        <v>776</v>
      </c>
      <c r="B354" s="78"/>
      <c r="G354" s="25"/>
      <c r="H354" s="25"/>
    </row>
    <row r="355" spans="1:8" x14ac:dyDescent="0.35">
      <c r="A355" s="25" t="s">
        <v>711</v>
      </c>
      <c r="B355" s="78"/>
      <c r="G355" s="25"/>
      <c r="H355" s="25"/>
    </row>
    <row r="356" spans="1:8" x14ac:dyDescent="0.35">
      <c r="A356" s="25" t="s">
        <v>712</v>
      </c>
      <c r="B356" s="78"/>
      <c r="G356" s="25"/>
      <c r="H356" s="25"/>
    </row>
    <row r="357" spans="1:8" x14ac:dyDescent="0.35">
      <c r="A357" s="25" t="s">
        <v>713</v>
      </c>
      <c r="B357" s="78"/>
      <c r="G357" s="25"/>
      <c r="H357" s="25"/>
    </row>
    <row r="358" spans="1:8" x14ac:dyDescent="0.35">
      <c r="A358" s="25" t="s">
        <v>368</v>
      </c>
      <c r="B358" s="78"/>
      <c r="G358" s="25"/>
      <c r="H358" s="25"/>
    </row>
    <row r="359" spans="1:8" x14ac:dyDescent="0.35">
      <c r="A359" s="25" t="s">
        <v>369</v>
      </c>
      <c r="B359" s="78"/>
      <c r="G359" s="25"/>
      <c r="H359" s="25"/>
    </row>
    <row r="360" spans="1:8" x14ac:dyDescent="0.35">
      <c r="A360" s="25" t="s">
        <v>370</v>
      </c>
      <c r="B360" s="78"/>
      <c r="G360" s="25"/>
      <c r="H360" s="25"/>
    </row>
    <row r="361" spans="1:8" x14ac:dyDescent="0.35">
      <c r="A361" s="25" t="s">
        <v>1585</v>
      </c>
      <c r="B361" s="78"/>
      <c r="G361" s="25"/>
      <c r="H361" s="25"/>
    </row>
    <row r="362" spans="1:8" x14ac:dyDescent="0.35">
      <c r="A362" s="25" t="s">
        <v>1586</v>
      </c>
      <c r="B362" s="78"/>
      <c r="G362" s="25"/>
      <c r="H362" s="25"/>
    </row>
    <row r="363" spans="1:8" x14ac:dyDescent="0.35">
      <c r="A363" s="25" t="s">
        <v>1587</v>
      </c>
      <c r="B363" s="78"/>
      <c r="G363" s="25"/>
      <c r="H363" s="25"/>
    </row>
    <row r="364" spans="1:8" x14ac:dyDescent="0.35">
      <c r="A364" s="25" t="s">
        <v>1588</v>
      </c>
      <c r="B364" s="78"/>
      <c r="G364" s="25"/>
      <c r="H364" s="25"/>
    </row>
    <row r="365" spans="1:8" x14ac:dyDescent="0.35">
      <c r="A365" s="25" t="s">
        <v>1589</v>
      </c>
      <c r="B365" s="78"/>
      <c r="G365" s="25"/>
      <c r="H365" s="25"/>
    </row>
    <row r="366" spans="1:8" x14ac:dyDescent="0.35">
      <c r="A366" s="25" t="s">
        <v>1179</v>
      </c>
      <c r="B366" s="78"/>
      <c r="G366" s="25"/>
      <c r="H366" s="25"/>
    </row>
    <row r="367" spans="1:8" x14ac:dyDescent="0.35">
      <c r="A367" s="25" t="s">
        <v>1180</v>
      </c>
      <c r="B367" s="78"/>
      <c r="G367" s="25"/>
      <c r="H367" s="25"/>
    </row>
    <row r="368" spans="1:8" x14ac:dyDescent="0.35">
      <c r="A368" s="25" t="s">
        <v>1181</v>
      </c>
      <c r="B368" s="78"/>
      <c r="G368" s="25"/>
      <c r="H368" s="25"/>
    </row>
    <row r="369" spans="1:8" x14ac:dyDescent="0.35">
      <c r="A369" s="25" t="s">
        <v>1182</v>
      </c>
      <c r="B369" s="78"/>
      <c r="G369" s="25"/>
      <c r="H369" s="25"/>
    </row>
    <row r="370" spans="1:8" x14ac:dyDescent="0.35">
      <c r="A370" s="25" t="s">
        <v>1382</v>
      </c>
      <c r="B370" s="78"/>
      <c r="G370" s="25"/>
      <c r="H370" s="25"/>
    </row>
    <row r="371" spans="1:8" x14ac:dyDescent="0.35">
      <c r="A371" s="25" t="s">
        <v>1383</v>
      </c>
      <c r="B371" s="78"/>
      <c r="G371" s="25"/>
      <c r="H371" s="25"/>
    </row>
    <row r="372" spans="1:8" x14ac:dyDescent="0.35">
      <c r="A372" s="25" t="s">
        <v>720</v>
      </c>
      <c r="B372" s="78"/>
      <c r="G372" s="25"/>
      <c r="H372" s="25"/>
    </row>
    <row r="373" spans="1:8" x14ac:dyDescent="0.35">
      <c r="A373" s="25" t="s">
        <v>721</v>
      </c>
      <c r="B373" s="78"/>
      <c r="G373" s="25"/>
      <c r="H373" s="25"/>
    </row>
    <row r="374" spans="1:8" x14ac:dyDescent="0.35">
      <c r="A374" s="25" t="s">
        <v>722</v>
      </c>
      <c r="B374" s="78"/>
      <c r="G374" s="25"/>
      <c r="H374" s="25"/>
    </row>
    <row r="375" spans="1:8" x14ac:dyDescent="0.35">
      <c r="A375" s="25" t="s">
        <v>723</v>
      </c>
      <c r="B375" s="78"/>
      <c r="G375" s="25"/>
      <c r="H375" s="25"/>
    </row>
    <row r="376" spans="1:8" x14ac:dyDescent="0.35">
      <c r="A376" s="25" t="s">
        <v>724</v>
      </c>
      <c r="B376" s="78"/>
      <c r="G376" s="25"/>
      <c r="H376" s="25"/>
    </row>
    <row r="377" spans="1:8" x14ac:dyDescent="0.35">
      <c r="A377" s="25" t="s">
        <v>725</v>
      </c>
      <c r="B377" s="78"/>
      <c r="G377" s="25"/>
      <c r="H377" s="25"/>
    </row>
    <row r="378" spans="1:8" x14ac:dyDescent="0.35">
      <c r="A378" s="25" t="s">
        <v>1590</v>
      </c>
      <c r="B378" s="78"/>
      <c r="G378" s="25"/>
      <c r="H378" s="25"/>
    </row>
    <row r="379" spans="1:8" x14ac:dyDescent="0.35">
      <c r="A379" s="25" t="s">
        <v>1591</v>
      </c>
      <c r="B379" s="78"/>
      <c r="G379" s="25"/>
      <c r="H379" s="25"/>
    </row>
    <row r="380" spans="1:8" x14ac:dyDescent="0.35">
      <c r="A380" s="25" t="s">
        <v>1592</v>
      </c>
      <c r="B380" s="78"/>
      <c r="G380" s="25"/>
      <c r="H380" s="25"/>
    </row>
    <row r="381" spans="1:8" x14ac:dyDescent="0.35">
      <c r="A381" s="25" t="s">
        <v>1593</v>
      </c>
      <c r="B381" s="78"/>
      <c r="G381" s="25"/>
      <c r="H381" s="25"/>
    </row>
    <row r="382" spans="1:8" x14ac:dyDescent="0.35">
      <c r="A382" s="25" t="s">
        <v>1036</v>
      </c>
      <c r="B382" s="78"/>
      <c r="G382" s="25"/>
      <c r="H382" s="25"/>
    </row>
    <row r="383" spans="1:8" x14ac:dyDescent="0.35">
      <c r="A383" s="25" t="s">
        <v>1037</v>
      </c>
      <c r="B383" s="78"/>
      <c r="G383" s="25"/>
      <c r="H383" s="25"/>
    </row>
    <row r="384" spans="1:8" x14ac:dyDescent="0.35">
      <c r="A384" s="25" t="s">
        <v>1038</v>
      </c>
      <c r="B384" s="78"/>
      <c r="G384" s="25"/>
      <c r="H384" s="25"/>
    </row>
    <row r="385" spans="1:8" x14ac:dyDescent="0.35">
      <c r="A385" s="25" t="s">
        <v>2096</v>
      </c>
      <c r="B385" s="78"/>
      <c r="G385" s="25"/>
      <c r="H385" s="25"/>
    </row>
    <row r="386" spans="1:8" x14ac:dyDescent="0.35">
      <c r="A386" s="25" t="s">
        <v>786</v>
      </c>
      <c r="B386" s="78"/>
      <c r="G386" s="25"/>
      <c r="H386" s="25"/>
    </row>
    <row r="387" spans="1:8" x14ac:dyDescent="0.35">
      <c r="A387" s="25" t="s">
        <v>787</v>
      </c>
      <c r="B387" s="78"/>
      <c r="G387" s="25"/>
      <c r="H387" s="25"/>
    </row>
    <row r="388" spans="1:8" x14ac:dyDescent="0.35">
      <c r="A388" s="25" t="s">
        <v>788</v>
      </c>
      <c r="B388" s="78"/>
      <c r="G388" s="25"/>
      <c r="H388" s="25"/>
    </row>
    <row r="389" spans="1:8" x14ac:dyDescent="0.35">
      <c r="A389" s="25" t="s">
        <v>1894</v>
      </c>
      <c r="B389" s="78"/>
      <c r="G389" s="25"/>
      <c r="H389" s="25"/>
    </row>
    <row r="390" spans="1:8" x14ac:dyDescent="0.35">
      <c r="A390" s="25" t="s">
        <v>1895</v>
      </c>
      <c r="B390" s="78"/>
      <c r="G390" s="25"/>
      <c r="H390" s="25"/>
    </row>
    <row r="391" spans="1:8" x14ac:dyDescent="0.35">
      <c r="A391" s="25" t="s">
        <v>1896</v>
      </c>
      <c r="B391" s="78"/>
      <c r="G391" s="25"/>
      <c r="H391" s="25"/>
    </row>
    <row r="392" spans="1:8" x14ac:dyDescent="0.35">
      <c r="A392" s="25" t="s">
        <v>1897</v>
      </c>
      <c r="B392" s="78">
        <v>1</v>
      </c>
      <c r="C392" s="78">
        <v>1</v>
      </c>
      <c r="G392" s="25"/>
      <c r="H392" s="25"/>
    </row>
    <row r="393" spans="1:8" x14ac:dyDescent="0.35">
      <c r="A393" s="25" t="s">
        <v>1898</v>
      </c>
      <c r="B393" s="78">
        <v>1</v>
      </c>
      <c r="C393" s="78">
        <v>1</v>
      </c>
      <c r="G393" s="25"/>
      <c r="H393" s="25"/>
    </row>
    <row r="394" spans="1:8" x14ac:dyDescent="0.35">
      <c r="A394" s="25" t="s">
        <v>1899</v>
      </c>
      <c r="B394" s="78"/>
      <c r="G394" s="25"/>
      <c r="H394" s="25"/>
    </row>
    <row r="395" spans="1:8" x14ac:dyDescent="0.35">
      <c r="A395" s="25" t="s">
        <v>1900</v>
      </c>
      <c r="B395" s="78"/>
      <c r="G395" s="25"/>
      <c r="H395" s="25"/>
    </row>
    <row r="396" spans="1:8" x14ac:dyDescent="0.35">
      <c r="A396" s="25" t="s">
        <v>1901</v>
      </c>
      <c r="B396" s="78"/>
      <c r="G396" s="25"/>
      <c r="H396" s="25"/>
    </row>
    <row r="397" spans="1:8" x14ac:dyDescent="0.35">
      <c r="A397" s="25" t="s">
        <v>1979</v>
      </c>
      <c r="B397" s="78"/>
      <c r="G397" s="25"/>
      <c r="H397" s="25"/>
    </row>
    <row r="398" spans="1:8" x14ac:dyDescent="0.35">
      <c r="A398" s="25" t="s">
        <v>1980</v>
      </c>
      <c r="B398" s="78"/>
      <c r="G398" s="25"/>
      <c r="H398" s="25"/>
    </row>
    <row r="399" spans="1:8" x14ac:dyDescent="0.35">
      <c r="A399" s="25" t="s">
        <v>1981</v>
      </c>
      <c r="B399" s="78">
        <v>1</v>
      </c>
      <c r="C399" s="78">
        <v>1</v>
      </c>
      <c r="G399" s="25"/>
      <c r="H399" s="25"/>
    </row>
    <row r="400" spans="1:8" x14ac:dyDescent="0.35">
      <c r="A400" s="25" t="s">
        <v>1982</v>
      </c>
      <c r="B400" s="78">
        <v>1</v>
      </c>
      <c r="C400" s="78">
        <v>1</v>
      </c>
      <c r="G400" s="25"/>
      <c r="H400" s="25"/>
    </row>
    <row r="401" spans="1:8" x14ac:dyDescent="0.35">
      <c r="A401" s="25" t="s">
        <v>1983</v>
      </c>
      <c r="B401" s="78">
        <v>1</v>
      </c>
      <c r="C401" s="78">
        <v>1</v>
      </c>
      <c r="G401" s="25"/>
      <c r="H401" s="25"/>
    </row>
    <row r="402" spans="1:8" x14ac:dyDescent="0.35">
      <c r="A402" s="25" t="s">
        <v>1984</v>
      </c>
      <c r="B402" s="78">
        <v>1</v>
      </c>
      <c r="C402" s="78">
        <v>1</v>
      </c>
      <c r="G402" s="25"/>
      <c r="H402" s="25"/>
    </row>
    <row r="403" spans="1:8" x14ac:dyDescent="0.35">
      <c r="A403" s="25" t="s">
        <v>1985</v>
      </c>
      <c r="B403" s="78">
        <v>1</v>
      </c>
      <c r="C403" s="78">
        <v>1</v>
      </c>
      <c r="G403" s="25"/>
      <c r="H403" s="25"/>
    </row>
    <row r="404" spans="1:8" x14ac:dyDescent="0.35">
      <c r="A404" s="25" t="s">
        <v>1060</v>
      </c>
      <c r="B404" s="78">
        <v>1</v>
      </c>
      <c r="C404" s="78">
        <v>1</v>
      </c>
      <c r="G404" s="25"/>
      <c r="H404" s="25"/>
    </row>
    <row r="405" spans="1:8" x14ac:dyDescent="0.35">
      <c r="A405" s="25" t="s">
        <v>1061</v>
      </c>
      <c r="B405" s="78">
        <v>1</v>
      </c>
      <c r="C405" s="78">
        <v>1</v>
      </c>
      <c r="G405" s="25"/>
      <c r="H405" s="25"/>
    </row>
    <row r="406" spans="1:8" x14ac:dyDescent="0.35">
      <c r="A406" s="25" t="s">
        <v>1062</v>
      </c>
      <c r="B406" s="78">
        <v>1</v>
      </c>
      <c r="C406" s="78">
        <v>1</v>
      </c>
      <c r="G406" s="25"/>
      <c r="H406" s="25"/>
    </row>
    <row r="407" spans="1:8" x14ac:dyDescent="0.35">
      <c r="A407" s="25" t="s">
        <v>1063</v>
      </c>
      <c r="B407" s="78"/>
      <c r="G407" s="25"/>
      <c r="H407" s="25"/>
    </row>
    <row r="408" spans="1:8" x14ac:dyDescent="0.35">
      <c r="A408" s="25" t="s">
        <v>1064</v>
      </c>
      <c r="B408" s="78"/>
      <c r="G408" s="25"/>
      <c r="H408" s="25"/>
    </row>
    <row r="409" spans="1:8" x14ac:dyDescent="0.35">
      <c r="A409" s="25" t="s">
        <v>1065</v>
      </c>
      <c r="B409" s="78"/>
      <c r="G409" s="25"/>
      <c r="H409" s="25"/>
    </row>
    <row r="410" spans="1:8" x14ac:dyDescent="0.35">
      <c r="A410" s="25" t="s">
        <v>1066</v>
      </c>
      <c r="B410" s="78"/>
      <c r="G410" s="25"/>
      <c r="H410" s="25"/>
    </row>
    <row r="411" spans="1:8" x14ac:dyDescent="0.35">
      <c r="A411" s="25" t="s">
        <v>1067</v>
      </c>
      <c r="B411" s="78"/>
      <c r="G411" s="25"/>
      <c r="H411" s="25"/>
    </row>
    <row r="412" spans="1:8" x14ac:dyDescent="0.35">
      <c r="A412" s="25" t="s">
        <v>1068</v>
      </c>
      <c r="B412" s="78"/>
      <c r="G412" s="25"/>
      <c r="H412" s="25"/>
    </row>
    <row r="413" spans="1:8" x14ac:dyDescent="0.35">
      <c r="A413" s="25" t="s">
        <v>1069</v>
      </c>
      <c r="B413" s="78">
        <v>50</v>
      </c>
      <c r="C413" s="78">
        <v>50</v>
      </c>
      <c r="G413" s="25"/>
      <c r="H413" s="25"/>
    </row>
    <row r="414" spans="1:8" x14ac:dyDescent="0.35">
      <c r="A414" s="25" t="s">
        <v>1070</v>
      </c>
      <c r="B414" s="78">
        <v>50</v>
      </c>
      <c r="C414" s="78">
        <v>50</v>
      </c>
      <c r="G414" s="25"/>
      <c r="H414" s="25"/>
    </row>
    <row r="415" spans="1:8" x14ac:dyDescent="0.35">
      <c r="A415" s="25" t="s">
        <v>1087</v>
      </c>
      <c r="B415" s="78">
        <v>50</v>
      </c>
      <c r="C415" s="78">
        <v>50</v>
      </c>
      <c r="G415" s="25"/>
      <c r="H415" s="25"/>
    </row>
    <row r="416" spans="1:8" x14ac:dyDescent="0.35">
      <c r="A416" s="25" t="s">
        <v>2087</v>
      </c>
      <c r="B416" s="78">
        <v>50</v>
      </c>
      <c r="C416" s="78">
        <v>50</v>
      </c>
      <c r="G416" s="25"/>
      <c r="H416" s="25"/>
    </row>
    <row r="417" spans="1:8" x14ac:dyDescent="0.35">
      <c r="A417" s="25" t="s">
        <v>2088</v>
      </c>
      <c r="B417" s="78">
        <v>50</v>
      </c>
      <c r="C417" s="78">
        <v>50</v>
      </c>
      <c r="G417" s="25"/>
      <c r="H417" s="25"/>
    </row>
    <row r="418" spans="1:8" x14ac:dyDescent="0.35">
      <c r="A418" t="s">
        <v>349</v>
      </c>
      <c r="B418" s="78">
        <v>50</v>
      </c>
      <c r="C418" s="78">
        <v>50</v>
      </c>
      <c r="G418" s="25"/>
      <c r="H418" s="25"/>
    </row>
    <row r="419" spans="1:8" x14ac:dyDescent="0.35">
      <c r="A419" t="s">
        <v>350</v>
      </c>
      <c r="B419" s="78">
        <v>50</v>
      </c>
      <c r="C419" s="78">
        <v>50</v>
      </c>
      <c r="G419" s="25"/>
      <c r="H419" s="25"/>
    </row>
    <row r="420" spans="1:8" x14ac:dyDescent="0.35">
      <c r="A420" t="s">
        <v>1541</v>
      </c>
      <c r="B420" s="78">
        <v>50</v>
      </c>
      <c r="C420" s="78">
        <v>50</v>
      </c>
      <c r="G420" s="25"/>
      <c r="H420" s="25"/>
    </row>
    <row r="421" spans="1:8" x14ac:dyDescent="0.35">
      <c r="A421" t="s">
        <v>66</v>
      </c>
      <c r="B421" s="78"/>
      <c r="G421" s="25"/>
      <c r="H421" s="25"/>
    </row>
    <row r="422" spans="1:8" x14ac:dyDescent="0.35">
      <c r="A422" t="s">
        <v>67</v>
      </c>
      <c r="B422" s="78">
        <v>50</v>
      </c>
      <c r="C422" s="78">
        <v>50</v>
      </c>
      <c r="G422" s="25"/>
      <c r="H422" s="25"/>
    </row>
    <row r="423" spans="1:8" x14ac:dyDescent="0.35">
      <c r="A423" t="s">
        <v>68</v>
      </c>
      <c r="B423" s="78"/>
      <c r="G423" s="25"/>
      <c r="H423" s="25"/>
    </row>
    <row r="424" spans="1:8" x14ac:dyDescent="0.35">
      <c r="A424" s="25" t="s">
        <v>1288</v>
      </c>
      <c r="B424" s="78">
        <v>50</v>
      </c>
      <c r="C424" s="78">
        <v>50</v>
      </c>
      <c r="G424" s="25"/>
      <c r="H424" s="25"/>
    </row>
    <row r="425" spans="1:8" x14ac:dyDescent="0.35">
      <c r="A425" s="25" t="s">
        <v>62</v>
      </c>
      <c r="B425" s="78"/>
      <c r="G425" s="25"/>
      <c r="H425" s="25"/>
    </row>
    <row r="426" spans="1:8" x14ac:dyDescent="0.35">
      <c r="A426" s="25" t="s">
        <v>63</v>
      </c>
      <c r="B426" s="78">
        <v>50</v>
      </c>
      <c r="C426" s="78">
        <v>50</v>
      </c>
      <c r="G426" s="25"/>
      <c r="H426" s="25"/>
    </row>
    <row r="427" spans="1:8" x14ac:dyDescent="0.35">
      <c r="A427" s="25" t="s">
        <v>64</v>
      </c>
      <c r="B427" s="78">
        <v>50</v>
      </c>
      <c r="C427" s="78">
        <v>50</v>
      </c>
      <c r="G427" s="25"/>
      <c r="H427" s="25"/>
    </row>
    <row r="428" spans="1:8" x14ac:dyDescent="0.35">
      <c r="A428" s="25" t="s">
        <v>65</v>
      </c>
      <c r="B428" s="78">
        <v>50</v>
      </c>
      <c r="C428" s="78">
        <v>50</v>
      </c>
      <c r="G428" s="25"/>
      <c r="H428" s="25"/>
    </row>
    <row r="429" spans="1:8" x14ac:dyDescent="0.35">
      <c r="A429" s="25" t="s">
        <v>1289</v>
      </c>
      <c r="B429" s="78">
        <v>1</v>
      </c>
      <c r="C429" s="78">
        <v>1</v>
      </c>
      <c r="G429" s="25"/>
      <c r="H429" s="25"/>
    </row>
    <row r="430" spans="1:8" x14ac:dyDescent="0.35">
      <c r="A430" s="25" t="s">
        <v>1290</v>
      </c>
      <c r="B430" s="78">
        <v>50</v>
      </c>
      <c r="C430" s="78">
        <v>50</v>
      </c>
      <c r="G430" s="25"/>
      <c r="H430" s="25"/>
    </row>
    <row r="431" spans="1:8" x14ac:dyDescent="0.35">
      <c r="A431" s="25" t="s">
        <v>2080</v>
      </c>
      <c r="B431" s="78">
        <v>50</v>
      </c>
      <c r="C431" s="78">
        <v>50</v>
      </c>
      <c r="G431" s="25"/>
      <c r="H431" s="25"/>
    </row>
    <row r="432" spans="1:8" x14ac:dyDescent="0.35">
      <c r="A432" s="25" t="s">
        <v>1151</v>
      </c>
      <c r="B432" s="78">
        <v>50</v>
      </c>
      <c r="C432" s="78">
        <v>50</v>
      </c>
      <c r="G432" s="25"/>
      <c r="H432" s="25"/>
    </row>
    <row r="433" spans="1:8" x14ac:dyDescent="0.35">
      <c r="A433" s="25" t="s">
        <v>1152</v>
      </c>
      <c r="B433" s="78">
        <v>50</v>
      </c>
      <c r="C433" s="78">
        <v>50</v>
      </c>
      <c r="G433" s="25"/>
      <c r="H433" s="25"/>
    </row>
    <row r="434" spans="1:8" x14ac:dyDescent="0.35">
      <c r="A434" s="25" t="s">
        <v>1153</v>
      </c>
      <c r="B434" s="78">
        <v>50</v>
      </c>
      <c r="C434" s="78">
        <v>50</v>
      </c>
      <c r="G434" s="25"/>
      <c r="H434" s="25"/>
    </row>
    <row r="435" spans="1:8" x14ac:dyDescent="0.35">
      <c r="A435" s="25" t="s">
        <v>1809</v>
      </c>
      <c r="B435" s="78">
        <v>50</v>
      </c>
      <c r="C435" s="78">
        <v>50</v>
      </c>
      <c r="G435" s="25"/>
      <c r="H435" s="25"/>
    </row>
    <row r="436" spans="1:8" x14ac:dyDescent="0.35">
      <c r="A436" s="25" t="s">
        <v>1810</v>
      </c>
      <c r="B436" s="78">
        <v>4</v>
      </c>
      <c r="C436" s="78">
        <v>4</v>
      </c>
      <c r="G436" s="25"/>
      <c r="H436" s="25"/>
    </row>
    <row r="437" spans="1:8" x14ac:dyDescent="0.35">
      <c r="A437" s="25" t="s">
        <v>1811</v>
      </c>
      <c r="B437" s="78">
        <v>4</v>
      </c>
      <c r="C437" s="78">
        <v>4</v>
      </c>
      <c r="G437" s="25"/>
      <c r="H437" s="25"/>
    </row>
    <row r="438" spans="1:8" x14ac:dyDescent="0.35">
      <c r="A438" s="25" t="s">
        <v>1812</v>
      </c>
      <c r="B438" s="78">
        <v>4</v>
      </c>
      <c r="C438" s="78">
        <v>4</v>
      </c>
      <c r="G438" s="25"/>
      <c r="H438" s="25"/>
    </row>
    <row r="439" spans="1:8" x14ac:dyDescent="0.35">
      <c r="A439" s="25" t="s">
        <v>1580</v>
      </c>
      <c r="B439" s="78">
        <v>4</v>
      </c>
      <c r="C439" s="78">
        <v>4</v>
      </c>
      <c r="G439" s="25"/>
      <c r="H439" s="25"/>
    </row>
    <row r="440" spans="1:8" x14ac:dyDescent="0.35">
      <c r="A440" s="25" t="s">
        <v>1741</v>
      </c>
      <c r="B440" s="78">
        <v>4</v>
      </c>
      <c r="C440" s="78">
        <v>4</v>
      </c>
      <c r="G440" s="25"/>
      <c r="H440" s="25"/>
    </row>
    <row r="441" spans="1:8" x14ac:dyDescent="0.35">
      <c r="A441" s="25" t="s">
        <v>1742</v>
      </c>
      <c r="B441" s="78">
        <v>4</v>
      </c>
      <c r="C441" s="78">
        <v>4</v>
      </c>
      <c r="G441" s="25"/>
      <c r="H441" s="25"/>
    </row>
    <row r="442" spans="1:8" x14ac:dyDescent="0.35">
      <c r="A442" s="25" t="s">
        <v>1743</v>
      </c>
      <c r="B442" s="78">
        <v>4</v>
      </c>
      <c r="C442" s="78">
        <v>4</v>
      </c>
      <c r="G442" s="25"/>
      <c r="H442" s="25"/>
    </row>
    <row r="443" spans="1:8" x14ac:dyDescent="0.35">
      <c r="A443" s="25" t="s">
        <v>1744</v>
      </c>
      <c r="B443" s="78">
        <v>4</v>
      </c>
      <c r="C443" s="78">
        <v>4</v>
      </c>
      <c r="G443" s="25"/>
      <c r="H443" s="25"/>
    </row>
    <row r="444" spans="1:8" x14ac:dyDescent="0.35">
      <c r="A444" s="25" t="s">
        <v>1578</v>
      </c>
      <c r="B444" s="78">
        <v>4</v>
      </c>
      <c r="C444" s="78">
        <v>4</v>
      </c>
      <c r="G444" s="25"/>
      <c r="H444" s="25"/>
    </row>
    <row r="445" spans="1:8" x14ac:dyDescent="0.35">
      <c r="A445" s="25" t="s">
        <v>1579</v>
      </c>
      <c r="B445" s="78">
        <v>4</v>
      </c>
      <c r="C445" s="78">
        <v>4</v>
      </c>
      <c r="G445" s="25"/>
      <c r="H445" s="25"/>
    </row>
    <row r="446" spans="1:8" x14ac:dyDescent="0.35">
      <c r="A446" s="25" t="s">
        <v>1574</v>
      </c>
      <c r="B446" s="78">
        <v>4</v>
      </c>
      <c r="C446" s="78">
        <v>4</v>
      </c>
      <c r="G446" s="25"/>
      <c r="H446" s="25"/>
    </row>
    <row r="447" spans="1:8" x14ac:dyDescent="0.35">
      <c r="A447" s="25" t="s">
        <v>1575</v>
      </c>
      <c r="B447" s="78">
        <v>4</v>
      </c>
      <c r="C447" s="78">
        <v>4</v>
      </c>
      <c r="G447" s="25"/>
      <c r="H447" s="25"/>
    </row>
    <row r="448" spans="1:8" x14ac:dyDescent="0.35">
      <c r="A448" s="25" t="s">
        <v>1576</v>
      </c>
      <c r="B448" s="78">
        <v>4</v>
      </c>
      <c r="C448" s="78">
        <v>4</v>
      </c>
      <c r="G448" s="25"/>
      <c r="H448" s="25"/>
    </row>
    <row r="449" spans="1:8" x14ac:dyDescent="0.35">
      <c r="A449" s="25" t="s">
        <v>1536</v>
      </c>
      <c r="B449" s="78">
        <v>4</v>
      </c>
      <c r="C449" s="78">
        <v>4</v>
      </c>
      <c r="G449" s="25"/>
      <c r="H449" s="25"/>
    </row>
    <row r="450" spans="1:8" x14ac:dyDescent="0.35">
      <c r="A450" s="25" t="s">
        <v>1537</v>
      </c>
      <c r="B450" s="78">
        <v>4</v>
      </c>
      <c r="C450" s="78">
        <v>4</v>
      </c>
      <c r="G450" s="25"/>
      <c r="H450" s="25"/>
    </row>
    <row r="451" spans="1:8" x14ac:dyDescent="0.35">
      <c r="A451" s="25" t="s">
        <v>1538</v>
      </c>
      <c r="B451" s="78">
        <v>1</v>
      </c>
      <c r="C451" s="78">
        <v>1</v>
      </c>
      <c r="G451" s="25"/>
      <c r="H451" s="25"/>
    </row>
    <row r="452" spans="1:8" x14ac:dyDescent="0.35">
      <c r="A452" s="25" t="s">
        <v>1539</v>
      </c>
      <c r="B452" s="78"/>
      <c r="G452" s="25"/>
      <c r="H452" s="25"/>
    </row>
    <row r="453" spans="1:8" x14ac:dyDescent="0.35">
      <c r="A453" s="25" t="s">
        <v>1540</v>
      </c>
      <c r="B453" s="78"/>
      <c r="G453" s="25"/>
      <c r="H453" s="25"/>
    </row>
    <row r="454" spans="1:8" x14ac:dyDescent="0.35">
      <c r="A454" s="25" t="s">
        <v>1951</v>
      </c>
      <c r="B454" s="78"/>
      <c r="G454" s="25"/>
      <c r="H454" s="25"/>
    </row>
    <row r="455" spans="1:8" x14ac:dyDescent="0.35">
      <c r="A455" s="25" t="s">
        <v>1952</v>
      </c>
      <c r="B455" s="78"/>
      <c r="G455" s="25"/>
      <c r="H455" s="25"/>
    </row>
    <row r="456" spans="1:8" x14ac:dyDescent="0.35">
      <c r="A456" s="25" t="s">
        <v>1953</v>
      </c>
      <c r="B456" s="78"/>
      <c r="G456" s="25"/>
      <c r="H456" s="25"/>
    </row>
    <row r="457" spans="1:8" x14ac:dyDescent="0.35">
      <c r="A457" s="25" t="s">
        <v>1954</v>
      </c>
      <c r="B457" s="78"/>
      <c r="G457" s="25"/>
      <c r="H457" s="25"/>
    </row>
    <row r="458" spans="1:8" x14ac:dyDescent="0.35">
      <c r="A458" s="25" t="s">
        <v>1955</v>
      </c>
      <c r="B458" s="78"/>
      <c r="G458" s="25"/>
      <c r="H458" s="25"/>
    </row>
    <row r="459" spans="1:8" x14ac:dyDescent="0.35">
      <c r="A459" s="25" t="s">
        <v>1956</v>
      </c>
      <c r="B459" s="78"/>
      <c r="G459" s="25"/>
      <c r="H459" s="25"/>
    </row>
    <row r="460" spans="1:8" x14ac:dyDescent="0.35">
      <c r="A460" s="25" t="s">
        <v>1957</v>
      </c>
      <c r="B460" s="78"/>
      <c r="G460" s="25"/>
      <c r="H460" s="25"/>
    </row>
    <row r="461" spans="1:8" x14ac:dyDescent="0.35">
      <c r="A461" s="25" t="s">
        <v>1958</v>
      </c>
      <c r="B461" s="78"/>
      <c r="G461" s="25"/>
      <c r="H461" s="25"/>
    </row>
    <row r="462" spans="1:8" x14ac:dyDescent="0.35">
      <c r="A462" s="25" t="s">
        <v>1959</v>
      </c>
      <c r="B462" s="78"/>
      <c r="G462" s="25"/>
      <c r="H462" s="25"/>
    </row>
    <row r="463" spans="1:8" x14ac:dyDescent="0.35">
      <c r="A463" s="25" t="s">
        <v>1960</v>
      </c>
      <c r="B463" s="78"/>
      <c r="G463" s="25"/>
      <c r="H463" s="25"/>
    </row>
    <row r="464" spans="1:8" x14ac:dyDescent="0.35">
      <c r="A464" s="25" t="s">
        <v>1961</v>
      </c>
      <c r="B464" s="78"/>
      <c r="G464" s="25"/>
      <c r="H464" s="25"/>
    </row>
    <row r="465" spans="1:8" x14ac:dyDescent="0.35">
      <c r="A465" s="25" t="s">
        <v>1962</v>
      </c>
      <c r="B465" s="78"/>
      <c r="G465" s="25"/>
      <c r="H465" s="25"/>
    </row>
    <row r="466" spans="1:8" x14ac:dyDescent="0.35">
      <c r="A466" s="25" t="s">
        <v>1963</v>
      </c>
      <c r="B466" s="78"/>
      <c r="G466" s="25"/>
      <c r="H466" s="25"/>
    </row>
    <row r="467" spans="1:8" x14ac:dyDescent="0.35">
      <c r="A467" s="25" t="s">
        <v>1362</v>
      </c>
      <c r="B467" s="78"/>
      <c r="G467" s="25"/>
      <c r="H467" s="25"/>
    </row>
    <row r="468" spans="1:8" x14ac:dyDescent="0.35">
      <c r="A468" s="25" t="s">
        <v>1363</v>
      </c>
      <c r="B468" s="78"/>
      <c r="G468" s="25"/>
      <c r="H468" s="25"/>
    </row>
    <row r="469" spans="1:8" x14ac:dyDescent="0.35">
      <c r="A469" s="25" t="s">
        <v>1364</v>
      </c>
      <c r="B469" s="78"/>
      <c r="G469" s="25"/>
      <c r="H469" s="25"/>
    </row>
    <row r="470" spans="1:8" x14ac:dyDescent="0.35">
      <c r="A470" s="25" t="s">
        <v>567</v>
      </c>
      <c r="B470" s="78"/>
      <c r="G470" s="25"/>
      <c r="H470" s="25"/>
    </row>
    <row r="471" spans="1:8" x14ac:dyDescent="0.35">
      <c r="A471" s="25" t="s">
        <v>568</v>
      </c>
      <c r="B471" s="78"/>
      <c r="G471" s="25"/>
      <c r="H471" s="25"/>
    </row>
    <row r="472" spans="1:8" x14ac:dyDescent="0.35">
      <c r="A472" s="25" t="s">
        <v>569</v>
      </c>
      <c r="B472" s="78"/>
      <c r="G472" s="25"/>
      <c r="H472" s="25"/>
    </row>
    <row r="473" spans="1:8" x14ac:dyDescent="0.35">
      <c r="A473" s="25" t="s">
        <v>570</v>
      </c>
      <c r="B473" s="78"/>
      <c r="G473" s="25"/>
      <c r="H473" s="25"/>
    </row>
    <row r="474" spans="1:8" x14ac:dyDescent="0.35">
      <c r="A474" s="25" t="s">
        <v>571</v>
      </c>
      <c r="B474" s="78"/>
      <c r="G474" s="25"/>
      <c r="H474" s="25"/>
    </row>
    <row r="475" spans="1:8" x14ac:dyDescent="0.35">
      <c r="A475" s="25" t="s">
        <v>572</v>
      </c>
      <c r="B475" s="78"/>
      <c r="G475" s="25"/>
      <c r="H475" s="25"/>
    </row>
    <row r="476" spans="1:8" x14ac:dyDescent="0.35">
      <c r="A476" s="25" t="s">
        <v>1365</v>
      </c>
      <c r="B476" s="78"/>
      <c r="D476" s="78">
        <v>50</v>
      </c>
      <c r="G476" s="25"/>
      <c r="H476" s="25"/>
    </row>
    <row r="477" spans="1:8" x14ac:dyDescent="0.35">
      <c r="A477" s="25" t="s">
        <v>1366</v>
      </c>
      <c r="B477" s="78"/>
      <c r="D477" s="78">
        <v>50</v>
      </c>
      <c r="G477" s="25"/>
      <c r="H477" s="25"/>
    </row>
    <row r="478" spans="1:8" x14ac:dyDescent="0.35">
      <c r="A478" s="25" t="s">
        <v>1367</v>
      </c>
      <c r="B478" s="78"/>
      <c r="D478" s="78">
        <v>50</v>
      </c>
      <c r="G478" s="25"/>
      <c r="H478" s="25"/>
    </row>
    <row r="479" spans="1:8" x14ac:dyDescent="0.35">
      <c r="A479" s="25" t="s">
        <v>893</v>
      </c>
      <c r="B479" s="78"/>
      <c r="D479" s="78">
        <v>50</v>
      </c>
      <c r="G479" s="25"/>
      <c r="H479" s="25"/>
    </row>
    <row r="480" spans="1:8" x14ac:dyDescent="0.35">
      <c r="A480" s="25" t="s">
        <v>894</v>
      </c>
      <c r="B480" s="78"/>
      <c r="D480" s="78">
        <v>50</v>
      </c>
      <c r="G480" s="25"/>
      <c r="H480" s="25"/>
    </row>
    <row r="481" spans="1:8" x14ac:dyDescent="0.35">
      <c r="A481" s="25" t="s">
        <v>895</v>
      </c>
      <c r="B481" s="78"/>
      <c r="D481" s="78">
        <v>50</v>
      </c>
      <c r="G481" s="25"/>
      <c r="H481" s="25"/>
    </row>
    <row r="482" spans="1:8" x14ac:dyDescent="0.35">
      <c r="A482" s="25" t="s">
        <v>896</v>
      </c>
      <c r="B482" s="78"/>
      <c r="D482" s="78">
        <v>50</v>
      </c>
      <c r="G482" s="25"/>
      <c r="H482" s="25"/>
    </row>
    <row r="483" spans="1:8" x14ac:dyDescent="0.35">
      <c r="A483" s="25" t="s">
        <v>897</v>
      </c>
      <c r="B483" s="78"/>
      <c r="D483" s="78">
        <v>50</v>
      </c>
      <c r="G483" s="25"/>
      <c r="H483" s="25"/>
    </row>
    <row r="484" spans="1:8" x14ac:dyDescent="0.35">
      <c r="A484" s="25" t="s">
        <v>898</v>
      </c>
      <c r="B484" s="78"/>
      <c r="D484" s="78"/>
      <c r="G484" s="25"/>
      <c r="H484" s="25"/>
    </row>
    <row r="485" spans="1:8" x14ac:dyDescent="0.35">
      <c r="A485" s="25" t="s">
        <v>899</v>
      </c>
      <c r="B485" s="78"/>
      <c r="D485" s="78">
        <v>50</v>
      </c>
      <c r="G485" s="25"/>
      <c r="H485" s="25"/>
    </row>
    <row r="486" spans="1:8" x14ac:dyDescent="0.35">
      <c r="A486" s="25" t="s">
        <v>900</v>
      </c>
      <c r="B486" s="78"/>
      <c r="D486" s="78"/>
      <c r="G486" s="25"/>
      <c r="H486" s="25"/>
    </row>
    <row r="487" spans="1:8" x14ac:dyDescent="0.35">
      <c r="A487" s="25" t="s">
        <v>901</v>
      </c>
      <c r="B487" s="78"/>
      <c r="D487" s="78">
        <v>50</v>
      </c>
      <c r="G487" s="25"/>
      <c r="H487" s="25"/>
    </row>
    <row r="488" spans="1:8" x14ac:dyDescent="0.35">
      <c r="A488" s="25" t="s">
        <v>902</v>
      </c>
      <c r="B488" s="78"/>
      <c r="D488" s="78"/>
      <c r="G488" s="25"/>
      <c r="H488" s="25"/>
    </row>
    <row r="489" spans="1:8" x14ac:dyDescent="0.35">
      <c r="A489" s="25" t="s">
        <v>903</v>
      </c>
      <c r="B489" s="78"/>
      <c r="D489" s="78">
        <v>50</v>
      </c>
      <c r="G489" s="25"/>
      <c r="H489" s="25"/>
    </row>
    <row r="490" spans="1:8" x14ac:dyDescent="0.35">
      <c r="A490" s="25" t="s">
        <v>904</v>
      </c>
      <c r="B490" s="78"/>
      <c r="D490" s="78">
        <v>50</v>
      </c>
      <c r="G490" s="25"/>
      <c r="H490" s="25"/>
    </row>
    <row r="491" spans="1:8" x14ac:dyDescent="0.35">
      <c r="A491" s="25" t="s">
        <v>905</v>
      </c>
      <c r="B491" s="78"/>
      <c r="D491" s="78">
        <v>50</v>
      </c>
      <c r="G491" s="25"/>
      <c r="H491" s="25"/>
    </row>
    <row r="492" spans="1:8" x14ac:dyDescent="0.35">
      <c r="A492" s="25" t="s">
        <v>906</v>
      </c>
      <c r="B492" s="78"/>
      <c r="D492" s="78">
        <v>50</v>
      </c>
      <c r="G492" s="25"/>
      <c r="H492" s="25"/>
    </row>
    <row r="493" spans="1:8" x14ac:dyDescent="0.35">
      <c r="A493" s="25" t="s">
        <v>907</v>
      </c>
      <c r="B493" s="78"/>
      <c r="D493" s="78">
        <v>50</v>
      </c>
      <c r="G493" s="25"/>
      <c r="H493" s="25"/>
    </row>
    <row r="494" spans="1:8" x14ac:dyDescent="0.35">
      <c r="A494" s="25" t="s">
        <v>908</v>
      </c>
      <c r="B494" s="78"/>
      <c r="D494" s="78">
        <v>50</v>
      </c>
      <c r="G494" s="25"/>
      <c r="H494" s="25"/>
    </row>
    <row r="495" spans="1:8" x14ac:dyDescent="0.35">
      <c r="A495" s="25" t="s">
        <v>909</v>
      </c>
      <c r="B495" s="78"/>
      <c r="D495" s="78">
        <v>50</v>
      </c>
      <c r="G495" s="25"/>
      <c r="H495" s="25"/>
    </row>
    <row r="496" spans="1:8" x14ac:dyDescent="0.35">
      <c r="A496" s="25" t="s">
        <v>910</v>
      </c>
      <c r="B496" s="78"/>
      <c r="D496" s="78">
        <v>50</v>
      </c>
      <c r="G496" s="25"/>
      <c r="H496" s="25"/>
    </row>
    <row r="497" spans="1:8" x14ac:dyDescent="0.35">
      <c r="A497" s="25" t="s">
        <v>911</v>
      </c>
      <c r="B497" s="78"/>
      <c r="D497" s="78">
        <v>50</v>
      </c>
      <c r="G497" s="25"/>
      <c r="H497" s="25"/>
    </row>
    <row r="498" spans="1:8" x14ac:dyDescent="0.35">
      <c r="A498" s="25" t="s">
        <v>1415</v>
      </c>
      <c r="B498" s="78"/>
      <c r="D498" s="78">
        <v>50</v>
      </c>
      <c r="G498" s="25"/>
      <c r="H498" s="25"/>
    </row>
    <row r="499" spans="1:8" x14ac:dyDescent="0.35">
      <c r="A499" s="25" t="s">
        <v>1416</v>
      </c>
      <c r="B499" s="78"/>
      <c r="G499" s="25"/>
      <c r="H499" s="25"/>
    </row>
    <row r="500" spans="1:8" x14ac:dyDescent="0.35">
      <c r="A500" s="25" t="s">
        <v>1909</v>
      </c>
      <c r="B500" s="78"/>
      <c r="G500" s="25"/>
      <c r="H500" s="25"/>
    </row>
    <row r="501" spans="1:8" x14ac:dyDescent="0.35">
      <c r="A501" s="25" t="s">
        <v>1134</v>
      </c>
      <c r="B501" s="78"/>
      <c r="G501" s="25"/>
      <c r="H501" s="25"/>
    </row>
    <row r="502" spans="1:8" x14ac:dyDescent="0.35">
      <c r="A502" s="25" t="s">
        <v>1135</v>
      </c>
      <c r="B502" s="78"/>
      <c r="G502" s="25"/>
      <c r="H502" s="25"/>
    </row>
    <row r="503" spans="1:8" x14ac:dyDescent="0.35">
      <c r="A503" s="25" t="s">
        <v>810</v>
      </c>
      <c r="B503" s="78"/>
      <c r="G503" s="25"/>
      <c r="H503" s="25"/>
    </row>
    <row r="504" spans="1:8" x14ac:dyDescent="0.35">
      <c r="A504" s="25" t="s">
        <v>811</v>
      </c>
      <c r="B504" s="78"/>
      <c r="G504" s="25"/>
      <c r="H504" s="25"/>
    </row>
    <row r="505" spans="1:8" x14ac:dyDescent="0.35">
      <c r="A505" s="25" t="s">
        <v>812</v>
      </c>
      <c r="B505" s="78"/>
      <c r="G505" s="25"/>
      <c r="H505" s="25"/>
    </row>
    <row r="506" spans="1:8" x14ac:dyDescent="0.35">
      <c r="A506" s="25" t="s">
        <v>813</v>
      </c>
      <c r="B506" s="78"/>
      <c r="G506" s="25"/>
      <c r="H506" s="25"/>
    </row>
    <row r="507" spans="1:8" x14ac:dyDescent="0.35">
      <c r="A507" s="25" t="s">
        <v>814</v>
      </c>
      <c r="B507" s="78"/>
      <c r="G507" s="25"/>
      <c r="H507" s="25"/>
    </row>
    <row r="508" spans="1:8" x14ac:dyDescent="0.35">
      <c r="A508" s="25" t="s">
        <v>573</v>
      </c>
      <c r="B508" s="78"/>
      <c r="G508" s="25"/>
      <c r="H508" s="25"/>
    </row>
    <row r="509" spans="1:8" x14ac:dyDescent="0.35">
      <c r="A509" s="25" t="s">
        <v>2081</v>
      </c>
      <c r="B509" s="78"/>
      <c r="G509" s="25"/>
      <c r="H509" s="25"/>
    </row>
    <row r="510" spans="1:8" x14ac:dyDescent="0.35">
      <c r="A510" s="25" t="s">
        <v>2082</v>
      </c>
      <c r="B510" s="78"/>
      <c r="G510" s="25"/>
      <c r="H510" s="25"/>
    </row>
    <row r="511" spans="1:8" x14ac:dyDescent="0.35">
      <c r="A511" s="25" t="s">
        <v>2083</v>
      </c>
      <c r="B511" s="78"/>
      <c r="G511" s="25"/>
      <c r="H511" s="25"/>
    </row>
    <row r="512" spans="1:8" x14ac:dyDescent="0.35">
      <c r="A512" s="25" t="s">
        <v>2084</v>
      </c>
      <c r="B512" s="78"/>
      <c r="G512" s="25"/>
      <c r="H512" s="25"/>
    </row>
    <row r="513" spans="1:8" x14ac:dyDescent="0.35">
      <c r="A513" s="25" t="s">
        <v>2085</v>
      </c>
      <c r="B513" s="78"/>
      <c r="G513" s="25"/>
      <c r="H513" s="25"/>
    </row>
    <row r="514" spans="1:8" x14ac:dyDescent="0.35">
      <c r="A514" s="25" t="s">
        <v>2086</v>
      </c>
      <c r="B514" s="78"/>
      <c r="G514" s="25"/>
      <c r="H514" s="25"/>
    </row>
    <row r="515" spans="1:8" x14ac:dyDescent="0.35">
      <c r="A515" s="25" t="s">
        <v>212</v>
      </c>
      <c r="B515" s="78"/>
      <c r="G515" s="25"/>
      <c r="H515" s="25"/>
    </row>
    <row r="516" spans="1:8" x14ac:dyDescent="0.35">
      <c r="A516" s="25" t="s">
        <v>213</v>
      </c>
      <c r="B516" s="78"/>
      <c r="G516" s="25"/>
      <c r="H516" s="25"/>
    </row>
    <row r="517" spans="1:8" x14ac:dyDescent="0.35">
      <c r="A517" s="25" t="s">
        <v>214</v>
      </c>
      <c r="B517" s="78"/>
      <c r="G517" s="25"/>
      <c r="H517" s="25"/>
    </row>
    <row r="518" spans="1:8" x14ac:dyDescent="0.35">
      <c r="A518" s="25" t="s">
        <v>215</v>
      </c>
      <c r="B518" s="78"/>
      <c r="G518" s="25"/>
      <c r="H518" s="25"/>
    </row>
    <row r="519" spans="1:8" x14ac:dyDescent="0.35">
      <c r="A519" s="25" t="s">
        <v>216</v>
      </c>
      <c r="B519" s="78"/>
      <c r="G519" s="25"/>
      <c r="H519" s="25"/>
    </row>
    <row r="520" spans="1:8" x14ac:dyDescent="0.35">
      <c r="A520" s="25" t="s">
        <v>217</v>
      </c>
      <c r="B520" s="78"/>
      <c r="G520" s="25"/>
      <c r="H520" s="25"/>
    </row>
    <row r="521" spans="1:8" x14ac:dyDescent="0.35">
      <c r="A521" s="25" t="s">
        <v>646</v>
      </c>
      <c r="B521" s="78"/>
      <c r="G521" s="25"/>
      <c r="H521" s="25"/>
    </row>
    <row r="522" spans="1:8" x14ac:dyDescent="0.35">
      <c r="A522" s="25" t="s">
        <v>390</v>
      </c>
      <c r="B522" s="78"/>
      <c r="G522" s="25"/>
      <c r="H522" s="25"/>
    </row>
    <row r="523" spans="1:8" x14ac:dyDescent="0.35">
      <c r="A523" s="25" t="s">
        <v>391</v>
      </c>
      <c r="B523" s="78"/>
      <c r="G523" s="25"/>
      <c r="H523" s="25"/>
    </row>
    <row r="524" spans="1:8" x14ac:dyDescent="0.35">
      <c r="A524" s="25" t="s">
        <v>149</v>
      </c>
      <c r="B524" s="78"/>
      <c r="G524" s="25"/>
      <c r="H524" s="25"/>
    </row>
    <row r="525" spans="1:8" x14ac:dyDescent="0.35">
      <c r="A525" s="25" t="s">
        <v>150</v>
      </c>
      <c r="B525" s="78"/>
      <c r="G525" s="25"/>
      <c r="H525" s="25"/>
    </row>
    <row r="526" spans="1:8" x14ac:dyDescent="0.35">
      <c r="A526" s="25" t="s">
        <v>1522</v>
      </c>
      <c r="B526" s="78"/>
      <c r="G526" s="25"/>
      <c r="H526" s="25"/>
    </row>
    <row r="527" spans="1:8" x14ac:dyDescent="0.35">
      <c r="A527" s="25" t="s">
        <v>1523</v>
      </c>
      <c r="B527" s="78"/>
      <c r="G527" s="25"/>
      <c r="H527" s="25"/>
    </row>
    <row r="528" spans="1:8" x14ac:dyDescent="0.35">
      <c r="A528" s="25" t="s">
        <v>1524</v>
      </c>
      <c r="B528" s="78"/>
      <c r="G528" s="25"/>
      <c r="H528" s="25"/>
    </row>
    <row r="529" spans="1:8" x14ac:dyDescent="0.35">
      <c r="A529" s="25" t="s">
        <v>1395</v>
      </c>
      <c r="B529" s="78"/>
      <c r="G529" s="25"/>
      <c r="H529" s="25"/>
    </row>
    <row r="530" spans="1:8" x14ac:dyDescent="0.35">
      <c r="A530" s="25" t="s">
        <v>1485</v>
      </c>
      <c r="B530" s="78"/>
      <c r="G530" s="25"/>
      <c r="H530" s="25"/>
    </row>
    <row r="531" spans="1:8" x14ac:dyDescent="0.35">
      <c r="A531" s="25" t="s">
        <v>1486</v>
      </c>
      <c r="B531" s="78">
        <v>1500</v>
      </c>
      <c r="C531" s="78">
        <v>1500</v>
      </c>
      <c r="G531" s="25"/>
      <c r="H531" s="25"/>
    </row>
    <row r="532" spans="1:8" x14ac:dyDescent="0.35">
      <c r="A532" s="25" t="s">
        <v>1487</v>
      </c>
      <c r="B532" s="78">
        <v>1500</v>
      </c>
      <c r="C532" s="78">
        <v>1500</v>
      </c>
      <c r="G532" s="25"/>
      <c r="H532" s="25"/>
    </row>
    <row r="533" spans="1:8" x14ac:dyDescent="0.35">
      <c r="A533" s="25" t="s">
        <v>1488</v>
      </c>
      <c r="B533" s="78">
        <v>1500</v>
      </c>
      <c r="C533" s="78">
        <v>1500</v>
      </c>
      <c r="G533" s="25"/>
      <c r="H533" s="25"/>
    </row>
    <row r="534" spans="1:8" x14ac:dyDescent="0.35">
      <c r="A534" s="25" t="s">
        <v>206</v>
      </c>
      <c r="B534" s="78">
        <v>1500</v>
      </c>
      <c r="C534" s="78">
        <v>1500</v>
      </c>
      <c r="G534" s="25"/>
      <c r="H534" s="25"/>
    </row>
    <row r="535" spans="1:8" x14ac:dyDescent="0.35">
      <c r="A535" s="25" t="s">
        <v>207</v>
      </c>
      <c r="B535" s="78">
        <v>1500</v>
      </c>
      <c r="C535" s="78">
        <v>1500</v>
      </c>
      <c r="G535" s="25"/>
      <c r="H535" s="25"/>
    </row>
    <row r="536" spans="1:8" x14ac:dyDescent="0.35">
      <c r="A536" s="25" t="s">
        <v>351</v>
      </c>
      <c r="B536" s="78">
        <v>1500</v>
      </c>
      <c r="C536" s="78">
        <v>1500</v>
      </c>
      <c r="G536" s="25"/>
      <c r="H536" s="25"/>
    </row>
    <row r="537" spans="1:8" x14ac:dyDescent="0.35">
      <c r="A537" s="25" t="s">
        <v>352</v>
      </c>
      <c r="B537" s="78">
        <v>1500</v>
      </c>
      <c r="C537" s="78">
        <v>1500</v>
      </c>
      <c r="G537" s="25"/>
      <c r="H537" s="25"/>
    </row>
    <row r="538" spans="1:8" x14ac:dyDescent="0.35">
      <c r="A538" s="25" t="s">
        <v>1136</v>
      </c>
      <c r="B538" s="78">
        <v>1500</v>
      </c>
      <c r="C538" s="78">
        <v>1500</v>
      </c>
      <c r="G538" s="25"/>
      <c r="H538" s="25"/>
    </row>
    <row r="539" spans="1:8" x14ac:dyDescent="0.35">
      <c r="A539" s="25" t="s">
        <v>1145</v>
      </c>
      <c r="B539" s="78">
        <v>1500</v>
      </c>
      <c r="C539" s="78">
        <v>1500</v>
      </c>
      <c r="G539" s="25"/>
      <c r="H539" s="25"/>
    </row>
    <row r="540" spans="1:8" x14ac:dyDescent="0.35">
      <c r="A540" s="25" t="s">
        <v>1146</v>
      </c>
      <c r="B540" s="78">
        <v>1500</v>
      </c>
      <c r="C540" s="78">
        <v>1500</v>
      </c>
      <c r="G540" s="25"/>
      <c r="H540" s="25"/>
    </row>
    <row r="541" spans="1:8" x14ac:dyDescent="0.35">
      <c r="A541" s="25" t="s">
        <v>1147</v>
      </c>
      <c r="B541" s="78">
        <v>1500</v>
      </c>
      <c r="C541" s="78">
        <v>1500</v>
      </c>
      <c r="G541" s="25"/>
      <c r="H541" s="25"/>
    </row>
    <row r="542" spans="1:8" x14ac:dyDescent="0.35">
      <c r="A542" s="25" t="s">
        <v>1148</v>
      </c>
      <c r="B542" s="78">
        <v>1500</v>
      </c>
      <c r="C542" s="78">
        <v>1500</v>
      </c>
      <c r="G542" s="25"/>
      <c r="H542" s="25"/>
    </row>
    <row r="543" spans="1:8" x14ac:dyDescent="0.35">
      <c r="A543" s="25" t="s">
        <v>1149</v>
      </c>
      <c r="B543" s="78">
        <v>1500</v>
      </c>
      <c r="C543" s="78">
        <v>1500</v>
      </c>
      <c r="G543" s="25"/>
      <c r="H543" s="25"/>
    </row>
    <row r="544" spans="1:8" x14ac:dyDescent="0.35">
      <c r="A544" s="25" t="s">
        <v>1150</v>
      </c>
      <c r="B544" s="78">
        <v>1500</v>
      </c>
      <c r="C544" s="78">
        <v>1500</v>
      </c>
      <c r="G544" s="25"/>
      <c r="H544" s="25"/>
    </row>
    <row r="545" spans="1:8" x14ac:dyDescent="0.35">
      <c r="A545" s="25" t="s">
        <v>1144</v>
      </c>
      <c r="B545" s="78">
        <v>1500</v>
      </c>
      <c r="C545" s="78">
        <v>1500</v>
      </c>
      <c r="G545" s="25"/>
      <c r="H545" s="25"/>
    </row>
    <row r="546" spans="1:8" x14ac:dyDescent="0.35">
      <c r="A546" s="25" t="s">
        <v>146</v>
      </c>
      <c r="B546" s="78">
        <v>1500</v>
      </c>
      <c r="C546" s="78">
        <v>1500</v>
      </c>
      <c r="G546" s="25"/>
      <c r="H546" s="25"/>
    </row>
    <row r="547" spans="1:8" x14ac:dyDescent="0.35">
      <c r="A547" s="25" t="s">
        <v>147</v>
      </c>
      <c r="B547" s="78">
        <v>1500</v>
      </c>
      <c r="C547" s="78">
        <v>1500</v>
      </c>
      <c r="G547" s="25"/>
      <c r="H547" s="25"/>
    </row>
    <row r="548" spans="1:8" x14ac:dyDescent="0.35">
      <c r="A548" s="25" t="s">
        <v>148</v>
      </c>
      <c r="B548" s="78">
        <v>1500</v>
      </c>
      <c r="C548" s="78">
        <v>1500</v>
      </c>
      <c r="G548" s="25"/>
      <c r="H548" s="25"/>
    </row>
    <row r="549" spans="1:8" x14ac:dyDescent="0.35">
      <c r="A549" s="25" t="s">
        <v>832</v>
      </c>
      <c r="B549" s="78">
        <v>1500</v>
      </c>
      <c r="C549" s="78">
        <v>1500</v>
      </c>
      <c r="G549" s="25"/>
      <c r="H549" s="25"/>
    </row>
    <row r="550" spans="1:8" x14ac:dyDescent="0.35">
      <c r="A550" s="25" t="s">
        <v>833</v>
      </c>
      <c r="B550" s="78">
        <v>1500</v>
      </c>
      <c r="C550" s="78">
        <v>1500</v>
      </c>
      <c r="G550" s="25"/>
      <c r="H550" s="25"/>
    </row>
    <row r="551" spans="1:8" x14ac:dyDescent="0.35">
      <c r="A551" s="25" t="s">
        <v>1130</v>
      </c>
      <c r="B551" s="78">
        <v>1</v>
      </c>
      <c r="C551" s="78">
        <v>1</v>
      </c>
      <c r="G551" s="25"/>
      <c r="H551" s="25"/>
    </row>
    <row r="552" spans="1:8" x14ac:dyDescent="0.35">
      <c r="A552" s="25" t="s">
        <v>1131</v>
      </c>
      <c r="B552" s="78">
        <v>1</v>
      </c>
      <c r="C552" s="78">
        <v>1</v>
      </c>
      <c r="G552" s="25"/>
      <c r="H552" s="25"/>
    </row>
    <row r="553" spans="1:8" x14ac:dyDescent="0.35">
      <c r="A553" s="25" t="s">
        <v>1132</v>
      </c>
      <c r="B553" s="78">
        <v>1</v>
      </c>
      <c r="C553" s="78">
        <v>1</v>
      </c>
      <c r="G553" s="25"/>
      <c r="H553" s="25"/>
    </row>
    <row r="554" spans="1:8" x14ac:dyDescent="0.35">
      <c r="A554" s="25" t="s">
        <v>1133</v>
      </c>
      <c r="B554" s="78">
        <v>1</v>
      </c>
      <c r="C554" s="78">
        <v>1</v>
      </c>
      <c r="G554" s="25"/>
      <c r="H554" s="25"/>
    </row>
    <row r="555" spans="1:8" x14ac:dyDescent="0.35">
      <c r="A555" s="25" t="s">
        <v>1937</v>
      </c>
      <c r="B555" s="78">
        <v>1</v>
      </c>
      <c r="C555" s="78">
        <v>1</v>
      </c>
      <c r="G555" s="25"/>
      <c r="H555" s="25"/>
    </row>
    <row r="556" spans="1:8" x14ac:dyDescent="0.35">
      <c r="A556" s="25" t="s">
        <v>1938</v>
      </c>
      <c r="B556" s="78">
        <v>1</v>
      </c>
      <c r="C556" s="78">
        <v>1</v>
      </c>
      <c r="G556" s="25"/>
      <c r="H556" s="25"/>
    </row>
    <row r="557" spans="1:8" x14ac:dyDescent="0.35">
      <c r="A557" s="25" t="s">
        <v>1939</v>
      </c>
      <c r="B557" s="78">
        <v>1</v>
      </c>
      <c r="C557" s="78">
        <v>1</v>
      </c>
      <c r="G557" s="25"/>
      <c r="H557" s="25"/>
    </row>
    <row r="558" spans="1:8" x14ac:dyDescent="0.35">
      <c r="A558" s="25" t="s">
        <v>1940</v>
      </c>
      <c r="B558" s="78">
        <v>1</v>
      </c>
      <c r="C558" s="78">
        <v>1</v>
      </c>
      <c r="G558" s="25"/>
      <c r="H558" s="25"/>
    </row>
    <row r="559" spans="1:8" x14ac:dyDescent="0.35">
      <c r="A559" s="25" t="s">
        <v>1941</v>
      </c>
      <c r="B559" s="78">
        <v>1</v>
      </c>
      <c r="C559" s="78">
        <v>1</v>
      </c>
      <c r="G559" s="25"/>
      <c r="H559" s="25"/>
    </row>
    <row r="560" spans="1:8" x14ac:dyDescent="0.35">
      <c r="A560" s="25" t="s">
        <v>1964</v>
      </c>
      <c r="B560" s="78">
        <v>1</v>
      </c>
      <c r="C560" s="78">
        <v>1</v>
      </c>
      <c r="G560" s="25"/>
      <c r="H560" s="25"/>
    </row>
    <row r="561" spans="1:8" x14ac:dyDescent="0.35">
      <c r="A561" s="25" t="s">
        <v>1965</v>
      </c>
      <c r="B561" s="78">
        <v>1</v>
      </c>
      <c r="C561" s="78">
        <v>1</v>
      </c>
      <c r="G561" s="25"/>
      <c r="H561" s="25"/>
    </row>
    <row r="562" spans="1:8" x14ac:dyDescent="0.35">
      <c r="A562" s="25" t="s">
        <v>1966</v>
      </c>
      <c r="B562" s="78">
        <v>1</v>
      </c>
      <c r="C562" s="78">
        <v>1</v>
      </c>
      <c r="G562" s="25"/>
      <c r="H562" s="25"/>
    </row>
    <row r="563" spans="1:8" x14ac:dyDescent="0.35">
      <c r="A563" s="73" t="s">
        <v>1967</v>
      </c>
      <c r="B563" s="78">
        <v>1</v>
      </c>
      <c r="C563" s="78">
        <v>1</v>
      </c>
      <c r="G563" s="25"/>
      <c r="H563" s="25"/>
    </row>
    <row r="564" spans="1:8" x14ac:dyDescent="0.35">
      <c r="A564" s="73" t="s">
        <v>1968</v>
      </c>
      <c r="B564" s="78">
        <v>1</v>
      </c>
      <c r="C564" s="78">
        <v>1</v>
      </c>
      <c r="G564" s="25"/>
      <c r="H564" s="25"/>
    </row>
    <row r="565" spans="1:8" x14ac:dyDescent="0.35">
      <c r="A565" s="73" t="s">
        <v>1969</v>
      </c>
      <c r="B565" s="78">
        <v>1</v>
      </c>
      <c r="C565" s="78">
        <v>1</v>
      </c>
      <c r="G565" s="25"/>
      <c r="H565" s="25"/>
    </row>
    <row r="566" spans="1:8" x14ac:dyDescent="0.35">
      <c r="A566" s="73" t="s">
        <v>1970</v>
      </c>
      <c r="B566" s="78">
        <v>1</v>
      </c>
      <c r="C566" s="78">
        <v>1</v>
      </c>
      <c r="G566" s="25"/>
      <c r="H566" s="25"/>
    </row>
    <row r="567" spans="1:8" x14ac:dyDescent="0.35">
      <c r="A567" s="73" t="s">
        <v>1594</v>
      </c>
      <c r="B567" s="78">
        <v>1</v>
      </c>
      <c r="C567" s="78">
        <v>1</v>
      </c>
      <c r="G567" s="25"/>
      <c r="H567" s="25"/>
    </row>
    <row r="568" spans="1:8" x14ac:dyDescent="0.35">
      <c r="A568" s="73" t="s">
        <v>1767</v>
      </c>
      <c r="B568" s="78">
        <v>1</v>
      </c>
      <c r="C568" s="78">
        <v>1</v>
      </c>
      <c r="G568" s="25"/>
      <c r="H568" s="25"/>
    </row>
    <row r="569" spans="1:8" x14ac:dyDescent="0.35">
      <c r="A569" s="73" t="s">
        <v>1768</v>
      </c>
      <c r="B569" s="78">
        <v>1</v>
      </c>
      <c r="C569" s="78">
        <v>1</v>
      </c>
      <c r="G569" s="25"/>
      <c r="H569" s="25"/>
    </row>
    <row r="570" spans="1:8" x14ac:dyDescent="0.35">
      <c r="A570" s="73" t="s">
        <v>1769</v>
      </c>
      <c r="B570" s="78">
        <v>1</v>
      </c>
      <c r="C570" s="78">
        <v>1</v>
      </c>
      <c r="G570" s="25"/>
      <c r="H570" s="25"/>
    </row>
    <row r="571" spans="1:8" x14ac:dyDescent="0.35">
      <c r="A571" s="25" t="s">
        <v>1770</v>
      </c>
      <c r="B571" s="78"/>
      <c r="G571" s="25"/>
      <c r="H571" s="25"/>
    </row>
    <row r="572" spans="1:8" x14ac:dyDescent="0.35">
      <c r="A572" s="25" t="s">
        <v>1771</v>
      </c>
      <c r="B572" s="78"/>
      <c r="G572" s="25"/>
      <c r="H572" s="25"/>
    </row>
    <row r="573" spans="1:8" x14ac:dyDescent="0.35">
      <c r="A573" s="25" t="s">
        <v>927</v>
      </c>
      <c r="B573" s="78"/>
      <c r="G573" s="25"/>
      <c r="H573" s="25"/>
    </row>
    <row r="574" spans="1:8" x14ac:dyDescent="0.35">
      <c r="A574" s="25" t="s">
        <v>1137</v>
      </c>
      <c r="B574" s="78"/>
      <c r="G574" s="25"/>
      <c r="H574" s="25"/>
    </row>
    <row r="575" spans="1:8" x14ac:dyDescent="0.35">
      <c r="A575" s="25" t="s">
        <v>1138</v>
      </c>
      <c r="B575" s="78"/>
      <c r="G575" s="25"/>
      <c r="H575" s="25"/>
    </row>
    <row r="576" spans="1:8" x14ac:dyDescent="0.35">
      <c r="A576" s="25" t="s">
        <v>1139</v>
      </c>
      <c r="B576" s="78"/>
      <c r="G576" s="25"/>
      <c r="H576" s="25"/>
    </row>
    <row r="577" spans="1:8" x14ac:dyDescent="0.35">
      <c r="A577" s="25" t="s">
        <v>1140</v>
      </c>
      <c r="B577" s="78"/>
      <c r="G577" s="25"/>
      <c r="H577" s="25"/>
    </row>
    <row r="578" spans="1:8" x14ac:dyDescent="0.35">
      <c r="A578" s="25" t="s">
        <v>1141</v>
      </c>
      <c r="B578" s="78"/>
      <c r="G578" s="25"/>
      <c r="H578" s="25"/>
    </row>
    <row r="579" spans="1:8" x14ac:dyDescent="0.35">
      <c r="A579" s="25" t="s">
        <v>1142</v>
      </c>
      <c r="B579" s="78"/>
      <c r="G579" s="25"/>
      <c r="H579" s="25"/>
    </row>
    <row r="580" spans="1:8" x14ac:dyDescent="0.35">
      <c r="A580" s="25" t="s">
        <v>1712</v>
      </c>
      <c r="B580" s="78"/>
      <c r="G580" s="25"/>
      <c r="H580" s="25"/>
    </row>
    <row r="581" spans="1:8" x14ac:dyDescent="0.35">
      <c r="A581" s="25" t="s">
        <v>1667</v>
      </c>
      <c r="B581" s="78"/>
      <c r="G581" s="25"/>
      <c r="H581" s="25"/>
    </row>
    <row r="582" spans="1:8" x14ac:dyDescent="0.35">
      <c r="A582" s="25" t="s">
        <v>1668</v>
      </c>
      <c r="B582" s="78"/>
      <c r="G582" s="25"/>
      <c r="H582" s="25"/>
    </row>
    <row r="583" spans="1:8" x14ac:dyDescent="0.35">
      <c r="A583" s="25" t="s">
        <v>1669</v>
      </c>
      <c r="B583" s="78"/>
      <c r="G583" s="25"/>
      <c r="H583" s="25"/>
    </row>
    <row r="584" spans="1:8" x14ac:dyDescent="0.35">
      <c r="A584" s="25" t="s">
        <v>1670</v>
      </c>
      <c r="B584" s="78"/>
      <c r="G584" s="25"/>
      <c r="H584" s="25"/>
    </row>
    <row r="585" spans="1:8" x14ac:dyDescent="0.35">
      <c r="A585" s="25" t="s">
        <v>1902</v>
      </c>
      <c r="B585" s="78"/>
      <c r="G585" s="25"/>
      <c r="H585" s="25"/>
    </row>
    <row r="586" spans="1:8" x14ac:dyDescent="0.35">
      <c r="A586" s="25" t="s">
        <v>1998</v>
      </c>
      <c r="B586" s="78"/>
      <c r="G586" s="25"/>
      <c r="H586" s="25"/>
    </row>
    <row r="587" spans="1:8" x14ac:dyDescent="0.35">
      <c r="A587" s="25" t="s">
        <v>1999</v>
      </c>
      <c r="B587" s="78"/>
      <c r="G587" s="25"/>
      <c r="H587" s="25"/>
    </row>
    <row r="588" spans="1:8" x14ac:dyDescent="0.35">
      <c r="A588" s="74" t="s">
        <v>2000</v>
      </c>
      <c r="B588" s="78"/>
      <c r="G588" s="25"/>
      <c r="H588" s="25"/>
    </row>
    <row r="589" spans="1:8" x14ac:dyDescent="0.35">
      <c r="A589" s="74" t="s">
        <v>2001</v>
      </c>
      <c r="B589" s="78"/>
      <c r="G589" s="25"/>
      <c r="H589" s="25"/>
    </row>
    <row r="590" spans="1:8" x14ac:dyDescent="0.35">
      <c r="A590" s="74" t="s">
        <v>565</v>
      </c>
      <c r="B590" s="78"/>
      <c r="G590" s="25"/>
      <c r="H590" s="25"/>
    </row>
    <row r="591" spans="1:8" x14ac:dyDescent="0.35">
      <c r="A591" s="74" t="s">
        <v>791</v>
      </c>
      <c r="B591" s="78" t="b">
        <v>0</v>
      </c>
      <c r="C591" s="78" t="b">
        <v>0</v>
      </c>
      <c r="G591" s="25"/>
      <c r="H591" s="25"/>
    </row>
    <row r="592" spans="1:8" x14ac:dyDescent="0.35">
      <c r="A592" s="74" t="s">
        <v>792</v>
      </c>
      <c r="B592" s="78"/>
      <c r="G592" s="25"/>
      <c r="H592" s="25"/>
    </row>
    <row r="593" spans="1:8" x14ac:dyDescent="0.35">
      <c r="A593" s="74" t="s">
        <v>1280</v>
      </c>
      <c r="B593" s="78">
        <v>6</v>
      </c>
      <c r="C593" s="78">
        <v>6</v>
      </c>
      <c r="G593" s="25"/>
      <c r="H593" s="25"/>
    </row>
    <row r="594" spans="1:8" x14ac:dyDescent="0.35">
      <c r="A594" s="74" t="s">
        <v>793</v>
      </c>
      <c r="B594" s="78" t="b">
        <v>0</v>
      </c>
      <c r="C594" s="78" t="b">
        <v>0</v>
      </c>
      <c r="G594" s="25"/>
      <c r="H594" s="25"/>
    </row>
    <row r="595" spans="1:8" x14ac:dyDescent="0.35">
      <c r="A595" s="74" t="s">
        <v>114</v>
      </c>
      <c r="B595" s="78"/>
      <c r="G595" s="25"/>
      <c r="H595" s="25"/>
    </row>
    <row r="596" spans="1:8" x14ac:dyDescent="0.35">
      <c r="A596" s="25" t="s">
        <v>1914</v>
      </c>
      <c r="B596" s="78"/>
      <c r="G596" s="25"/>
      <c r="H596" s="25"/>
    </row>
    <row r="597" spans="1:8" x14ac:dyDescent="0.35">
      <c r="A597" s="25" t="s">
        <v>115</v>
      </c>
      <c r="B597" s="78"/>
      <c r="G597" s="25"/>
      <c r="H597" s="25"/>
    </row>
    <row r="598" spans="1:8" x14ac:dyDescent="0.35">
      <c r="A598" s="25" t="s">
        <v>2103</v>
      </c>
      <c r="B598" s="78"/>
      <c r="G598" s="25"/>
      <c r="H598" s="25"/>
    </row>
    <row r="599" spans="1:8" x14ac:dyDescent="0.35">
      <c r="A599" s="74" t="s">
        <v>585</v>
      </c>
      <c r="B599" s="78"/>
      <c r="G599" s="25"/>
      <c r="H599" s="25"/>
    </row>
    <row r="600" spans="1:8" x14ac:dyDescent="0.35">
      <c r="A600" s="74" t="s">
        <v>586</v>
      </c>
      <c r="B600" s="78"/>
      <c r="G600" s="25"/>
      <c r="H600" s="25"/>
    </row>
    <row r="601" spans="1:8" x14ac:dyDescent="0.35">
      <c r="A601" s="74" t="s">
        <v>1419</v>
      </c>
      <c r="B601" s="78"/>
      <c r="G601" s="25"/>
      <c r="H601" s="25"/>
    </row>
    <row r="602" spans="1:8" x14ac:dyDescent="0.35">
      <c r="A602" s="74" t="s">
        <v>1420</v>
      </c>
      <c r="B602" s="78"/>
      <c r="G602" s="25"/>
      <c r="H602" s="25"/>
    </row>
    <row r="603" spans="1:8" x14ac:dyDescent="0.35">
      <c r="A603" s="74" t="s">
        <v>1421</v>
      </c>
      <c r="B603" s="78"/>
      <c r="G603" s="25"/>
      <c r="H603" s="25"/>
    </row>
    <row r="604" spans="1:8" x14ac:dyDescent="0.35">
      <c r="A604" s="74" t="s">
        <v>727</v>
      </c>
      <c r="B604" s="78"/>
      <c r="G604" s="25"/>
      <c r="H604" s="25"/>
    </row>
    <row r="605" spans="1:8" x14ac:dyDescent="0.35">
      <c r="A605" s="74" t="s">
        <v>728</v>
      </c>
      <c r="B605" s="78"/>
      <c r="G605" s="25"/>
      <c r="H605" s="25"/>
    </row>
    <row r="606" spans="1:8" x14ac:dyDescent="0.35">
      <c r="A606" s="74" t="s">
        <v>729</v>
      </c>
      <c r="B606" s="78"/>
      <c r="G606" s="25"/>
      <c r="H606" s="25"/>
    </row>
    <row r="607" spans="1:8" x14ac:dyDescent="0.35">
      <c r="A607" s="74" t="s">
        <v>730</v>
      </c>
      <c r="B607" s="78"/>
      <c r="G607" s="25"/>
      <c r="H607" s="25"/>
    </row>
    <row r="608" spans="1:8" x14ac:dyDescent="0.35">
      <c r="A608" s="74" t="s">
        <v>731</v>
      </c>
      <c r="B608" s="78"/>
      <c r="G608" s="25"/>
      <c r="H608" s="25"/>
    </row>
    <row r="609" spans="1:8" x14ac:dyDescent="0.35">
      <c r="A609" s="74" t="s">
        <v>978</v>
      </c>
      <c r="B609" s="78"/>
      <c r="G609" s="25"/>
      <c r="H609" s="25"/>
    </row>
    <row r="610" spans="1:8" x14ac:dyDescent="0.35">
      <c r="A610" s="74" t="s">
        <v>800</v>
      </c>
      <c r="B610" s="78"/>
      <c r="G610" s="25"/>
      <c r="H610" s="25"/>
    </row>
    <row r="611" spans="1:8" x14ac:dyDescent="0.35">
      <c r="A611" s="74" t="s">
        <v>801</v>
      </c>
      <c r="B611" s="78"/>
      <c r="G611" s="25"/>
      <c r="H611" s="25"/>
    </row>
    <row r="612" spans="1:8" x14ac:dyDescent="0.35">
      <c r="A612" s="74" t="s">
        <v>802</v>
      </c>
      <c r="B612" s="78"/>
      <c r="G612" s="25"/>
      <c r="H612" s="25"/>
    </row>
    <row r="613" spans="1:8" x14ac:dyDescent="0.35">
      <c r="A613" s="74" t="s">
        <v>764</v>
      </c>
      <c r="B613" s="78"/>
      <c r="G613" s="25"/>
      <c r="H613" s="25"/>
    </row>
    <row r="614" spans="1:8" x14ac:dyDescent="0.35">
      <c r="A614" s="74" t="s">
        <v>765</v>
      </c>
      <c r="B614" s="78"/>
      <c r="G614" s="25"/>
      <c r="H614" s="25"/>
    </row>
    <row r="615" spans="1:8" x14ac:dyDescent="0.35">
      <c r="A615" s="74" t="s">
        <v>1583</v>
      </c>
      <c r="B615" s="78"/>
      <c r="G615" s="25"/>
      <c r="H615" s="25"/>
    </row>
    <row r="616" spans="1:8" x14ac:dyDescent="0.35">
      <c r="A616" s="74" t="s">
        <v>1584</v>
      </c>
      <c r="B616" s="78"/>
      <c r="G616" s="25"/>
      <c r="H616" s="25"/>
    </row>
    <row r="617" spans="1:8" x14ac:dyDescent="0.35">
      <c r="A617" s="74" t="s">
        <v>1412</v>
      </c>
      <c r="B617" s="78"/>
      <c r="G617" s="25"/>
      <c r="H617" s="25"/>
    </row>
    <row r="618" spans="1:8" x14ac:dyDescent="0.35">
      <c r="A618" s="74" t="s">
        <v>1413</v>
      </c>
      <c r="B618" s="78"/>
      <c r="G618" s="25"/>
      <c r="H618" s="25"/>
    </row>
    <row r="619" spans="1:8" x14ac:dyDescent="0.35">
      <c r="A619" s="74" t="s">
        <v>1414</v>
      </c>
      <c r="B619" s="78"/>
      <c r="G619" s="25"/>
      <c r="H619" s="25"/>
    </row>
    <row r="620" spans="1:8" x14ac:dyDescent="0.35">
      <c r="A620" s="74" t="s">
        <v>615</v>
      </c>
      <c r="B620" s="78"/>
      <c r="G620" s="25"/>
      <c r="H620" s="25"/>
    </row>
    <row r="621" spans="1:8" x14ac:dyDescent="0.35">
      <c r="A621" s="74" t="s">
        <v>616</v>
      </c>
      <c r="B621" s="78"/>
      <c r="G621" s="25"/>
      <c r="H621" s="25"/>
    </row>
    <row r="622" spans="1:8" x14ac:dyDescent="0.35">
      <c r="A622" s="74" t="s">
        <v>617</v>
      </c>
      <c r="B622" s="78"/>
      <c r="G622" s="25"/>
      <c r="H622" s="25"/>
    </row>
    <row r="623" spans="1:8" x14ac:dyDescent="0.35">
      <c r="A623" s="74" t="s">
        <v>618</v>
      </c>
      <c r="B623" s="78"/>
      <c r="G623" s="25"/>
      <c r="H623" s="25"/>
    </row>
    <row r="624" spans="1:8" x14ac:dyDescent="0.35">
      <c r="A624" s="74" t="s">
        <v>619</v>
      </c>
      <c r="B624" s="78"/>
      <c r="G624" s="25"/>
      <c r="H624" s="25"/>
    </row>
    <row r="625" spans="1:8" x14ac:dyDescent="0.35">
      <c r="A625" s="74" t="s">
        <v>824</v>
      </c>
      <c r="B625" s="78"/>
      <c r="G625" s="25"/>
      <c r="H625" s="25"/>
    </row>
    <row r="626" spans="1:8" x14ac:dyDescent="0.35">
      <c r="A626" s="74" t="s">
        <v>819</v>
      </c>
      <c r="B626" s="78"/>
      <c r="G626" s="25"/>
      <c r="H626" s="25"/>
    </row>
    <row r="627" spans="1:8" x14ac:dyDescent="0.35">
      <c r="A627" s="74" t="s">
        <v>820</v>
      </c>
      <c r="B627" s="78"/>
      <c r="G627" s="25"/>
      <c r="H627" s="25"/>
    </row>
    <row r="628" spans="1:8" x14ac:dyDescent="0.35">
      <c r="A628" s="74" t="s">
        <v>821</v>
      </c>
      <c r="B628" s="78"/>
      <c r="G628" s="25"/>
      <c r="H628" s="25"/>
    </row>
    <row r="629" spans="1:8" x14ac:dyDescent="0.35">
      <c r="A629" s="74" t="s">
        <v>822</v>
      </c>
      <c r="B629" s="78"/>
      <c r="G629" s="25"/>
      <c r="H629" s="25"/>
    </row>
    <row r="630" spans="1:8" x14ac:dyDescent="0.35">
      <c r="A630" s="74" t="s">
        <v>823</v>
      </c>
      <c r="B630" s="78"/>
      <c r="G630" s="25"/>
      <c r="H630" s="25"/>
    </row>
    <row r="631" spans="1:8" x14ac:dyDescent="0.35">
      <c r="A631" s="74" t="s">
        <v>1434</v>
      </c>
      <c r="B631" s="78"/>
      <c r="G631" s="25"/>
      <c r="H631" s="25"/>
    </row>
    <row r="632" spans="1:8" x14ac:dyDescent="0.35">
      <c r="A632" s="74" t="s">
        <v>1708</v>
      </c>
      <c r="B632" s="78"/>
      <c r="G632" s="25"/>
      <c r="H632" s="25"/>
    </row>
    <row r="633" spans="1:8" x14ac:dyDescent="0.35">
      <c r="A633" s="25" t="s">
        <v>970</v>
      </c>
      <c r="B633" s="78">
        <v>41363</v>
      </c>
      <c r="C633" s="78">
        <v>41363</v>
      </c>
      <c r="G633" s="25"/>
      <c r="H633" s="25"/>
    </row>
    <row r="634" spans="1:8" x14ac:dyDescent="0.35">
      <c r="A634" s="106" t="s">
        <v>479</v>
      </c>
      <c r="B634" s="78">
        <v>1</v>
      </c>
      <c r="C634" s="78">
        <v>1</v>
      </c>
      <c r="G634" s="25"/>
      <c r="H634" s="25"/>
    </row>
    <row r="635" spans="1:8" x14ac:dyDescent="0.35">
      <c r="A635" s="106" t="s">
        <v>1621</v>
      </c>
      <c r="B635" s="78">
        <v>1</v>
      </c>
      <c r="C635" s="78">
        <v>1</v>
      </c>
      <c r="G635" s="25"/>
      <c r="H635" s="25"/>
    </row>
    <row r="636" spans="1:8" x14ac:dyDescent="0.35">
      <c r="A636" s="106" t="s">
        <v>1623</v>
      </c>
      <c r="B636" s="78">
        <v>1</v>
      </c>
      <c r="C636" s="78">
        <v>1</v>
      </c>
      <c r="G636" s="25"/>
      <c r="H636" s="25"/>
    </row>
    <row r="637" spans="1:8" x14ac:dyDescent="0.35">
      <c r="A637" s="106" t="s">
        <v>1625</v>
      </c>
      <c r="B637" s="78">
        <v>1</v>
      </c>
      <c r="C637" s="78">
        <v>1</v>
      </c>
      <c r="G637" s="25"/>
      <c r="H637" s="25"/>
    </row>
    <row r="638" spans="1:8" x14ac:dyDescent="0.35">
      <c r="A638" s="106" t="s">
        <v>1627</v>
      </c>
      <c r="B638" s="78">
        <v>1</v>
      </c>
      <c r="C638" s="78">
        <v>1</v>
      </c>
      <c r="G638" s="25"/>
      <c r="H638" s="25"/>
    </row>
    <row r="639" spans="1:8" x14ac:dyDescent="0.35">
      <c r="A639" s="106" t="s">
        <v>1629</v>
      </c>
      <c r="B639" s="78">
        <v>1</v>
      </c>
      <c r="C639" s="78">
        <v>1</v>
      </c>
      <c r="G639" s="25"/>
      <c r="H639" s="25"/>
    </row>
    <row r="640" spans="1:8" x14ac:dyDescent="0.35">
      <c r="A640" s="25" t="s">
        <v>1869</v>
      </c>
      <c r="B640" s="78"/>
      <c r="G640" s="25"/>
      <c r="H640" s="25"/>
    </row>
    <row r="641" spans="1:8" x14ac:dyDescent="0.35">
      <c r="A641" t="s">
        <v>1465</v>
      </c>
      <c r="B641" s="78"/>
      <c r="G641" s="25"/>
      <c r="H641" s="25"/>
    </row>
    <row r="642" spans="1:8" x14ac:dyDescent="0.35">
      <c r="A642" s="25" t="s">
        <v>1075</v>
      </c>
      <c r="B642" s="78">
        <v>5</v>
      </c>
      <c r="C642" s="78">
        <v>5</v>
      </c>
      <c r="G642" s="25"/>
      <c r="H642" s="25"/>
    </row>
    <row r="643" spans="1:8" x14ac:dyDescent="0.35">
      <c r="A643" t="s">
        <v>1177</v>
      </c>
      <c r="B643" s="78"/>
      <c r="G643" s="25"/>
      <c r="H643" s="25"/>
    </row>
    <row r="644" spans="1:8" x14ac:dyDescent="0.35">
      <c r="A644" t="s">
        <v>344</v>
      </c>
      <c r="B644" s="78"/>
      <c r="G644" s="25"/>
      <c r="H644" s="25"/>
    </row>
    <row r="645" spans="1:8" x14ac:dyDescent="0.35">
      <c r="A645" t="s">
        <v>347</v>
      </c>
      <c r="B645" s="78"/>
      <c r="G645" s="25"/>
      <c r="H645" s="25"/>
    </row>
    <row r="646" spans="1:8" x14ac:dyDescent="0.35">
      <c r="A646" t="s">
        <v>346</v>
      </c>
      <c r="B646" s="78"/>
      <c r="G646" s="25"/>
      <c r="H646" s="25"/>
    </row>
    <row r="647" spans="1:8" x14ac:dyDescent="0.35">
      <c r="A647" t="s">
        <v>343</v>
      </c>
      <c r="B647" s="78"/>
      <c r="G647" s="25"/>
      <c r="H647" s="25"/>
    </row>
    <row r="648" spans="1:8" x14ac:dyDescent="0.35">
      <c r="A648" t="s">
        <v>342</v>
      </c>
      <c r="B648" s="78"/>
      <c r="G648" s="25"/>
      <c r="H648" s="25"/>
    </row>
    <row r="649" spans="1:8" x14ac:dyDescent="0.35">
      <c r="A649" t="s">
        <v>345</v>
      </c>
      <c r="B649" s="78"/>
      <c r="G649" s="25"/>
      <c r="H649" s="25"/>
    </row>
    <row r="650" spans="1:8" x14ac:dyDescent="0.35">
      <c r="A650" t="s">
        <v>348</v>
      </c>
      <c r="B650" s="78"/>
      <c r="G650" s="25"/>
      <c r="H650" s="25"/>
    </row>
    <row r="651" spans="1:8" x14ac:dyDescent="0.35">
      <c r="A651" s="25" t="s">
        <v>1443</v>
      </c>
      <c r="B651" s="78"/>
      <c r="G651" s="25"/>
      <c r="H651" s="25"/>
    </row>
    <row r="652" spans="1:8" x14ac:dyDescent="0.35">
      <c r="A652" s="25" t="s">
        <v>1766</v>
      </c>
      <c r="B652" s="78"/>
      <c r="G652" s="25"/>
      <c r="H652" s="25"/>
    </row>
    <row r="653" spans="1:8" x14ac:dyDescent="0.35">
      <c r="A653" t="s">
        <v>1188</v>
      </c>
      <c r="B653" s="78"/>
      <c r="G653" s="25"/>
      <c r="H653" s="25"/>
    </row>
    <row r="654" spans="1:8" x14ac:dyDescent="0.35">
      <c r="A654" t="s">
        <v>1190</v>
      </c>
      <c r="B654" s="78"/>
      <c r="G654" s="25"/>
      <c r="H654" s="25"/>
    </row>
    <row r="655" spans="1:8" x14ac:dyDescent="0.35">
      <c r="A655" t="s">
        <v>1192</v>
      </c>
      <c r="B655" s="78"/>
      <c r="G655" s="25"/>
      <c r="H655" s="25"/>
    </row>
    <row r="656" spans="1:8" x14ac:dyDescent="0.35">
      <c r="A656" t="s">
        <v>1194</v>
      </c>
      <c r="B656" s="78"/>
      <c r="G656" s="25"/>
      <c r="H656" s="25"/>
    </row>
    <row r="657" spans="1:8" x14ac:dyDescent="0.35">
      <c r="A657" t="s">
        <v>2044</v>
      </c>
      <c r="B657" s="78"/>
      <c r="G657" s="25"/>
      <c r="H657" s="25"/>
    </row>
    <row r="658" spans="1:8" x14ac:dyDescent="0.35">
      <c r="A658" t="s">
        <v>2046</v>
      </c>
      <c r="C658"/>
      <c r="G658" s="25"/>
      <c r="H658" s="25"/>
    </row>
    <row r="659" spans="1:8" x14ac:dyDescent="0.35">
      <c r="A659" t="s">
        <v>2048</v>
      </c>
      <c r="B659" s="78"/>
      <c r="G659" s="25"/>
      <c r="H659" s="25"/>
    </row>
    <row r="660" spans="1:8" x14ac:dyDescent="0.35">
      <c r="A660" t="s">
        <v>2050</v>
      </c>
      <c r="C660"/>
      <c r="G660" s="25"/>
      <c r="H660" s="25"/>
    </row>
    <row r="661" spans="1:8" x14ac:dyDescent="0.35">
      <c r="A661" t="s">
        <v>1084</v>
      </c>
      <c r="B661" s="78"/>
      <c r="G661" s="25"/>
      <c r="H661" s="25"/>
    </row>
    <row r="662" spans="1:8" x14ac:dyDescent="0.35">
      <c r="A662" t="s">
        <v>1903</v>
      </c>
      <c r="B662" s="78"/>
      <c r="G662" s="25"/>
      <c r="H662" s="25"/>
    </row>
    <row r="663" spans="1:8" x14ac:dyDescent="0.35">
      <c r="A663" t="s">
        <v>1905</v>
      </c>
      <c r="B663" s="78"/>
      <c r="G663" s="25"/>
      <c r="H663" s="25"/>
    </row>
    <row r="664" spans="1:8" x14ac:dyDescent="0.35">
      <c r="A664" t="s">
        <v>1907</v>
      </c>
      <c r="B664" s="78"/>
      <c r="G664" s="25"/>
      <c r="H664" s="25"/>
    </row>
    <row r="665" spans="1:8" x14ac:dyDescent="0.35">
      <c r="A665" t="s">
        <v>1039</v>
      </c>
      <c r="B665" s="78"/>
      <c r="G665" s="25"/>
      <c r="H665" s="25"/>
    </row>
    <row r="666" spans="1:8" x14ac:dyDescent="0.35">
      <c r="A666" t="s">
        <v>1041</v>
      </c>
      <c r="B666" s="78"/>
      <c r="G666" s="25"/>
      <c r="H666" s="25"/>
    </row>
    <row r="667" spans="1:8" x14ac:dyDescent="0.35">
      <c r="A667" t="s">
        <v>1043</v>
      </c>
      <c r="B667" s="78"/>
      <c r="G667" s="25"/>
      <c r="H667" s="25"/>
    </row>
    <row r="668" spans="1:8" x14ac:dyDescent="0.35">
      <c r="A668" t="s">
        <v>1045</v>
      </c>
      <c r="B668" s="78"/>
      <c r="G668" s="25"/>
      <c r="H668" s="25"/>
    </row>
    <row r="669" spans="1:8" x14ac:dyDescent="0.35">
      <c r="A669" t="s">
        <v>1047</v>
      </c>
      <c r="B669" s="78"/>
      <c r="G669" s="25"/>
      <c r="H669" s="25"/>
    </row>
    <row r="670" spans="1:8" x14ac:dyDescent="0.35">
      <c r="A670" t="s">
        <v>1049</v>
      </c>
      <c r="B670" s="78"/>
      <c r="G670" s="25"/>
      <c r="H670" s="25"/>
    </row>
    <row r="671" spans="1:8" x14ac:dyDescent="0.35">
      <c r="A671" t="s">
        <v>1051</v>
      </c>
      <c r="B671" s="78"/>
      <c r="G671" s="25"/>
      <c r="H671" s="25"/>
    </row>
    <row r="672" spans="1:8" x14ac:dyDescent="0.35">
      <c r="A672" t="s">
        <v>1053</v>
      </c>
      <c r="B672" s="78"/>
      <c r="G672" s="25"/>
      <c r="H672" s="25"/>
    </row>
    <row r="673" spans="1:8" x14ac:dyDescent="0.35">
      <c r="A673" s="25" t="s">
        <v>1077</v>
      </c>
      <c r="B673" s="78">
        <v>5</v>
      </c>
      <c r="C673" s="78">
        <v>5</v>
      </c>
      <c r="G673" s="25"/>
      <c r="H673" s="25"/>
    </row>
    <row r="674" spans="1:8" x14ac:dyDescent="0.35">
      <c r="A674" s="25" t="s">
        <v>951</v>
      </c>
      <c r="B674" s="78" t="b">
        <v>0</v>
      </c>
      <c r="C674" s="78" t="b">
        <v>0</v>
      </c>
      <c r="G674" s="25"/>
      <c r="H674" s="25"/>
    </row>
    <row r="675" spans="1:8" x14ac:dyDescent="0.35">
      <c r="A675" s="25" t="s">
        <v>1915</v>
      </c>
      <c r="B675" s="78">
        <v>1</v>
      </c>
      <c r="C675" s="78">
        <v>1</v>
      </c>
      <c r="G675" s="25"/>
      <c r="H675" s="25"/>
    </row>
    <row r="676" spans="1:8" x14ac:dyDescent="0.35">
      <c r="A676" s="25" t="s">
        <v>965</v>
      </c>
      <c r="B676" s="78">
        <v>1</v>
      </c>
      <c r="C676" s="78">
        <v>1</v>
      </c>
      <c r="G676" s="25"/>
      <c r="H676" s="25"/>
    </row>
    <row r="677" spans="1:8" x14ac:dyDescent="0.35">
      <c r="A677" s="25" t="s">
        <v>1478</v>
      </c>
      <c r="B677" s="78"/>
      <c r="G677" s="25"/>
      <c r="H677" s="25"/>
    </row>
    <row r="678" spans="1:8" x14ac:dyDescent="0.35">
      <c r="A678" s="25" t="s">
        <v>1479</v>
      </c>
      <c r="B678" s="78"/>
      <c r="G678" s="25"/>
      <c r="H678" s="25"/>
    </row>
    <row r="679" spans="1:8" x14ac:dyDescent="0.35">
      <c r="A679" s="25" t="s">
        <v>1480</v>
      </c>
      <c r="B679" s="78"/>
      <c r="G679" s="25"/>
      <c r="H679" s="25"/>
    </row>
    <row r="680" spans="1:8" x14ac:dyDescent="0.35">
      <c r="A680" s="25" t="s">
        <v>1481</v>
      </c>
      <c r="B680" s="78"/>
      <c r="G680" s="25"/>
      <c r="H680" s="25"/>
    </row>
    <row r="681" spans="1:8" x14ac:dyDescent="0.35">
      <c r="A681" s="25" t="s">
        <v>1482</v>
      </c>
      <c r="B681" s="78"/>
      <c r="G681" s="25"/>
      <c r="H681" s="25"/>
    </row>
    <row r="682" spans="1:8" x14ac:dyDescent="0.35">
      <c r="A682" s="25" t="s">
        <v>1483</v>
      </c>
      <c r="B682" s="78"/>
      <c r="G682" s="25"/>
      <c r="H682" s="25"/>
    </row>
    <row r="683" spans="1:8" x14ac:dyDescent="0.35">
      <c r="A683" s="25" t="s">
        <v>912</v>
      </c>
      <c r="B683" s="78"/>
      <c r="G683" s="25"/>
      <c r="H683" s="25"/>
    </row>
    <row r="684" spans="1:8" x14ac:dyDescent="0.35">
      <c r="A684" s="25" t="s">
        <v>1949</v>
      </c>
      <c r="B684" s="78"/>
      <c r="G684" s="25"/>
      <c r="H684" s="25"/>
    </row>
    <row r="685" spans="1:8" x14ac:dyDescent="0.35">
      <c r="A685" s="25" t="s">
        <v>1950</v>
      </c>
      <c r="B685" s="78"/>
      <c r="G685" s="25"/>
      <c r="H685" s="25"/>
    </row>
    <row r="686" spans="1:8" x14ac:dyDescent="0.35">
      <c r="A686" t="s">
        <v>1455</v>
      </c>
      <c r="B686" s="78">
        <v>0</v>
      </c>
      <c r="C686" s="78">
        <v>0</v>
      </c>
      <c r="G686" s="25"/>
      <c r="H686" s="25"/>
    </row>
    <row r="687" spans="1:8" x14ac:dyDescent="0.35">
      <c r="A687" s="25" t="s">
        <v>1381</v>
      </c>
      <c r="B687" s="78">
        <v>1</v>
      </c>
      <c r="C687" s="78">
        <v>1</v>
      </c>
      <c r="G687" s="25"/>
      <c r="H687" s="25"/>
    </row>
    <row r="688" spans="1:8" x14ac:dyDescent="0.35">
      <c r="A688" s="25" t="s">
        <v>2039</v>
      </c>
      <c r="B688" s="78">
        <v>1</v>
      </c>
      <c r="C688" s="78">
        <v>1</v>
      </c>
      <c r="G688" s="25"/>
      <c r="H688" s="25"/>
    </row>
    <row r="689" spans="1:8" x14ac:dyDescent="0.35">
      <c r="A689" s="25" t="s">
        <v>1916</v>
      </c>
      <c r="B689" s="78"/>
      <c r="G689" s="25"/>
      <c r="H689" s="25"/>
    </row>
    <row r="690" spans="1:8" x14ac:dyDescent="0.35">
      <c r="A690" s="25" t="s">
        <v>777</v>
      </c>
      <c r="B690" s="78"/>
      <c r="G690" s="25"/>
      <c r="H690" s="25"/>
    </row>
    <row r="691" spans="1:8" x14ac:dyDescent="0.35">
      <c r="A691" s="25" t="s">
        <v>778</v>
      </c>
      <c r="B691" s="78"/>
      <c r="G691" s="25"/>
      <c r="H691" s="25"/>
    </row>
    <row r="692" spans="1:8" x14ac:dyDescent="0.35">
      <c r="A692" s="25" t="s">
        <v>779</v>
      </c>
      <c r="B692" s="78"/>
      <c r="G692" s="25"/>
      <c r="H692" s="25"/>
    </row>
    <row r="693" spans="1:8" x14ac:dyDescent="0.35">
      <c r="A693" s="25" t="s">
        <v>780</v>
      </c>
      <c r="B693" s="78"/>
      <c r="G693" s="25"/>
      <c r="H693" s="25"/>
    </row>
    <row r="694" spans="1:8" x14ac:dyDescent="0.35">
      <c r="A694" s="25" t="s">
        <v>781</v>
      </c>
      <c r="B694" s="78"/>
      <c r="G694" s="25"/>
      <c r="H694" s="25"/>
    </row>
    <row r="695" spans="1:8" x14ac:dyDescent="0.35">
      <c r="A695" s="25" t="s">
        <v>782</v>
      </c>
      <c r="B695" s="78"/>
      <c r="G695" s="25"/>
      <c r="H695" s="25"/>
    </row>
    <row r="696" spans="1:8" x14ac:dyDescent="0.35">
      <c r="A696" s="25" t="s">
        <v>783</v>
      </c>
      <c r="B696" s="79"/>
      <c r="C696" s="79"/>
      <c r="G696" s="25"/>
      <c r="H696" s="25"/>
    </row>
    <row r="697" spans="1:8" x14ac:dyDescent="0.35">
      <c r="A697" s="25" t="s">
        <v>784</v>
      </c>
      <c r="C697"/>
      <c r="G697" s="25"/>
      <c r="H697" s="25"/>
    </row>
    <row r="698" spans="1:8" x14ac:dyDescent="0.35">
      <c r="A698" s="25" t="s">
        <v>785</v>
      </c>
      <c r="C698"/>
      <c r="G698" s="25"/>
      <c r="H698" s="25"/>
    </row>
    <row r="699" spans="1:8" x14ac:dyDescent="0.35">
      <c r="A699" s="25" t="s">
        <v>84</v>
      </c>
      <c r="C699"/>
      <c r="G699" s="25"/>
      <c r="H699" s="25"/>
    </row>
    <row r="700" spans="1:8" x14ac:dyDescent="0.35">
      <c r="A700" s="25" t="s">
        <v>85</v>
      </c>
      <c r="C700"/>
      <c r="G700" s="25"/>
      <c r="H700" s="25"/>
    </row>
    <row r="701" spans="1:8" x14ac:dyDescent="0.35">
      <c r="A701" s="25" t="s">
        <v>86</v>
      </c>
      <c r="C701"/>
      <c r="G701" s="25"/>
      <c r="H701" s="25"/>
    </row>
    <row r="702" spans="1:8" x14ac:dyDescent="0.35">
      <c r="A702" s="25" t="s">
        <v>87</v>
      </c>
      <c r="C702"/>
      <c r="G702" s="25"/>
      <c r="H702" s="25"/>
    </row>
    <row r="703" spans="1:8" x14ac:dyDescent="0.35">
      <c r="A703" s="25" t="s">
        <v>88</v>
      </c>
      <c r="B703" s="78"/>
      <c r="G703" s="25"/>
      <c r="H703" s="25"/>
    </row>
    <row r="704" spans="1:8" x14ac:dyDescent="0.35">
      <c r="A704" s="25" t="s">
        <v>89</v>
      </c>
      <c r="C704"/>
      <c r="G704" s="25"/>
      <c r="H704" s="25"/>
    </row>
    <row r="705" spans="1:8" x14ac:dyDescent="0.35">
      <c r="A705" s="25" t="s">
        <v>90</v>
      </c>
      <c r="B705" s="78"/>
      <c r="G705" s="25"/>
      <c r="H705" s="25"/>
    </row>
    <row r="706" spans="1:8" x14ac:dyDescent="0.35">
      <c r="A706" s="25" t="s">
        <v>91</v>
      </c>
      <c r="C706"/>
      <c r="G706" s="25"/>
      <c r="H706" s="25"/>
    </row>
    <row r="707" spans="1:8" x14ac:dyDescent="0.35">
      <c r="A707" s="25" t="s">
        <v>92</v>
      </c>
      <c r="C707"/>
      <c r="G707" s="25"/>
      <c r="H707" s="25"/>
    </row>
    <row r="708" spans="1:8" x14ac:dyDescent="0.35">
      <c r="A708" s="25" t="s">
        <v>93</v>
      </c>
      <c r="C708"/>
      <c r="G708" s="25"/>
      <c r="H708" s="25"/>
    </row>
    <row r="709" spans="1:8" x14ac:dyDescent="0.35">
      <c r="A709" s="25" t="s">
        <v>94</v>
      </c>
      <c r="C709"/>
      <c r="G709" s="25"/>
      <c r="H709" s="25"/>
    </row>
    <row r="710" spans="1:8" x14ac:dyDescent="0.35">
      <c r="A710" s="25" t="s">
        <v>2104</v>
      </c>
      <c r="B710">
        <v>1500</v>
      </c>
      <c r="C710">
        <v>1500</v>
      </c>
      <c r="G710" s="25"/>
      <c r="H710" s="25"/>
    </row>
    <row r="711" spans="1:8" x14ac:dyDescent="0.35">
      <c r="A711" s="25" t="s">
        <v>2105</v>
      </c>
      <c r="B711">
        <v>1500</v>
      </c>
      <c r="C711">
        <v>1500</v>
      </c>
      <c r="G711" s="25"/>
      <c r="H711" s="25"/>
    </row>
    <row r="712" spans="1:8" x14ac:dyDescent="0.35">
      <c r="A712" s="25" t="s">
        <v>2106</v>
      </c>
      <c r="B712">
        <v>1500</v>
      </c>
      <c r="C712">
        <v>1500</v>
      </c>
      <c r="G712" s="25"/>
      <c r="H712" s="25"/>
    </row>
    <row r="713" spans="1:8" x14ac:dyDescent="0.35">
      <c r="A713" s="25" t="s">
        <v>2107</v>
      </c>
      <c r="B713">
        <v>1500</v>
      </c>
      <c r="C713">
        <v>1500</v>
      </c>
      <c r="G713" s="25"/>
      <c r="H713" s="25"/>
    </row>
    <row r="714" spans="1:8" x14ac:dyDescent="0.35">
      <c r="A714" s="25" t="s">
        <v>34</v>
      </c>
      <c r="B714" s="78">
        <v>1500</v>
      </c>
      <c r="C714" s="78">
        <v>1500</v>
      </c>
      <c r="G714" s="25"/>
      <c r="H714" s="25"/>
    </row>
    <row r="715" spans="1:8" x14ac:dyDescent="0.35">
      <c r="A715" s="25" t="s">
        <v>35</v>
      </c>
      <c r="B715" s="78">
        <v>1500</v>
      </c>
      <c r="C715" s="78">
        <v>1500</v>
      </c>
      <c r="G715" s="25"/>
      <c r="H715" s="25"/>
    </row>
    <row r="716" spans="1:8" x14ac:dyDescent="0.35">
      <c r="A716" s="25" t="s">
        <v>36</v>
      </c>
      <c r="B716">
        <v>1500</v>
      </c>
      <c r="C716">
        <v>1500</v>
      </c>
      <c r="G716" s="25"/>
      <c r="H716" s="25"/>
    </row>
    <row r="717" spans="1:8" x14ac:dyDescent="0.35">
      <c r="A717" s="25" t="s">
        <v>37</v>
      </c>
      <c r="B717">
        <v>1500</v>
      </c>
      <c r="C717">
        <v>1500</v>
      </c>
      <c r="G717" s="25"/>
      <c r="H717" s="25"/>
    </row>
    <row r="718" spans="1:8" x14ac:dyDescent="0.35">
      <c r="A718" s="25" t="s">
        <v>38</v>
      </c>
      <c r="B718">
        <v>1500</v>
      </c>
      <c r="C718">
        <v>1500</v>
      </c>
      <c r="G718" s="25"/>
      <c r="H718" s="25"/>
    </row>
    <row r="719" spans="1:8" x14ac:dyDescent="0.35">
      <c r="A719" s="25" t="s">
        <v>862</v>
      </c>
      <c r="B719">
        <v>1500</v>
      </c>
      <c r="C719">
        <v>1500</v>
      </c>
      <c r="G719" s="25"/>
      <c r="H719" s="25"/>
    </row>
    <row r="720" spans="1:8" x14ac:dyDescent="0.35">
      <c r="A720" s="25" t="s">
        <v>863</v>
      </c>
      <c r="B720">
        <v>1500</v>
      </c>
      <c r="C720">
        <v>1500</v>
      </c>
      <c r="G720" s="25"/>
      <c r="H720" s="25"/>
    </row>
    <row r="721" spans="1:8" x14ac:dyDescent="0.35">
      <c r="A721" s="25" t="s">
        <v>864</v>
      </c>
      <c r="B721">
        <v>1500</v>
      </c>
      <c r="C721">
        <v>1500</v>
      </c>
      <c r="G721" s="25"/>
      <c r="H721" s="25"/>
    </row>
    <row r="722" spans="1:8" x14ac:dyDescent="0.35">
      <c r="A722" s="25" t="s">
        <v>108</v>
      </c>
      <c r="B722">
        <v>1500</v>
      </c>
      <c r="C722">
        <v>1500</v>
      </c>
      <c r="G722" s="25"/>
      <c r="H722" s="25"/>
    </row>
    <row r="723" spans="1:8" x14ac:dyDescent="0.35">
      <c r="A723" s="25" t="s">
        <v>109</v>
      </c>
      <c r="B723">
        <v>1500</v>
      </c>
      <c r="C723">
        <v>1500</v>
      </c>
      <c r="G723" s="25"/>
      <c r="H723" s="25"/>
    </row>
    <row r="724" spans="1:8" x14ac:dyDescent="0.35">
      <c r="A724" s="25" t="s">
        <v>110</v>
      </c>
      <c r="B724">
        <v>1500</v>
      </c>
      <c r="C724">
        <v>1500</v>
      </c>
      <c r="G724" s="25"/>
      <c r="H724" s="25"/>
    </row>
    <row r="725" spans="1:8" x14ac:dyDescent="0.35">
      <c r="A725" s="25" t="s">
        <v>111</v>
      </c>
      <c r="B725">
        <v>1500</v>
      </c>
      <c r="C725">
        <v>1500</v>
      </c>
      <c r="G725" s="25"/>
      <c r="H725" s="25"/>
    </row>
    <row r="726" spans="1:8" x14ac:dyDescent="0.35">
      <c r="A726" s="25" t="s">
        <v>1267</v>
      </c>
      <c r="B726">
        <v>1500</v>
      </c>
      <c r="C726">
        <v>1500</v>
      </c>
      <c r="G726" s="25"/>
      <c r="H726" s="25"/>
    </row>
    <row r="727" spans="1:8" x14ac:dyDescent="0.35">
      <c r="A727" s="25" t="s">
        <v>1268</v>
      </c>
      <c r="B727">
        <v>1500</v>
      </c>
      <c r="C727">
        <v>1500</v>
      </c>
      <c r="G727" s="25"/>
      <c r="H727" s="25"/>
    </row>
    <row r="728" spans="1:8" x14ac:dyDescent="0.35">
      <c r="A728" s="25" t="s">
        <v>1269</v>
      </c>
      <c r="B728">
        <v>1500</v>
      </c>
      <c r="C728">
        <v>1500</v>
      </c>
      <c r="G728" s="25"/>
      <c r="H728" s="25"/>
    </row>
    <row r="729" spans="1:8" x14ac:dyDescent="0.35">
      <c r="A729" s="25" t="s">
        <v>1270</v>
      </c>
      <c r="B729">
        <v>1500</v>
      </c>
      <c r="C729">
        <v>1500</v>
      </c>
      <c r="G729" s="25"/>
      <c r="H729" s="25"/>
    </row>
    <row r="730" spans="1:8" x14ac:dyDescent="0.35">
      <c r="A730" s="25" t="s">
        <v>1760</v>
      </c>
      <c r="C730"/>
      <c r="G730" s="25"/>
      <c r="H730" s="25"/>
    </row>
    <row r="731" spans="1:8" x14ac:dyDescent="0.35">
      <c r="A731" s="25" t="s">
        <v>1765</v>
      </c>
      <c r="B731">
        <v>40</v>
      </c>
      <c r="C731">
        <v>40</v>
      </c>
      <c r="G731" s="25"/>
      <c r="H731" s="25"/>
    </row>
    <row r="732" spans="1:8" x14ac:dyDescent="0.35">
      <c r="A732" s="25" t="s">
        <v>1764</v>
      </c>
      <c r="B732">
        <v>80</v>
      </c>
      <c r="C732">
        <v>80</v>
      </c>
      <c r="G732" s="25"/>
      <c r="H732" s="25"/>
    </row>
    <row r="733" spans="1:8" x14ac:dyDescent="0.35">
      <c r="A733" s="25" t="s">
        <v>1754</v>
      </c>
      <c r="C733"/>
      <c r="G733" s="25"/>
      <c r="H733" s="25"/>
    </row>
    <row r="734" spans="1:8" x14ac:dyDescent="0.35">
      <c r="A734" s="25" t="s">
        <v>1752</v>
      </c>
      <c r="C734"/>
      <c r="G734" s="25"/>
      <c r="H734" s="25"/>
    </row>
    <row r="735" spans="1:8" x14ac:dyDescent="0.35">
      <c r="A735" s="25" t="s">
        <v>1759</v>
      </c>
      <c r="C735"/>
      <c r="G735" s="25"/>
      <c r="H735" s="25"/>
    </row>
    <row r="736" spans="1:8" x14ac:dyDescent="0.35">
      <c r="A736" s="25" t="s">
        <v>1739</v>
      </c>
      <c r="B736" s="78">
        <v>1</v>
      </c>
      <c r="C736" s="78">
        <v>1</v>
      </c>
      <c r="G736" s="25"/>
      <c r="H736" s="25"/>
    </row>
    <row r="737" spans="1:8" x14ac:dyDescent="0.35">
      <c r="A737" s="25" t="s">
        <v>1076</v>
      </c>
      <c r="B737" s="78">
        <v>0</v>
      </c>
      <c r="C737" s="78">
        <v>0</v>
      </c>
      <c r="G737" s="25"/>
      <c r="H737" s="25"/>
    </row>
    <row r="738" spans="1:8" x14ac:dyDescent="0.35">
      <c r="A738" s="25" t="s">
        <v>1011</v>
      </c>
      <c r="B738" s="78">
        <v>1</v>
      </c>
      <c r="C738" s="78">
        <v>1</v>
      </c>
      <c r="G738" s="25"/>
      <c r="H738" s="25"/>
    </row>
    <row r="739" spans="1:8" x14ac:dyDescent="0.35">
      <c r="A739" s="25" t="s">
        <v>1917</v>
      </c>
      <c r="B739" s="78"/>
      <c r="G739" s="25"/>
      <c r="H739" s="25"/>
    </row>
    <row r="740" spans="1:8" x14ac:dyDescent="0.35">
      <c r="A740" s="25" t="s">
        <v>1078</v>
      </c>
      <c r="B740" s="78">
        <v>17</v>
      </c>
      <c r="C740" s="78">
        <v>17</v>
      </c>
      <c r="G740" s="25"/>
      <c r="H740" s="25"/>
    </row>
    <row r="741" spans="1:8" x14ac:dyDescent="0.35">
      <c r="A741" s="25" t="s">
        <v>1761</v>
      </c>
      <c r="B741" s="78">
        <v>18</v>
      </c>
      <c r="C741" s="78">
        <v>18</v>
      </c>
      <c r="G741" s="25"/>
      <c r="H741" s="25"/>
    </row>
    <row r="742" spans="1:8" x14ac:dyDescent="0.35">
      <c r="A742" s="25" t="s">
        <v>974</v>
      </c>
      <c r="B742" s="78">
        <v>60</v>
      </c>
      <c r="C742" s="78">
        <v>60</v>
      </c>
      <c r="G742" s="25"/>
      <c r="H742" s="25"/>
    </row>
    <row r="743" spans="1:8" x14ac:dyDescent="0.35">
      <c r="A743" s="25" t="s">
        <v>1918</v>
      </c>
      <c r="B743" s="78" t="b">
        <v>0</v>
      </c>
      <c r="C743" s="78" t="b">
        <v>0</v>
      </c>
      <c r="G743" s="25"/>
      <c r="H743" s="25"/>
    </row>
    <row r="744" spans="1:8" x14ac:dyDescent="0.35">
      <c r="A744" s="25" t="s">
        <v>1919</v>
      </c>
      <c r="B744" s="78">
        <v>1</v>
      </c>
      <c r="C744" s="78">
        <v>1</v>
      </c>
      <c r="G744" s="25"/>
      <c r="H744" s="25"/>
    </row>
    <row r="745" spans="1:8" x14ac:dyDescent="0.35">
      <c r="A745" s="25" t="s">
        <v>710</v>
      </c>
      <c r="B745" s="78">
        <v>0</v>
      </c>
      <c r="C745" s="78">
        <v>0</v>
      </c>
      <c r="G745" s="25"/>
      <c r="H745" s="25"/>
    </row>
    <row r="746" spans="1:8" x14ac:dyDescent="0.35">
      <c r="A746" s="25" t="s">
        <v>1633</v>
      </c>
      <c r="B746" s="78"/>
      <c r="G746" s="25"/>
      <c r="H746" s="25"/>
    </row>
    <row r="747" spans="1:8" x14ac:dyDescent="0.35">
      <c r="A747" s="25" t="s">
        <v>1634</v>
      </c>
      <c r="B747" s="78"/>
      <c r="G747" s="25"/>
      <c r="H747" s="25"/>
    </row>
    <row r="748" spans="1:8" x14ac:dyDescent="0.35">
      <c r="A748" s="25" t="s">
        <v>980</v>
      </c>
      <c r="B748" s="78"/>
      <c r="G748" s="25"/>
      <c r="H748" s="25"/>
    </row>
    <row r="749" spans="1:8" x14ac:dyDescent="0.35">
      <c r="A749" s="25" t="s">
        <v>972</v>
      </c>
      <c r="B749" t="s">
        <v>1272</v>
      </c>
      <c r="C749" t="s">
        <v>1272</v>
      </c>
      <c r="G749" s="25"/>
      <c r="H749" s="25"/>
    </row>
    <row r="750" spans="1:8" x14ac:dyDescent="0.35">
      <c r="A750" s="25" t="s">
        <v>1417</v>
      </c>
      <c r="B750" s="78" t="b">
        <v>0</v>
      </c>
      <c r="C750" s="78" t="b">
        <v>0</v>
      </c>
      <c r="G750" s="25"/>
      <c r="H750" s="25"/>
    </row>
    <row r="751" spans="1:8" x14ac:dyDescent="0.35">
      <c r="A751" s="25" t="s">
        <v>2102</v>
      </c>
      <c r="B751">
        <v>1</v>
      </c>
      <c r="C751">
        <v>1</v>
      </c>
      <c r="G751" s="25"/>
      <c r="H751" s="25"/>
    </row>
    <row r="752" spans="1:8" x14ac:dyDescent="0.35">
      <c r="A752" t="s">
        <v>2137</v>
      </c>
      <c r="B752" s="78" t="b">
        <v>0</v>
      </c>
      <c r="C752" s="78" t="b">
        <v>0</v>
      </c>
      <c r="G752" s="25"/>
      <c r="H752" s="25"/>
    </row>
    <row r="753" spans="1:8" x14ac:dyDescent="0.35">
      <c r="A753" t="s">
        <v>2138</v>
      </c>
      <c r="B753" s="78">
        <v>30</v>
      </c>
      <c r="C753" s="78">
        <v>30</v>
      </c>
      <c r="G753" s="25"/>
      <c r="H753" s="25"/>
    </row>
    <row r="754" spans="1:8" x14ac:dyDescent="0.35">
      <c r="A754" t="s">
        <v>2109</v>
      </c>
      <c r="B754" s="78">
        <v>3</v>
      </c>
      <c r="C754" s="78">
        <v>3</v>
      </c>
      <c r="G754" s="25"/>
      <c r="H754" s="25"/>
    </row>
    <row r="755" spans="1:8" x14ac:dyDescent="0.35">
      <c r="A755" s="25"/>
      <c r="B755" s="78"/>
      <c r="G755" s="25"/>
      <c r="H755" s="25"/>
    </row>
    <row r="756" spans="1:8" x14ac:dyDescent="0.35">
      <c r="A756" s="25"/>
      <c r="B756" s="78"/>
      <c r="G756" s="25"/>
      <c r="H756" s="25"/>
    </row>
    <row r="757" spans="1:8" x14ac:dyDescent="0.35">
      <c r="A757" s="25"/>
      <c r="B757" s="78"/>
      <c r="G757" s="25"/>
      <c r="H757" s="25"/>
    </row>
    <row r="758" spans="1:8" x14ac:dyDescent="0.35">
      <c r="A758" s="25"/>
      <c r="B758" s="78"/>
      <c r="G758" s="25"/>
      <c r="H758" s="25"/>
    </row>
    <row r="759" spans="1:8" x14ac:dyDescent="0.35">
      <c r="A759" s="25"/>
      <c r="B759" s="78"/>
      <c r="G759" s="25"/>
      <c r="H759" s="25"/>
    </row>
    <row r="760" spans="1:8" x14ac:dyDescent="0.35">
      <c r="A760" s="25"/>
      <c r="B760" s="78"/>
      <c r="G760" s="25"/>
      <c r="H760" s="25"/>
    </row>
    <row r="761" spans="1:8" x14ac:dyDescent="0.35">
      <c r="A761" s="25"/>
      <c r="B761" s="78"/>
      <c r="G761" s="25"/>
      <c r="H761" s="25"/>
    </row>
    <row r="762" spans="1:8" x14ac:dyDescent="0.35">
      <c r="A762" s="25"/>
      <c r="B762" s="78"/>
      <c r="G762" s="25"/>
      <c r="H762" s="25"/>
    </row>
    <row r="763" spans="1:8" x14ac:dyDescent="0.35">
      <c r="A763" s="25"/>
      <c r="B763" s="78"/>
      <c r="G763" s="25"/>
      <c r="H763" s="25"/>
    </row>
    <row r="764" spans="1:8" x14ac:dyDescent="0.35">
      <c r="A764" s="25"/>
      <c r="B764" s="78"/>
      <c r="G764" s="25"/>
      <c r="H764" s="25"/>
    </row>
    <row r="765" spans="1:8" x14ac:dyDescent="0.35">
      <c r="A765" s="25"/>
      <c r="B765" s="78"/>
      <c r="G765" s="25"/>
      <c r="H765" s="25"/>
    </row>
    <row r="766" spans="1:8" x14ac:dyDescent="0.35">
      <c r="A766" s="25"/>
      <c r="B766" s="78"/>
      <c r="G766" s="25"/>
      <c r="H766" s="25"/>
    </row>
    <row r="767" spans="1:8" x14ac:dyDescent="0.35">
      <c r="A767" s="25"/>
      <c r="B767" s="78"/>
      <c r="G767" s="25"/>
      <c r="H767" s="25"/>
    </row>
    <row r="768" spans="1:8" x14ac:dyDescent="0.35">
      <c r="A768" s="25"/>
      <c r="B768" s="78"/>
      <c r="G768" s="25"/>
      <c r="H768" s="25"/>
    </row>
    <row r="769" spans="1:8" x14ac:dyDescent="0.35">
      <c r="A769" s="25"/>
      <c r="B769" s="78"/>
      <c r="G769" s="25"/>
      <c r="H769" s="25"/>
    </row>
    <row r="770" spans="1:8" x14ac:dyDescent="0.35">
      <c r="A770" s="25"/>
      <c r="B770" s="78"/>
      <c r="G770" s="25"/>
      <c r="H770" s="25"/>
    </row>
    <row r="771" spans="1:8" x14ac:dyDescent="0.35">
      <c r="A771" s="25"/>
      <c r="B771" s="78"/>
      <c r="G771" s="25"/>
      <c r="H771" s="25"/>
    </row>
    <row r="772" spans="1:8" x14ac:dyDescent="0.35">
      <c r="A772" s="25"/>
      <c r="B772" s="78"/>
      <c r="G772" s="25"/>
      <c r="H772" s="25"/>
    </row>
    <row r="773" spans="1:8" x14ac:dyDescent="0.35">
      <c r="A773" s="25"/>
      <c r="B773" s="78"/>
      <c r="G773" s="25"/>
      <c r="H773" s="25"/>
    </row>
    <row r="774" spans="1:8" x14ac:dyDescent="0.35">
      <c r="A774" s="25"/>
      <c r="B774" s="78"/>
      <c r="G774" s="25"/>
      <c r="H774" s="25"/>
    </row>
    <row r="775" spans="1:8" x14ac:dyDescent="0.35">
      <c r="A775" s="25"/>
      <c r="B775" s="78"/>
      <c r="G775" s="25"/>
      <c r="H775" s="25"/>
    </row>
    <row r="776" spans="1:8" x14ac:dyDescent="0.35">
      <c r="A776" s="25"/>
      <c r="B776" s="78"/>
      <c r="G776" s="25"/>
      <c r="H776" s="25"/>
    </row>
    <row r="777" spans="1:8" x14ac:dyDescent="0.35">
      <c r="A777" s="25"/>
      <c r="B777" s="78"/>
      <c r="G777" s="25"/>
      <c r="H777" s="25"/>
    </row>
    <row r="778" spans="1:8" x14ac:dyDescent="0.35">
      <c r="A778" s="25"/>
      <c r="B778" s="78"/>
      <c r="G778" s="25"/>
      <c r="H778" s="25"/>
    </row>
    <row r="779" spans="1:8" x14ac:dyDescent="0.35">
      <c r="A779" s="25"/>
      <c r="B779" s="78"/>
      <c r="G779" s="25"/>
      <c r="H779" s="25"/>
    </row>
    <row r="780" spans="1:8" x14ac:dyDescent="0.35">
      <c r="A780" s="25"/>
      <c r="B780" s="78"/>
      <c r="G780" s="25"/>
      <c r="H780" s="25"/>
    </row>
    <row r="781" spans="1:8" x14ac:dyDescent="0.35">
      <c r="A781" s="25"/>
      <c r="B781" s="78"/>
      <c r="G781" s="25"/>
      <c r="H781" s="25"/>
    </row>
    <row r="782" spans="1:8" x14ac:dyDescent="0.35">
      <c r="A782" s="25"/>
      <c r="B782" s="78"/>
      <c r="G782" s="25"/>
      <c r="H782" s="25"/>
    </row>
    <row r="783" spans="1:8" x14ac:dyDescent="0.35">
      <c r="A783" s="25"/>
      <c r="B783" s="78"/>
      <c r="G783" s="25"/>
      <c r="H783" s="25"/>
    </row>
    <row r="784" spans="1:8" x14ac:dyDescent="0.35">
      <c r="A784" s="25"/>
      <c r="B784" s="78"/>
      <c r="G784" s="25"/>
      <c r="H784" s="25"/>
    </row>
    <row r="785" spans="1:8" x14ac:dyDescent="0.35">
      <c r="A785" s="25"/>
      <c r="B785" s="78"/>
      <c r="G785" s="25"/>
      <c r="H785" s="25"/>
    </row>
    <row r="786" spans="1:8" x14ac:dyDescent="0.35">
      <c r="A786" s="25"/>
      <c r="B786" s="78"/>
      <c r="G786" s="25"/>
      <c r="H786" s="25"/>
    </row>
    <row r="787" spans="1:8" x14ac:dyDescent="0.35">
      <c r="A787" s="25"/>
      <c r="B787" s="78"/>
      <c r="G787" s="25"/>
      <c r="H787" s="25"/>
    </row>
    <row r="788" spans="1:8" x14ac:dyDescent="0.35">
      <c r="A788" s="25"/>
      <c r="B788" s="78"/>
      <c r="G788" s="25"/>
      <c r="H788" s="25"/>
    </row>
    <row r="789" spans="1:8" x14ac:dyDescent="0.35">
      <c r="A789" s="25"/>
      <c r="B789" s="78"/>
      <c r="G789" s="25"/>
      <c r="H789" s="25"/>
    </row>
    <row r="790" spans="1:8" x14ac:dyDescent="0.35">
      <c r="A790" s="25"/>
      <c r="B790" s="78"/>
      <c r="G790" s="25"/>
      <c r="H790" s="25"/>
    </row>
    <row r="791" spans="1:8" x14ac:dyDescent="0.35">
      <c r="A791" s="25"/>
      <c r="B791" s="78"/>
      <c r="G791" s="25"/>
      <c r="H791" s="25"/>
    </row>
    <row r="792" spans="1:8" x14ac:dyDescent="0.35">
      <c r="A792" s="25"/>
      <c r="B792" s="78"/>
      <c r="G792" s="25"/>
      <c r="H792" s="25"/>
    </row>
    <row r="793" spans="1:8" x14ac:dyDescent="0.35">
      <c r="A793" s="25"/>
      <c r="B793" s="78"/>
      <c r="G793" s="25"/>
      <c r="H793" s="25"/>
    </row>
    <row r="794" spans="1:8" x14ac:dyDescent="0.35">
      <c r="A794" s="25"/>
      <c r="B794" s="78"/>
      <c r="G794" s="25"/>
      <c r="H794" s="25"/>
    </row>
    <row r="795" spans="1:8" x14ac:dyDescent="0.35">
      <c r="A795" s="25"/>
      <c r="B795" s="78"/>
      <c r="G795" s="25"/>
      <c r="H795" s="25"/>
    </row>
    <row r="796" spans="1:8" x14ac:dyDescent="0.35">
      <c r="A796" s="25"/>
      <c r="B796" s="78"/>
      <c r="G796" s="25"/>
      <c r="H796" s="25"/>
    </row>
    <row r="797" spans="1:8" x14ac:dyDescent="0.35">
      <c r="A797" s="25"/>
      <c r="B797" s="78"/>
      <c r="G797" s="25"/>
      <c r="H797" s="25"/>
    </row>
    <row r="798" spans="1:8" x14ac:dyDescent="0.35">
      <c r="A798" s="25"/>
      <c r="B798" s="78"/>
      <c r="G798" s="25"/>
      <c r="H798" s="25"/>
    </row>
    <row r="799" spans="1:8" x14ac:dyDescent="0.35">
      <c r="A799" s="25"/>
      <c r="B799" s="78"/>
      <c r="G799" s="25"/>
      <c r="H799" s="25"/>
    </row>
    <row r="800" spans="1:8" x14ac:dyDescent="0.35">
      <c r="A800" s="25"/>
      <c r="B800" s="78"/>
      <c r="G800" s="25"/>
      <c r="H800" s="25"/>
    </row>
    <row r="801" spans="1:8" x14ac:dyDescent="0.35">
      <c r="A801" s="25"/>
      <c r="B801" s="78"/>
      <c r="G801" s="25"/>
      <c r="H801" s="25"/>
    </row>
    <row r="802" spans="1:8" x14ac:dyDescent="0.35">
      <c r="A802" s="25"/>
      <c r="B802" s="78"/>
      <c r="G802" s="25"/>
      <c r="H802" s="25"/>
    </row>
    <row r="803" spans="1:8" x14ac:dyDescent="0.35">
      <c r="A803" s="25"/>
      <c r="B803" s="78"/>
      <c r="G803" s="25"/>
      <c r="H803" s="25"/>
    </row>
    <row r="804" spans="1:8" x14ac:dyDescent="0.35">
      <c r="A804" s="25"/>
      <c r="B804" s="78"/>
      <c r="G804" s="25"/>
      <c r="H804" s="25"/>
    </row>
    <row r="805" spans="1:8" x14ac:dyDescent="0.35">
      <c r="A805" s="25"/>
      <c r="B805" s="78"/>
      <c r="G805" s="25"/>
      <c r="H805" s="25"/>
    </row>
    <row r="806" spans="1:8" x14ac:dyDescent="0.35">
      <c r="A806" s="25"/>
      <c r="B806" s="78"/>
      <c r="G806" s="25"/>
      <c r="H806" s="25"/>
    </row>
    <row r="807" spans="1:8" x14ac:dyDescent="0.35">
      <c r="A807" s="25"/>
      <c r="B807" s="78"/>
      <c r="G807" s="25"/>
      <c r="H807" s="25"/>
    </row>
    <row r="808" spans="1:8" x14ac:dyDescent="0.35">
      <c r="A808" s="25"/>
      <c r="B808" s="78"/>
      <c r="G808" s="25"/>
      <c r="H808" s="25"/>
    </row>
    <row r="809" spans="1:8" x14ac:dyDescent="0.35">
      <c r="A809" s="25"/>
      <c r="B809" s="78"/>
      <c r="G809" s="25"/>
      <c r="H809" s="25"/>
    </row>
    <row r="810" spans="1:8" x14ac:dyDescent="0.35">
      <c r="A810" s="25"/>
      <c r="B810" s="78"/>
      <c r="G810" s="25"/>
      <c r="H810" s="25"/>
    </row>
    <row r="811" spans="1:8" x14ac:dyDescent="0.35">
      <c r="A811" s="25"/>
      <c r="B811" s="78"/>
      <c r="G811" s="25"/>
      <c r="H811" s="25"/>
    </row>
    <row r="812" spans="1:8" x14ac:dyDescent="0.35">
      <c r="A812" s="25"/>
      <c r="B812" s="78"/>
      <c r="G812" s="25"/>
      <c r="H812" s="25"/>
    </row>
    <row r="813" spans="1:8" x14ac:dyDescent="0.35">
      <c r="A813" s="25"/>
      <c r="B813" s="78"/>
      <c r="G813" s="25"/>
      <c r="H813" s="25"/>
    </row>
    <row r="814" spans="1:8" x14ac:dyDescent="0.35">
      <c r="A814" s="25"/>
      <c r="B814" s="78"/>
      <c r="G814" s="25"/>
      <c r="H814" s="25"/>
    </row>
    <row r="815" spans="1:8" x14ac:dyDescent="0.35">
      <c r="A815" s="25"/>
      <c r="G815" s="25"/>
      <c r="H815" s="25"/>
    </row>
    <row r="816" spans="1:8" x14ac:dyDescent="0.35">
      <c r="A816" s="25"/>
      <c r="G816" s="25"/>
      <c r="H816" s="25"/>
    </row>
    <row r="817" spans="1:8" x14ac:dyDescent="0.35">
      <c r="A817" s="25"/>
      <c r="G817" s="25"/>
      <c r="H817" s="25"/>
    </row>
    <row r="818" spans="1:8" x14ac:dyDescent="0.35">
      <c r="A818" s="25"/>
      <c r="B818" s="25"/>
      <c r="G818" s="25"/>
      <c r="H818" s="25"/>
    </row>
    <row r="819" spans="1:8" x14ac:dyDescent="0.35">
      <c r="A819" s="25"/>
      <c r="B819" s="25"/>
      <c r="G819" s="25"/>
      <c r="H819" s="25"/>
    </row>
    <row r="820" spans="1:8" x14ac:dyDescent="0.35">
      <c r="A820" s="25"/>
      <c r="B820" s="25"/>
      <c r="G820" s="25"/>
      <c r="H820" s="25"/>
    </row>
    <row r="821" spans="1:8" x14ac:dyDescent="0.35">
      <c r="A821" s="25"/>
      <c r="B821" s="25"/>
      <c r="G821" s="25"/>
      <c r="H821" s="25"/>
    </row>
    <row r="822" spans="1:8" x14ac:dyDescent="0.35">
      <c r="A822" s="25"/>
      <c r="B822" s="25"/>
      <c r="G822" s="25"/>
      <c r="H822" s="25"/>
    </row>
    <row r="823" spans="1:8" x14ac:dyDescent="0.35">
      <c r="A823" s="25"/>
      <c r="B823" s="25"/>
      <c r="G823" s="25"/>
      <c r="H823" s="25"/>
    </row>
    <row r="824" spans="1:8" x14ac:dyDescent="0.35">
      <c r="A824" s="25"/>
      <c r="B824" s="25"/>
      <c r="G824" s="25"/>
      <c r="H824" s="25"/>
    </row>
    <row r="825" spans="1:8" x14ac:dyDescent="0.35">
      <c r="A825" s="25"/>
      <c r="B825" s="25"/>
      <c r="G825" s="25"/>
      <c r="H825" s="25"/>
    </row>
    <row r="826" spans="1:8" x14ac:dyDescent="0.35">
      <c r="A826" s="25"/>
      <c r="B826" s="25"/>
      <c r="G826" s="25"/>
      <c r="H826" s="25"/>
    </row>
    <row r="827" spans="1:8" x14ac:dyDescent="0.35">
      <c r="A827" s="25"/>
      <c r="B827" s="25"/>
      <c r="G827" s="25"/>
      <c r="H827" s="25"/>
    </row>
    <row r="828" spans="1:8" x14ac:dyDescent="0.35">
      <c r="A828" s="25"/>
      <c r="B828" s="25"/>
      <c r="G828" s="25"/>
      <c r="H828" s="25"/>
    </row>
    <row r="829" spans="1:8" x14ac:dyDescent="0.35">
      <c r="A829" s="25"/>
      <c r="B829" s="25"/>
      <c r="G829" s="25"/>
      <c r="H829" s="25"/>
    </row>
    <row r="830" spans="1:8" x14ac:dyDescent="0.35">
      <c r="A830" s="25"/>
      <c r="B830" s="25"/>
      <c r="G830" s="25"/>
      <c r="H830" s="25"/>
    </row>
    <row r="831" spans="1:8" x14ac:dyDescent="0.35">
      <c r="A831" s="25"/>
      <c r="B831" s="25"/>
      <c r="G831" s="25"/>
      <c r="H831" s="25"/>
    </row>
    <row r="832" spans="1:8" x14ac:dyDescent="0.35">
      <c r="A832" s="25"/>
      <c r="B832" s="25"/>
      <c r="G832" s="25"/>
      <c r="H832" s="25"/>
    </row>
    <row r="833" spans="1:8" x14ac:dyDescent="0.35">
      <c r="A833" s="25"/>
      <c r="B833" s="25"/>
      <c r="G833" s="25"/>
      <c r="H833" s="25"/>
    </row>
    <row r="834" spans="1:8" x14ac:dyDescent="0.35">
      <c r="A834" s="25"/>
      <c r="B834" s="25"/>
      <c r="G834" s="25"/>
      <c r="H834" s="25"/>
    </row>
    <row r="835" spans="1:8" x14ac:dyDescent="0.35">
      <c r="A835" s="25"/>
      <c r="B835" s="25"/>
      <c r="G835" s="25"/>
      <c r="H835" s="25"/>
    </row>
    <row r="836" spans="1:8" x14ac:dyDescent="0.35">
      <c r="A836" s="25"/>
      <c r="B836" s="25"/>
      <c r="G836" s="25"/>
      <c r="H836" s="25"/>
    </row>
    <row r="837" spans="1:8" x14ac:dyDescent="0.35">
      <c r="A837" s="25"/>
      <c r="B837" s="25"/>
      <c r="G837" s="25"/>
      <c r="H837" s="25"/>
    </row>
    <row r="838" spans="1:8" x14ac:dyDescent="0.35">
      <c r="A838" s="25"/>
      <c r="B838" s="25"/>
      <c r="G838" s="25"/>
      <c r="H838" s="25"/>
    </row>
    <row r="839" spans="1:8" x14ac:dyDescent="0.35">
      <c r="A839" s="25"/>
      <c r="B839" s="25"/>
      <c r="G839" s="25"/>
      <c r="H839" s="25"/>
    </row>
    <row r="840" spans="1:8" x14ac:dyDescent="0.35">
      <c r="A840" s="25"/>
      <c r="B840" s="25"/>
      <c r="G840" s="25"/>
      <c r="H840" s="25"/>
    </row>
    <row r="841" spans="1:8" x14ac:dyDescent="0.35">
      <c r="A841" s="25"/>
      <c r="B841" s="25"/>
      <c r="G841" s="25"/>
      <c r="H841" s="25"/>
    </row>
    <row r="842" spans="1:8" x14ac:dyDescent="0.35">
      <c r="A842" s="25"/>
      <c r="B842" s="25"/>
      <c r="G842" s="25"/>
      <c r="H842" s="25"/>
    </row>
    <row r="843" spans="1:8" x14ac:dyDescent="0.35">
      <c r="A843" s="25"/>
      <c r="B843" s="25"/>
      <c r="G843" s="25"/>
      <c r="H843" s="25"/>
    </row>
    <row r="844" spans="1:8" x14ac:dyDescent="0.35">
      <c r="A844" s="25"/>
      <c r="B844" s="25"/>
      <c r="G844" s="25"/>
      <c r="H844" s="25"/>
    </row>
    <row r="845" spans="1:8" x14ac:dyDescent="0.35">
      <c r="A845" s="25"/>
      <c r="B845" s="25"/>
      <c r="G845" s="25"/>
      <c r="H845" s="25"/>
    </row>
    <row r="846" spans="1:8" x14ac:dyDescent="0.35">
      <c r="A846" s="25"/>
      <c r="B846" s="25"/>
      <c r="G846" s="25"/>
      <c r="H846" s="25"/>
    </row>
    <row r="847" spans="1:8" x14ac:dyDescent="0.35">
      <c r="A847" s="25"/>
      <c r="B847" s="25"/>
      <c r="G847" s="25"/>
      <c r="H847" s="25"/>
    </row>
    <row r="848" spans="1:8" x14ac:dyDescent="0.35">
      <c r="A848" s="25"/>
      <c r="B848" s="25"/>
      <c r="G848" s="25"/>
      <c r="H848" s="25"/>
    </row>
    <row r="849" spans="1:8" x14ac:dyDescent="0.35">
      <c r="A849" s="25"/>
      <c r="B849" s="25"/>
      <c r="G849" s="25"/>
      <c r="H849" s="25"/>
    </row>
    <row r="850" spans="1:8" x14ac:dyDescent="0.35">
      <c r="A850" s="25"/>
      <c r="B850" s="25"/>
      <c r="G850" s="25"/>
      <c r="H850" s="25"/>
    </row>
    <row r="851" spans="1:8" x14ac:dyDescent="0.35">
      <c r="A851" s="25"/>
      <c r="B851" s="25"/>
      <c r="G851" s="25"/>
      <c r="H851" s="25"/>
    </row>
    <row r="852" spans="1:8" x14ac:dyDescent="0.35">
      <c r="A852" s="25"/>
      <c r="B852" s="25"/>
      <c r="G852" s="25"/>
      <c r="H852" s="25"/>
    </row>
    <row r="853" spans="1:8" x14ac:dyDescent="0.35">
      <c r="A853" s="25"/>
      <c r="B853" s="25"/>
      <c r="G853" s="25"/>
      <c r="H853" s="25"/>
    </row>
    <row r="854" spans="1:8" x14ac:dyDescent="0.35">
      <c r="A854" s="25"/>
      <c r="B854" s="25"/>
      <c r="G854" s="25"/>
      <c r="H854" s="25"/>
    </row>
    <row r="855" spans="1:8" x14ac:dyDescent="0.35">
      <c r="A855" s="25"/>
      <c r="B855" s="25"/>
      <c r="G855" s="25"/>
      <c r="H855" s="25"/>
    </row>
    <row r="856" spans="1:8" x14ac:dyDescent="0.35">
      <c r="A856" s="25"/>
      <c r="B856" s="25"/>
      <c r="G856" s="25"/>
      <c r="H856" s="25"/>
    </row>
    <row r="857" spans="1:8" x14ac:dyDescent="0.35">
      <c r="A857" s="25"/>
      <c r="B857" s="25"/>
      <c r="G857" s="25"/>
      <c r="H857" s="25"/>
    </row>
    <row r="858" spans="1:8" x14ac:dyDescent="0.35">
      <c r="A858" s="25"/>
      <c r="B858" s="25"/>
      <c r="G858" s="25"/>
      <c r="H858" s="25"/>
    </row>
    <row r="859" spans="1:8" x14ac:dyDescent="0.35">
      <c r="A859" s="25"/>
      <c r="B859" s="25"/>
      <c r="G859" s="25"/>
      <c r="H859" s="25"/>
    </row>
    <row r="860" spans="1:8" x14ac:dyDescent="0.35">
      <c r="A860" s="25"/>
      <c r="B860" s="25"/>
      <c r="G860" s="25"/>
      <c r="H860" s="25"/>
    </row>
    <row r="861" spans="1:8" x14ac:dyDescent="0.35">
      <c r="A861" s="25"/>
      <c r="B861" s="25"/>
      <c r="G861" s="25"/>
      <c r="H861" s="25"/>
    </row>
    <row r="862" spans="1:8" x14ac:dyDescent="0.35">
      <c r="A862" s="25"/>
      <c r="B862" s="25"/>
      <c r="G862" s="25"/>
      <c r="H862" s="25"/>
    </row>
    <row r="863" spans="1:8" x14ac:dyDescent="0.35">
      <c r="A863" s="25"/>
      <c r="B863" s="25"/>
      <c r="G863" s="25"/>
      <c r="H863" s="25"/>
    </row>
    <row r="864" spans="1:8" x14ac:dyDescent="0.35">
      <c r="A864" s="25"/>
      <c r="B864" s="25"/>
      <c r="G864" s="25"/>
      <c r="H864" s="25"/>
    </row>
    <row r="865" spans="1:8" x14ac:dyDescent="0.35">
      <c r="A865" s="25"/>
      <c r="B865" s="25"/>
      <c r="G865" s="25"/>
      <c r="H865" s="25"/>
    </row>
    <row r="866" spans="1:8" x14ac:dyDescent="0.35">
      <c r="A866" s="25"/>
      <c r="B866" s="25"/>
      <c r="G866" s="25"/>
      <c r="H866" s="25"/>
    </row>
    <row r="867" spans="1:8" x14ac:dyDescent="0.35">
      <c r="A867" s="25"/>
      <c r="B867" s="25"/>
      <c r="G867" s="25"/>
      <c r="H867" s="25"/>
    </row>
    <row r="868" spans="1:8" x14ac:dyDescent="0.35">
      <c r="A868" s="25"/>
      <c r="B868" s="25"/>
      <c r="G868" s="25"/>
      <c r="H868" s="25"/>
    </row>
    <row r="869" spans="1:8" x14ac:dyDescent="0.35">
      <c r="A869" s="25"/>
      <c r="B869" s="25"/>
      <c r="G869" s="25"/>
      <c r="H869" s="25"/>
    </row>
    <row r="870" spans="1:8" x14ac:dyDescent="0.35">
      <c r="A870" s="25"/>
      <c r="B870" s="25"/>
      <c r="G870" s="25"/>
      <c r="H870" s="25"/>
    </row>
    <row r="871" spans="1:8" x14ac:dyDescent="0.35">
      <c r="A871" s="25"/>
      <c r="B871" s="25"/>
      <c r="G871" s="25"/>
      <c r="H871" s="25"/>
    </row>
    <row r="872" spans="1:8" x14ac:dyDescent="0.35">
      <c r="A872" s="25"/>
      <c r="B872" s="25"/>
      <c r="G872" s="25"/>
      <c r="H872" s="25"/>
    </row>
    <row r="873" spans="1:8" x14ac:dyDescent="0.35">
      <c r="A873" s="25"/>
      <c r="B873" s="25"/>
      <c r="G873" s="25"/>
      <c r="H873" s="25"/>
    </row>
    <row r="874" spans="1:8" x14ac:dyDescent="0.35">
      <c r="A874" s="25"/>
      <c r="B874" s="25"/>
      <c r="G874" s="25"/>
      <c r="H874" s="25"/>
    </row>
    <row r="875" spans="1:8" x14ac:dyDescent="0.35">
      <c r="A875" s="25"/>
      <c r="B875" s="25"/>
      <c r="G875" s="25"/>
      <c r="H875" s="25"/>
    </row>
    <row r="876" spans="1:8" x14ac:dyDescent="0.35">
      <c r="A876" s="25"/>
      <c r="B876" s="25"/>
      <c r="G876" s="25"/>
      <c r="H876" s="25"/>
    </row>
    <row r="877" spans="1:8" x14ac:dyDescent="0.35">
      <c r="A877" s="25"/>
      <c r="B877" s="25"/>
      <c r="G877" s="25"/>
      <c r="H877" s="25"/>
    </row>
    <row r="878" spans="1:8" x14ac:dyDescent="0.35">
      <c r="A878" s="25"/>
      <c r="B878" s="25"/>
      <c r="G878" s="25"/>
      <c r="H878" s="25"/>
    </row>
    <row r="879" spans="1:8" x14ac:dyDescent="0.35">
      <c r="A879" s="25"/>
      <c r="B879" s="25"/>
      <c r="G879" s="25"/>
      <c r="H879" s="25"/>
    </row>
    <row r="880" spans="1:8" x14ac:dyDescent="0.35">
      <c r="A880" s="25"/>
      <c r="B880" s="25"/>
      <c r="G880" s="25"/>
      <c r="H880" s="25"/>
    </row>
    <row r="881" spans="1:8" x14ac:dyDescent="0.35">
      <c r="A881" s="25"/>
      <c r="B881" s="25"/>
      <c r="G881" s="25"/>
      <c r="H881" s="25"/>
    </row>
    <row r="882" spans="1:8" x14ac:dyDescent="0.35">
      <c r="A882" s="25"/>
      <c r="B882" s="25"/>
      <c r="G882" s="25"/>
      <c r="H882" s="25"/>
    </row>
    <row r="883" spans="1:8" x14ac:dyDescent="0.35">
      <c r="A883" s="25"/>
      <c r="B883" s="25"/>
      <c r="G883" s="25"/>
      <c r="H883" s="25"/>
    </row>
    <row r="884" spans="1:8" x14ac:dyDescent="0.35">
      <c r="A884" s="25"/>
      <c r="B884" s="25"/>
      <c r="G884" s="25"/>
      <c r="H884" s="25"/>
    </row>
    <row r="885" spans="1:8" x14ac:dyDescent="0.35">
      <c r="A885" s="25"/>
      <c r="B885" s="25"/>
      <c r="G885" s="25"/>
      <c r="H885" s="25"/>
    </row>
    <row r="886" spans="1:8" x14ac:dyDescent="0.35">
      <c r="A886" s="25"/>
      <c r="B886" s="25"/>
      <c r="G886" s="25"/>
      <c r="H886" s="25"/>
    </row>
    <row r="887" spans="1:8" x14ac:dyDescent="0.35">
      <c r="A887" s="25"/>
      <c r="B887" s="25"/>
      <c r="G887" s="25"/>
      <c r="H887" s="25"/>
    </row>
    <row r="888" spans="1:8" x14ac:dyDescent="0.35">
      <c r="A888" s="25"/>
      <c r="B888" s="25"/>
      <c r="G888" s="25"/>
      <c r="H888" s="25"/>
    </row>
    <row r="889" spans="1:8" x14ac:dyDescent="0.35">
      <c r="A889" s="25"/>
      <c r="B889" s="25"/>
      <c r="G889" s="25"/>
      <c r="H889" s="25"/>
    </row>
    <row r="890" spans="1:8" x14ac:dyDescent="0.35">
      <c r="A890" s="25"/>
      <c r="B890" s="25"/>
      <c r="G890" s="25"/>
      <c r="H890" s="25"/>
    </row>
    <row r="891" spans="1:8" x14ac:dyDescent="0.35">
      <c r="A891" s="25"/>
      <c r="B891" s="25"/>
      <c r="G891" s="25"/>
      <c r="H891" s="25"/>
    </row>
    <row r="892" spans="1:8" x14ac:dyDescent="0.35">
      <c r="A892" s="25"/>
      <c r="B892" s="25"/>
      <c r="G892" s="25"/>
      <c r="H892" s="25"/>
    </row>
    <row r="893" spans="1:8" x14ac:dyDescent="0.35">
      <c r="A893" s="25"/>
      <c r="B893" s="25"/>
      <c r="G893" s="25"/>
      <c r="H893" s="25"/>
    </row>
    <row r="894" spans="1:8" x14ac:dyDescent="0.35">
      <c r="A894" s="25"/>
      <c r="B894" s="25"/>
      <c r="G894" s="25"/>
      <c r="H894" s="25"/>
    </row>
    <row r="895" spans="1:8" x14ac:dyDescent="0.35">
      <c r="A895" s="25"/>
      <c r="B895" s="25"/>
      <c r="G895" s="25"/>
      <c r="H895" s="25"/>
    </row>
    <row r="896" spans="1:8" x14ac:dyDescent="0.35">
      <c r="A896" s="25"/>
      <c r="B896" s="25"/>
      <c r="G896" s="25"/>
      <c r="H896" s="25"/>
    </row>
    <row r="897" spans="1:8" x14ac:dyDescent="0.35">
      <c r="A897" s="25"/>
      <c r="B897" s="25"/>
      <c r="G897" s="25"/>
      <c r="H897" s="25"/>
    </row>
    <row r="898" spans="1:8" x14ac:dyDescent="0.35">
      <c r="A898" s="25"/>
      <c r="B898" s="25"/>
      <c r="G898" s="25"/>
      <c r="H898" s="25"/>
    </row>
    <row r="899" spans="1:8" x14ac:dyDescent="0.35">
      <c r="A899" s="25"/>
      <c r="B899" s="25"/>
      <c r="G899" s="25"/>
      <c r="H899" s="25"/>
    </row>
    <row r="900" spans="1:8" x14ac:dyDescent="0.35">
      <c r="A900" s="25"/>
      <c r="B900" s="25"/>
      <c r="G900" s="25"/>
      <c r="H900" s="25"/>
    </row>
    <row r="901" spans="1:8" x14ac:dyDescent="0.35">
      <c r="A901" s="25"/>
      <c r="B901" s="25"/>
      <c r="G901" s="25"/>
      <c r="H901" s="25"/>
    </row>
    <row r="902" spans="1:8" x14ac:dyDescent="0.35">
      <c r="A902" s="25"/>
      <c r="B902" s="25"/>
      <c r="G902" s="25"/>
      <c r="H902" s="25"/>
    </row>
    <row r="903" spans="1:8" x14ac:dyDescent="0.35">
      <c r="A903" s="25"/>
      <c r="B903" s="25"/>
      <c r="G903" s="25"/>
      <c r="H903" s="25"/>
    </row>
    <row r="904" spans="1:8" x14ac:dyDescent="0.35">
      <c r="A904" s="25"/>
      <c r="B904" s="25"/>
      <c r="G904" s="25"/>
      <c r="H904" s="25"/>
    </row>
    <row r="905" spans="1:8" x14ac:dyDescent="0.35">
      <c r="A905" s="25"/>
      <c r="B905" s="25"/>
      <c r="G905" s="25"/>
      <c r="H905" s="25"/>
    </row>
    <row r="906" spans="1:8" x14ac:dyDescent="0.35">
      <c r="A906" s="25"/>
      <c r="B906" s="25"/>
      <c r="G906" s="25"/>
      <c r="H906" s="25"/>
    </row>
    <row r="907" spans="1:8" x14ac:dyDescent="0.35">
      <c r="A907" s="25"/>
      <c r="B907" s="25"/>
      <c r="G907" s="25"/>
      <c r="H907" s="25"/>
    </row>
    <row r="908" spans="1:8" x14ac:dyDescent="0.35">
      <c r="A908" s="25"/>
      <c r="B908" s="25"/>
      <c r="G908" s="25"/>
      <c r="H908" s="25"/>
    </row>
    <row r="909" spans="1:8" x14ac:dyDescent="0.35">
      <c r="A909" s="25"/>
      <c r="B909" s="25"/>
      <c r="G909" s="25"/>
      <c r="H909" s="25"/>
    </row>
    <row r="910" spans="1:8" x14ac:dyDescent="0.35">
      <c r="A910" s="25"/>
      <c r="B910" s="25"/>
      <c r="G910" s="25"/>
      <c r="H910" s="25"/>
    </row>
    <row r="911" spans="1:8" x14ac:dyDescent="0.35">
      <c r="A911" s="25"/>
      <c r="B911" s="25"/>
      <c r="G911" s="25"/>
      <c r="H911" s="25"/>
    </row>
    <row r="912" spans="1:8" x14ac:dyDescent="0.35">
      <c r="A912" s="25"/>
      <c r="B912" s="25"/>
      <c r="G912" s="25"/>
      <c r="H912" s="25"/>
    </row>
    <row r="913" spans="1:8" x14ac:dyDescent="0.35">
      <c r="A913" s="25"/>
      <c r="B913" s="25"/>
      <c r="G913" s="25"/>
      <c r="H913" s="25"/>
    </row>
    <row r="914" spans="1:8" x14ac:dyDescent="0.35">
      <c r="A914" s="25"/>
      <c r="B914" s="25"/>
      <c r="G914" s="25"/>
      <c r="H914" s="25"/>
    </row>
    <row r="915" spans="1:8" x14ac:dyDescent="0.35">
      <c r="A915" s="25"/>
      <c r="B915" s="25"/>
      <c r="G915" s="25"/>
      <c r="H915" s="25"/>
    </row>
    <row r="916" spans="1:8" x14ac:dyDescent="0.35">
      <c r="A916" s="25"/>
      <c r="B916" s="25"/>
      <c r="G916" s="25"/>
      <c r="H916" s="25"/>
    </row>
    <row r="917" spans="1:8" x14ac:dyDescent="0.35">
      <c r="B917" s="25"/>
      <c r="G917" s="25"/>
      <c r="H917" s="25"/>
    </row>
    <row r="918" spans="1:8" x14ac:dyDescent="0.35">
      <c r="B918" s="25"/>
      <c r="G918" s="25"/>
      <c r="H918" s="25"/>
    </row>
    <row r="919" spans="1:8" x14ac:dyDescent="0.35">
      <c r="B919" s="25"/>
      <c r="G919" s="25"/>
      <c r="H919" s="25"/>
    </row>
    <row r="920" spans="1:8" x14ac:dyDescent="0.35">
      <c r="B920" s="25"/>
      <c r="G920" s="25"/>
      <c r="H920" s="25"/>
    </row>
    <row r="921" spans="1:8" x14ac:dyDescent="0.35">
      <c r="B921" s="25"/>
      <c r="G921" s="25"/>
      <c r="H921" s="25"/>
    </row>
    <row r="922" spans="1:8" x14ac:dyDescent="0.35">
      <c r="B922" s="25"/>
      <c r="G922" s="25"/>
      <c r="H922" s="25"/>
    </row>
    <row r="923" spans="1:8" x14ac:dyDescent="0.35">
      <c r="B923" s="25"/>
      <c r="G923" s="25"/>
      <c r="H923" s="25"/>
    </row>
    <row r="924" spans="1:8" x14ac:dyDescent="0.35">
      <c r="B924" s="25"/>
      <c r="G924" s="25"/>
      <c r="H924" s="25"/>
    </row>
    <row r="925" spans="1:8" x14ac:dyDescent="0.35">
      <c r="B925" s="25"/>
      <c r="G925" s="25"/>
      <c r="H925" s="25"/>
    </row>
    <row r="926" spans="1:8" x14ac:dyDescent="0.35">
      <c r="B926" s="25"/>
      <c r="G926" s="25"/>
      <c r="H926" s="25"/>
    </row>
    <row r="927" spans="1:8" x14ac:dyDescent="0.35">
      <c r="B927" s="25"/>
      <c r="G927" s="25"/>
      <c r="H927" s="25"/>
    </row>
    <row r="928" spans="1:8" x14ac:dyDescent="0.35">
      <c r="B928" s="25"/>
      <c r="G928" s="25"/>
      <c r="H928" s="25"/>
    </row>
    <row r="929" spans="2:8" x14ac:dyDescent="0.35">
      <c r="B929" s="25"/>
      <c r="G929" s="25"/>
      <c r="H929" s="25"/>
    </row>
    <row r="930" spans="2:8" x14ac:dyDescent="0.35">
      <c r="B930" s="25"/>
      <c r="G930" s="25"/>
      <c r="H930" s="25"/>
    </row>
    <row r="931" spans="2:8" x14ac:dyDescent="0.35">
      <c r="B931" s="25"/>
      <c r="G931" s="25"/>
      <c r="H931" s="25"/>
    </row>
    <row r="932" spans="2:8" x14ac:dyDescent="0.35">
      <c r="B932" s="25"/>
      <c r="G932" s="25"/>
      <c r="H932" s="25"/>
    </row>
    <row r="933" spans="2:8" x14ac:dyDescent="0.35">
      <c r="B933" s="25"/>
      <c r="G933" s="25"/>
      <c r="H933" s="25"/>
    </row>
    <row r="934" spans="2:8" x14ac:dyDescent="0.35">
      <c r="B934" s="25"/>
      <c r="G934" s="25"/>
      <c r="H934" s="25"/>
    </row>
    <row r="935" spans="2:8" x14ac:dyDescent="0.35">
      <c r="B935" s="25"/>
      <c r="G935" s="25"/>
      <c r="H935" s="25"/>
    </row>
    <row r="936" spans="2:8" x14ac:dyDescent="0.35">
      <c r="B936" s="25"/>
      <c r="G936" s="25"/>
      <c r="H936" s="25"/>
    </row>
    <row r="937" spans="2:8" x14ac:dyDescent="0.35">
      <c r="B937" s="25"/>
      <c r="G937" s="25"/>
      <c r="H937" s="25"/>
    </row>
    <row r="938" spans="2:8" x14ac:dyDescent="0.35">
      <c r="B938" s="25"/>
      <c r="G938" s="25"/>
      <c r="H938" s="25"/>
    </row>
    <row r="939" spans="2:8" x14ac:dyDescent="0.35">
      <c r="B939" s="25"/>
      <c r="G939" s="25"/>
      <c r="H939" s="25"/>
    </row>
    <row r="940" spans="2:8" x14ac:dyDescent="0.35">
      <c r="B940" s="25"/>
      <c r="G940" s="25"/>
      <c r="H940" s="25"/>
    </row>
    <row r="941" spans="2:8" x14ac:dyDescent="0.35">
      <c r="B941" s="25"/>
      <c r="G941" s="25"/>
      <c r="H941" s="25"/>
    </row>
    <row r="942" spans="2:8" x14ac:dyDescent="0.35">
      <c r="B942" s="25"/>
      <c r="G942" s="25"/>
      <c r="H942" s="25"/>
    </row>
    <row r="943" spans="2:8" x14ac:dyDescent="0.35">
      <c r="B943" s="25"/>
      <c r="G943" s="25"/>
      <c r="H943" s="25"/>
    </row>
    <row r="944" spans="2:8" x14ac:dyDescent="0.35">
      <c r="B944" s="25"/>
      <c r="G944" s="25"/>
      <c r="H944" s="25"/>
    </row>
    <row r="945" spans="2:8" x14ac:dyDescent="0.35">
      <c r="B945" s="25"/>
      <c r="G945" s="25"/>
      <c r="H945" s="25"/>
    </row>
    <row r="946" spans="2:8" x14ac:dyDescent="0.35">
      <c r="B946" s="25"/>
      <c r="G946" s="25"/>
      <c r="H946" s="25"/>
    </row>
    <row r="947" spans="2:8" x14ac:dyDescent="0.35">
      <c r="B947" s="25"/>
    </row>
    <row r="948" spans="2:8" x14ac:dyDescent="0.35">
      <c r="B948" s="25"/>
    </row>
    <row r="949" spans="2:8" x14ac:dyDescent="0.35">
      <c r="B949" s="25"/>
    </row>
    <row r="950" spans="2:8" x14ac:dyDescent="0.35">
      <c r="B950" s="25"/>
    </row>
    <row r="951" spans="2:8" x14ac:dyDescent="0.35">
      <c r="B951" s="25"/>
    </row>
    <row r="952" spans="2:8" x14ac:dyDescent="0.35">
      <c r="B952" s="25"/>
    </row>
    <row r="953" spans="2:8" x14ac:dyDescent="0.35">
      <c r="B953" s="25"/>
    </row>
    <row r="954" spans="2:8" x14ac:dyDescent="0.35">
      <c r="B954" s="25"/>
    </row>
    <row r="955" spans="2:8" x14ac:dyDescent="0.35">
      <c r="B955" s="25"/>
    </row>
    <row r="956" spans="2:8" x14ac:dyDescent="0.35">
      <c r="B956" s="25"/>
    </row>
    <row r="957" spans="2:8" x14ac:dyDescent="0.35">
      <c r="B957" s="25"/>
    </row>
    <row r="958" spans="2:8" x14ac:dyDescent="0.35">
      <c r="B958" s="25"/>
    </row>
    <row r="959" spans="2:8" x14ac:dyDescent="0.35">
      <c r="B959" s="25"/>
    </row>
    <row r="960" spans="2:8" x14ac:dyDescent="0.35">
      <c r="B960" s="25"/>
    </row>
    <row r="961" spans="2:2" x14ac:dyDescent="0.35">
      <c r="B961" s="25"/>
    </row>
    <row r="962" spans="2:2" x14ac:dyDescent="0.35">
      <c r="B962" s="25"/>
    </row>
    <row r="963" spans="2:2" x14ac:dyDescent="0.35">
      <c r="B963" s="25"/>
    </row>
    <row r="964" spans="2:2" x14ac:dyDescent="0.35">
      <c r="B964" s="25"/>
    </row>
    <row r="965" spans="2:2" x14ac:dyDescent="0.35">
      <c r="B965" s="25"/>
    </row>
    <row r="966" spans="2:2" x14ac:dyDescent="0.35">
      <c r="B966" s="25"/>
    </row>
    <row r="967" spans="2:2" x14ac:dyDescent="0.35">
      <c r="B967" s="25"/>
    </row>
    <row r="968" spans="2:2" x14ac:dyDescent="0.35">
      <c r="B968" s="25"/>
    </row>
    <row r="969" spans="2:2" x14ac:dyDescent="0.35">
      <c r="B969" s="25"/>
    </row>
    <row r="970" spans="2:2" x14ac:dyDescent="0.35">
      <c r="B970" s="25"/>
    </row>
    <row r="971" spans="2:2" x14ac:dyDescent="0.35">
      <c r="B971" s="25"/>
    </row>
    <row r="972" spans="2:2" x14ac:dyDescent="0.35">
      <c r="B972" s="25"/>
    </row>
    <row r="973" spans="2:2" x14ac:dyDescent="0.35">
      <c r="B973" s="25"/>
    </row>
    <row r="974" spans="2:2" x14ac:dyDescent="0.35">
      <c r="B974" s="25"/>
    </row>
    <row r="975" spans="2:2" x14ac:dyDescent="0.35">
      <c r="B975" s="25"/>
    </row>
    <row r="976" spans="2:2" x14ac:dyDescent="0.35">
      <c r="B976" s="25"/>
    </row>
    <row r="977" spans="2:2" x14ac:dyDescent="0.35">
      <c r="B977" s="25"/>
    </row>
    <row r="978" spans="2:2" x14ac:dyDescent="0.35">
      <c r="B978" s="25"/>
    </row>
    <row r="979" spans="2:2" x14ac:dyDescent="0.35">
      <c r="B979" s="25"/>
    </row>
    <row r="980" spans="2:2" x14ac:dyDescent="0.35">
      <c r="B980" s="25"/>
    </row>
    <row r="981" spans="2:2" x14ac:dyDescent="0.35">
      <c r="B981" s="25"/>
    </row>
    <row r="982" spans="2:2" x14ac:dyDescent="0.35">
      <c r="B982" s="25"/>
    </row>
    <row r="983" spans="2:2" x14ac:dyDescent="0.35">
      <c r="B983" s="25"/>
    </row>
    <row r="984" spans="2:2" x14ac:dyDescent="0.35">
      <c r="B984" s="25"/>
    </row>
    <row r="985" spans="2:2" x14ac:dyDescent="0.35">
      <c r="B985" s="25"/>
    </row>
    <row r="986" spans="2:2" x14ac:dyDescent="0.35">
      <c r="B986" s="25"/>
    </row>
    <row r="987" spans="2:2" x14ac:dyDescent="0.35">
      <c r="B987" s="25"/>
    </row>
    <row r="988" spans="2:2" x14ac:dyDescent="0.35">
      <c r="B988" s="25"/>
    </row>
    <row r="989" spans="2:2" x14ac:dyDescent="0.35">
      <c r="B989" s="25"/>
    </row>
    <row r="990" spans="2:2" x14ac:dyDescent="0.35">
      <c r="B990" s="25"/>
    </row>
    <row r="991" spans="2:2" x14ac:dyDescent="0.35">
      <c r="B991" s="25"/>
    </row>
    <row r="992" spans="2:2" x14ac:dyDescent="0.35">
      <c r="B992" s="25"/>
    </row>
    <row r="993" spans="2:2" x14ac:dyDescent="0.35">
      <c r="B993" s="25"/>
    </row>
    <row r="994" spans="2:2" x14ac:dyDescent="0.35">
      <c r="B994" s="25"/>
    </row>
    <row r="995" spans="2:2" x14ac:dyDescent="0.35">
      <c r="B995" s="25"/>
    </row>
    <row r="996" spans="2:2" x14ac:dyDescent="0.35">
      <c r="B996" s="25"/>
    </row>
    <row r="997" spans="2:2" x14ac:dyDescent="0.35">
      <c r="B997" s="25"/>
    </row>
    <row r="998" spans="2:2" x14ac:dyDescent="0.35">
      <c r="B998" s="25"/>
    </row>
    <row r="999" spans="2:2" x14ac:dyDescent="0.35">
      <c r="B999" s="25"/>
    </row>
    <row r="1000" spans="2:2" x14ac:dyDescent="0.35">
      <c r="B1000" s="25"/>
    </row>
    <row r="1001" spans="2:2" x14ac:dyDescent="0.35">
      <c r="B1001" s="25"/>
    </row>
    <row r="1002" spans="2:2" x14ac:dyDescent="0.35">
      <c r="B1002" s="25"/>
    </row>
    <row r="1003" spans="2:2" x14ac:dyDescent="0.35">
      <c r="B1003" s="25"/>
    </row>
    <row r="1004" spans="2:2" x14ac:dyDescent="0.35">
      <c r="B1004" s="25"/>
    </row>
    <row r="1005" spans="2:2" x14ac:dyDescent="0.35">
      <c r="B1005" s="25"/>
    </row>
    <row r="1006" spans="2:2" x14ac:dyDescent="0.35">
      <c r="B1006" s="25"/>
    </row>
    <row r="1007" spans="2:2" x14ac:dyDescent="0.35">
      <c r="B1007" s="25"/>
    </row>
    <row r="1008" spans="2:2" x14ac:dyDescent="0.35">
      <c r="B1008" s="25"/>
    </row>
    <row r="1009" spans="2:2" x14ac:dyDescent="0.35">
      <c r="B1009" s="25"/>
    </row>
    <row r="1010" spans="2:2" x14ac:dyDescent="0.35">
      <c r="B1010" s="25"/>
    </row>
    <row r="1011" spans="2:2" x14ac:dyDescent="0.35">
      <c r="B1011" s="25"/>
    </row>
    <row r="1012" spans="2:2" x14ac:dyDescent="0.35">
      <c r="B1012" s="25"/>
    </row>
    <row r="1013" spans="2:2" x14ac:dyDescent="0.35">
      <c r="B1013" s="25"/>
    </row>
    <row r="1014" spans="2:2" x14ac:dyDescent="0.35">
      <c r="B1014" s="25"/>
    </row>
    <row r="1015" spans="2:2" x14ac:dyDescent="0.35">
      <c r="B1015" s="25"/>
    </row>
    <row r="1016" spans="2:2" x14ac:dyDescent="0.35">
      <c r="B1016" s="25"/>
    </row>
    <row r="1017" spans="2:2" x14ac:dyDescent="0.35">
      <c r="B1017" s="25"/>
    </row>
    <row r="1018" spans="2:2" x14ac:dyDescent="0.35">
      <c r="B1018" s="25"/>
    </row>
    <row r="1019" spans="2:2" x14ac:dyDescent="0.35">
      <c r="B1019" s="25"/>
    </row>
    <row r="1020" spans="2:2" x14ac:dyDescent="0.35">
      <c r="B1020" s="25"/>
    </row>
    <row r="1021" spans="2:2" x14ac:dyDescent="0.35">
      <c r="B1021" s="25"/>
    </row>
    <row r="1022" spans="2:2" x14ac:dyDescent="0.35">
      <c r="B1022" s="25"/>
    </row>
    <row r="1023" spans="2:2" x14ac:dyDescent="0.35">
      <c r="B1023" s="25"/>
    </row>
    <row r="1024" spans="2:2" x14ac:dyDescent="0.35">
      <c r="B1024" s="25"/>
    </row>
    <row r="1025" spans="2:2" x14ac:dyDescent="0.35">
      <c r="B1025" s="25"/>
    </row>
    <row r="1026" spans="2:2" x14ac:dyDescent="0.35">
      <c r="B1026" s="25"/>
    </row>
    <row r="1027" spans="2:2" x14ac:dyDescent="0.35">
      <c r="B1027" s="25"/>
    </row>
    <row r="1028" spans="2:2" x14ac:dyDescent="0.35">
      <c r="B1028" s="25"/>
    </row>
    <row r="1029" spans="2:2" x14ac:dyDescent="0.35">
      <c r="B1029" s="25"/>
    </row>
    <row r="1030" spans="2:2" x14ac:dyDescent="0.35">
      <c r="B1030" s="25"/>
    </row>
    <row r="1031" spans="2:2" x14ac:dyDescent="0.35">
      <c r="B1031" s="25"/>
    </row>
    <row r="1032" spans="2:2" x14ac:dyDescent="0.35">
      <c r="B1032" s="25"/>
    </row>
    <row r="1033" spans="2:2" x14ac:dyDescent="0.35">
      <c r="B1033" s="25"/>
    </row>
    <row r="1034" spans="2:2" x14ac:dyDescent="0.35">
      <c r="B1034" s="25"/>
    </row>
    <row r="1035" spans="2:2" x14ac:dyDescent="0.35">
      <c r="B1035" s="25"/>
    </row>
    <row r="1036" spans="2:2" x14ac:dyDescent="0.35">
      <c r="B1036" s="25"/>
    </row>
    <row r="1037" spans="2:2" x14ac:dyDescent="0.35">
      <c r="B1037" s="25"/>
    </row>
    <row r="1038" spans="2:2" x14ac:dyDescent="0.35">
      <c r="B1038" s="25"/>
    </row>
    <row r="1039" spans="2:2" x14ac:dyDescent="0.35">
      <c r="B1039" s="25"/>
    </row>
    <row r="1040" spans="2:2" x14ac:dyDescent="0.35">
      <c r="B1040" s="25"/>
    </row>
    <row r="1041" spans="2:2" x14ac:dyDescent="0.35">
      <c r="B1041" s="25"/>
    </row>
    <row r="1042" spans="2:2" x14ac:dyDescent="0.35">
      <c r="B1042" s="25"/>
    </row>
    <row r="1043" spans="2:2" x14ac:dyDescent="0.35">
      <c r="B1043" s="25"/>
    </row>
    <row r="1044" spans="2:2" x14ac:dyDescent="0.35">
      <c r="B1044" s="25"/>
    </row>
    <row r="1045" spans="2:2" x14ac:dyDescent="0.35">
      <c r="B1045" s="25"/>
    </row>
    <row r="1046" spans="2:2" x14ac:dyDescent="0.35">
      <c r="B1046" s="25"/>
    </row>
    <row r="1047" spans="2:2" x14ac:dyDescent="0.35">
      <c r="B1047" s="25"/>
    </row>
    <row r="1048" spans="2:2" x14ac:dyDescent="0.35">
      <c r="B1048" s="25"/>
    </row>
    <row r="1049" spans="2:2" x14ac:dyDescent="0.35">
      <c r="B1049" s="25"/>
    </row>
    <row r="1050" spans="2:2" x14ac:dyDescent="0.35">
      <c r="B1050" s="25"/>
    </row>
    <row r="1051" spans="2:2" x14ac:dyDescent="0.35">
      <c r="B1051" s="25"/>
    </row>
    <row r="1052" spans="2:2" x14ac:dyDescent="0.35">
      <c r="B1052" s="25"/>
    </row>
    <row r="1053" spans="2:2" x14ac:dyDescent="0.35">
      <c r="B1053" s="25"/>
    </row>
    <row r="1054" spans="2:2" x14ac:dyDescent="0.35">
      <c r="B1054" s="25"/>
    </row>
    <row r="1055" spans="2:2" x14ac:dyDescent="0.35">
      <c r="B1055" s="25"/>
    </row>
    <row r="1056" spans="2:2" x14ac:dyDescent="0.35">
      <c r="B1056" s="25"/>
    </row>
    <row r="1057" spans="1:2" x14ac:dyDescent="0.35">
      <c r="B1057" s="25"/>
    </row>
    <row r="1058" spans="1:2" x14ac:dyDescent="0.35">
      <c r="B1058" s="25"/>
    </row>
    <row r="1059" spans="1:2" x14ac:dyDescent="0.35">
      <c r="B1059" s="25"/>
    </row>
    <row r="1060" spans="1:2" x14ac:dyDescent="0.35">
      <c r="B1060" s="25"/>
    </row>
    <row r="1061" spans="1:2" x14ac:dyDescent="0.35">
      <c r="A1061" s="25"/>
      <c r="B1061" s="25"/>
    </row>
    <row r="1062" spans="1:2" x14ac:dyDescent="0.35">
      <c r="A1062" s="25"/>
      <c r="B1062" s="25"/>
    </row>
    <row r="1063" spans="1:2" x14ac:dyDescent="0.35">
      <c r="A1063" s="25"/>
      <c r="B1063" s="25"/>
    </row>
    <row r="1064" spans="1:2" x14ac:dyDescent="0.35">
      <c r="A1064" s="25"/>
      <c r="B1064" s="25"/>
    </row>
    <row r="1065" spans="1:2" x14ac:dyDescent="0.35">
      <c r="A1065" s="25"/>
      <c r="B1065" s="25"/>
    </row>
    <row r="1066" spans="1:2" x14ac:dyDescent="0.35">
      <c r="A1066" s="25"/>
      <c r="B1066" s="25"/>
    </row>
    <row r="1067" spans="1:2" x14ac:dyDescent="0.35">
      <c r="A1067" s="25"/>
      <c r="B1067" s="25"/>
    </row>
    <row r="1068" spans="1:2" x14ac:dyDescent="0.35">
      <c r="A1068" s="25"/>
      <c r="B1068" s="25"/>
    </row>
    <row r="1069" spans="1:2" x14ac:dyDescent="0.35">
      <c r="A1069" s="25"/>
      <c r="B1069" s="25"/>
    </row>
    <row r="1070" spans="1:2" x14ac:dyDescent="0.35">
      <c r="A1070" s="25"/>
      <c r="B1070" s="25"/>
    </row>
    <row r="1071" spans="1:2" x14ac:dyDescent="0.35">
      <c r="A1071" s="25"/>
      <c r="B1071" s="25"/>
    </row>
    <row r="1072" spans="1:2" x14ac:dyDescent="0.35">
      <c r="A1072" s="25"/>
      <c r="B1072" s="25"/>
    </row>
    <row r="1073" spans="1:2" x14ac:dyDescent="0.35">
      <c r="A1073" s="25"/>
      <c r="B1073" s="25"/>
    </row>
    <row r="1074" spans="1:2" x14ac:dyDescent="0.35">
      <c r="A1074" s="25"/>
      <c r="B1074" s="25"/>
    </row>
    <row r="1075" spans="1:2" x14ac:dyDescent="0.35">
      <c r="A1075" s="25"/>
      <c r="B1075" s="25"/>
    </row>
    <row r="1076" spans="1:2" x14ac:dyDescent="0.35">
      <c r="A1076" s="25"/>
      <c r="B1076" s="25"/>
    </row>
    <row r="1077" spans="1:2" x14ac:dyDescent="0.35">
      <c r="A1077" s="25"/>
      <c r="B1077" s="25"/>
    </row>
    <row r="1078" spans="1:2" x14ac:dyDescent="0.35">
      <c r="A1078" s="25"/>
      <c r="B1078" s="25"/>
    </row>
    <row r="1079" spans="1:2" x14ac:dyDescent="0.35">
      <c r="A1079" s="25"/>
      <c r="B1079" s="25"/>
    </row>
    <row r="1080" spans="1:2" x14ac:dyDescent="0.35">
      <c r="A1080" s="25"/>
      <c r="B1080" s="25"/>
    </row>
    <row r="1081" spans="1:2" x14ac:dyDescent="0.35">
      <c r="A1081" s="25"/>
      <c r="B1081" s="25"/>
    </row>
    <row r="1082" spans="1:2" x14ac:dyDescent="0.35">
      <c r="A1082" s="25"/>
      <c r="B1082" s="25"/>
    </row>
    <row r="1083" spans="1:2" x14ac:dyDescent="0.35">
      <c r="A1083" s="25"/>
      <c r="B1083" s="25"/>
    </row>
    <row r="1084" spans="1:2" x14ac:dyDescent="0.35">
      <c r="A1084" s="25"/>
      <c r="B1084" s="25"/>
    </row>
    <row r="1085" spans="1:2" x14ac:dyDescent="0.35">
      <c r="A1085" s="25"/>
      <c r="B1085" s="25"/>
    </row>
    <row r="1086" spans="1:2" x14ac:dyDescent="0.35">
      <c r="A1086" s="25"/>
      <c r="B1086" s="25"/>
    </row>
    <row r="1087" spans="1:2" x14ac:dyDescent="0.35">
      <c r="A1087" s="25"/>
      <c r="B1087" s="25"/>
    </row>
    <row r="1088" spans="1:2" x14ac:dyDescent="0.35">
      <c r="A1088" s="25"/>
      <c r="B1088" s="25"/>
    </row>
    <row r="1089" spans="1:2" x14ac:dyDescent="0.35">
      <c r="A1089" s="25"/>
      <c r="B1089" s="25"/>
    </row>
    <row r="1090" spans="1:2" x14ac:dyDescent="0.35">
      <c r="A1090" s="25"/>
      <c r="B1090" s="25"/>
    </row>
    <row r="1091" spans="1:2" x14ac:dyDescent="0.35">
      <c r="A1091" s="25"/>
      <c r="B1091" s="25"/>
    </row>
    <row r="1092" spans="1:2" x14ac:dyDescent="0.35">
      <c r="A1092" s="25"/>
      <c r="B1092" s="25"/>
    </row>
    <row r="1093" spans="1:2" x14ac:dyDescent="0.35">
      <c r="A1093" s="25"/>
      <c r="B1093" s="25"/>
    </row>
    <row r="1094" spans="1:2" x14ac:dyDescent="0.35">
      <c r="A1094" s="25"/>
      <c r="B1094" s="25"/>
    </row>
    <row r="1095" spans="1:2" x14ac:dyDescent="0.35">
      <c r="A1095" s="25"/>
      <c r="B1095" s="25"/>
    </row>
    <row r="1096" spans="1:2" x14ac:dyDescent="0.35">
      <c r="A1096" s="25"/>
      <c r="B1096" s="25"/>
    </row>
    <row r="1097" spans="1:2" x14ac:dyDescent="0.35">
      <c r="A1097" s="25"/>
      <c r="B1097" s="25"/>
    </row>
    <row r="1098" spans="1:2" x14ac:dyDescent="0.35">
      <c r="A1098" s="25"/>
      <c r="B1098" s="25"/>
    </row>
    <row r="1099" spans="1:2" x14ac:dyDescent="0.35">
      <c r="A1099" s="25"/>
      <c r="B1099" s="25"/>
    </row>
    <row r="1100" spans="1:2" x14ac:dyDescent="0.35">
      <c r="A1100" s="25"/>
      <c r="B1100" s="25"/>
    </row>
    <row r="1101" spans="1:2" x14ac:dyDescent="0.35">
      <c r="A1101" s="25"/>
      <c r="B1101" s="25"/>
    </row>
    <row r="1102" spans="1:2" x14ac:dyDescent="0.35">
      <c r="A1102" s="25"/>
      <c r="B1102" s="25"/>
    </row>
    <row r="1103" spans="1:2" x14ac:dyDescent="0.35">
      <c r="A1103" s="25"/>
      <c r="B1103" s="25"/>
    </row>
    <row r="1104" spans="1:2" x14ac:dyDescent="0.35">
      <c r="A1104" s="25"/>
      <c r="B1104" s="25"/>
    </row>
    <row r="1105" spans="1:2" x14ac:dyDescent="0.35">
      <c r="A1105" s="25"/>
      <c r="B1105" s="25"/>
    </row>
    <row r="1106" spans="1:2" x14ac:dyDescent="0.35">
      <c r="A1106" s="25"/>
      <c r="B1106" s="25"/>
    </row>
    <row r="1107" spans="1:2" x14ac:dyDescent="0.35">
      <c r="A1107" s="25"/>
      <c r="B1107" s="25"/>
    </row>
    <row r="1108" spans="1:2" x14ac:dyDescent="0.35">
      <c r="A1108" s="25"/>
      <c r="B1108" s="25"/>
    </row>
    <row r="1109" spans="1:2" x14ac:dyDescent="0.35">
      <c r="A1109" s="25"/>
      <c r="B1109" s="25"/>
    </row>
    <row r="1110" spans="1:2" x14ac:dyDescent="0.35">
      <c r="A1110" s="25"/>
      <c r="B1110" s="25"/>
    </row>
    <row r="1111" spans="1:2" x14ac:dyDescent="0.35">
      <c r="A1111" s="25"/>
      <c r="B1111" s="25"/>
    </row>
    <row r="1112" spans="1:2" x14ac:dyDescent="0.35">
      <c r="A1112" s="25"/>
      <c r="B1112" s="25"/>
    </row>
    <row r="1113" spans="1:2" x14ac:dyDescent="0.35">
      <c r="A1113" s="25"/>
      <c r="B1113" s="25"/>
    </row>
    <row r="1114" spans="1:2" x14ac:dyDescent="0.35">
      <c r="A1114" s="25"/>
      <c r="B1114" s="25"/>
    </row>
    <row r="1115" spans="1:2" x14ac:dyDescent="0.35">
      <c r="A1115" s="25"/>
      <c r="B1115" s="25"/>
    </row>
    <row r="1116" spans="1:2" x14ac:dyDescent="0.35">
      <c r="A1116" s="25"/>
      <c r="B1116" s="25"/>
    </row>
    <row r="1117" spans="1:2" x14ac:dyDescent="0.35">
      <c r="A1117" s="25"/>
      <c r="B1117" s="25"/>
    </row>
    <row r="1118" spans="1:2" x14ac:dyDescent="0.35">
      <c r="A1118" s="25"/>
      <c r="B1118" s="25"/>
    </row>
    <row r="1119" spans="1:2" x14ac:dyDescent="0.35">
      <c r="A1119" s="25"/>
      <c r="B1119" s="25"/>
    </row>
    <row r="1120" spans="1:2" x14ac:dyDescent="0.35">
      <c r="A1120" s="25"/>
      <c r="B1120" s="25"/>
    </row>
    <row r="1121" spans="1:2" x14ac:dyDescent="0.35">
      <c r="A1121" s="25"/>
      <c r="B1121" s="25"/>
    </row>
    <row r="1122" spans="1:2" x14ac:dyDescent="0.35">
      <c r="A1122" s="25"/>
      <c r="B1122" s="25"/>
    </row>
    <row r="1123" spans="1:2" x14ac:dyDescent="0.35">
      <c r="A1123" s="25"/>
      <c r="B1123" s="25"/>
    </row>
    <row r="1124" spans="1:2" x14ac:dyDescent="0.35">
      <c r="A1124" s="25"/>
      <c r="B1124" s="25"/>
    </row>
    <row r="1125" spans="1:2" x14ac:dyDescent="0.35">
      <c r="A1125" s="25"/>
      <c r="B1125" s="25"/>
    </row>
    <row r="1126" spans="1:2" x14ac:dyDescent="0.35">
      <c r="A1126" s="25"/>
      <c r="B1126" s="25"/>
    </row>
    <row r="1127" spans="1:2" x14ac:dyDescent="0.35">
      <c r="A1127" s="25"/>
      <c r="B1127" s="25"/>
    </row>
    <row r="1128" spans="1:2" x14ac:dyDescent="0.35">
      <c r="A1128" s="25"/>
      <c r="B1128" s="25"/>
    </row>
    <row r="1129" spans="1:2" x14ac:dyDescent="0.35">
      <c r="A1129" s="25"/>
      <c r="B1129" s="25"/>
    </row>
    <row r="1130" spans="1:2" x14ac:dyDescent="0.35">
      <c r="A1130" s="25"/>
      <c r="B1130" s="25"/>
    </row>
    <row r="1131" spans="1:2" x14ac:dyDescent="0.35">
      <c r="A1131" s="25"/>
      <c r="B1131" s="25"/>
    </row>
    <row r="1132" spans="1:2" x14ac:dyDescent="0.35">
      <c r="A1132" s="25"/>
      <c r="B1132" s="25"/>
    </row>
    <row r="1133" spans="1:2" x14ac:dyDescent="0.35">
      <c r="A1133" s="25"/>
      <c r="B1133" s="25"/>
    </row>
    <row r="1134" spans="1:2" x14ac:dyDescent="0.35">
      <c r="A1134" s="25"/>
      <c r="B1134" s="25"/>
    </row>
    <row r="1135" spans="1:2" x14ac:dyDescent="0.35">
      <c r="A1135" s="25"/>
      <c r="B1135" s="25"/>
    </row>
    <row r="1136" spans="1:2" x14ac:dyDescent="0.35">
      <c r="A1136" s="25"/>
      <c r="B1136" s="25"/>
    </row>
    <row r="1137" spans="1:2" x14ac:dyDescent="0.35">
      <c r="A1137" s="25"/>
      <c r="B1137" s="25"/>
    </row>
    <row r="1138" spans="1:2" x14ac:dyDescent="0.35">
      <c r="A1138" s="25"/>
      <c r="B1138" s="25"/>
    </row>
    <row r="1139" spans="1:2" x14ac:dyDescent="0.35">
      <c r="A1139" s="25"/>
      <c r="B1139" s="25"/>
    </row>
    <row r="1140" spans="1:2" x14ac:dyDescent="0.35">
      <c r="A1140" s="25"/>
      <c r="B1140" s="25"/>
    </row>
    <row r="1141" spans="1:2" x14ac:dyDescent="0.35">
      <c r="A1141" s="25"/>
      <c r="B1141" s="25"/>
    </row>
    <row r="1142" spans="1:2" x14ac:dyDescent="0.35">
      <c r="A1142" s="25"/>
      <c r="B1142" s="25"/>
    </row>
    <row r="1143" spans="1:2" x14ac:dyDescent="0.35">
      <c r="A1143" s="25"/>
      <c r="B1143" s="25"/>
    </row>
    <row r="1144" spans="1:2" x14ac:dyDescent="0.35">
      <c r="A1144" s="25"/>
      <c r="B1144" s="25"/>
    </row>
    <row r="1145" spans="1:2" x14ac:dyDescent="0.35">
      <c r="A1145" s="25"/>
      <c r="B1145" s="25"/>
    </row>
    <row r="1146" spans="1:2" x14ac:dyDescent="0.35">
      <c r="A1146" s="25"/>
      <c r="B1146" s="25"/>
    </row>
    <row r="1147" spans="1:2" x14ac:dyDescent="0.35">
      <c r="A1147" s="25"/>
      <c r="B1147" s="25"/>
    </row>
    <row r="1148" spans="1:2" x14ac:dyDescent="0.35">
      <c r="A1148" s="25"/>
      <c r="B1148" s="25"/>
    </row>
    <row r="1149" spans="1:2" x14ac:dyDescent="0.35">
      <c r="A1149" s="25"/>
      <c r="B1149" s="25"/>
    </row>
    <row r="1150" spans="1:2" x14ac:dyDescent="0.35">
      <c r="A1150" s="25"/>
      <c r="B1150" s="25"/>
    </row>
    <row r="1151" spans="1:2" x14ac:dyDescent="0.35">
      <c r="A1151" s="25"/>
      <c r="B1151" s="25"/>
    </row>
    <row r="1152" spans="1:2" x14ac:dyDescent="0.35">
      <c r="A1152" s="25"/>
      <c r="B1152" s="25"/>
    </row>
    <row r="1153" spans="1:2" x14ac:dyDescent="0.35">
      <c r="A1153" s="25"/>
      <c r="B1153" s="25"/>
    </row>
    <row r="1154" spans="1:2" x14ac:dyDescent="0.35">
      <c r="A1154" s="25"/>
      <c r="B1154" s="25"/>
    </row>
    <row r="1155" spans="1:2" x14ac:dyDescent="0.35">
      <c r="A1155" s="25"/>
      <c r="B1155" s="25"/>
    </row>
    <row r="1156" spans="1:2" x14ac:dyDescent="0.35">
      <c r="A1156" s="25"/>
      <c r="B1156" s="25"/>
    </row>
    <row r="1157" spans="1:2" x14ac:dyDescent="0.35">
      <c r="A1157" s="25"/>
      <c r="B1157" s="25"/>
    </row>
    <row r="1158" spans="1:2" x14ac:dyDescent="0.35">
      <c r="A1158" s="25"/>
      <c r="B1158" s="25"/>
    </row>
    <row r="1159" spans="1:2" x14ac:dyDescent="0.35">
      <c r="A1159" s="25"/>
      <c r="B1159" s="25"/>
    </row>
    <row r="1160" spans="1:2" x14ac:dyDescent="0.35">
      <c r="A1160" s="25"/>
      <c r="B1160" s="25"/>
    </row>
    <row r="1161" spans="1:2" x14ac:dyDescent="0.35">
      <c r="A1161" s="25"/>
      <c r="B1161" s="25"/>
    </row>
    <row r="1162" spans="1:2" x14ac:dyDescent="0.35">
      <c r="A1162" s="25"/>
      <c r="B1162" s="25"/>
    </row>
    <row r="1163" spans="1:2" x14ac:dyDescent="0.35">
      <c r="A1163" s="25"/>
      <c r="B1163" s="25"/>
    </row>
    <row r="1164" spans="1:2" x14ac:dyDescent="0.35">
      <c r="A1164" s="25"/>
      <c r="B1164" s="25"/>
    </row>
    <row r="1165" spans="1:2" x14ac:dyDescent="0.35">
      <c r="A1165" s="25"/>
      <c r="B1165" s="25"/>
    </row>
    <row r="1166" spans="1:2" x14ac:dyDescent="0.35">
      <c r="A1166" s="25"/>
      <c r="B1166" s="25"/>
    </row>
    <row r="1167" spans="1:2" x14ac:dyDescent="0.35">
      <c r="A1167" s="25"/>
      <c r="B1167" s="25"/>
    </row>
    <row r="1168" spans="1:2" x14ac:dyDescent="0.35">
      <c r="A1168" s="25"/>
      <c r="B1168" s="25"/>
    </row>
    <row r="1169" spans="1:2" x14ac:dyDescent="0.35">
      <c r="A1169" s="25"/>
      <c r="B1169" s="25"/>
    </row>
    <row r="1170" spans="1:2" x14ac:dyDescent="0.35">
      <c r="A1170" s="25"/>
      <c r="B1170" s="25"/>
    </row>
    <row r="1171" spans="1:2" x14ac:dyDescent="0.35">
      <c r="A1171" s="25"/>
      <c r="B1171" s="25"/>
    </row>
    <row r="1172" spans="1:2" x14ac:dyDescent="0.35">
      <c r="A1172" s="25"/>
      <c r="B1172" s="25"/>
    </row>
    <row r="1173" spans="1:2" x14ac:dyDescent="0.35">
      <c r="A1173" s="25"/>
      <c r="B1173" s="25"/>
    </row>
    <row r="1174" spans="1:2" x14ac:dyDescent="0.35">
      <c r="A1174" s="25"/>
      <c r="B1174" s="25"/>
    </row>
    <row r="1175" spans="1:2" x14ac:dyDescent="0.35">
      <c r="A1175" s="25"/>
      <c r="B1175" s="25"/>
    </row>
    <row r="1176" spans="1:2" x14ac:dyDescent="0.35">
      <c r="A1176" s="25"/>
      <c r="B1176" s="25"/>
    </row>
    <row r="1177" spans="1:2" x14ac:dyDescent="0.35">
      <c r="A1177" s="25"/>
      <c r="B1177" s="25"/>
    </row>
    <row r="1178" spans="1:2" x14ac:dyDescent="0.35">
      <c r="A1178" s="25"/>
      <c r="B1178" s="25"/>
    </row>
    <row r="1179" spans="1:2" x14ac:dyDescent="0.35">
      <c r="A1179" s="25"/>
      <c r="B1179" s="25"/>
    </row>
    <row r="1180" spans="1:2" x14ac:dyDescent="0.35">
      <c r="A1180" s="25"/>
      <c r="B1180" s="25"/>
    </row>
    <row r="1181" spans="1:2" x14ac:dyDescent="0.35">
      <c r="A1181" s="25"/>
      <c r="B1181" s="25"/>
    </row>
    <row r="1182" spans="1:2" x14ac:dyDescent="0.35">
      <c r="A1182" s="25"/>
      <c r="B1182" s="25"/>
    </row>
    <row r="1183" spans="1:2" x14ac:dyDescent="0.35">
      <c r="A1183" s="25"/>
      <c r="B1183" s="25"/>
    </row>
    <row r="1184" spans="1:2" x14ac:dyDescent="0.35">
      <c r="A1184" s="25"/>
      <c r="B1184" s="25"/>
    </row>
    <row r="1185" spans="1:2" x14ac:dyDescent="0.35">
      <c r="A1185" s="25"/>
      <c r="B1185" s="25"/>
    </row>
    <row r="1186" spans="1:2" x14ac:dyDescent="0.35">
      <c r="A1186" s="25"/>
      <c r="B1186" s="25"/>
    </row>
    <row r="1187" spans="1:2" x14ac:dyDescent="0.35">
      <c r="A1187" s="25"/>
      <c r="B1187" s="25"/>
    </row>
    <row r="1188" spans="1:2" x14ac:dyDescent="0.35">
      <c r="A1188" s="25"/>
      <c r="B1188" s="25"/>
    </row>
    <row r="1189" spans="1:2" x14ac:dyDescent="0.35">
      <c r="A1189" s="25"/>
      <c r="B1189" s="25"/>
    </row>
    <row r="1190" spans="1:2" x14ac:dyDescent="0.35">
      <c r="A1190" s="25"/>
      <c r="B1190" s="25"/>
    </row>
    <row r="1191" spans="1:2" x14ac:dyDescent="0.35">
      <c r="A1191" s="25"/>
      <c r="B1191" s="25"/>
    </row>
    <row r="1192" spans="1:2" x14ac:dyDescent="0.35">
      <c r="A1192" s="25"/>
      <c r="B1192" s="25"/>
    </row>
    <row r="1193" spans="1:2" x14ac:dyDescent="0.35">
      <c r="A1193" s="25"/>
      <c r="B1193" s="25"/>
    </row>
    <row r="1194" spans="1:2" x14ac:dyDescent="0.35">
      <c r="A1194" s="25"/>
      <c r="B1194" s="25"/>
    </row>
    <row r="1195" spans="1:2" x14ac:dyDescent="0.35">
      <c r="A1195" s="25"/>
      <c r="B1195" s="25"/>
    </row>
    <row r="1196" spans="1:2" x14ac:dyDescent="0.35">
      <c r="A1196" s="25"/>
      <c r="B1196" s="25"/>
    </row>
    <row r="1197" spans="1:2" x14ac:dyDescent="0.35">
      <c r="A1197" s="25"/>
      <c r="B1197" s="25"/>
    </row>
    <row r="1198" spans="1:2" x14ac:dyDescent="0.35">
      <c r="A1198" s="25"/>
      <c r="B1198" s="25"/>
    </row>
    <row r="1199" spans="1:2" x14ac:dyDescent="0.35">
      <c r="A1199" s="25"/>
      <c r="B1199" s="25"/>
    </row>
    <row r="1200" spans="1:2" x14ac:dyDescent="0.35">
      <c r="A1200" s="25"/>
      <c r="B1200" s="25"/>
    </row>
    <row r="1201" spans="1:2" x14ac:dyDescent="0.35">
      <c r="A1201" s="25"/>
      <c r="B1201" s="25"/>
    </row>
    <row r="1202" spans="1:2" x14ac:dyDescent="0.35">
      <c r="A1202" s="25"/>
      <c r="B1202" s="25"/>
    </row>
    <row r="1203" spans="1:2" x14ac:dyDescent="0.35">
      <c r="A1203" s="25"/>
      <c r="B1203" s="25"/>
    </row>
    <row r="1204" spans="1:2" x14ac:dyDescent="0.35">
      <c r="A1204" s="25"/>
      <c r="B1204" s="25"/>
    </row>
    <row r="1205" spans="1:2" x14ac:dyDescent="0.35">
      <c r="A1205" s="25"/>
      <c r="B1205" s="25"/>
    </row>
    <row r="1206" spans="1:2" x14ac:dyDescent="0.35">
      <c r="A1206" s="25"/>
      <c r="B1206" s="25"/>
    </row>
    <row r="1207" spans="1:2" x14ac:dyDescent="0.35">
      <c r="A1207" s="25"/>
      <c r="B1207" s="25"/>
    </row>
    <row r="1208" spans="1:2" x14ac:dyDescent="0.35">
      <c r="A1208" s="25"/>
      <c r="B1208" s="25"/>
    </row>
    <row r="1209" spans="1:2" x14ac:dyDescent="0.35">
      <c r="A1209" s="25"/>
      <c r="B1209" s="25"/>
    </row>
    <row r="1210" spans="1:2" x14ac:dyDescent="0.35">
      <c r="A1210" s="25"/>
      <c r="B1210" s="25"/>
    </row>
    <row r="1211" spans="1:2" x14ac:dyDescent="0.35">
      <c r="A1211" s="25"/>
      <c r="B1211" s="25"/>
    </row>
    <row r="1212" spans="1:2" x14ac:dyDescent="0.35">
      <c r="A1212" s="25"/>
      <c r="B1212" s="25"/>
    </row>
    <row r="1213" spans="1:2" x14ac:dyDescent="0.35">
      <c r="A1213" s="25"/>
      <c r="B1213" s="25"/>
    </row>
    <row r="1214" spans="1:2" x14ac:dyDescent="0.35">
      <c r="A1214" s="25"/>
      <c r="B1214" s="25"/>
    </row>
    <row r="1215" spans="1:2" x14ac:dyDescent="0.35">
      <c r="A1215" s="25"/>
      <c r="B1215" s="25"/>
    </row>
    <row r="1216" spans="1:2" x14ac:dyDescent="0.35">
      <c r="A1216" s="25"/>
      <c r="B1216" s="25"/>
    </row>
    <row r="1217" spans="1:2" x14ac:dyDescent="0.35">
      <c r="A1217" s="25"/>
      <c r="B1217" s="25"/>
    </row>
    <row r="1218" spans="1:2" x14ac:dyDescent="0.35">
      <c r="A1218" s="25"/>
      <c r="B1218" s="25"/>
    </row>
    <row r="1219" spans="1:2" x14ac:dyDescent="0.35">
      <c r="A1219" s="25"/>
      <c r="B1219" s="25"/>
    </row>
    <row r="1220" spans="1:2" x14ac:dyDescent="0.35">
      <c r="A1220" s="25"/>
      <c r="B1220" s="25"/>
    </row>
    <row r="1221" spans="1:2" x14ac:dyDescent="0.35">
      <c r="A1221" s="25"/>
      <c r="B1221" s="25"/>
    </row>
    <row r="1222" spans="1:2" x14ac:dyDescent="0.35">
      <c r="A1222" s="25"/>
      <c r="B1222" s="25"/>
    </row>
    <row r="1223" spans="1:2" x14ac:dyDescent="0.35">
      <c r="A1223" s="25"/>
      <c r="B1223" s="25"/>
    </row>
    <row r="1224" spans="1:2" x14ac:dyDescent="0.35">
      <c r="A1224" s="25"/>
      <c r="B1224" s="25"/>
    </row>
    <row r="1225" spans="1:2" x14ac:dyDescent="0.35">
      <c r="A1225" s="25"/>
      <c r="B1225" s="25"/>
    </row>
    <row r="1226" spans="1:2" x14ac:dyDescent="0.35">
      <c r="A1226" s="25"/>
      <c r="B1226" s="25"/>
    </row>
    <row r="1227" spans="1:2" x14ac:dyDescent="0.35">
      <c r="A1227" s="25"/>
      <c r="B1227" s="25"/>
    </row>
    <row r="1228" spans="1:2" x14ac:dyDescent="0.35">
      <c r="A1228" s="25"/>
      <c r="B1228" s="25"/>
    </row>
    <row r="1229" spans="1:2" x14ac:dyDescent="0.35">
      <c r="A1229" s="25"/>
      <c r="B1229" s="25"/>
    </row>
    <row r="1230" spans="1:2" x14ac:dyDescent="0.35">
      <c r="A1230" s="25"/>
      <c r="B1230" s="25"/>
    </row>
    <row r="1231" spans="1:2" x14ac:dyDescent="0.35">
      <c r="A1231" s="25"/>
      <c r="B1231" s="25"/>
    </row>
    <row r="1232" spans="1:2" x14ac:dyDescent="0.35">
      <c r="A1232" s="25"/>
      <c r="B1232" s="25"/>
    </row>
    <row r="1233" spans="1:2" x14ac:dyDescent="0.35">
      <c r="A1233" s="25"/>
      <c r="B1233" s="25"/>
    </row>
    <row r="1234" spans="1:2" x14ac:dyDescent="0.35">
      <c r="A1234" s="25"/>
      <c r="B1234" s="25"/>
    </row>
    <row r="1235" spans="1:2" x14ac:dyDescent="0.35">
      <c r="A1235" s="25"/>
      <c r="B1235" s="25"/>
    </row>
    <row r="1236" spans="1:2" x14ac:dyDescent="0.35">
      <c r="A1236" s="25"/>
      <c r="B1236" s="25"/>
    </row>
    <row r="1237" spans="1:2" x14ac:dyDescent="0.35">
      <c r="A1237" s="25"/>
      <c r="B1237" s="25"/>
    </row>
    <row r="1238" spans="1:2" x14ac:dyDescent="0.35">
      <c r="A1238" s="25"/>
      <c r="B1238" s="25"/>
    </row>
    <row r="1239" spans="1:2" x14ac:dyDescent="0.35">
      <c r="A1239" s="25"/>
      <c r="B1239" s="25"/>
    </row>
    <row r="1240" spans="1:2" x14ac:dyDescent="0.35">
      <c r="A1240" s="25"/>
      <c r="B1240" s="25"/>
    </row>
    <row r="1241" spans="1:2" x14ac:dyDescent="0.35">
      <c r="A1241" s="25"/>
      <c r="B1241" s="25"/>
    </row>
    <row r="1242" spans="1:2" x14ac:dyDescent="0.35">
      <c r="A1242" s="25"/>
      <c r="B1242" s="25"/>
    </row>
    <row r="1243" spans="1:2" x14ac:dyDescent="0.35">
      <c r="A1243" s="25"/>
      <c r="B1243" s="25"/>
    </row>
    <row r="1244" spans="1:2" x14ac:dyDescent="0.35">
      <c r="A1244" s="25"/>
      <c r="B1244" s="25"/>
    </row>
    <row r="1245" spans="1:2" x14ac:dyDescent="0.35">
      <c r="A1245" s="25"/>
      <c r="B1245" s="25"/>
    </row>
    <row r="1246" spans="1:2" x14ac:dyDescent="0.35">
      <c r="A1246" s="25"/>
      <c r="B1246" s="25"/>
    </row>
    <row r="1247" spans="1:2" x14ac:dyDescent="0.35">
      <c r="A1247" s="25"/>
      <c r="B1247" s="25"/>
    </row>
    <row r="1248" spans="1:2" x14ac:dyDescent="0.35">
      <c r="A1248" s="25"/>
      <c r="B1248" s="25"/>
    </row>
    <row r="1249" spans="1:2" x14ac:dyDescent="0.35">
      <c r="A1249" s="25"/>
      <c r="B1249" s="25"/>
    </row>
    <row r="1250" spans="1:2" x14ac:dyDescent="0.35">
      <c r="A1250" s="25"/>
      <c r="B1250" s="25"/>
    </row>
    <row r="1251" spans="1:2" x14ac:dyDescent="0.35">
      <c r="A1251" s="25"/>
      <c r="B1251" s="25"/>
    </row>
    <row r="1252" spans="1:2" x14ac:dyDescent="0.35">
      <c r="A1252" s="25"/>
      <c r="B1252" s="25"/>
    </row>
    <row r="1253" spans="1:2" x14ac:dyDescent="0.35">
      <c r="A1253" s="25"/>
      <c r="B1253" s="25"/>
    </row>
    <row r="1254" spans="1:2" x14ac:dyDescent="0.35">
      <c r="A1254" s="25"/>
      <c r="B1254" s="25"/>
    </row>
    <row r="1255" spans="1:2" x14ac:dyDescent="0.35">
      <c r="A1255" s="25"/>
      <c r="B1255" s="25"/>
    </row>
    <row r="1256" spans="1:2" x14ac:dyDescent="0.35">
      <c r="A1256" s="25"/>
      <c r="B1256" s="25"/>
    </row>
    <row r="1257" spans="1:2" x14ac:dyDescent="0.35">
      <c r="A1257" s="25"/>
      <c r="B1257" s="25"/>
    </row>
    <row r="1258" spans="1:2" x14ac:dyDescent="0.35">
      <c r="A1258" s="25"/>
      <c r="B1258" s="25"/>
    </row>
    <row r="1259" spans="1:2" x14ac:dyDescent="0.35">
      <c r="A1259" s="25"/>
      <c r="B1259" s="25"/>
    </row>
    <row r="1260" spans="1:2" x14ac:dyDescent="0.35">
      <c r="A1260" s="25"/>
      <c r="B1260" s="25"/>
    </row>
    <row r="1261" spans="1:2" x14ac:dyDescent="0.35">
      <c r="A1261" s="25"/>
      <c r="B1261" s="25"/>
    </row>
    <row r="1262" spans="1:2" x14ac:dyDescent="0.35">
      <c r="A1262" s="25"/>
      <c r="B1262" s="25"/>
    </row>
    <row r="1263" spans="1:2" x14ac:dyDescent="0.35">
      <c r="A1263" s="25"/>
      <c r="B1263" s="25"/>
    </row>
    <row r="1264" spans="1:2" x14ac:dyDescent="0.35">
      <c r="A1264" s="25"/>
      <c r="B1264" s="25"/>
    </row>
    <row r="1265" spans="1:2" x14ac:dyDescent="0.35">
      <c r="A1265" s="25"/>
      <c r="B1265" s="25"/>
    </row>
    <row r="1266" spans="1:2" x14ac:dyDescent="0.35">
      <c r="A1266" s="25"/>
      <c r="B1266" s="25"/>
    </row>
    <row r="1267" spans="1:2" x14ac:dyDescent="0.35">
      <c r="A1267" s="25"/>
      <c r="B1267" s="25"/>
    </row>
    <row r="1268" spans="1:2" x14ac:dyDescent="0.35">
      <c r="A1268" s="25"/>
      <c r="B1268" s="25"/>
    </row>
    <row r="1269" spans="1:2" x14ac:dyDescent="0.35">
      <c r="A1269" s="25"/>
      <c r="B1269" s="25"/>
    </row>
    <row r="1270" spans="1:2" x14ac:dyDescent="0.35">
      <c r="A1270" s="25"/>
      <c r="B1270" s="25"/>
    </row>
    <row r="1271" spans="1:2" x14ac:dyDescent="0.35">
      <c r="A1271" s="25"/>
      <c r="B1271" s="25"/>
    </row>
    <row r="1272" spans="1:2" x14ac:dyDescent="0.35">
      <c r="A1272" s="25"/>
      <c r="B1272" s="25"/>
    </row>
    <row r="1273" spans="1:2" x14ac:dyDescent="0.35">
      <c r="A1273" s="25"/>
      <c r="B1273" s="25"/>
    </row>
    <row r="1274" spans="1:2" x14ac:dyDescent="0.35">
      <c r="A1274" s="25"/>
      <c r="B1274" s="25"/>
    </row>
    <row r="1275" spans="1:2" x14ac:dyDescent="0.35">
      <c r="A1275" s="25"/>
      <c r="B1275" s="25"/>
    </row>
    <row r="1276" spans="1:2" x14ac:dyDescent="0.35">
      <c r="A1276" s="25"/>
      <c r="B1276" s="25"/>
    </row>
    <row r="1277" spans="1:2" x14ac:dyDescent="0.35">
      <c r="A1277" s="25"/>
      <c r="B1277" s="25"/>
    </row>
    <row r="1278" spans="1:2" x14ac:dyDescent="0.35">
      <c r="A1278" s="25"/>
      <c r="B1278" s="25"/>
    </row>
    <row r="1279" spans="1:2" x14ac:dyDescent="0.35">
      <c r="A1279" s="25"/>
      <c r="B1279" s="25"/>
    </row>
    <row r="1280" spans="1:2" x14ac:dyDescent="0.35">
      <c r="A1280" s="25"/>
      <c r="B1280" s="25"/>
    </row>
    <row r="1281" spans="1:2" x14ac:dyDescent="0.35">
      <c r="A1281" s="25"/>
      <c r="B1281" s="25"/>
    </row>
    <row r="1282" spans="1:2" x14ac:dyDescent="0.35">
      <c r="A1282" s="25"/>
      <c r="B1282" s="25"/>
    </row>
    <row r="1283" spans="1:2" x14ac:dyDescent="0.35">
      <c r="A1283" s="25"/>
      <c r="B1283" s="25"/>
    </row>
    <row r="1284" spans="1:2" x14ac:dyDescent="0.35">
      <c r="A1284" s="25"/>
      <c r="B1284" s="25"/>
    </row>
    <row r="1285" spans="1:2" x14ac:dyDescent="0.35">
      <c r="A1285" s="25"/>
      <c r="B1285" s="25"/>
    </row>
    <row r="1286" spans="1:2" x14ac:dyDescent="0.35">
      <c r="A1286" s="25"/>
      <c r="B1286" s="25"/>
    </row>
    <row r="1287" spans="1:2" x14ac:dyDescent="0.35">
      <c r="A1287" s="25"/>
      <c r="B1287" s="25"/>
    </row>
    <row r="1288" spans="1:2" x14ac:dyDescent="0.35">
      <c r="A1288" s="25"/>
      <c r="B1288" s="25"/>
    </row>
    <row r="1289" spans="1:2" x14ac:dyDescent="0.35">
      <c r="A1289" s="25"/>
      <c r="B1289" s="25"/>
    </row>
    <row r="1290" spans="1:2" x14ac:dyDescent="0.35">
      <c r="A1290" s="25"/>
      <c r="B1290" s="25"/>
    </row>
    <row r="1291" spans="1:2" x14ac:dyDescent="0.35">
      <c r="A1291" s="25"/>
      <c r="B1291" s="25"/>
    </row>
    <row r="1292" spans="1:2" x14ac:dyDescent="0.35">
      <c r="A1292" s="25"/>
      <c r="B1292" s="25"/>
    </row>
    <row r="1293" spans="1:2" x14ac:dyDescent="0.35">
      <c r="A1293" s="25"/>
      <c r="B1293" s="25"/>
    </row>
    <row r="1294" spans="1:2" x14ac:dyDescent="0.35">
      <c r="A1294" s="25"/>
      <c r="B1294" s="25"/>
    </row>
    <row r="1295" spans="1:2" x14ac:dyDescent="0.35">
      <c r="A1295" s="25"/>
      <c r="B1295" s="25"/>
    </row>
    <row r="1296" spans="1:2" x14ac:dyDescent="0.35">
      <c r="A1296" s="25"/>
      <c r="B1296" s="25"/>
    </row>
    <row r="1297" spans="1:2" x14ac:dyDescent="0.35">
      <c r="A1297" s="25"/>
      <c r="B1297" s="25"/>
    </row>
    <row r="1298" spans="1:2" x14ac:dyDescent="0.35">
      <c r="A1298" s="25"/>
      <c r="B1298" s="25"/>
    </row>
    <row r="1299" spans="1:2" x14ac:dyDescent="0.35">
      <c r="A1299" s="25"/>
      <c r="B1299" s="25"/>
    </row>
    <row r="1300" spans="1:2" x14ac:dyDescent="0.35">
      <c r="A1300" s="25"/>
      <c r="B1300" s="25"/>
    </row>
    <row r="1301" spans="1:2" x14ac:dyDescent="0.35">
      <c r="A1301" s="25"/>
      <c r="B1301" s="25"/>
    </row>
    <row r="1302" spans="1:2" x14ac:dyDescent="0.35">
      <c r="A1302" s="25"/>
      <c r="B1302" s="25"/>
    </row>
    <row r="1303" spans="1:2" x14ac:dyDescent="0.35">
      <c r="A1303" s="25"/>
      <c r="B1303" s="25"/>
    </row>
    <row r="1304" spans="1:2" x14ac:dyDescent="0.35">
      <c r="A1304" s="25"/>
      <c r="B1304" s="25"/>
    </row>
    <row r="1305" spans="1:2" x14ac:dyDescent="0.35">
      <c r="A1305" s="25"/>
      <c r="B1305" s="25"/>
    </row>
    <row r="1306" spans="1:2" x14ac:dyDescent="0.35">
      <c r="A1306" s="25"/>
      <c r="B1306" s="25"/>
    </row>
    <row r="1307" spans="1:2" x14ac:dyDescent="0.35">
      <c r="A1307" s="25"/>
      <c r="B1307" s="25"/>
    </row>
    <row r="1308" spans="1:2" x14ac:dyDescent="0.35">
      <c r="A1308" s="25"/>
      <c r="B1308" s="25"/>
    </row>
    <row r="1309" spans="1:2" x14ac:dyDescent="0.35">
      <c r="A1309" s="25"/>
      <c r="B1309" s="25"/>
    </row>
    <row r="1310" spans="1:2" x14ac:dyDescent="0.35">
      <c r="A1310" s="25"/>
      <c r="B1310" s="25"/>
    </row>
    <row r="1311" spans="1:2" x14ac:dyDescent="0.35">
      <c r="A1311" s="25"/>
      <c r="B1311" s="25"/>
    </row>
    <row r="1312" spans="1:2" x14ac:dyDescent="0.35">
      <c r="A1312" s="25"/>
      <c r="B1312" s="25"/>
    </row>
    <row r="1313" spans="1:2" x14ac:dyDescent="0.35">
      <c r="A1313" s="25"/>
      <c r="B1313" s="25"/>
    </row>
    <row r="1314" spans="1:2" x14ac:dyDescent="0.35">
      <c r="A1314" s="25"/>
      <c r="B1314" s="25"/>
    </row>
    <row r="1315" spans="1:2" x14ac:dyDescent="0.35">
      <c r="A1315" s="25"/>
      <c r="B1315" s="25"/>
    </row>
    <row r="1316" spans="1:2" x14ac:dyDescent="0.35">
      <c r="A1316" s="25"/>
      <c r="B1316" s="25"/>
    </row>
    <row r="1317" spans="1:2" x14ac:dyDescent="0.35">
      <c r="A1317" s="25"/>
      <c r="B1317" s="25"/>
    </row>
    <row r="1318" spans="1:2" x14ac:dyDescent="0.35">
      <c r="A1318" s="25"/>
      <c r="B1318" s="25"/>
    </row>
    <row r="1319" spans="1:2" x14ac:dyDescent="0.35">
      <c r="A1319" s="25"/>
      <c r="B1319" s="25"/>
    </row>
    <row r="1320" spans="1:2" x14ac:dyDescent="0.35">
      <c r="A1320" s="25"/>
      <c r="B1320" s="25"/>
    </row>
    <row r="1321" spans="1:2" x14ac:dyDescent="0.35">
      <c r="A1321" s="25"/>
      <c r="B1321" s="25"/>
    </row>
    <row r="1322" spans="1:2" x14ac:dyDescent="0.35">
      <c r="A1322" s="25"/>
      <c r="B1322" s="25"/>
    </row>
    <row r="1323" spans="1:2" x14ac:dyDescent="0.35">
      <c r="A1323" s="25"/>
      <c r="B1323" s="25"/>
    </row>
    <row r="1324" spans="1:2" x14ac:dyDescent="0.35">
      <c r="A1324" s="25"/>
      <c r="B1324" s="25"/>
    </row>
    <row r="1325" spans="1:2" x14ac:dyDescent="0.35">
      <c r="A1325" s="25"/>
      <c r="B1325" s="25"/>
    </row>
    <row r="1326" spans="1:2" x14ac:dyDescent="0.35">
      <c r="A1326" s="25"/>
      <c r="B1326" s="25"/>
    </row>
    <row r="1327" spans="1:2" x14ac:dyDescent="0.35">
      <c r="A1327" s="25"/>
      <c r="B1327" s="25"/>
    </row>
    <row r="1328" spans="1:2" x14ac:dyDescent="0.35">
      <c r="A1328" s="25"/>
      <c r="B1328" s="25"/>
    </row>
    <row r="1329" spans="1:2" x14ac:dyDescent="0.35">
      <c r="A1329" s="25"/>
      <c r="B1329" s="25"/>
    </row>
    <row r="1330" spans="1:2" x14ac:dyDescent="0.35">
      <c r="A1330" s="25"/>
      <c r="B1330" s="25"/>
    </row>
    <row r="1331" spans="1:2" x14ac:dyDescent="0.35">
      <c r="A1331" s="25"/>
      <c r="B1331" s="25"/>
    </row>
    <row r="1332" spans="1:2" x14ac:dyDescent="0.35">
      <c r="A1332" s="25"/>
      <c r="B1332" s="25"/>
    </row>
    <row r="1333" spans="1:2" x14ac:dyDescent="0.35">
      <c r="A1333" s="25"/>
      <c r="B1333" s="25"/>
    </row>
    <row r="1334" spans="1:2" x14ac:dyDescent="0.35">
      <c r="A1334" s="25"/>
      <c r="B1334" s="25"/>
    </row>
    <row r="1335" spans="1:2" x14ac:dyDescent="0.35">
      <c r="A1335" s="25"/>
      <c r="B1335" s="25"/>
    </row>
    <row r="1336" spans="1:2" x14ac:dyDescent="0.35">
      <c r="A1336" s="25"/>
      <c r="B1336" s="25"/>
    </row>
    <row r="1337" spans="1:2" x14ac:dyDescent="0.35">
      <c r="A1337" s="25"/>
      <c r="B1337" s="25"/>
    </row>
    <row r="1338" spans="1:2" x14ac:dyDescent="0.35">
      <c r="A1338" s="25"/>
      <c r="B1338" s="25"/>
    </row>
    <row r="1339" spans="1:2" x14ac:dyDescent="0.35">
      <c r="A1339" s="25"/>
      <c r="B1339" s="25"/>
    </row>
    <row r="1340" spans="1:2" x14ac:dyDescent="0.35">
      <c r="A1340" s="25"/>
      <c r="B1340" s="25"/>
    </row>
    <row r="1341" spans="1:2" x14ac:dyDescent="0.35">
      <c r="A1341" s="25"/>
      <c r="B1341" s="25"/>
    </row>
    <row r="1342" spans="1:2" x14ac:dyDescent="0.35">
      <c r="A1342" s="25"/>
      <c r="B1342" s="25"/>
    </row>
    <row r="1343" spans="1:2" x14ac:dyDescent="0.35">
      <c r="A1343" s="25"/>
      <c r="B1343" s="25"/>
    </row>
    <row r="1344" spans="1:2" x14ac:dyDescent="0.35">
      <c r="A1344" s="25"/>
      <c r="B1344" s="25"/>
    </row>
    <row r="1345" spans="1:2" x14ac:dyDescent="0.35">
      <c r="A1345" s="25"/>
      <c r="B1345" s="25"/>
    </row>
    <row r="1346" spans="1:2" x14ac:dyDescent="0.35">
      <c r="A1346" s="25"/>
      <c r="B1346" s="25"/>
    </row>
    <row r="1347" spans="1:2" x14ac:dyDescent="0.35">
      <c r="A1347" s="25"/>
      <c r="B1347" s="25"/>
    </row>
    <row r="1348" spans="1:2" x14ac:dyDescent="0.35">
      <c r="A1348" s="25"/>
      <c r="B1348" s="25"/>
    </row>
    <row r="1349" spans="1:2" x14ac:dyDescent="0.35">
      <c r="A1349" s="25"/>
      <c r="B1349" s="25"/>
    </row>
    <row r="1350" spans="1:2" x14ac:dyDescent="0.35">
      <c r="A1350" s="25"/>
      <c r="B1350" s="25"/>
    </row>
    <row r="1351" spans="1:2" x14ac:dyDescent="0.35">
      <c r="A1351" s="25"/>
      <c r="B1351" s="25"/>
    </row>
    <row r="1352" spans="1:2" x14ac:dyDescent="0.35">
      <c r="A1352" s="25"/>
      <c r="B1352" s="25"/>
    </row>
    <row r="1353" spans="1:2" x14ac:dyDescent="0.35">
      <c r="A1353" s="25"/>
      <c r="B1353" s="25"/>
    </row>
    <row r="1354" spans="1:2" x14ac:dyDescent="0.35">
      <c r="A1354" s="25"/>
      <c r="B1354" s="25"/>
    </row>
    <row r="1355" spans="1:2" x14ac:dyDescent="0.35">
      <c r="A1355" s="25"/>
      <c r="B1355" s="25"/>
    </row>
    <row r="1356" spans="1:2" x14ac:dyDescent="0.35">
      <c r="A1356" s="25"/>
      <c r="B1356" s="25"/>
    </row>
    <row r="1357" spans="1:2" x14ac:dyDescent="0.35">
      <c r="A1357" s="25"/>
      <c r="B1357" s="25"/>
    </row>
    <row r="1358" spans="1:2" x14ac:dyDescent="0.35">
      <c r="A1358" s="25"/>
      <c r="B1358" s="25"/>
    </row>
    <row r="1359" spans="1:2" x14ac:dyDescent="0.35">
      <c r="A1359" s="25"/>
      <c r="B1359" s="25"/>
    </row>
    <row r="1360" spans="1:2" x14ac:dyDescent="0.35">
      <c r="A1360" s="25"/>
      <c r="B1360" s="25"/>
    </row>
    <row r="1361" spans="1:2" x14ac:dyDescent="0.35">
      <c r="A1361" s="25"/>
      <c r="B1361" s="25"/>
    </row>
    <row r="1362" spans="1:2" x14ac:dyDescent="0.35">
      <c r="A1362" s="25"/>
      <c r="B1362" s="25"/>
    </row>
    <row r="1363" spans="1:2" x14ac:dyDescent="0.35">
      <c r="A1363" s="25"/>
      <c r="B1363" s="25"/>
    </row>
    <row r="1364" spans="1:2" x14ac:dyDescent="0.35">
      <c r="A1364" s="25"/>
      <c r="B1364" s="25"/>
    </row>
    <row r="1365" spans="1:2" x14ac:dyDescent="0.35">
      <c r="A1365" s="25"/>
      <c r="B1365" s="25"/>
    </row>
    <row r="1366" spans="1:2" x14ac:dyDescent="0.35">
      <c r="A1366" s="25"/>
      <c r="B1366" s="25"/>
    </row>
    <row r="1367" spans="1:2" x14ac:dyDescent="0.35">
      <c r="A1367" s="25"/>
      <c r="B1367" s="25"/>
    </row>
    <row r="1368" spans="1:2" x14ac:dyDescent="0.35">
      <c r="A1368" s="25"/>
      <c r="B1368" s="25"/>
    </row>
    <row r="1369" spans="1:2" x14ac:dyDescent="0.35">
      <c r="A1369" s="25"/>
      <c r="B1369" s="25"/>
    </row>
    <row r="1370" spans="1:2" x14ac:dyDescent="0.35">
      <c r="A1370" s="25"/>
      <c r="B1370" s="25"/>
    </row>
    <row r="1371" spans="1:2" x14ac:dyDescent="0.35">
      <c r="A1371" s="25"/>
      <c r="B1371" s="25"/>
    </row>
    <row r="1372" spans="1:2" x14ac:dyDescent="0.35">
      <c r="A1372" s="25"/>
      <c r="B1372" s="25"/>
    </row>
    <row r="1373" spans="1:2" x14ac:dyDescent="0.35">
      <c r="A1373" s="25"/>
      <c r="B1373" s="25"/>
    </row>
    <row r="1374" spans="1:2" x14ac:dyDescent="0.35">
      <c r="A1374" s="25"/>
      <c r="B1374" s="25"/>
    </row>
    <row r="1375" spans="1:2" x14ac:dyDescent="0.35">
      <c r="A1375" s="25"/>
      <c r="B1375" s="25"/>
    </row>
    <row r="1376" spans="1:2" x14ac:dyDescent="0.35">
      <c r="A1376" s="25"/>
      <c r="B1376" s="25"/>
    </row>
    <row r="1377" spans="1:2" x14ac:dyDescent="0.35">
      <c r="A1377" s="25"/>
      <c r="B1377" s="25"/>
    </row>
    <row r="1378" spans="1:2" x14ac:dyDescent="0.35">
      <c r="A1378" s="25"/>
      <c r="B1378" s="25"/>
    </row>
    <row r="1379" spans="1:2" x14ac:dyDescent="0.35">
      <c r="A1379" s="25"/>
      <c r="B1379" s="25"/>
    </row>
    <row r="1380" spans="1:2" x14ac:dyDescent="0.35">
      <c r="A1380" s="25"/>
      <c r="B1380" s="25"/>
    </row>
    <row r="1381" spans="1:2" x14ac:dyDescent="0.35">
      <c r="A1381" s="25"/>
      <c r="B1381" s="25"/>
    </row>
    <row r="1382" spans="1:2" x14ac:dyDescent="0.35">
      <c r="A1382" s="25"/>
      <c r="B1382" s="25"/>
    </row>
    <row r="1383" spans="1:2" x14ac:dyDescent="0.35">
      <c r="A1383" s="25"/>
      <c r="B1383" s="25"/>
    </row>
    <row r="1384" spans="1:2" x14ac:dyDescent="0.35">
      <c r="A1384" s="25"/>
      <c r="B1384" s="25"/>
    </row>
    <row r="1385" spans="1:2" x14ac:dyDescent="0.35">
      <c r="A1385" s="25"/>
      <c r="B1385" s="25"/>
    </row>
    <row r="1386" spans="1:2" x14ac:dyDescent="0.35">
      <c r="A1386" s="25"/>
      <c r="B1386" s="25"/>
    </row>
    <row r="1387" spans="1:2" x14ac:dyDescent="0.35">
      <c r="A1387" s="25"/>
      <c r="B1387" s="25"/>
    </row>
    <row r="1388" spans="1:2" x14ac:dyDescent="0.35">
      <c r="A1388" s="25"/>
      <c r="B1388" s="25"/>
    </row>
    <row r="1389" spans="1:2" x14ac:dyDescent="0.35">
      <c r="A1389" s="25"/>
      <c r="B1389" s="25"/>
    </row>
    <row r="1390" spans="1:2" x14ac:dyDescent="0.35">
      <c r="A1390" s="25"/>
      <c r="B1390" s="25"/>
    </row>
    <row r="1391" spans="1:2" x14ac:dyDescent="0.35">
      <c r="A1391" s="25"/>
      <c r="B1391" s="25"/>
    </row>
    <row r="1392" spans="1:2" x14ac:dyDescent="0.35">
      <c r="A1392" s="25"/>
      <c r="B1392" s="25"/>
    </row>
    <row r="1393" spans="1:2" x14ac:dyDescent="0.35">
      <c r="A1393" s="25"/>
      <c r="B1393" s="25"/>
    </row>
    <row r="1394" spans="1:2" x14ac:dyDescent="0.35">
      <c r="A1394" s="25"/>
      <c r="B1394" s="25"/>
    </row>
    <row r="1395" spans="1:2" x14ac:dyDescent="0.35">
      <c r="A1395" s="25"/>
      <c r="B1395" s="25"/>
    </row>
    <row r="1396" spans="1:2" x14ac:dyDescent="0.35">
      <c r="A1396" s="25"/>
      <c r="B1396" s="25"/>
    </row>
    <row r="1397" spans="1:2" x14ac:dyDescent="0.35">
      <c r="A1397" s="25"/>
      <c r="B1397" s="25"/>
    </row>
    <row r="1398" spans="1:2" x14ac:dyDescent="0.35">
      <c r="A1398" s="25"/>
      <c r="B1398" s="25"/>
    </row>
    <row r="1399" spans="1:2" x14ac:dyDescent="0.35">
      <c r="A1399" s="25"/>
      <c r="B1399" s="25"/>
    </row>
    <row r="1400" spans="1:2" x14ac:dyDescent="0.35">
      <c r="A1400" s="25"/>
      <c r="B1400" s="25"/>
    </row>
    <row r="1401" spans="1:2" x14ac:dyDescent="0.35">
      <c r="A1401" s="25"/>
      <c r="B1401" s="25"/>
    </row>
    <row r="1402" spans="1:2" x14ac:dyDescent="0.35">
      <c r="A1402" s="25"/>
      <c r="B1402" s="25"/>
    </row>
    <row r="1403" spans="1:2" x14ac:dyDescent="0.35">
      <c r="A1403" s="25"/>
      <c r="B1403" s="25"/>
    </row>
    <row r="1404" spans="1:2" x14ac:dyDescent="0.35">
      <c r="A1404" s="25"/>
      <c r="B1404" s="25"/>
    </row>
    <row r="1405" spans="1:2" x14ac:dyDescent="0.35">
      <c r="A1405" s="25"/>
      <c r="B1405" s="25"/>
    </row>
    <row r="1406" spans="1:2" x14ac:dyDescent="0.35">
      <c r="A1406" s="25"/>
      <c r="B1406" s="25"/>
    </row>
    <row r="1407" spans="1:2" x14ac:dyDescent="0.35">
      <c r="A1407" s="25"/>
      <c r="B1407" s="25"/>
    </row>
    <row r="1408" spans="1:2" x14ac:dyDescent="0.35">
      <c r="A1408" s="25"/>
      <c r="B1408" s="25"/>
    </row>
    <row r="1409" spans="1:2" x14ac:dyDescent="0.35">
      <c r="A1409" s="25"/>
      <c r="B1409" s="25"/>
    </row>
    <row r="1410" spans="1:2" x14ac:dyDescent="0.35">
      <c r="A1410" s="25"/>
      <c r="B1410" s="25"/>
    </row>
    <row r="1411" spans="1:2" x14ac:dyDescent="0.35">
      <c r="A1411" s="25"/>
      <c r="B1411" s="25"/>
    </row>
    <row r="1412" spans="1:2" x14ac:dyDescent="0.35">
      <c r="A1412" s="25"/>
      <c r="B1412" s="25"/>
    </row>
    <row r="1413" spans="1:2" x14ac:dyDescent="0.35">
      <c r="A1413" s="25"/>
      <c r="B1413" s="25"/>
    </row>
    <row r="1414" spans="1:2" x14ac:dyDescent="0.35">
      <c r="A1414" s="25"/>
      <c r="B1414" s="25"/>
    </row>
    <row r="1415" spans="1:2" x14ac:dyDescent="0.35">
      <c r="A1415" s="25"/>
      <c r="B1415" s="25"/>
    </row>
    <row r="1416" spans="1:2" x14ac:dyDescent="0.35">
      <c r="A1416" s="25"/>
      <c r="B1416" s="25"/>
    </row>
    <row r="1417" spans="1:2" x14ac:dyDescent="0.35">
      <c r="A1417" s="25"/>
      <c r="B1417" s="25"/>
    </row>
    <row r="1418" spans="1:2" x14ac:dyDescent="0.35">
      <c r="A1418" s="25"/>
      <c r="B1418" s="25"/>
    </row>
    <row r="1419" spans="1:2" x14ac:dyDescent="0.35">
      <c r="A1419" s="25"/>
      <c r="B1419" s="25"/>
    </row>
    <row r="1420" spans="1:2" x14ac:dyDescent="0.35">
      <c r="A1420" s="25"/>
      <c r="B1420" s="25"/>
    </row>
    <row r="1421" spans="1:2" x14ac:dyDescent="0.35">
      <c r="A1421" s="25"/>
      <c r="B1421" s="25"/>
    </row>
    <row r="1422" spans="1:2" x14ac:dyDescent="0.35">
      <c r="A1422" s="25"/>
      <c r="B1422" s="25"/>
    </row>
    <row r="1423" spans="1:2" x14ac:dyDescent="0.35">
      <c r="A1423" s="25"/>
      <c r="B1423" s="25"/>
    </row>
    <row r="1424" spans="1:2" x14ac:dyDescent="0.35">
      <c r="A1424" s="25"/>
      <c r="B1424" s="25"/>
    </row>
    <row r="1425" spans="1:2" x14ac:dyDescent="0.35">
      <c r="A1425" s="25"/>
      <c r="B1425" s="25"/>
    </row>
    <row r="1426" spans="1:2" x14ac:dyDescent="0.35">
      <c r="A1426" s="25"/>
      <c r="B1426" s="25"/>
    </row>
    <row r="1427" spans="1:2" x14ac:dyDescent="0.35">
      <c r="A1427" s="25"/>
      <c r="B1427" s="25"/>
    </row>
    <row r="1428" spans="1:2" x14ac:dyDescent="0.35">
      <c r="A1428" s="25"/>
      <c r="B1428" s="25"/>
    </row>
    <row r="1429" spans="1:2" x14ac:dyDescent="0.35">
      <c r="A1429" s="25"/>
      <c r="B1429" s="25"/>
    </row>
    <row r="1430" spans="1:2" x14ac:dyDescent="0.35">
      <c r="A1430" s="25"/>
      <c r="B1430" s="25"/>
    </row>
    <row r="1431" spans="1:2" x14ac:dyDescent="0.35">
      <c r="A1431" s="25"/>
      <c r="B1431" s="25"/>
    </row>
    <row r="1432" spans="1:2" x14ac:dyDescent="0.35">
      <c r="A1432" s="25"/>
      <c r="B1432" s="25"/>
    </row>
    <row r="1433" spans="1:2" x14ac:dyDescent="0.35">
      <c r="A1433" s="25"/>
      <c r="B1433" s="25"/>
    </row>
    <row r="1434" spans="1:2" x14ac:dyDescent="0.35">
      <c r="A1434" s="25"/>
      <c r="B1434" s="25"/>
    </row>
    <row r="1435" spans="1:2" x14ac:dyDescent="0.35">
      <c r="A1435" s="25"/>
      <c r="B1435" s="25"/>
    </row>
    <row r="1436" spans="1:2" x14ac:dyDescent="0.35">
      <c r="A1436" s="25"/>
      <c r="B1436" s="25"/>
    </row>
    <row r="1437" spans="1:2" x14ac:dyDescent="0.35">
      <c r="A1437" s="25"/>
      <c r="B1437" s="25"/>
    </row>
    <row r="1438" spans="1:2" x14ac:dyDescent="0.35">
      <c r="A1438" s="25"/>
      <c r="B1438" s="25"/>
    </row>
    <row r="1439" spans="1:2" x14ac:dyDescent="0.35">
      <c r="A1439" s="25"/>
      <c r="B1439" s="25"/>
    </row>
    <row r="1440" spans="1:2" x14ac:dyDescent="0.35">
      <c r="A1440" s="25"/>
      <c r="B1440" s="25"/>
    </row>
    <row r="1441" spans="1:2" x14ac:dyDescent="0.35">
      <c r="A1441" s="25"/>
      <c r="B1441" s="25"/>
    </row>
    <row r="1442" spans="1:2" x14ac:dyDescent="0.35">
      <c r="A1442" s="25"/>
      <c r="B1442" s="25"/>
    </row>
    <row r="1443" spans="1:2" x14ac:dyDescent="0.35">
      <c r="A1443" s="25"/>
      <c r="B1443" s="25"/>
    </row>
    <row r="1444" spans="1:2" x14ac:dyDescent="0.35">
      <c r="A1444" s="25"/>
      <c r="B1444" s="25"/>
    </row>
    <row r="1445" spans="1:2" x14ac:dyDescent="0.35">
      <c r="A1445" s="25"/>
      <c r="B1445" s="25"/>
    </row>
    <row r="1446" spans="1:2" x14ac:dyDescent="0.35">
      <c r="A1446" s="25"/>
      <c r="B1446" s="25"/>
    </row>
    <row r="1447" spans="1:2" x14ac:dyDescent="0.35">
      <c r="A1447" s="25"/>
      <c r="B1447" s="25"/>
    </row>
    <row r="1448" spans="1:2" x14ac:dyDescent="0.35">
      <c r="A1448" s="25"/>
      <c r="B1448" s="25"/>
    </row>
    <row r="1449" spans="1:2" x14ac:dyDescent="0.35">
      <c r="A1449" s="25"/>
      <c r="B1449" s="25"/>
    </row>
    <row r="1450" spans="1:2" x14ac:dyDescent="0.35">
      <c r="A1450" s="25"/>
      <c r="B1450" s="25"/>
    </row>
    <row r="1451" spans="1:2" x14ac:dyDescent="0.35">
      <c r="A1451" s="25"/>
      <c r="B1451" s="25"/>
    </row>
    <row r="1452" spans="1:2" x14ac:dyDescent="0.35">
      <c r="A1452" s="25"/>
      <c r="B1452" s="25"/>
    </row>
    <row r="1453" spans="1:2" x14ac:dyDescent="0.35">
      <c r="A1453" s="25"/>
      <c r="B1453" s="25"/>
    </row>
    <row r="1454" spans="1:2" x14ac:dyDescent="0.35">
      <c r="A1454" s="25"/>
      <c r="B1454" s="25"/>
    </row>
    <row r="1455" spans="1:2" x14ac:dyDescent="0.35">
      <c r="A1455" s="25"/>
      <c r="B1455" s="25"/>
    </row>
    <row r="1456" spans="1:2" x14ac:dyDescent="0.35">
      <c r="A1456" s="25"/>
      <c r="B1456" s="25"/>
    </row>
    <row r="1457" spans="1:2" x14ac:dyDescent="0.35">
      <c r="A1457" s="25"/>
      <c r="B1457" s="25"/>
    </row>
    <row r="1458" spans="1:2" x14ac:dyDescent="0.35">
      <c r="A1458" s="25"/>
      <c r="B1458" s="25"/>
    </row>
    <row r="1459" spans="1:2" x14ac:dyDescent="0.35">
      <c r="A1459" s="25"/>
      <c r="B1459" s="25"/>
    </row>
    <row r="1460" spans="1:2" x14ac:dyDescent="0.35">
      <c r="A1460" s="25"/>
      <c r="B1460" s="25"/>
    </row>
    <row r="1461" spans="1:2" x14ac:dyDescent="0.35">
      <c r="A1461" s="25"/>
      <c r="B1461" s="25"/>
    </row>
    <row r="1462" spans="1:2" x14ac:dyDescent="0.35">
      <c r="A1462" s="25"/>
      <c r="B1462" s="25"/>
    </row>
    <row r="1463" spans="1:2" x14ac:dyDescent="0.35">
      <c r="A1463" s="25"/>
      <c r="B1463" s="25"/>
    </row>
    <row r="1464" spans="1:2" x14ac:dyDescent="0.35">
      <c r="A1464" s="25"/>
      <c r="B1464" s="25"/>
    </row>
    <row r="1465" spans="1:2" x14ac:dyDescent="0.35">
      <c r="A1465" s="25"/>
      <c r="B1465" s="25"/>
    </row>
    <row r="1466" spans="1:2" x14ac:dyDescent="0.35">
      <c r="A1466" s="25"/>
      <c r="B1466" s="25"/>
    </row>
    <row r="1467" spans="1:2" x14ac:dyDescent="0.35">
      <c r="A1467" s="25"/>
      <c r="B1467" s="25"/>
    </row>
    <row r="1468" spans="1:2" x14ac:dyDescent="0.35">
      <c r="A1468" s="25"/>
      <c r="B1468" s="25"/>
    </row>
    <row r="1469" spans="1:2" x14ac:dyDescent="0.35">
      <c r="A1469" s="25"/>
      <c r="B1469" s="25"/>
    </row>
    <row r="1470" spans="1:2" x14ac:dyDescent="0.35">
      <c r="A1470" s="25"/>
      <c r="B1470" s="25"/>
    </row>
    <row r="1471" spans="1:2" x14ac:dyDescent="0.35">
      <c r="A1471" s="25"/>
      <c r="B1471" s="25"/>
    </row>
    <row r="1472" spans="1:2" x14ac:dyDescent="0.35">
      <c r="A1472" s="25"/>
      <c r="B1472" s="25"/>
    </row>
    <row r="1473" spans="1:2" x14ac:dyDescent="0.35">
      <c r="A1473" s="25"/>
      <c r="B1473" s="25"/>
    </row>
    <row r="1474" spans="1:2" x14ac:dyDescent="0.35">
      <c r="A1474" s="25"/>
      <c r="B1474" s="25"/>
    </row>
    <row r="1475" spans="1:2" x14ac:dyDescent="0.35">
      <c r="A1475" s="25"/>
      <c r="B1475" s="25"/>
    </row>
    <row r="1476" spans="1:2" x14ac:dyDescent="0.35">
      <c r="A1476" s="25"/>
      <c r="B1476" s="25"/>
    </row>
    <row r="1477" spans="1:2" x14ac:dyDescent="0.35">
      <c r="A1477" s="25"/>
      <c r="B1477" s="25"/>
    </row>
    <row r="1478" spans="1:2" x14ac:dyDescent="0.35">
      <c r="A1478" s="25"/>
      <c r="B1478" s="25"/>
    </row>
    <row r="1479" spans="1:2" x14ac:dyDescent="0.35">
      <c r="A1479" s="25"/>
      <c r="B1479" s="25"/>
    </row>
    <row r="1480" spans="1:2" x14ac:dyDescent="0.35">
      <c r="A1480" s="25"/>
      <c r="B1480" s="25"/>
    </row>
    <row r="1481" spans="1:2" x14ac:dyDescent="0.35">
      <c r="A1481" s="25"/>
      <c r="B1481" s="25"/>
    </row>
    <row r="1482" spans="1:2" x14ac:dyDescent="0.35">
      <c r="A1482" s="25"/>
      <c r="B1482" s="25"/>
    </row>
    <row r="1483" spans="1:2" x14ac:dyDescent="0.35">
      <c r="A1483" s="25"/>
      <c r="B1483" s="25"/>
    </row>
    <row r="1484" spans="1:2" x14ac:dyDescent="0.35">
      <c r="A1484" s="25"/>
      <c r="B1484" s="25"/>
    </row>
    <row r="1485" spans="1:2" x14ac:dyDescent="0.35">
      <c r="A1485" s="25"/>
      <c r="B1485" s="25"/>
    </row>
    <row r="1486" spans="1:2" x14ac:dyDescent="0.35">
      <c r="A1486" s="25"/>
      <c r="B1486" s="25"/>
    </row>
    <row r="1487" spans="1:2" x14ac:dyDescent="0.35">
      <c r="A1487" s="25"/>
      <c r="B1487" s="25"/>
    </row>
    <row r="1488" spans="1:2" x14ac:dyDescent="0.35">
      <c r="A1488" s="25"/>
      <c r="B1488" s="25"/>
    </row>
    <row r="1489" spans="1:2" x14ac:dyDescent="0.35">
      <c r="A1489" s="25"/>
      <c r="B1489" s="25"/>
    </row>
    <row r="1490" spans="1:2" x14ac:dyDescent="0.35">
      <c r="A1490" s="25"/>
      <c r="B1490" s="25"/>
    </row>
    <row r="1491" spans="1:2" x14ac:dyDescent="0.35">
      <c r="A1491" s="25"/>
      <c r="B1491" s="25"/>
    </row>
    <row r="1492" spans="1:2" x14ac:dyDescent="0.35">
      <c r="A1492" s="25"/>
      <c r="B1492" s="25"/>
    </row>
    <row r="1493" spans="1:2" x14ac:dyDescent="0.35">
      <c r="A1493" s="25"/>
      <c r="B1493" s="25"/>
    </row>
    <row r="1494" spans="1:2" x14ac:dyDescent="0.35">
      <c r="A1494" s="25"/>
      <c r="B1494" s="25"/>
    </row>
    <row r="1495" spans="1:2" x14ac:dyDescent="0.35">
      <c r="A1495" s="25"/>
      <c r="B1495" s="25"/>
    </row>
    <row r="1496" spans="1:2" x14ac:dyDescent="0.35">
      <c r="A1496" s="25"/>
      <c r="B1496" s="25"/>
    </row>
    <row r="1497" spans="1:2" x14ac:dyDescent="0.35">
      <c r="A1497" s="25"/>
      <c r="B1497" s="25"/>
    </row>
    <row r="1498" spans="1:2" x14ac:dyDescent="0.35">
      <c r="A1498" s="25"/>
      <c r="B1498" s="25"/>
    </row>
    <row r="1499" spans="1:2" x14ac:dyDescent="0.35">
      <c r="A1499" s="25"/>
      <c r="B1499" s="25"/>
    </row>
    <row r="1500" spans="1:2" x14ac:dyDescent="0.35">
      <c r="B1500" s="25"/>
    </row>
    <row r="1501" spans="1:2" x14ac:dyDescent="0.35">
      <c r="B1501" s="25"/>
    </row>
    <row r="1502" spans="1:2" x14ac:dyDescent="0.35">
      <c r="B1502" s="25"/>
    </row>
    <row r="1503" spans="1:2" x14ac:dyDescent="0.35">
      <c r="B1503" s="25"/>
    </row>
    <row r="1504" spans="1:2" x14ac:dyDescent="0.35">
      <c r="B1504" s="25"/>
    </row>
    <row r="1505" spans="2:2" x14ac:dyDescent="0.35">
      <c r="B1505" s="25"/>
    </row>
    <row r="1506" spans="2:2" x14ac:dyDescent="0.35">
      <c r="B1506" s="25"/>
    </row>
    <row r="1507" spans="2:2" x14ac:dyDescent="0.35">
      <c r="B1507" s="25"/>
    </row>
    <row r="1508" spans="2:2" x14ac:dyDescent="0.35">
      <c r="B1508" s="25"/>
    </row>
    <row r="1509" spans="2:2" x14ac:dyDescent="0.35">
      <c r="B1509" s="25"/>
    </row>
    <row r="1510" spans="2:2" x14ac:dyDescent="0.35">
      <c r="B1510" s="25"/>
    </row>
    <row r="1511" spans="2:2" x14ac:dyDescent="0.35">
      <c r="B1511" s="25"/>
    </row>
    <row r="1512" spans="2:2" x14ac:dyDescent="0.35">
      <c r="B1512" s="25"/>
    </row>
    <row r="1513" spans="2:2" x14ac:dyDescent="0.35">
      <c r="B1513" s="25"/>
    </row>
    <row r="1514" spans="2:2" x14ac:dyDescent="0.35">
      <c r="B1514" s="25"/>
    </row>
    <row r="1515" spans="2:2" x14ac:dyDescent="0.35">
      <c r="B1515" s="25"/>
    </row>
    <row r="1516" spans="2:2" x14ac:dyDescent="0.35">
      <c r="B1516" s="25"/>
    </row>
    <row r="1517" spans="2:2" x14ac:dyDescent="0.35">
      <c r="B1517" s="25"/>
    </row>
    <row r="1518" spans="2:2" x14ac:dyDescent="0.35">
      <c r="B1518" s="25"/>
    </row>
    <row r="1519" spans="2:2" x14ac:dyDescent="0.35">
      <c r="B1519" s="25"/>
    </row>
    <row r="1520" spans="2:2" x14ac:dyDescent="0.35">
      <c r="B1520" s="25"/>
    </row>
    <row r="1521" spans="2:2" x14ac:dyDescent="0.35">
      <c r="B1521" s="25"/>
    </row>
    <row r="1522" spans="2:2" x14ac:dyDescent="0.35">
      <c r="B1522" s="25"/>
    </row>
    <row r="1523" spans="2:2" x14ac:dyDescent="0.35">
      <c r="B1523" s="25"/>
    </row>
    <row r="1524" spans="2:2" x14ac:dyDescent="0.35">
      <c r="B1524" s="25"/>
    </row>
    <row r="1525" spans="2:2" x14ac:dyDescent="0.35">
      <c r="B1525" s="25"/>
    </row>
    <row r="1526" spans="2:2" x14ac:dyDescent="0.35">
      <c r="B1526" s="25"/>
    </row>
    <row r="1527" spans="2:2" x14ac:dyDescent="0.35">
      <c r="B1527" s="25"/>
    </row>
    <row r="1528" spans="2:2" x14ac:dyDescent="0.35">
      <c r="B1528" s="25"/>
    </row>
    <row r="1529" spans="2:2" x14ac:dyDescent="0.35">
      <c r="B1529" s="25"/>
    </row>
    <row r="1530" spans="2:2" x14ac:dyDescent="0.35">
      <c r="B1530" s="25"/>
    </row>
    <row r="1531" spans="2:2" x14ac:dyDescent="0.35">
      <c r="B1531" s="25"/>
    </row>
    <row r="1532" spans="2:2" x14ac:dyDescent="0.35">
      <c r="B1532" s="25"/>
    </row>
    <row r="1533" spans="2:2" x14ac:dyDescent="0.35">
      <c r="B1533" s="25"/>
    </row>
    <row r="1534" spans="2:2" x14ac:dyDescent="0.35">
      <c r="B1534" s="25"/>
    </row>
    <row r="1535" spans="2:2" x14ac:dyDescent="0.35">
      <c r="B1535" s="25"/>
    </row>
    <row r="1536" spans="2:2" x14ac:dyDescent="0.35">
      <c r="B1536" s="25"/>
    </row>
    <row r="1537" spans="2:2" x14ac:dyDescent="0.35">
      <c r="B1537" s="25"/>
    </row>
    <row r="1538" spans="2:2" x14ac:dyDescent="0.35">
      <c r="B1538" s="25"/>
    </row>
    <row r="1539" spans="2:2" x14ac:dyDescent="0.35">
      <c r="B1539" s="25"/>
    </row>
    <row r="1540" spans="2:2" x14ac:dyDescent="0.35">
      <c r="B1540" s="25"/>
    </row>
    <row r="1541" spans="2:2" x14ac:dyDescent="0.35">
      <c r="B1541" s="25"/>
    </row>
    <row r="1542" spans="2:2" x14ac:dyDescent="0.35">
      <c r="B1542" s="25"/>
    </row>
    <row r="1543" spans="2:2" x14ac:dyDescent="0.35">
      <c r="B1543" s="25"/>
    </row>
    <row r="1544" spans="2:2" x14ac:dyDescent="0.35">
      <c r="B1544" s="25"/>
    </row>
    <row r="1545" spans="2:2" x14ac:dyDescent="0.35">
      <c r="B1545" s="25"/>
    </row>
    <row r="1546" spans="2:2" x14ac:dyDescent="0.35">
      <c r="B1546" s="25"/>
    </row>
    <row r="1547" spans="2:2" x14ac:dyDescent="0.35">
      <c r="B1547" s="25"/>
    </row>
    <row r="1548" spans="2:2" x14ac:dyDescent="0.35">
      <c r="B1548" s="25"/>
    </row>
    <row r="1549" spans="2:2" x14ac:dyDescent="0.35">
      <c r="B1549" s="25"/>
    </row>
    <row r="1550" spans="2:2" x14ac:dyDescent="0.35">
      <c r="B1550" s="25"/>
    </row>
    <row r="1551" spans="2:2" x14ac:dyDescent="0.35">
      <c r="B1551" s="25"/>
    </row>
    <row r="1552" spans="2:2" x14ac:dyDescent="0.35">
      <c r="B1552" s="25"/>
    </row>
    <row r="1553" spans="2:2" x14ac:dyDescent="0.35">
      <c r="B1553" s="25"/>
    </row>
    <row r="1554" spans="2:2" x14ac:dyDescent="0.35">
      <c r="B1554" s="25"/>
    </row>
    <row r="1555" spans="2:2" x14ac:dyDescent="0.35">
      <c r="B1555" s="25"/>
    </row>
    <row r="1556" spans="2:2" x14ac:dyDescent="0.35">
      <c r="B1556" s="25"/>
    </row>
    <row r="1557" spans="2:2" x14ac:dyDescent="0.35">
      <c r="B1557" s="25"/>
    </row>
    <row r="1558" spans="2:2" x14ac:dyDescent="0.35">
      <c r="B1558" s="25"/>
    </row>
    <row r="1559" spans="2:2" x14ac:dyDescent="0.35">
      <c r="B1559" s="25"/>
    </row>
    <row r="1560" spans="2:2" x14ac:dyDescent="0.35">
      <c r="B1560" s="25"/>
    </row>
    <row r="1561" spans="2:2" x14ac:dyDescent="0.35">
      <c r="B1561" s="25"/>
    </row>
    <row r="1562" spans="2:2" x14ac:dyDescent="0.35">
      <c r="B1562" s="25"/>
    </row>
  </sheetData>
  <phoneticPr fontId="26" type="noConversion"/>
  <printOptions gridLines="1"/>
  <pageMargins left="0.96" right="0.61" top="0.48" bottom="0.89" header="0.41" footer="0.68"/>
  <pageSetup paperSize="9" orientation="portrait" horizontalDpi="300" verticalDpi="300" r:id="rId1"/>
  <headerFooter alignWithMargins="0">
    <oddFooter>&amp;L&amp;P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fsprakenTekst"/>
  <dimension ref="A1:FIO79"/>
  <sheetViews>
    <sheetView showGridLines="0" showRowColHeaders="0" topLeftCell="A10" workbookViewId="0">
      <selection activeCell="C59" sqref="C59"/>
    </sheetView>
  </sheetViews>
  <sheetFormatPr defaultRowHeight="12.85" x14ac:dyDescent="0.35"/>
  <cols>
    <col min="1" max="1" width="21.86328125" customWidth="1"/>
    <col min="2" max="2" width="6.265625" customWidth="1"/>
    <col min="3" max="3" width="62.1328125" customWidth="1"/>
  </cols>
  <sheetData>
    <row r="1" spans="1:3 4305:4305" x14ac:dyDescent="0.35">
      <c r="A1" t="s">
        <v>1399</v>
      </c>
      <c r="B1" s="346" t="s">
        <v>2125</v>
      </c>
      <c r="C1" s="345" t="e">
        <f>AfsprakenCMV!F2&amp;" geb: "&amp;TEXT(AfsprakenCMV!F3,"dd-mmm-jj")&amp;". Gewicht: "&amp;ROUND(Gewicht/10,1)&amp;" kg"</f>
        <v>#REF!</v>
      </c>
    </row>
    <row r="2" spans="1:3 4305:4305" x14ac:dyDescent="0.35">
      <c r="A2" t="s">
        <v>1399</v>
      </c>
      <c r="B2" s="347" t="s">
        <v>2126</v>
      </c>
      <c r="C2" s="345" t="str">
        <f>AchterNaam</f>
        <v>Achternaam</v>
      </c>
      <c r="FIO2">
        <v>30</v>
      </c>
    </row>
    <row r="3" spans="1:3 4305:4305" x14ac:dyDescent="0.35">
      <c r="A3" t="s">
        <v>1399</v>
      </c>
      <c r="B3" s="347" t="s">
        <v>2127</v>
      </c>
      <c r="C3" s="345" t="str">
        <f>VoorNaam</f>
        <v>Voornaam</v>
      </c>
    </row>
    <row r="4" spans="1:3 4305:4305" x14ac:dyDescent="0.35">
      <c r="A4" t="s">
        <v>1399</v>
      </c>
      <c r="B4" s="347" t="s">
        <v>2128</v>
      </c>
      <c r="C4" s="345" t="e">
        <f>TEXT(AfsprakenCMV!F3,"dd-mmm-jj")</f>
        <v>#REF!</v>
      </c>
    </row>
    <row r="5" spans="1:3 4305:4305" x14ac:dyDescent="0.35">
      <c r="A5" t="s">
        <v>1399</v>
      </c>
      <c r="B5" s="347" t="s">
        <v>2129</v>
      </c>
      <c r="C5" s="25">
        <f>PatNummer</f>
        <v>0</v>
      </c>
    </row>
    <row r="6" spans="1:3 4305:4305" x14ac:dyDescent="0.35">
      <c r="A6" t="s">
        <v>2165</v>
      </c>
      <c r="B6" s="347" t="s">
        <v>2125</v>
      </c>
      <c r="C6" t="str">
        <f>IF(AfsprakenCMV!C84&lt;&gt;0,AfsprakenCMV!C84&amp;" "&amp;AfsprakenCMV!E84&amp;" "&amp;AfsprakenCMV!F84&amp;" "&amp;AfsprakenCMV!G84&amp;", totaal "&amp;AfsprakenCMV!J84&amp;" "&amp;AfsprakenCMV!I84,"")</f>
        <v/>
      </c>
    </row>
    <row r="7" spans="1:3 4305:4305" x14ac:dyDescent="0.35">
      <c r="A7" t="s">
        <v>2165</v>
      </c>
      <c r="B7" s="347" t="s">
        <v>2126</v>
      </c>
      <c r="C7" t="str">
        <f>IF(AfsprakenCMV!C85&lt;&gt;0,AfsprakenCMV!C85&amp;" "&amp;AfsprakenCMV!E85&amp;" "&amp;AfsprakenCMV!F85&amp;" "&amp;AfsprakenCMV!G85&amp;", totaal "&amp;AfsprakenCMV!J85&amp;" "&amp;AfsprakenCMV!I85,"")</f>
        <v/>
      </c>
    </row>
    <row r="8" spans="1:3 4305:4305" x14ac:dyDescent="0.35">
      <c r="A8" t="s">
        <v>2165</v>
      </c>
      <c r="B8" s="347" t="s">
        <v>2127</v>
      </c>
      <c r="C8" t="str">
        <f>IF(AfsprakenCMV!C86&lt;&gt;0,AfsprakenCMV!C86&amp;" "&amp;AfsprakenCMV!E86&amp;" "&amp;AfsprakenCMV!F86&amp;" "&amp;AfsprakenCMV!G86&amp;", totaal "&amp;AfsprakenCMV!J86&amp;" "&amp;AfsprakenCMV!I86,"")</f>
        <v/>
      </c>
    </row>
    <row r="9" spans="1:3 4305:4305" x14ac:dyDescent="0.35">
      <c r="A9" t="s">
        <v>2165</v>
      </c>
      <c r="B9" s="346" t="s">
        <v>2128</v>
      </c>
      <c r="C9" t="str">
        <f>IF(AfsprakenCMV!C87&lt;&gt;0,AfsprakenCMV!C87&amp;" "&amp;AfsprakenCMV!E87&amp;" "&amp;AfsprakenCMV!F87&amp;" "&amp;AfsprakenCMV!G87&amp;", totaal "&amp;AfsprakenCMV!J87&amp;" "&amp;AfsprakenCMV!I87,"")</f>
        <v/>
      </c>
    </row>
    <row r="10" spans="1:3 4305:4305" x14ac:dyDescent="0.35">
      <c r="A10" t="s">
        <v>2165</v>
      </c>
      <c r="B10" s="346" t="s">
        <v>2129</v>
      </c>
      <c r="C10" t="str">
        <f>IF(AfsprakenCMV!C88&lt;&gt;0,AfsprakenCMV!C88&amp;" "&amp;AfsprakenCMV!E88&amp;" "&amp;AfsprakenCMV!F88&amp;" "&amp;AfsprakenCMV!G88&amp;", totaal "&amp;AfsprakenCMV!J88&amp;" "&amp;AfsprakenCMV!I88,"")</f>
        <v/>
      </c>
    </row>
    <row r="11" spans="1:3 4305:4305" x14ac:dyDescent="0.35">
      <c r="A11" t="s">
        <v>2165</v>
      </c>
      <c r="B11" s="346" t="s">
        <v>2130</v>
      </c>
      <c r="C11" t="str">
        <f>IF(AfsprakenCMV!C89&lt;&gt;0,AfsprakenCMV!C89&amp;" "&amp;AfsprakenCMV!E89&amp;" "&amp;AfsprakenCMV!F89&amp;" "&amp;AfsprakenCMV!G89&amp;", totaal "&amp;AfsprakenCMV!J89&amp;" "&amp;AfsprakenCMV!I89,"")</f>
        <v/>
      </c>
    </row>
    <row r="12" spans="1:3 4305:4305" x14ac:dyDescent="0.35">
      <c r="A12" t="s">
        <v>2165</v>
      </c>
      <c r="B12" s="346" t="s">
        <v>2131</v>
      </c>
      <c r="C12" t="str">
        <f>IF(AfsprakenCMV!C90&lt;&gt;0,AfsprakenCMV!C90&amp;" "&amp;AfsprakenCMV!E90&amp;" "&amp;AfsprakenCMV!F90&amp;" "&amp;AfsprakenCMV!G90&amp;", totaal "&amp;AfsprakenCMV!J90&amp;" "&amp;AfsprakenCMV!I90,"")</f>
        <v/>
      </c>
    </row>
    <row r="13" spans="1:3 4305:4305" x14ac:dyDescent="0.35">
      <c r="A13" t="s">
        <v>2165</v>
      </c>
      <c r="B13" s="346" t="s">
        <v>2132</v>
      </c>
      <c r="C13" t="str">
        <f>IF(AfsprakenCMV!C91&lt;&gt;0,AfsprakenCMV!C91&amp;" "&amp;AfsprakenCMV!E91&amp;" "&amp;AfsprakenCMV!F91&amp;" "&amp;AfsprakenCMV!G91&amp;", totaal "&amp;AfsprakenCMV!J91&amp;" "&amp;AfsprakenCMV!I91,"")</f>
        <v/>
      </c>
    </row>
    <row r="14" spans="1:3 4305:4305" x14ac:dyDescent="0.35">
      <c r="A14" t="s">
        <v>2165</v>
      </c>
      <c r="B14" s="346" t="s">
        <v>2133</v>
      </c>
      <c r="C14" t="str">
        <f>IF(AfsprakenCMV!C92&lt;&gt;0,AfsprakenCMV!C92&amp;" "&amp;AfsprakenCMV!E92&amp;" "&amp;AfsprakenCMV!F92&amp;" "&amp;AfsprakenCMV!G92&amp;", totaal "&amp;AfsprakenCMV!J92&amp;" "&amp;AfsprakenCMV!I92,"")</f>
        <v/>
      </c>
    </row>
    <row r="15" spans="1:3 4305:4305" x14ac:dyDescent="0.35">
      <c r="A15" t="s">
        <v>2165</v>
      </c>
      <c r="B15" s="346">
        <v>10</v>
      </c>
      <c r="C15" t="str">
        <f>IF(AfsprakenCMV!C93&lt;&gt;0,AfsprakenCMV!C93&amp;" "&amp;AfsprakenCMV!E93&amp;" "&amp;AfsprakenCMV!F93&amp;" "&amp;AfsprakenCMV!G93&amp;", totaal "&amp;AfsprakenCMV!J93&amp;" "&amp;AfsprakenCMV!I93,"")</f>
        <v/>
      </c>
    </row>
    <row r="16" spans="1:3 4305:4305" x14ac:dyDescent="0.35">
      <c r="A16" t="s">
        <v>2165</v>
      </c>
      <c r="B16" s="346">
        <v>11</v>
      </c>
      <c r="C16" t="str">
        <f>IF(AfsprakenCMV!C94&lt;&gt;0,AfsprakenCMV!C94&amp;" "&amp;AfsprakenCMV!E94&amp;" "&amp;AfsprakenCMV!F94&amp;" "&amp;AfsprakenCMV!G94&amp;", totaal "&amp;AfsprakenCMV!J94&amp;" "&amp;AfsprakenCMV!I94,"")</f>
        <v/>
      </c>
    </row>
    <row r="17" spans="1:3" x14ac:dyDescent="0.35">
      <c r="A17" t="s">
        <v>2165</v>
      </c>
      <c r="B17" s="346">
        <v>12</v>
      </c>
      <c r="C17" t="str">
        <f>IF(AfsprakenCMV!C95&lt;&gt;0,AfsprakenCMV!C95&amp;" "&amp;AfsprakenCMV!E95&amp;" "&amp;AfsprakenCMV!F95&amp;" "&amp;AfsprakenCMV!G95&amp;", totaal "&amp;AfsprakenCMV!J95&amp;" "&amp;AfsprakenCMV!I95,"")</f>
        <v/>
      </c>
    </row>
    <row r="18" spans="1:3" x14ac:dyDescent="0.35">
      <c r="A18" t="s">
        <v>2165</v>
      </c>
      <c r="B18" s="346">
        <v>13</v>
      </c>
      <c r="C18" t="str">
        <f>IF(AfsprakenCMV!C96&lt;&gt;0,AfsprakenCMV!C96&amp;" "&amp;AfsprakenCMV!E96&amp;" "&amp;AfsprakenCMV!F96&amp;" "&amp;AfsprakenCMV!G96&amp;", totaal "&amp;AfsprakenCMV!J96&amp;" "&amp;AfsprakenCMV!I96,"")</f>
        <v/>
      </c>
    </row>
    <row r="19" spans="1:3" x14ac:dyDescent="0.35">
      <c r="A19" t="s">
        <v>2165</v>
      </c>
      <c r="B19" s="346">
        <v>14</v>
      </c>
      <c r="C19" t="str">
        <f>IF(AfsprakenCMV!C97&lt;&gt;0,AfsprakenCMV!C97&amp;" "&amp;AfsprakenCMV!E97&amp;" "&amp;AfsprakenCMV!F97&amp;" "&amp;AfsprakenCMV!G97&amp;", totaal "&amp;AfsprakenCMV!J97&amp;" "&amp;AfsprakenCMV!I97,"")</f>
        <v/>
      </c>
    </row>
    <row r="20" spans="1:3" x14ac:dyDescent="0.35">
      <c r="A20" t="s">
        <v>2165</v>
      </c>
      <c r="B20" s="346">
        <v>15</v>
      </c>
      <c r="C20" t="str">
        <f>IF(AfsprakenCMV!C98&lt;&gt;0,AfsprakenCMV!C98&amp;" "&amp;AfsprakenCMV!E98&amp;" "&amp;AfsprakenCMV!F98&amp;" "&amp;AfsprakenCMV!G98&amp;", totaal "&amp;AfsprakenCMV!J98&amp;" "&amp;AfsprakenCMV!I98,"")</f>
        <v/>
      </c>
    </row>
    <row r="21" spans="1:3" x14ac:dyDescent="0.35">
      <c r="A21" t="s">
        <v>2165</v>
      </c>
      <c r="B21" s="346">
        <v>16</v>
      </c>
      <c r="C21" t="str">
        <f>IF(ber_Opm!C4&lt;&gt;0,AfsprakenCMV!C100&amp;" "&amp;ber_Opm!C4,"")</f>
        <v/>
      </c>
    </row>
    <row r="22" spans="1:3" x14ac:dyDescent="0.35">
      <c r="A22" t="s">
        <v>2166</v>
      </c>
      <c r="B22" s="346" t="s">
        <v>2125</v>
      </c>
      <c r="C22" t="str">
        <f>ber_Med_disc!AB2</f>
        <v/>
      </c>
    </row>
    <row r="23" spans="1:3" x14ac:dyDescent="0.35">
      <c r="A23" t="s">
        <v>2166</v>
      </c>
      <c r="B23" s="346" t="s">
        <v>2126</v>
      </c>
      <c r="C23" t="str">
        <f>ber_Med_disc!AB3</f>
        <v/>
      </c>
    </row>
    <row r="24" spans="1:3" x14ac:dyDescent="0.35">
      <c r="A24" t="s">
        <v>2166</v>
      </c>
      <c r="B24" s="346" t="s">
        <v>2127</v>
      </c>
      <c r="C24" t="str">
        <f>ber_Med_disc!AB4</f>
        <v/>
      </c>
    </row>
    <row r="25" spans="1:3" x14ac:dyDescent="0.35">
      <c r="A25" t="s">
        <v>2166</v>
      </c>
      <c r="B25" s="346" t="s">
        <v>2128</v>
      </c>
      <c r="C25" t="str">
        <f>ber_Med_disc!AB5</f>
        <v/>
      </c>
    </row>
    <row r="26" spans="1:3" x14ac:dyDescent="0.35">
      <c r="A26" t="s">
        <v>2166</v>
      </c>
      <c r="B26" s="346" t="s">
        <v>2129</v>
      </c>
      <c r="C26" t="str">
        <f>ber_Med_disc!AB6</f>
        <v/>
      </c>
    </row>
    <row r="27" spans="1:3" x14ac:dyDescent="0.35">
      <c r="A27" t="s">
        <v>2166</v>
      </c>
      <c r="B27" s="346" t="s">
        <v>2130</v>
      </c>
      <c r="C27" t="str">
        <f>ber_Med_disc!AB7</f>
        <v/>
      </c>
    </row>
    <row r="28" spans="1:3" x14ac:dyDescent="0.35">
      <c r="A28" t="s">
        <v>2166</v>
      </c>
      <c r="B28" s="346" t="s">
        <v>2131</v>
      </c>
      <c r="C28" t="str">
        <f>ber_Med_disc!AB8</f>
        <v/>
      </c>
    </row>
    <row r="29" spans="1:3" x14ac:dyDescent="0.35">
      <c r="A29" t="s">
        <v>2166</v>
      </c>
      <c r="B29" s="346" t="s">
        <v>2132</v>
      </c>
      <c r="C29" t="str">
        <f>ber_Med_disc!AB9</f>
        <v/>
      </c>
    </row>
    <row r="30" spans="1:3" x14ac:dyDescent="0.35">
      <c r="A30" t="s">
        <v>2166</v>
      </c>
      <c r="B30" s="346" t="s">
        <v>2133</v>
      </c>
      <c r="C30" t="str">
        <f>ber_Med_disc!AB10</f>
        <v/>
      </c>
    </row>
    <row r="31" spans="1:3" x14ac:dyDescent="0.35">
      <c r="A31" t="s">
        <v>2166</v>
      </c>
      <c r="B31" s="346">
        <v>10</v>
      </c>
      <c r="C31" t="str">
        <f>ber_Med_disc!AB11</f>
        <v/>
      </c>
    </row>
    <row r="32" spans="1:3" x14ac:dyDescent="0.35">
      <c r="A32" t="s">
        <v>2166</v>
      </c>
      <c r="B32" s="346">
        <v>11</v>
      </c>
      <c r="C32" t="str">
        <f>ber_Med_disc!AB12</f>
        <v/>
      </c>
    </row>
    <row r="33" spans="1:3" x14ac:dyDescent="0.35">
      <c r="A33" t="s">
        <v>2166</v>
      </c>
      <c r="B33" s="346">
        <v>12</v>
      </c>
      <c r="C33" t="str">
        <f>ber_Med_disc!AB13</f>
        <v/>
      </c>
    </row>
    <row r="34" spans="1:3" x14ac:dyDescent="0.35">
      <c r="A34" t="s">
        <v>2166</v>
      </c>
      <c r="B34" s="346">
        <v>13</v>
      </c>
      <c r="C34" t="str">
        <f>ber_Med_disc!AB14</f>
        <v/>
      </c>
    </row>
    <row r="35" spans="1:3" x14ac:dyDescent="0.35">
      <c r="A35" t="s">
        <v>2166</v>
      </c>
      <c r="B35" s="346">
        <v>14</v>
      </c>
      <c r="C35" t="str">
        <f>ber_Med_disc!AB15</f>
        <v/>
      </c>
    </row>
    <row r="36" spans="1:3" x14ac:dyDescent="0.35">
      <c r="A36" t="s">
        <v>2166</v>
      </c>
      <c r="B36" s="346">
        <v>15</v>
      </c>
      <c r="C36" t="str">
        <f>ber_Med_disc!AB16</f>
        <v/>
      </c>
    </row>
    <row r="37" spans="1:3" x14ac:dyDescent="0.35">
      <c r="A37" t="s">
        <v>2166</v>
      </c>
      <c r="B37" s="346">
        <v>16</v>
      </c>
      <c r="C37" t="str">
        <f>ber_Med_disc!AB17</f>
        <v/>
      </c>
    </row>
    <row r="38" spans="1:3" x14ac:dyDescent="0.35">
      <c r="A38" t="s">
        <v>2166</v>
      </c>
      <c r="B38" s="346">
        <v>17</v>
      </c>
      <c r="C38" t="str">
        <f>ber_Med_disc!AB18</f>
        <v/>
      </c>
    </row>
    <row r="39" spans="1:3" x14ac:dyDescent="0.35">
      <c r="A39" t="s">
        <v>2166</v>
      </c>
      <c r="B39" s="346">
        <v>18</v>
      </c>
      <c r="C39" t="str">
        <f>ber_Med_disc!AB19</f>
        <v/>
      </c>
    </row>
    <row r="40" spans="1:3" x14ac:dyDescent="0.35">
      <c r="A40" t="s">
        <v>2166</v>
      </c>
      <c r="B40" s="346">
        <v>19</v>
      </c>
      <c r="C40" t="str">
        <f>ber_Med_disc!AB20</f>
        <v/>
      </c>
    </row>
    <row r="41" spans="1:3" x14ac:dyDescent="0.35">
      <c r="A41" t="s">
        <v>2166</v>
      </c>
      <c r="B41" s="346">
        <v>20</v>
      </c>
      <c r="C41" t="str">
        <f>ber_Med_disc!AB21</f>
        <v/>
      </c>
    </row>
    <row r="42" spans="1:3" x14ac:dyDescent="0.35">
      <c r="A42" t="s">
        <v>2167</v>
      </c>
      <c r="B42" s="346" t="s">
        <v>2125</v>
      </c>
      <c r="C42" t="str">
        <f>IF(AfsprakenCMV!C49&lt;&gt;0,AfsprakenCMV!C49,"")</f>
        <v/>
      </c>
    </row>
    <row r="43" spans="1:3" x14ac:dyDescent="0.35">
      <c r="A43" t="s">
        <v>2167</v>
      </c>
      <c r="B43" s="346" t="s">
        <v>2126</v>
      </c>
      <c r="C43" t="str">
        <f>IF(AfsprakenCMV!C50&lt;&gt;0,AfsprakenCMV!C50,"")</f>
        <v/>
      </c>
    </row>
    <row r="44" spans="1:3" x14ac:dyDescent="0.35">
      <c r="A44" t="s">
        <v>2167</v>
      </c>
      <c r="B44" s="346" t="s">
        <v>2127</v>
      </c>
      <c r="C44" t="str">
        <f>IF(AfsprakenCMV!C51&lt;&gt;0,AfsprakenCMV!C51,"")</f>
        <v/>
      </c>
    </row>
    <row r="45" spans="1:3" x14ac:dyDescent="0.35">
      <c r="A45" t="s">
        <v>2167</v>
      </c>
      <c r="B45" s="346" t="s">
        <v>2128</v>
      </c>
      <c r="C45" t="str">
        <f>IF(AfsprakenCMV!C52&lt;&gt;0,AfsprakenCMV!C52,"")</f>
        <v/>
      </c>
    </row>
    <row r="46" spans="1:3" x14ac:dyDescent="0.35">
      <c r="A46" t="s">
        <v>2167</v>
      </c>
      <c r="B46" s="346" t="s">
        <v>2129</v>
      </c>
      <c r="C46" t="str">
        <f>IF(AfsprakenCMV!C53&lt;&gt;0,AfsprakenCMV!C53,"")</f>
        <v/>
      </c>
    </row>
    <row r="47" spans="1:3" x14ac:dyDescent="0.35">
      <c r="A47" t="s">
        <v>2167</v>
      </c>
      <c r="B47" s="346" t="s">
        <v>2130</v>
      </c>
      <c r="C47" t="str">
        <f>IF(AfsprakenCMV!C54&lt;&gt;0,AfsprakenCMV!C54,"")</f>
        <v/>
      </c>
    </row>
    <row r="48" spans="1:3" x14ac:dyDescent="0.35">
      <c r="A48" t="s">
        <v>2167</v>
      </c>
      <c r="B48" s="346" t="s">
        <v>2131</v>
      </c>
      <c r="C48" t="str">
        <f>IF(AfsprakenCMV!C56&lt;&gt;0,"Opmerkingen: "&amp;AfsprakenCMV!C56,"")</f>
        <v/>
      </c>
    </row>
    <row r="49" spans="1:3" x14ac:dyDescent="0.35">
      <c r="A49" t="s">
        <v>2168</v>
      </c>
      <c r="B49" s="346" t="s">
        <v>2125</v>
      </c>
      <c r="C49" t="str">
        <f>IF(AfsprakenCMV!C72&lt;&gt;0,AfsprakenCMV!C72,"")</f>
        <v/>
      </c>
    </row>
    <row r="50" spans="1:3" x14ac:dyDescent="0.35">
      <c r="A50" t="s">
        <v>2168</v>
      </c>
      <c r="B50" s="346" t="s">
        <v>2126</v>
      </c>
      <c r="C50" t="str">
        <f>IF(AfsprakenCMV!C73&lt;&gt;0,AfsprakenCMV!C73,"")</f>
        <v/>
      </c>
    </row>
    <row r="51" spans="1:3" x14ac:dyDescent="0.35">
      <c r="A51" t="s">
        <v>2168</v>
      </c>
      <c r="B51" s="346" t="s">
        <v>2127</v>
      </c>
      <c r="C51" t="str">
        <f>IF(AfsprakenCMV!C74&lt;&gt;0,AfsprakenCMV!C74,"")</f>
        <v/>
      </c>
    </row>
    <row r="52" spans="1:3" x14ac:dyDescent="0.35">
      <c r="A52" t="s">
        <v>2168</v>
      </c>
      <c r="B52" s="346" t="s">
        <v>2128</v>
      </c>
      <c r="C52" t="str">
        <f>IF(AfsprakenCMV!C75&lt;&gt;0,AfsprakenCMV!C75,"")</f>
        <v/>
      </c>
    </row>
    <row r="53" spans="1:3" x14ac:dyDescent="0.35">
      <c r="A53" t="s">
        <v>2168</v>
      </c>
      <c r="B53" s="346" t="s">
        <v>2129</v>
      </c>
      <c r="C53" t="str">
        <f>IF(AfsprakenCMV!C76&lt;&gt;0,AfsprakenCMV!C76,"")</f>
        <v/>
      </c>
    </row>
    <row r="54" spans="1:3" x14ac:dyDescent="0.35">
      <c r="A54" t="s">
        <v>2168</v>
      </c>
      <c r="B54" s="346" t="s">
        <v>2130</v>
      </c>
      <c r="C54" t="str">
        <f>IF(AfsprakenCMV!C77&lt;&gt;0,AfsprakenCMV!C77,"")</f>
        <v/>
      </c>
    </row>
    <row r="55" spans="1:3" x14ac:dyDescent="0.35">
      <c r="A55" t="s">
        <v>2168</v>
      </c>
      <c r="B55" s="346" t="s">
        <v>2131</v>
      </c>
      <c r="C55" t="str">
        <f>IF(AfsprakenCMV!D100&lt;&gt;0,"Opmerkingen: "&amp;AfsprakenCMV!D100,"")</f>
        <v/>
      </c>
    </row>
    <row r="56" spans="1:3" x14ac:dyDescent="0.35">
      <c r="A56" t="s">
        <v>2169</v>
      </c>
      <c r="B56" s="346" t="s">
        <v>2125</v>
      </c>
      <c r="C56" t="str">
        <f>IF(AfsprakenCMV!E32&lt;&gt;"",AfsprakenCMV!E32&amp;": ","")&amp;IF(AfsprakenCMV!C33&lt;&gt;0,AfsprakenCMV!C33&amp;" ","")&amp;AfsprakenCMV!E33&amp;IF(AfsprakenCMV!F33&lt;&gt;""," "&amp;AfsprakenCMV!F33,"")&amp;IF(AfsprakenCMV!F34&lt;&gt;""," en "&amp;AfsprakenCMV!F34,"")&amp;IF(AfsprakenCMV!F35&lt;&gt;""," en "&amp;AfsprakenCMV!F35,"")</f>
        <v xml:space="preserve">Geen sonde:  </v>
      </c>
    </row>
    <row r="57" spans="1:3" x14ac:dyDescent="0.35">
      <c r="A57" t="s">
        <v>2169</v>
      </c>
      <c r="B57" s="346" t="s">
        <v>2126</v>
      </c>
      <c r="C57" t="str">
        <f>IF(AfsprakenCMV!D37&lt;&gt;0,"Opmerkingen: "&amp;AfsprakenCMV!D37,"")</f>
        <v/>
      </c>
    </row>
    <row r="58" spans="1:3" x14ac:dyDescent="0.35">
      <c r="A58" t="s">
        <v>2169</v>
      </c>
      <c r="B58" s="346" t="s">
        <v>2127</v>
      </c>
      <c r="C58" t="str">
        <f>IF(AfsprakenCMV!E103&lt;&gt;"",AfsprakenCMV!D103&amp;": "&amp;AfsprakenCMV!E103,"")&amp;IF(AfsprakenCMV!F104&lt;&gt;""," met "&amp;AfsprakenCMV!D104&amp;" "&amp;AfsprakenCMV!F104,"")&amp;IF(AfsprakenCMV!F106&lt;&gt;"",", "&amp;AfsprakenCMV!D106&amp;" "&amp;AfsprakenCMV!F106,"")&amp;IF(AfsprakenCMV!F107&lt;&gt;"",", "&amp;AfsprakenCMV!D107&amp;" "&amp;AfsprakenCMV!F107,"")&amp;IF(AfsprakenCMV!F108&lt;&gt; "",", "&amp;AfsprakenCMV!D108&amp;" "&amp;AfsprakenCMV!F108,"")&amp;IF(AfsprakenCMV!E105&lt;&gt; "",", "&amp;AfsprakenCMV!D105&amp;" "&amp;AfsprakenCMV!E105,"")</f>
        <v/>
      </c>
    </row>
    <row r="59" spans="1:3" x14ac:dyDescent="0.35">
      <c r="A59" t="s">
        <v>2169</v>
      </c>
      <c r="B59" s="346" t="s">
        <v>2128</v>
      </c>
      <c r="C59" t="str">
        <f>IF(AfsprakenCMV!E110&lt;&gt;"",AfsprakenCMV!D110&amp;": "&amp;AfsprakenCMV!E110,"")&amp;IF(AfsprakenCMV!F111&lt;&gt;"",", "&amp;AfsprakenCMV!D111&amp;" "&amp;AfsprakenCMV!F111,"")&amp;IF(AfsprakenCMV!F112&lt;&gt;"",", "&amp;AfsprakenCMV!D112&amp;" "&amp;AfsprakenCMV!F112,"")&amp;IF(AfsprakenCMV!F113&lt;&gt;"",", "&amp;AfsprakenCMV!D113&amp;" "&amp;AfsprakenCMV!F113,"")&amp;IF(AfsprakenCMV!F114&lt;&gt;"",", "&amp;AfsprakenCMV!D114&amp;" "&amp;AfsprakenCMV!F114,"")&amp;IF(AfsprakenCMV!F115&lt;&gt;"",", "&amp;AfsprakenCMV!D115&amp;" "&amp;AfsprakenCMV!F115,"")&amp;IF(AfsprakenCMV!F116&lt;&gt;"",", "&amp;AfsprakenCMV!D116&amp;" "&amp;AfsprakenCMV!F116,"")</f>
        <v/>
      </c>
    </row>
    <row r="60" spans="1:3" x14ac:dyDescent="0.35">
      <c r="A60" t="s">
        <v>2169</v>
      </c>
      <c r="B60" s="346" t="s">
        <v>2129</v>
      </c>
      <c r="C60" t="str">
        <f>IF(AfsprakenCMV!E118&lt;&gt;" ",AfsprakenCMV!D118&amp;": "&amp;AfsprakenCMV!E118,"")</f>
        <v/>
      </c>
    </row>
    <row r="61" spans="1:3" x14ac:dyDescent="0.35">
      <c r="A61" t="s">
        <v>2169</v>
      </c>
      <c r="B61" s="346" t="s">
        <v>2130</v>
      </c>
      <c r="C61" t="str">
        <f>IF(AfsprakenCMV!E120&lt;&gt;"",AfsprakenCMV!D120&amp;": "&amp;AfsprakenCMV!E120,"")&amp;IF(AfsprakenCMV!F121&lt;&gt;"",", "&amp;AfsprakenCMV!D121&amp;" "&amp;AfsprakenCMV!F121,"")&amp;IF(AfsprakenCMV!F122&lt;&gt;"",", "&amp;AfsprakenCMV!D122&amp;" "&amp;AfsprakenCMV!F122,"")&amp;IF(AfsprakenCMV!F123&lt;&gt;"",", "&amp;AfsprakenCMV!D123&amp;" "&amp;AfsprakenCMV!F123,"")</f>
        <v/>
      </c>
    </row>
    <row r="62" spans="1:3" x14ac:dyDescent="0.35">
      <c r="A62" t="s">
        <v>2169</v>
      </c>
      <c r="B62" s="346" t="s">
        <v>2131</v>
      </c>
      <c r="C62" t="str">
        <f>IF(AfsprakenCMV!I103&lt;&gt;"",AfsprakenCMV!H103&amp;": "&amp;AfsprakenCMV!I103,"")&amp;IF(AfsprakenCMV!J104&lt;&gt;"",", "&amp;AfsprakenCMV!H104&amp;" "&amp;AfsprakenCMV!J104,"")&amp;IF(AfsprakenCMV!J105&lt;&gt;"",", "&amp;AfsprakenCMV!H105&amp;" "&amp;AfsprakenCMV!J105,"")&amp;IF(AfsprakenCMV!J106&lt;&gt;"",", "&amp;AfsprakenCMV!H106&amp;" "&amp;AfsprakenCMV!J106,"")</f>
        <v/>
      </c>
    </row>
    <row r="63" spans="1:3" x14ac:dyDescent="0.35">
      <c r="A63" t="s">
        <v>2169</v>
      </c>
      <c r="B63" s="347" t="s">
        <v>2132</v>
      </c>
      <c r="C63" t="str">
        <f>IF(Intake!D29&lt;&gt;0,"Opmerkingen: "&amp;Intake!D29,"")</f>
        <v/>
      </c>
    </row>
    <row r="64" spans="1:3" x14ac:dyDescent="0.35">
      <c r="A64" t="s">
        <v>683</v>
      </c>
      <c r="B64" s="346" t="s">
        <v>2125</v>
      </c>
      <c r="C64" t="str">
        <f>IF(AfsprakenCMV!D40&lt;&gt;"",AfsprakenCMV!C40&amp;": "&amp;AfsprakenCMV!D40,"")</f>
        <v/>
      </c>
    </row>
    <row r="65" spans="1:3" x14ac:dyDescent="0.35">
      <c r="A65" t="s">
        <v>683</v>
      </c>
      <c r="B65" s="346" t="s">
        <v>2126</v>
      </c>
      <c r="C65" t="str">
        <f>IF(AfsprakenCMV!D41&lt;&gt;"",AfsprakenCMV!C41&amp;": "&amp;AfsprakenCMV!D41,"")</f>
        <v/>
      </c>
    </row>
    <row r="66" spans="1:3" x14ac:dyDescent="0.35">
      <c r="A66" t="s">
        <v>683</v>
      </c>
      <c r="B66" s="346" t="s">
        <v>2127</v>
      </c>
      <c r="C66" t="str">
        <f>IF(AfsprakenCMV!D42&lt;&gt;"",AfsprakenCMV!C42&amp;": "&amp;AfsprakenCMV!D42,"")</f>
        <v/>
      </c>
    </row>
    <row r="67" spans="1:3" x14ac:dyDescent="0.35">
      <c r="A67" t="s">
        <v>683</v>
      </c>
      <c r="B67" s="346" t="s">
        <v>2128</v>
      </c>
      <c r="C67" t="str">
        <f>IF(AfsprakenCMV!D43&lt;&gt;"",AfsprakenCMV!C43&amp;": "&amp;AfsprakenCMV!D43,"")</f>
        <v/>
      </c>
    </row>
    <row r="68" spans="1:3" x14ac:dyDescent="0.35">
      <c r="A68" t="s">
        <v>683</v>
      </c>
      <c r="B68" s="346" t="s">
        <v>2129</v>
      </c>
      <c r="C68" t="str">
        <f>IF(AfsprakenCMV!D44&lt;&gt;"",AfsprakenCMV!C44&amp;": "&amp;AfsprakenCMV!D44,"")</f>
        <v/>
      </c>
    </row>
    <row r="69" spans="1:3" x14ac:dyDescent="0.35">
      <c r="A69" t="s">
        <v>683</v>
      </c>
      <c r="B69" s="346" t="s">
        <v>2130</v>
      </c>
      <c r="C69" t="str">
        <f>IF(AfsprakenCMV!D45&lt;&gt;0,AfsprakenCMV!C45&amp;": "&amp;AfsprakenCMV!D45,"")</f>
        <v/>
      </c>
    </row>
    <row r="70" spans="1:3" x14ac:dyDescent="0.35">
      <c r="A70" t="s">
        <v>1707</v>
      </c>
      <c r="B70" s="346" t="s">
        <v>2125</v>
      </c>
      <c r="C70" t="str">
        <f>AfsprakenCMV!C129&amp;": "&amp;AfsprakenCMV!D129</f>
        <v>Vocht: 0 ml/kg</v>
      </c>
    </row>
    <row r="71" spans="1:3" x14ac:dyDescent="0.35">
      <c r="A71" t="s">
        <v>1707</v>
      </c>
      <c r="B71" s="346" t="s">
        <v>2126</v>
      </c>
      <c r="C71" t="str">
        <f>AfsprakenCMV!C130&amp;": "&amp;AfsprakenCMV!D130</f>
        <v>Eiwit: 0  gram/kg</v>
      </c>
    </row>
    <row r="72" spans="1:3" x14ac:dyDescent="0.35">
      <c r="A72" t="s">
        <v>1707</v>
      </c>
      <c r="B72" s="346" t="s">
        <v>2127</v>
      </c>
      <c r="C72" t="str">
        <f>AfsprakenCMV!C131&amp;": "&amp;AfsprakenCMV!D131</f>
        <v>Glucose/KH: 0 g/kg</v>
      </c>
    </row>
    <row r="73" spans="1:3" x14ac:dyDescent="0.35">
      <c r="A73" t="s">
        <v>1707</v>
      </c>
      <c r="B73" s="346" t="s">
        <v>2128</v>
      </c>
      <c r="C73" t="str">
        <f>AfsprakenCMV!E129&amp;": "&amp;AfsprakenCMV!F129</f>
        <v>Calorieen: 0 kCal/kg</v>
      </c>
    </row>
    <row r="74" spans="1:3" x14ac:dyDescent="0.35">
      <c r="A74" t="s">
        <v>1707</v>
      </c>
      <c r="B74" s="346" t="s">
        <v>2129</v>
      </c>
      <c r="C74" t="str">
        <f>AfsprakenCMV!E130&amp;": "&amp;AfsprakenCMV!F130</f>
        <v>Vet: 0 gram/kg</v>
      </c>
    </row>
    <row r="75" spans="1:3" x14ac:dyDescent="0.35">
      <c r="A75" t="s">
        <v>1707</v>
      </c>
      <c r="B75" s="346" t="s">
        <v>2130</v>
      </c>
      <c r="C75" t="str">
        <f>AfsprakenCMV!G129&amp;": "&amp;AfsprakenCMV!H129</f>
        <v>Kalium: 0 mmol/kg</v>
      </c>
    </row>
    <row r="76" spans="1:3" x14ac:dyDescent="0.35">
      <c r="A76" t="s">
        <v>1707</v>
      </c>
      <c r="B76" s="346" t="s">
        <v>2131</v>
      </c>
      <c r="C76" t="str">
        <f>AfsprakenCMV!G130&amp;": "&amp;AfsprakenCMV!H130</f>
        <v>Calcium: 0 mmol/kg</v>
      </c>
    </row>
    <row r="77" spans="1:3" x14ac:dyDescent="0.35">
      <c r="A77" t="s">
        <v>1707</v>
      </c>
      <c r="B77" s="346" t="s">
        <v>2132</v>
      </c>
      <c r="C77" t="str">
        <f>AfsprakenCMV!G131&amp;": "&amp;AfsprakenCMV!H131</f>
        <v>Magnesium: 0 mmol/kg</v>
      </c>
    </row>
    <row r="78" spans="1:3" x14ac:dyDescent="0.35">
      <c r="A78" t="s">
        <v>1707</v>
      </c>
      <c r="B78" s="346" t="s">
        <v>2133</v>
      </c>
      <c r="C78" t="str">
        <f>AfsprakenCMV!I129&amp;": "&amp;AfsprakenCMV!J129</f>
        <v>Natrium : 0 mmol/kg</v>
      </c>
    </row>
    <row r="79" spans="1:3" x14ac:dyDescent="0.35">
      <c r="A79" t="s">
        <v>1707</v>
      </c>
      <c r="B79" s="346">
        <v>10</v>
      </c>
      <c r="C79" t="str">
        <f>AfsprakenCMV!I130&amp;": "&amp;AfsprakenCMV!J130</f>
        <v>Fosfaat: 0 mmol/kg</v>
      </c>
    </row>
  </sheetData>
  <phoneticPr fontId="26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dicatieIV">
    <outlinePr showOutlineSymbols="0"/>
  </sheetPr>
  <dimension ref="A1:CC91"/>
  <sheetViews>
    <sheetView showGridLines="0" showRowColHeaders="0" showZeros="0" showOutlineSymbols="0" workbookViewId="0">
      <pane ySplit="4" topLeftCell="A5" activePane="bottomLeft" state="frozen"/>
      <selection pane="bottomLeft" activeCell="G38" sqref="G38"/>
    </sheetView>
  </sheetViews>
  <sheetFormatPr defaultColWidth="9.1328125" defaultRowHeight="12.85" x14ac:dyDescent="0.35"/>
  <cols>
    <col min="1" max="1" width="5.265625" style="20" customWidth="1"/>
    <col min="2" max="2" width="3.59765625" style="20" customWidth="1"/>
    <col min="3" max="3" width="16.86328125" style="20" customWidth="1"/>
    <col min="4" max="4" width="13.3984375" style="20" customWidth="1"/>
    <col min="5" max="5" width="11.1328125" style="20" customWidth="1"/>
    <col min="6" max="6" width="11" style="20" customWidth="1"/>
    <col min="7" max="7" width="16.59765625" style="20" customWidth="1"/>
    <col min="8" max="8" width="20.1328125" style="20" customWidth="1"/>
    <col min="9" max="9" width="9.1328125" style="20"/>
    <col min="10" max="10" width="10.73046875" style="20" bestFit="1" customWidth="1"/>
    <col min="11" max="16384" width="9.1328125" style="20"/>
  </cols>
  <sheetData>
    <row r="1" spans="1:81" ht="7.55" customHeight="1" x14ac:dyDescent="0.35">
      <c r="A1" s="200"/>
      <c r="B1" s="200"/>
      <c r="C1" s="200"/>
      <c r="D1" s="200"/>
      <c r="E1" s="200"/>
      <c r="F1" s="200"/>
      <c r="G1" s="200"/>
      <c r="H1" s="200"/>
      <c r="I1" s="200"/>
      <c r="J1" s="200"/>
      <c r="K1" s="200"/>
      <c r="L1" s="200"/>
      <c r="M1" s="200"/>
      <c r="N1" s="200"/>
      <c r="O1" s="200"/>
      <c r="P1" s="200"/>
      <c r="Q1" s="200"/>
      <c r="R1" s="200"/>
      <c r="S1" s="200"/>
      <c r="T1" s="200"/>
      <c r="U1" s="200"/>
      <c r="V1" s="200"/>
      <c r="W1" s="200"/>
      <c r="X1" s="200"/>
    </row>
    <row r="2" spans="1:81" ht="17.25" customHeight="1" x14ac:dyDescent="0.4">
      <c r="A2" s="200"/>
      <c r="B2" s="200"/>
      <c r="C2" s="216" t="s">
        <v>1441</v>
      </c>
      <c r="D2" s="217">
        <f ca="1">AfspraakDatum</f>
        <v>42191</v>
      </c>
      <c r="E2" s="218"/>
      <c r="F2" s="216" t="s">
        <v>1442</v>
      </c>
      <c r="G2" s="200"/>
      <c r="H2" s="219">
        <f>OpnDatum</f>
        <v>41363</v>
      </c>
      <c r="I2" s="216" t="str">
        <f ca="1">"ICU-dag: "&amp;AfspraakDatum-OpnDatum+1</f>
        <v>ICU-dag: 829</v>
      </c>
      <c r="J2" s="216"/>
      <c r="K2" s="216"/>
      <c r="L2" s="216"/>
      <c r="M2" s="200"/>
      <c r="N2" s="200"/>
      <c r="O2" s="200"/>
      <c r="P2" s="200"/>
      <c r="Q2" s="200"/>
      <c r="R2" s="200"/>
      <c r="S2" s="200"/>
      <c r="T2" s="200"/>
      <c r="U2" s="200"/>
      <c r="V2" s="200"/>
      <c r="W2" s="200"/>
      <c r="X2" s="200"/>
    </row>
    <row r="3" spans="1:81" ht="17.25" customHeight="1" x14ac:dyDescent="0.4">
      <c r="A3" s="200"/>
      <c r="B3" s="215"/>
      <c r="C3" s="216" t="s">
        <v>151</v>
      </c>
      <c r="D3" s="220" t="str">
        <f>AchterNaam&amp;", "&amp;VoorNaam</f>
        <v>Achternaam, Voornaam</v>
      </c>
      <c r="E3" s="220"/>
      <c r="F3" s="216" t="s">
        <v>1484</v>
      </c>
      <c r="G3" s="200"/>
      <c r="H3" s="219">
        <f>GebDatum</f>
        <v>40909</v>
      </c>
      <c r="I3" s="221" t="str">
        <f>"Gewicht: "&amp;Gewicht/10&amp;" kg"</f>
        <v>Gewicht: 10 kg</v>
      </c>
      <c r="J3" s="216"/>
      <c r="K3" s="221" t="str">
        <f>"Lengte: "&amp;Lengte&amp;" cm"</f>
        <v>Lengte: 80 cm</v>
      </c>
      <c r="L3" s="216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</row>
    <row r="4" spans="1:81" ht="17.25" customHeight="1" x14ac:dyDescent="0.4">
      <c r="A4" s="222"/>
      <c r="B4" s="222"/>
      <c r="C4" s="216" t="s">
        <v>1666</v>
      </c>
      <c r="D4" s="221">
        <f>PatNummer</f>
        <v>0</v>
      </c>
      <c r="E4" s="218"/>
      <c r="F4" s="216" t="s">
        <v>1304</v>
      </c>
      <c r="G4" s="222"/>
      <c r="H4" s="223" t="str">
        <f ca="1">TRUNC((AfspraakDatum-GebDatum)/365,0)&amp;" jaar en "&amp;TRUNC(((AfspraakDatum-GebDatum)-365*TRUNC((AfspraakDatum-GebDatum)/365,0))/30,0)&amp;" maand(-en)"</f>
        <v>3 jaar en 6 maand(-en)</v>
      </c>
      <c r="I4" s="216"/>
      <c r="J4" s="216" t="str">
        <f>"Lichamelijk oppervlak: "&amp;ROUND(POWER(Gewicht/10,0.425)*POWER(((Lengte/100)*100),0.725)*0.007184,2)&amp;" m2"</f>
        <v>Lichamelijk oppervlak: 0.46 m2</v>
      </c>
      <c r="K4" s="216"/>
      <c r="L4" s="216"/>
      <c r="M4" s="222"/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</row>
    <row r="5" spans="1:81" ht="13.2" x14ac:dyDescent="0.4">
      <c r="A5" s="222"/>
      <c r="B5" s="222"/>
      <c r="C5" s="122"/>
      <c r="D5" s="227"/>
      <c r="E5" s="109"/>
      <c r="F5" s="122"/>
      <c r="G5" s="228"/>
      <c r="H5" s="122"/>
      <c r="I5" s="122"/>
      <c r="J5" s="122"/>
      <c r="K5" s="122"/>
      <c r="L5" s="81"/>
      <c r="M5" s="81"/>
      <c r="N5" s="81"/>
      <c r="O5" s="81"/>
      <c r="P5" s="81"/>
      <c r="Q5" s="81"/>
      <c r="R5" s="81"/>
      <c r="S5" s="81"/>
      <c r="T5" s="81"/>
      <c r="U5" s="81"/>
      <c r="V5" s="81"/>
      <c r="W5" s="81"/>
      <c r="X5" s="81"/>
      <c r="Y5" s="22"/>
      <c r="Z5" s="22"/>
      <c r="AA5" s="21"/>
      <c r="AB5" s="21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s="22"/>
      <c r="BP5" s="22"/>
      <c r="BQ5" s="22"/>
      <c r="BR5" s="22"/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</row>
    <row r="6" spans="1:81" ht="13.2" x14ac:dyDescent="0.4">
      <c r="A6" s="200"/>
      <c r="B6" s="222"/>
      <c r="C6" s="225" t="s">
        <v>1597</v>
      </c>
      <c r="D6" s="240" t="s">
        <v>956</v>
      </c>
      <c r="E6" s="225" t="s">
        <v>768</v>
      </c>
      <c r="F6" s="241"/>
      <c r="G6" s="225" t="s">
        <v>290</v>
      </c>
      <c r="H6" s="225" t="s">
        <v>1598</v>
      </c>
      <c r="I6" s="225" t="s">
        <v>1477</v>
      </c>
      <c r="J6" s="225" t="s">
        <v>1553</v>
      </c>
      <c r="K6" s="242"/>
      <c r="L6" s="225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Z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  <c r="BJ6" s="22"/>
      <c r="BK6" s="22"/>
      <c r="BL6" s="22"/>
      <c r="BM6" s="22"/>
      <c r="BN6" s="22"/>
      <c r="BO6" s="22"/>
      <c r="BP6" s="22"/>
      <c r="BQ6" s="22"/>
      <c r="BR6" s="22"/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</row>
    <row r="7" spans="1:81" ht="6.8" customHeight="1" x14ac:dyDescent="0.35">
      <c r="A7" s="200"/>
      <c r="B7" s="222"/>
      <c r="C7" s="81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81"/>
      <c r="P7" s="81"/>
      <c r="Q7" s="81"/>
      <c r="R7" s="81"/>
      <c r="S7" s="81"/>
      <c r="T7" s="81"/>
      <c r="U7" s="81"/>
      <c r="V7" s="81"/>
      <c r="W7" s="81"/>
      <c r="X7" s="81"/>
      <c r="Z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</row>
    <row r="8" spans="1:81" ht="20.100000000000001" customHeight="1" x14ac:dyDescent="0.4">
      <c r="A8" s="200"/>
      <c r="B8" s="222">
        <v>1</v>
      </c>
      <c r="C8" s="229">
        <f>INDEX(tblDoseringen,ber_IVmed!$B31,1)</f>
        <v>0</v>
      </c>
      <c r="D8" s="243" t="str">
        <f>INDEX(tblDoseringen,ber_IVmed!$B31,2)&amp;" "&amp;INDEX(tblDoseringen,ber_IVmed!$B31,9)</f>
        <v xml:space="preserve"> </v>
      </c>
      <c r="E8" s="231" t="str">
        <f>IF(AND(C8&lt;&gt;0,INDEX(tblDoseringen,ber_IVmed!$B31,3)&lt;&gt;""),INDEX(tblDoseringen,ber_IVmed!$B31,3)&amp;" ml","")</f>
        <v/>
      </c>
      <c r="F8" s="224">
        <f>INDEX(tblOplossing,ber_IVmed!D31,1)</f>
        <v>0</v>
      </c>
      <c r="G8" s="231" t="str">
        <f>IF(C8&lt;&gt;0,ber_IVmed!E31/10&amp;" ml/uur","")</f>
        <v/>
      </c>
      <c r="H8" s="231" t="str">
        <f>IF(C8&lt;&gt;0,AC8&amp;" "&amp;INDEX(tblDoseringen,ber_IVmed!$B31,7),"")</f>
        <v/>
      </c>
      <c r="I8" s="232" t="str">
        <f>IF(C8&lt;&gt;0,24*ber_IVmed!E31/10&amp;" ml","")</f>
        <v/>
      </c>
      <c r="J8" s="255">
        <f>INDEX(tblDoseringen,ber_IVmed!$B31,8)</f>
        <v>0</v>
      </c>
      <c r="K8" s="232"/>
      <c r="L8" s="232"/>
      <c r="M8" s="81"/>
      <c r="N8" s="81"/>
      <c r="O8" s="81"/>
      <c r="P8" s="81"/>
      <c r="Q8" s="81"/>
      <c r="R8" s="81"/>
      <c r="S8" s="81"/>
      <c r="T8" s="81"/>
      <c r="U8" s="81"/>
      <c r="V8" s="81"/>
      <c r="W8" s="81"/>
      <c r="X8" s="81"/>
      <c r="Z8" s="22"/>
      <c r="AA8" s="20" t="b">
        <f>IF(C8&lt;&gt;0,INDEX(tblDoseringen,ber_IVmed!$B31,6)*(ber_IVmed!E31/10))</f>
        <v>0</v>
      </c>
      <c r="AB8" s="20">
        <f>IF(AA8&gt;=10,0,IF(AA8&gt;=1,1,IF(AA8&gt;=0,2,IF(AA8&gt;=0.1,3,IF(AA8&gt;=0.01,4,5)))))</f>
        <v>0</v>
      </c>
      <c r="AC8" s="20">
        <f>ROUND(AA8,AB8)</f>
        <v>0</v>
      </c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</row>
    <row r="9" spans="1:81" ht="20.100000000000001" customHeight="1" x14ac:dyDescent="0.4">
      <c r="A9" s="200"/>
      <c r="B9" s="222">
        <v>2</v>
      </c>
      <c r="C9" s="229">
        <f>INDEX(tblDoseringen,ber_IVmed!$B32,1)</f>
        <v>0</v>
      </c>
      <c r="D9" s="243" t="str">
        <f>INDEX(tblDoseringen,ber_IVmed!$B32,2)&amp;" "&amp;INDEX(tblDoseringen,ber_IVmed!$B32,9)</f>
        <v xml:space="preserve"> </v>
      </c>
      <c r="E9" s="233" t="str">
        <f>IF(AND(C9&lt;&gt;0,INDEX(tblDoseringen,ber_IVmed!$B32,3)&lt;&gt;""),INDEX(tblDoseringen,ber_IVmed!$B32,3)&amp;" ml","")</f>
        <v/>
      </c>
      <c r="F9" s="224">
        <f>INDEX(tblOplossing,ber_IVmed!D32,1)</f>
        <v>0</v>
      </c>
      <c r="G9" s="233" t="str">
        <f>IF(C9&lt;&gt;0,ber_IVmed!E32/10&amp;" ml/uur","")</f>
        <v/>
      </c>
      <c r="H9" s="231" t="str">
        <f>IF(C9&lt;&gt;0,AC9&amp;" "&amp;INDEX(tblDoseringen,ber_IVmed!$B32,7),"")</f>
        <v/>
      </c>
      <c r="I9" s="234" t="str">
        <f>IF(C9&lt;&gt;0,24*ber_IVmed!E32/10&amp;" ml","")</f>
        <v/>
      </c>
      <c r="J9" s="256">
        <f>INDEX(tblDoseringen,ber_IVmed!$B32,8)</f>
        <v>0</v>
      </c>
      <c r="K9" s="234"/>
      <c r="L9" s="234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  <c r="X9" s="81"/>
      <c r="Z9" s="22"/>
      <c r="AA9" s="20" t="b">
        <f>IF(C9&lt;&gt;0,INDEX(tblDoseringen,ber_IVmed!$B32,6)*(ber_IVmed!E32/10))</f>
        <v>0</v>
      </c>
      <c r="AB9" s="20">
        <f t="shared" ref="AB9:AB17" si="0">IF(AA9&gt;=10,0,IF(AA9&gt;=1,1,IF(AA9&gt;=0,2,IF(AA9&gt;=0.1,3,IF(AA9&gt;=0.01,4,5)))))</f>
        <v>0</v>
      </c>
      <c r="AC9" s="20">
        <f t="shared" ref="AC9:AC17" si="1">ROUND(AA9,AB9)</f>
        <v>0</v>
      </c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</row>
    <row r="10" spans="1:81" ht="20.100000000000001" customHeight="1" x14ac:dyDescent="0.4">
      <c r="A10" s="200"/>
      <c r="B10" s="222">
        <v>3</v>
      </c>
      <c r="C10" s="229">
        <f>INDEX(tblDoseringen,ber_IVmed!$B33,1)</f>
        <v>0</v>
      </c>
      <c r="D10" s="243" t="str">
        <f>INDEX(tblDoseringen,ber_IVmed!$B33,2)&amp;" "&amp;INDEX(tblDoseringen,ber_IVmed!$B33,9)</f>
        <v xml:space="preserve"> </v>
      </c>
      <c r="E10" s="233" t="str">
        <f>IF(AND(C10&lt;&gt;0,INDEX(tblDoseringen,ber_IVmed!$B33,3)&lt;&gt;""),INDEX(tblDoseringen,ber_IVmed!$B33,3)&amp;" ml","")</f>
        <v/>
      </c>
      <c r="F10" s="224">
        <f>INDEX(tblOplossing,ber_IVmed!D33,1)</f>
        <v>0</v>
      </c>
      <c r="G10" s="233" t="str">
        <f>IF(C10&lt;&gt;0,ber_IVmed!E33/10&amp;" ml/uur","")</f>
        <v/>
      </c>
      <c r="H10" s="231" t="str">
        <f>IF(C10&lt;&gt;0,AC10&amp;" "&amp;INDEX(tblDoseringen,ber_IVmed!$B33,7),"")</f>
        <v/>
      </c>
      <c r="I10" s="234" t="str">
        <f>IF(C10&lt;&gt;0,24*ber_IVmed!E33/10&amp;" ml","")</f>
        <v/>
      </c>
      <c r="J10" s="256">
        <f>INDEX(tblDoseringen,ber_IVmed!$B33,8)</f>
        <v>0</v>
      </c>
      <c r="K10" s="234"/>
      <c r="L10" s="234"/>
      <c r="M10" s="81"/>
      <c r="N10" s="81"/>
      <c r="O10" s="81"/>
      <c r="P10" s="81"/>
      <c r="Q10" s="81"/>
      <c r="R10" s="81"/>
      <c r="S10" s="81"/>
      <c r="T10" s="81"/>
      <c r="U10" s="81"/>
      <c r="V10" s="81"/>
      <c r="W10" s="81"/>
      <c r="X10" s="81"/>
      <c r="Z10" s="22"/>
      <c r="AA10" s="20" t="b">
        <f>IF(C10&lt;&gt;0,INDEX(tblDoseringen,ber_IVmed!$B33,6)*(ber_IVmed!E33/10))</f>
        <v>0</v>
      </c>
      <c r="AB10" s="20">
        <f t="shared" si="0"/>
        <v>0</v>
      </c>
      <c r="AC10" s="20">
        <f t="shared" si="1"/>
        <v>0</v>
      </c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</row>
    <row r="11" spans="1:81" ht="20.100000000000001" customHeight="1" x14ac:dyDescent="0.4">
      <c r="A11" s="200"/>
      <c r="B11" s="222">
        <v>4</v>
      </c>
      <c r="C11" s="229">
        <f>INDEX(tblDoseringen,ber_IVmed!$B34,1)</f>
        <v>0</v>
      </c>
      <c r="D11" s="243" t="str">
        <f>INDEX(tblDoseringen,ber_IVmed!$B34,2)&amp;" "&amp;INDEX(tblDoseringen,ber_IVmed!$B34,9)</f>
        <v xml:space="preserve"> </v>
      </c>
      <c r="E11" s="233" t="str">
        <f>IF(AND(C11&lt;&gt;0,INDEX(tblDoseringen,ber_IVmed!$B34,3)&lt;&gt;""),INDEX(tblDoseringen,ber_IVmed!$B34,3)&amp;" ml","")</f>
        <v/>
      </c>
      <c r="F11" s="224">
        <f>INDEX(tblOplossing,ber_IVmed!D34,1)</f>
        <v>0</v>
      </c>
      <c r="G11" s="233" t="str">
        <f>IF(C11&lt;&gt;0,ber_IVmed!E34/10&amp;" ml/uur","")</f>
        <v/>
      </c>
      <c r="H11" s="231" t="str">
        <f>IF(C11&lt;&gt;0,AC11&amp;" "&amp;INDEX(tblDoseringen,ber_IVmed!$B34,7),"")</f>
        <v/>
      </c>
      <c r="I11" s="234" t="str">
        <f>IF(C11&lt;&gt;0,24*ber_IVmed!E34/10&amp;" ml","")</f>
        <v/>
      </c>
      <c r="J11" s="256">
        <f>INDEX(tblDoseringen,ber_IVmed!$B34,8)</f>
        <v>0</v>
      </c>
      <c r="K11" s="234"/>
      <c r="L11" s="234"/>
      <c r="M11" s="81"/>
      <c r="N11" s="81"/>
      <c r="O11" s="81"/>
      <c r="P11" s="81"/>
      <c r="Q11" s="81"/>
      <c r="R11" s="81"/>
      <c r="S11" s="81"/>
      <c r="T11" s="81"/>
      <c r="U11" s="81"/>
      <c r="V11" s="81"/>
      <c r="W11" s="81"/>
      <c r="X11" s="81"/>
      <c r="Z11" s="22"/>
      <c r="AA11" s="20" t="b">
        <f>IF(C11&lt;&gt;0,INDEX(tblDoseringen,ber_IVmed!$B34,6)*(ber_IVmed!E34/10))</f>
        <v>0</v>
      </c>
      <c r="AB11" s="20">
        <f t="shared" si="0"/>
        <v>0</v>
      </c>
      <c r="AC11" s="20">
        <f t="shared" si="1"/>
        <v>0</v>
      </c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</row>
    <row r="12" spans="1:81" ht="20.100000000000001" customHeight="1" x14ac:dyDescent="0.4">
      <c r="A12" s="200"/>
      <c r="B12" s="222">
        <v>5</v>
      </c>
      <c r="C12" s="229">
        <f>INDEX(tblDoseringen,ber_IVmed!$B35,1)</f>
        <v>0</v>
      </c>
      <c r="D12" s="243" t="str">
        <f>INDEX(tblDoseringen,ber_IVmed!$B35,2)&amp;" "&amp;INDEX(tblDoseringen,ber_IVmed!$B35,9)</f>
        <v xml:space="preserve"> </v>
      </c>
      <c r="E12" s="233" t="str">
        <f>IF(AND(C12&lt;&gt;0,INDEX(tblDoseringen,ber_IVmed!$B35,3)&lt;&gt;""),INDEX(tblDoseringen,ber_IVmed!$B35,3)&amp;" ml","")</f>
        <v/>
      </c>
      <c r="F12" s="224">
        <f>INDEX(tblOplossing,ber_IVmed!D35,1)</f>
        <v>0</v>
      </c>
      <c r="G12" s="233" t="str">
        <f>IF(C12&lt;&gt;0,ber_IVmed!E35/10&amp;" ml/uur","")</f>
        <v/>
      </c>
      <c r="H12" s="231" t="str">
        <f>IF(C12&lt;&gt;0,AC12&amp;" "&amp;INDEX(tblDoseringen,ber_IVmed!$B35,7),"")</f>
        <v/>
      </c>
      <c r="I12" s="234" t="str">
        <f>IF(C12&lt;&gt;0,24*ber_IVmed!E35/10&amp;" ml","")</f>
        <v/>
      </c>
      <c r="J12" s="256">
        <f>INDEX(tblDoseringen,ber_IVmed!$B35,8)</f>
        <v>0</v>
      </c>
      <c r="K12" s="234"/>
      <c r="L12" s="234"/>
      <c r="M12" s="81"/>
      <c r="N12" s="81"/>
      <c r="O12" s="81"/>
      <c r="P12" s="81"/>
      <c r="Q12" s="81"/>
      <c r="R12" s="81"/>
      <c r="S12" s="81"/>
      <c r="T12" s="81"/>
      <c r="U12" s="81"/>
      <c r="V12" s="81"/>
      <c r="W12" s="81"/>
      <c r="X12" s="81"/>
      <c r="Z12" s="22"/>
      <c r="AA12" s="20" t="b">
        <f>IF(C12&lt;&gt;0,INDEX(tblDoseringen,ber_IVmed!$B35,6)*(ber_IVmed!E35/10))</f>
        <v>0</v>
      </c>
      <c r="AB12" s="20">
        <f t="shared" si="0"/>
        <v>0</v>
      </c>
      <c r="AC12" s="20">
        <f t="shared" si="1"/>
        <v>0</v>
      </c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</row>
    <row r="13" spans="1:81" ht="20.100000000000001" customHeight="1" x14ac:dyDescent="0.4">
      <c r="A13" s="200"/>
      <c r="B13" s="222">
        <v>6</v>
      </c>
      <c r="C13" s="229">
        <f>INDEX(tblDoseringen,ber_IVmed!$B36,1)</f>
        <v>0</v>
      </c>
      <c r="D13" s="243" t="str">
        <f>INDEX(tblDoseringen,ber_IVmed!$B36,2)&amp;" "&amp;INDEX(tblDoseringen,ber_IVmed!$B36,9)</f>
        <v xml:space="preserve"> </v>
      </c>
      <c r="E13" s="233" t="str">
        <f>IF(AND(C13&lt;&gt;0,INDEX(tblDoseringen,ber_IVmed!$B36,3)&lt;&gt;""),INDEX(tblDoseringen,ber_IVmed!$B36,3)&amp;" ml","")</f>
        <v/>
      </c>
      <c r="F13" s="224">
        <f>INDEX(tblOplossing,ber_IVmed!D36,1)</f>
        <v>0</v>
      </c>
      <c r="G13" s="233" t="str">
        <f>IF(C13&lt;&gt;0,ber_IVmed!E36/10&amp;" ml/uur","")</f>
        <v/>
      </c>
      <c r="H13" s="231" t="str">
        <f>IF(C13&lt;&gt;0,AC13&amp;" "&amp;INDEX(tblDoseringen,ber_IVmed!$B36,7),"")</f>
        <v/>
      </c>
      <c r="I13" s="234" t="str">
        <f>IF(C13&lt;&gt;0,24*ber_IVmed!E36/10&amp;" ml","")</f>
        <v/>
      </c>
      <c r="J13" s="256">
        <f>INDEX(tblDoseringen,ber_IVmed!$B36,8)</f>
        <v>0</v>
      </c>
      <c r="K13" s="234"/>
      <c r="L13" s="234"/>
      <c r="M13" s="81"/>
      <c r="N13" s="81"/>
      <c r="O13" s="81"/>
      <c r="P13" s="81"/>
      <c r="Q13" s="81"/>
      <c r="R13" s="81"/>
      <c r="S13" s="81"/>
      <c r="T13" s="81"/>
      <c r="U13" s="81"/>
      <c r="V13" s="81"/>
      <c r="W13" s="81"/>
      <c r="X13" s="81"/>
      <c r="Z13" s="22"/>
      <c r="AA13" s="20" t="b">
        <f>IF(C13&lt;&gt;0,INDEX(tblDoseringen,ber_IVmed!$B36,6)*(ber_IVmed!E36/10))</f>
        <v>0</v>
      </c>
      <c r="AB13" s="20">
        <f t="shared" si="0"/>
        <v>0</v>
      </c>
      <c r="AC13" s="20">
        <f t="shared" si="1"/>
        <v>0</v>
      </c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</row>
    <row r="14" spans="1:81" ht="20.100000000000001" customHeight="1" x14ac:dyDescent="0.4">
      <c r="A14" s="200"/>
      <c r="B14" s="222">
        <v>7</v>
      </c>
      <c r="C14" s="229">
        <f>INDEX(tblDoseringen,ber_IVmed!$B37,1)</f>
        <v>0</v>
      </c>
      <c r="D14" s="243" t="str">
        <f>INDEX(tblDoseringen,ber_IVmed!$B37,2)&amp;" "&amp;INDEX(tblDoseringen,ber_IVmed!$B37,9)</f>
        <v xml:space="preserve"> </v>
      </c>
      <c r="E14" s="233" t="str">
        <f>IF(AND(C14&lt;&gt;0,INDEX(tblDoseringen,ber_IVmed!$B37,3)&lt;&gt;""),INDEX(tblDoseringen,ber_IVmed!$B37,3)&amp;" ml","")</f>
        <v/>
      </c>
      <c r="F14" s="224">
        <f>INDEX(tblOplossing,ber_IVmed!D37,1)</f>
        <v>0</v>
      </c>
      <c r="G14" s="233" t="str">
        <f>IF(C14&lt;&gt;0,ber_IVmed!E37/10&amp;" ml/uur","")</f>
        <v/>
      </c>
      <c r="H14" s="231" t="str">
        <f>IF(C14&lt;&gt;0,AC14&amp;" "&amp;INDEX(tblDoseringen,ber_IVmed!$B37,7),"")</f>
        <v/>
      </c>
      <c r="I14" s="234" t="str">
        <f>IF(C14&lt;&gt;0,24*ber_IVmed!E37/10&amp;" ml","")</f>
        <v/>
      </c>
      <c r="J14" s="256">
        <f>INDEX(tblDoseringen,ber_IVmed!$B37,8)</f>
        <v>0</v>
      </c>
      <c r="K14" s="234"/>
      <c r="L14" s="234"/>
      <c r="M14" s="81"/>
      <c r="N14" s="81"/>
      <c r="O14" s="81"/>
      <c r="P14" s="81"/>
      <c r="Q14" s="81"/>
      <c r="R14" s="81"/>
      <c r="S14" s="81"/>
      <c r="T14" s="81"/>
      <c r="U14" s="81"/>
      <c r="V14" s="81"/>
      <c r="W14" s="81"/>
      <c r="X14" s="81"/>
      <c r="Z14" s="22"/>
      <c r="AA14" s="20" t="b">
        <f>IF(C14&lt;&gt;0,INDEX(tblDoseringen,ber_IVmed!$B37,6)*(ber_IVmed!E37/10))</f>
        <v>0</v>
      </c>
      <c r="AB14" s="20">
        <f t="shared" si="0"/>
        <v>0</v>
      </c>
      <c r="AC14" s="20">
        <f t="shared" si="1"/>
        <v>0</v>
      </c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</row>
    <row r="15" spans="1:81" ht="20.100000000000001" customHeight="1" x14ac:dyDescent="0.4">
      <c r="A15" s="200"/>
      <c r="B15" s="222">
        <v>8</v>
      </c>
      <c r="C15" s="229">
        <f>INDEX(tblDoseringen,ber_IVmed!$B38,1)</f>
        <v>0</v>
      </c>
      <c r="D15" s="243" t="str">
        <f>INDEX(tblDoseringen,ber_IVmed!$B38,2)&amp;" "&amp;INDEX(tblDoseringen,ber_IVmed!$B38,9)</f>
        <v xml:space="preserve"> </v>
      </c>
      <c r="E15" s="233" t="str">
        <f>IF(AND(C15&lt;&gt;0,INDEX(tblDoseringen,ber_IVmed!$B38,3)&lt;&gt;""),INDEX(tblDoseringen,ber_IVmed!$B38,3)&amp;" ml","")</f>
        <v/>
      </c>
      <c r="F15" s="224">
        <f>INDEX(tblOplossing,ber_IVmed!D38,1)</f>
        <v>0</v>
      </c>
      <c r="G15" s="233" t="str">
        <f>IF(C15&lt;&gt;0,ber_IVmed!E38/10&amp;" ml/uur","")</f>
        <v/>
      </c>
      <c r="H15" s="231" t="str">
        <f>IF(C15&lt;&gt;0,AC15&amp;" "&amp;INDEX(tblDoseringen,ber_IVmed!$B38,7),"")</f>
        <v/>
      </c>
      <c r="I15" s="234" t="str">
        <f>IF(C15&lt;&gt;0,24*ber_IVmed!E38/10&amp;" ml","")</f>
        <v/>
      </c>
      <c r="J15" s="256">
        <f>INDEX(tblDoseringen,ber_IVmed!$B38,8)</f>
        <v>0</v>
      </c>
      <c r="K15" s="234"/>
      <c r="L15" s="234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Z15" s="22"/>
      <c r="AA15" s="20" t="b">
        <f>IF(C15&lt;&gt;0,INDEX(tblDoseringen,ber_IVmed!$B38,6)*(ber_IVmed!E38/10))</f>
        <v>0</v>
      </c>
      <c r="AB15" s="20">
        <f t="shared" si="0"/>
        <v>0</v>
      </c>
      <c r="AC15" s="20">
        <f t="shared" si="1"/>
        <v>0</v>
      </c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</row>
    <row r="16" spans="1:81" ht="20.100000000000001" customHeight="1" x14ac:dyDescent="0.4">
      <c r="A16" s="200"/>
      <c r="B16" s="222">
        <v>9</v>
      </c>
      <c r="C16" s="229">
        <f>INDEX(tblDoseringen,ber_IVmed!$B39,1)</f>
        <v>0</v>
      </c>
      <c r="D16" s="243" t="str">
        <f>INDEX(tblDoseringen,ber_IVmed!$B39,2)&amp;" "&amp;INDEX(tblDoseringen,ber_IVmed!$B39,9)</f>
        <v xml:space="preserve"> </v>
      </c>
      <c r="E16" s="233" t="str">
        <f>IF(AND(C16&lt;&gt;0,INDEX(tblDoseringen,ber_IVmed!$B39,3)&lt;&gt;""),INDEX(tblDoseringen,ber_IVmed!$B39,3)&amp;" ml","")</f>
        <v/>
      </c>
      <c r="F16" s="224">
        <f>INDEX(tblOplossing,ber_IVmed!D39,1)</f>
        <v>0</v>
      </c>
      <c r="G16" s="233" t="str">
        <f>IF(C16&lt;&gt;0,ber_IVmed!E39/10&amp;" ml/uur","")</f>
        <v/>
      </c>
      <c r="H16" s="231" t="str">
        <f>IF(C16&lt;&gt;0,AC16&amp;" "&amp;INDEX(tblDoseringen,ber_IVmed!$B39,7),"")</f>
        <v/>
      </c>
      <c r="I16" s="234" t="str">
        <f>IF(C16&lt;&gt;0,24*ber_IVmed!E39/10&amp;" ml","")</f>
        <v/>
      </c>
      <c r="J16" s="256">
        <f>INDEX(tblDoseringen,ber_IVmed!$B39,8)</f>
        <v>0</v>
      </c>
      <c r="K16" s="234"/>
      <c r="L16" s="234"/>
      <c r="M16" s="81"/>
      <c r="N16" s="81"/>
      <c r="O16" s="81"/>
      <c r="P16" s="81"/>
      <c r="Q16" s="81"/>
      <c r="R16" s="81"/>
      <c r="S16" s="81"/>
      <c r="T16" s="81"/>
      <c r="U16" s="81"/>
      <c r="V16" s="81"/>
      <c r="W16" s="81"/>
      <c r="X16" s="81"/>
      <c r="Z16" s="22"/>
      <c r="AA16" s="20" t="b">
        <f>IF(C16&lt;&gt;0,INDEX(tblDoseringen,ber_IVmed!$B39,6)*(ber_IVmed!E39/10))</f>
        <v>0</v>
      </c>
      <c r="AB16" s="20">
        <f t="shared" si="0"/>
        <v>0</v>
      </c>
      <c r="AC16" s="20">
        <f t="shared" si="1"/>
        <v>0</v>
      </c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</row>
    <row r="17" spans="1:81" ht="20.100000000000001" customHeight="1" x14ac:dyDescent="0.4">
      <c r="A17" s="200"/>
      <c r="B17" s="222">
        <v>10</v>
      </c>
      <c r="C17" s="229">
        <f>INDEX(tblDoseringen,ber_IVmed!$B40,1)</f>
        <v>0</v>
      </c>
      <c r="D17" s="243" t="str">
        <f>INDEX(tblDoseringen,ber_IVmed!$B40,2)&amp;" "&amp;INDEX(tblDoseringen,ber_IVmed!$B40,9)</f>
        <v xml:space="preserve"> </v>
      </c>
      <c r="E17" s="233" t="str">
        <f>IF(AND(C17&lt;&gt;0,INDEX(tblDoseringen,ber_IVmed!$B40,3)&lt;&gt;""),INDEX(tblDoseringen,ber_IVmed!$B40,3)&amp;" ml","")</f>
        <v/>
      </c>
      <c r="F17" s="224">
        <f>INDEX(tblOplossing,ber_IVmed!D40,1)</f>
        <v>0</v>
      </c>
      <c r="G17" s="233" t="str">
        <f>IF(C17&lt;&gt;0,ber_IVmed!E40/10&amp;" ml/uur","")</f>
        <v/>
      </c>
      <c r="H17" s="231" t="str">
        <f>IF(C17&lt;&gt;0,AC17&amp;" "&amp;INDEX(tblDoseringen,ber_IVmed!$B40,7),"")</f>
        <v/>
      </c>
      <c r="I17" s="234" t="str">
        <f>IF(C17&lt;&gt;0,24*ber_IVmed!E40/10&amp;" ml","")</f>
        <v/>
      </c>
      <c r="J17" s="256">
        <f>INDEX(tblDoseringen,ber_IVmed!$B40,8)</f>
        <v>0</v>
      </c>
      <c r="K17" s="234"/>
      <c r="L17" s="234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Z17" s="22"/>
      <c r="AA17" s="20" t="b">
        <f>IF(C17&lt;&gt;0,INDEX(tblDoseringen,ber_IVmed!$B40,6)*(ber_IVmed!E40/10))</f>
        <v>0</v>
      </c>
      <c r="AB17" s="20">
        <f t="shared" si="0"/>
        <v>0</v>
      </c>
      <c r="AC17" s="20">
        <f t="shared" si="1"/>
        <v>0</v>
      </c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</row>
    <row r="18" spans="1:81" ht="20.100000000000001" customHeight="1" x14ac:dyDescent="0.4">
      <c r="A18" s="200"/>
      <c r="B18" s="222"/>
      <c r="C18" s="229"/>
      <c r="D18" s="229"/>
      <c r="E18" s="82"/>
      <c r="F18" s="82"/>
      <c r="G18" s="82"/>
      <c r="H18" s="82"/>
      <c r="I18" s="81"/>
      <c r="J18" s="257" t="str">
        <f>IF(C18&lt;&gt;0,HLOOKUP(C18,Instellen!B15:G28,6),"")</f>
        <v/>
      </c>
      <c r="K18" s="81"/>
      <c r="L18" s="81"/>
      <c r="M18" s="81"/>
      <c r="N18" s="81"/>
      <c r="O18" s="81"/>
      <c r="P18" s="81"/>
      <c r="Q18" s="81"/>
      <c r="R18" s="81"/>
      <c r="S18" s="81"/>
      <c r="T18" s="81"/>
      <c r="U18" s="81"/>
      <c r="V18" s="81"/>
      <c r="W18" s="81"/>
      <c r="X18" s="81"/>
      <c r="Z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</row>
    <row r="19" spans="1:81" ht="20.100000000000001" customHeight="1" x14ac:dyDescent="0.4">
      <c r="A19" s="200"/>
      <c r="B19" s="222">
        <v>11</v>
      </c>
      <c r="C19" s="235">
        <f>ber_IVmed!B41</f>
        <v>0</v>
      </c>
      <c r="D19" s="236">
        <f>MedIVSterkte_11</f>
        <v>0</v>
      </c>
      <c r="E19" s="237" t="str">
        <f>IF(C19&lt;&gt;0,ber_IVmed!C41&amp;" ml","")</f>
        <v/>
      </c>
      <c r="F19" s="333">
        <f>INDEX(tblOplossing,ber_IVmed!D41,1)</f>
        <v>0</v>
      </c>
      <c r="G19" s="237">
        <f>IF(C19&lt;&gt;"",IF(ber_IVmed!E41&lt;&gt;0,ber_IVmed!E41/10&amp;" ml/uur",0),"")</f>
        <v>0</v>
      </c>
      <c r="H19" s="237"/>
      <c r="I19" s="238" t="str">
        <f>IF(ber_IVmed!F41&lt;&gt;0,ber_IVmed!F41&amp;" ml","")</f>
        <v/>
      </c>
      <c r="J19" s="255"/>
      <c r="K19" s="232"/>
      <c r="L19" s="232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81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</row>
    <row r="20" spans="1:81" ht="20.100000000000001" customHeight="1" x14ac:dyDescent="0.4">
      <c r="A20" s="200"/>
      <c r="B20" s="222">
        <v>12</v>
      </c>
      <c r="C20" s="239">
        <f>ber_IVmed!B42</f>
        <v>0</v>
      </c>
      <c r="D20" s="239">
        <f>MedIVSterkte_12</f>
        <v>0</v>
      </c>
      <c r="E20" s="233" t="str">
        <f>IF(C20&lt;&gt;0,ber_IVmed!C42&amp;" ml","")</f>
        <v/>
      </c>
      <c r="F20" s="334">
        <f>INDEX(tblOplossing,ber_IVmed!D42,1)</f>
        <v>0</v>
      </c>
      <c r="G20" s="233">
        <f>IF(C20&lt;&gt;"",IF(ber_IVmed!E42&lt;&gt;0,ber_IVmed!E42/10&amp;" ml/uur",0),"")</f>
        <v>0</v>
      </c>
      <c r="H20" s="233"/>
      <c r="I20" s="234" t="str">
        <f>IF(ber_IVmed!F42&lt;&gt;0,ber_IVmed!F42&amp;" ml","")</f>
        <v/>
      </c>
      <c r="J20" s="256"/>
      <c r="K20" s="234"/>
      <c r="L20" s="234"/>
      <c r="M20" s="81"/>
      <c r="N20" s="81"/>
      <c r="O20" s="81"/>
      <c r="P20" s="81"/>
      <c r="Q20" s="81"/>
      <c r="R20" s="81"/>
      <c r="S20" s="81"/>
      <c r="T20" s="81"/>
      <c r="U20" s="81"/>
      <c r="V20" s="81"/>
      <c r="W20" s="81"/>
      <c r="X20" s="81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</row>
    <row r="21" spans="1:81" ht="20.100000000000001" customHeight="1" x14ac:dyDescent="0.4">
      <c r="A21" s="200"/>
      <c r="B21" s="222">
        <v>13</v>
      </c>
      <c r="C21" s="239">
        <f>ber_IVmed!B43</f>
        <v>0</v>
      </c>
      <c r="D21" s="239">
        <f>MedIVSterkte_13</f>
        <v>0</v>
      </c>
      <c r="E21" s="233" t="str">
        <f>IF(C21&lt;&gt;0,ber_IVmed!C43&amp;" ml","")</f>
        <v/>
      </c>
      <c r="F21" s="334">
        <f>INDEX(tblOplossing,ber_IVmed!D43,1)</f>
        <v>0</v>
      </c>
      <c r="G21" s="233">
        <f>IF(C21&lt;&gt;"",IF(ber_IVmed!E43&lt;&gt;0,ber_IVmed!E43/10&amp;" ml/uur",0),"")</f>
        <v>0</v>
      </c>
      <c r="H21" s="233"/>
      <c r="I21" s="234" t="str">
        <f>IF(ber_IVmed!F43&lt;&gt;0,ber_IVmed!F43&amp;" ml","")</f>
        <v/>
      </c>
      <c r="J21" s="256"/>
      <c r="K21" s="234"/>
      <c r="L21" s="234"/>
      <c r="M21" s="81"/>
      <c r="N21" s="81"/>
      <c r="O21" s="81"/>
      <c r="P21" s="81"/>
      <c r="Q21" s="81"/>
      <c r="R21" s="81"/>
      <c r="S21" s="81"/>
      <c r="T21" s="81"/>
      <c r="U21" s="81"/>
      <c r="V21" s="81"/>
      <c r="W21" s="81"/>
      <c r="X21" s="81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</row>
    <row r="22" spans="1:81" ht="20.100000000000001" customHeight="1" x14ac:dyDescent="0.4">
      <c r="A22" s="200"/>
      <c r="B22" s="222">
        <v>14</v>
      </c>
      <c r="C22" s="239">
        <f>ber_IVmed!B44</f>
        <v>0</v>
      </c>
      <c r="D22" s="239">
        <f>MedIVSterkte_14</f>
        <v>0</v>
      </c>
      <c r="E22" s="233" t="str">
        <f>IF(C22&lt;&gt;0,ber_IVmed!C44&amp;" ml","")</f>
        <v/>
      </c>
      <c r="F22" s="334">
        <f>INDEX(tblOplossing,ber_IVmed!D44,1)</f>
        <v>0</v>
      </c>
      <c r="G22" s="233">
        <f>IF(C22&lt;&gt;"",IF(ber_IVmed!E44&lt;&gt;0,ber_IVmed!E44/10&amp;" ml/uur",0),"")</f>
        <v>0</v>
      </c>
      <c r="H22" s="233"/>
      <c r="I22" s="234" t="str">
        <f>IF(ber_IVmed!F44&lt;&gt;0,ber_IVmed!F44&amp;" ml","")</f>
        <v/>
      </c>
      <c r="J22" s="256"/>
      <c r="K22" s="234"/>
      <c r="L22" s="234"/>
      <c r="M22" s="81"/>
      <c r="N22" s="81"/>
      <c r="O22" s="81"/>
      <c r="P22" s="81"/>
      <c r="Q22" s="81"/>
      <c r="R22" s="81"/>
      <c r="S22" s="81"/>
      <c r="T22" s="81"/>
      <c r="U22" s="81"/>
      <c r="V22" s="81"/>
      <c r="W22" s="81"/>
      <c r="X22" s="81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</row>
    <row r="23" spans="1:81" ht="20.100000000000001" customHeight="1" x14ac:dyDescent="0.4">
      <c r="A23" s="200"/>
      <c r="B23" s="222">
        <v>15</v>
      </c>
      <c r="C23" s="239">
        <f>ber_IVmed!B45</f>
        <v>0</v>
      </c>
      <c r="D23" s="239">
        <f>MedIVSterkte_15</f>
        <v>0</v>
      </c>
      <c r="E23" s="233" t="str">
        <f>IF(C23&lt;&gt;0,ber_IVmed!C45&amp;" ml","")</f>
        <v/>
      </c>
      <c r="F23" s="334">
        <f>INDEX(tblOplossing,ber_IVmed!D45,1)</f>
        <v>0</v>
      </c>
      <c r="G23" s="233">
        <f>IF(C23&lt;&gt;"",IF(ber_IVmed!E45&lt;&gt;0,ber_IVmed!E45/10&amp;" ml/uur",0),"")</f>
        <v>0</v>
      </c>
      <c r="H23" s="233"/>
      <c r="I23" s="234" t="str">
        <f>IF(ber_IVmed!F45&lt;&gt;0,ber_IVmed!F45&amp;" ml","")</f>
        <v/>
      </c>
      <c r="J23" s="256"/>
      <c r="K23" s="234"/>
      <c r="L23" s="234"/>
      <c r="M23" s="81"/>
      <c r="N23" s="81"/>
      <c r="O23" s="81"/>
      <c r="P23" s="81"/>
      <c r="Q23" s="81"/>
      <c r="R23" s="81"/>
      <c r="S23" s="81"/>
      <c r="T23" s="81"/>
      <c r="U23" s="81"/>
      <c r="V23" s="81"/>
      <c r="W23" s="81"/>
      <c r="X23" s="81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</row>
    <row r="24" spans="1:81" x14ac:dyDescent="0.35">
      <c r="A24" s="200"/>
      <c r="B24" s="200"/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0"/>
      <c r="N24" s="80"/>
      <c r="O24" s="80"/>
      <c r="P24" s="80"/>
      <c r="Q24" s="80"/>
      <c r="R24" s="80"/>
      <c r="S24" s="80"/>
      <c r="T24" s="80"/>
      <c r="U24" s="80"/>
      <c r="V24" s="80"/>
      <c r="W24" s="80"/>
      <c r="X24" s="80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</row>
    <row r="25" spans="1:81" ht="13.2" x14ac:dyDescent="0.4">
      <c r="A25" s="200"/>
      <c r="B25" s="200"/>
      <c r="C25" s="252" t="str">
        <f>Intake!B31</f>
        <v>Vocht</v>
      </c>
      <c r="D25" s="253" t="str">
        <f>Intake!D31</f>
        <v>0 ml/kg</v>
      </c>
      <c r="E25" s="252" t="str">
        <f ca="1">Intake!E31</f>
        <v>100 ml/kg</v>
      </c>
      <c r="F25" s="252"/>
      <c r="G25" s="252" t="str">
        <f>Intake!H31</f>
        <v>Eiwit</v>
      </c>
      <c r="H25" s="253" t="str">
        <f>Intake!I31</f>
        <v>0  gram/kg</v>
      </c>
      <c r="I25" s="252" t="str">
        <f>Intake!J31</f>
        <v>2-2,5 g/kg</v>
      </c>
      <c r="J25" s="252"/>
      <c r="K25" s="254"/>
      <c r="L25" s="254"/>
      <c r="M25" s="254"/>
      <c r="N25" s="254"/>
      <c r="O25" s="80"/>
      <c r="P25" s="80"/>
      <c r="Q25" s="80"/>
      <c r="R25" s="80"/>
      <c r="S25" s="80"/>
      <c r="T25" s="80"/>
      <c r="U25" s="80"/>
      <c r="V25" s="80"/>
      <c r="W25" s="80"/>
      <c r="X25" s="80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</row>
    <row r="26" spans="1:81" ht="13.2" x14ac:dyDescent="0.4">
      <c r="A26" s="200"/>
      <c r="B26" s="200"/>
      <c r="C26" s="252" t="str">
        <f>Intake!B32</f>
        <v>Calorieen</v>
      </c>
      <c r="D26" s="253" t="str">
        <f>Intake!D32</f>
        <v>0 kCal/kg</v>
      </c>
      <c r="E26" s="252" t="str">
        <f ca="1">Intake!E32</f>
        <v>90 kCal/kg</v>
      </c>
      <c r="F26" s="252"/>
      <c r="G26" s="252" t="str">
        <f>Intake!H32</f>
        <v>Vet</v>
      </c>
      <c r="H26" s="253" t="str">
        <f>Intake!I32</f>
        <v>0 gram/kg</v>
      </c>
      <c r="I26" s="252" t="str">
        <f>Intake!J32</f>
        <v>4 g/kg</v>
      </c>
      <c r="J26" s="252"/>
      <c r="K26" s="252"/>
      <c r="L26" s="252"/>
      <c r="M26" s="252"/>
      <c r="N26" s="252"/>
      <c r="O26" s="81"/>
      <c r="P26" s="81"/>
      <c r="Q26" s="81"/>
      <c r="R26" s="81"/>
      <c r="S26" s="81"/>
      <c r="T26" s="81"/>
      <c r="U26" s="81"/>
      <c r="V26" s="81"/>
      <c r="W26" s="81"/>
      <c r="X26" s="81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</row>
    <row r="27" spans="1:81" ht="13.2" x14ac:dyDescent="0.4">
      <c r="A27" s="200"/>
      <c r="B27" s="200"/>
      <c r="C27" s="252" t="str">
        <f>Intake!B33</f>
        <v>Glucose/KH</v>
      </c>
      <c r="D27" s="253" t="str">
        <f>Intake!D33</f>
        <v>0 g/kg</v>
      </c>
      <c r="E27" s="252" t="str">
        <f>Intake!E33</f>
        <v>3,6 g/kg</v>
      </c>
      <c r="F27" s="252"/>
      <c r="G27" s="252" t="str">
        <f>Intake!H33</f>
        <v>Calcium</v>
      </c>
      <c r="H27" s="253" t="str">
        <f>Intake!I33</f>
        <v>0 mmol/kg</v>
      </c>
      <c r="I27" s="252" t="str">
        <f>Intake!J33</f>
        <v>0,2-0,8 mmol/kg (3-10 kg:0,8; 10-20 kg:0,5; &gt; 20 kg:0,2 mmol/kg)</v>
      </c>
      <c r="J27" s="252"/>
      <c r="K27" s="252"/>
      <c r="L27" s="252"/>
      <c r="M27" s="252"/>
      <c r="N27" s="252"/>
      <c r="O27" s="81"/>
      <c r="P27" s="81"/>
      <c r="Q27" s="81"/>
      <c r="R27" s="81"/>
      <c r="S27" s="81"/>
      <c r="T27" s="81"/>
      <c r="U27" s="81"/>
      <c r="V27" s="81"/>
      <c r="W27" s="81"/>
      <c r="X27" s="81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</row>
    <row r="28" spans="1:81" ht="13.2" x14ac:dyDescent="0.4">
      <c r="A28" s="200"/>
      <c r="B28" s="200"/>
      <c r="C28" s="252" t="str">
        <f>Intake!B34</f>
        <v xml:space="preserve">Natrium </v>
      </c>
      <c r="D28" s="253" t="str">
        <f>Intake!D34</f>
        <v>0 mmol/kg</v>
      </c>
      <c r="E28" s="252" t="str">
        <f>Intake!E34</f>
        <v>2-4 mmol/kg</v>
      </c>
      <c r="F28" s="252"/>
      <c r="G28" s="252" t="str">
        <f>Intake!H34</f>
        <v>Magnesium</v>
      </c>
      <c r="H28" s="253" t="str">
        <f>Intake!I34</f>
        <v>0 mmol/kg</v>
      </c>
      <c r="I28" s="252" t="str">
        <f>Intake!J34</f>
        <v>0,1-0,3 mmol/kg</v>
      </c>
      <c r="J28" s="252"/>
      <c r="K28" s="252"/>
      <c r="L28" s="252"/>
      <c r="M28" s="252"/>
      <c r="N28" s="252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22"/>
      <c r="BZ28" s="22"/>
      <c r="CA28" s="22"/>
      <c r="CB28" s="22"/>
      <c r="CC28" s="22"/>
    </row>
    <row r="29" spans="1:81" ht="13.2" x14ac:dyDescent="0.4">
      <c r="A29" s="200"/>
      <c r="B29" s="200"/>
      <c r="C29" s="252" t="str">
        <f>Intake!B35</f>
        <v>Kalium</v>
      </c>
      <c r="D29" s="253" t="str">
        <f>Intake!D35</f>
        <v>0 mmol/kg</v>
      </c>
      <c r="E29" s="252" t="str">
        <f>Intake!E35</f>
        <v>1-2 mmol/kg</v>
      </c>
      <c r="F29" s="252"/>
      <c r="G29" s="252" t="str">
        <f>Intake!H35</f>
        <v>Fosfaat</v>
      </c>
      <c r="H29" s="253" t="str">
        <f>Intake!I35</f>
        <v>0 mmol/kg</v>
      </c>
      <c r="I29" s="252" t="str">
        <f>Intake!J35</f>
        <v>0,75 mmol/kg</v>
      </c>
      <c r="J29" s="252"/>
      <c r="K29" s="252"/>
      <c r="L29" s="252"/>
      <c r="M29" s="252"/>
      <c r="N29" s="252"/>
      <c r="O29" s="81"/>
      <c r="P29" s="81"/>
      <c r="Q29" s="81"/>
      <c r="R29" s="81"/>
      <c r="S29" s="81"/>
      <c r="T29" s="81"/>
      <c r="U29" s="81"/>
      <c r="V29" s="81"/>
      <c r="W29" s="81"/>
      <c r="X29" s="81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22"/>
      <c r="BZ29" s="22"/>
      <c r="CA29" s="22"/>
      <c r="CB29" s="22"/>
      <c r="CC29" s="22"/>
    </row>
    <row r="30" spans="1:81" x14ac:dyDescent="0.35">
      <c r="A30" s="200"/>
      <c r="B30" s="200"/>
      <c r="C30" s="80"/>
      <c r="D30" s="80"/>
      <c r="E30" s="80"/>
      <c r="F30" s="80"/>
      <c r="G30" s="80"/>
      <c r="H30" s="80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  <c r="X30" s="81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22"/>
      <c r="BZ30" s="22"/>
      <c r="CA30" s="22"/>
      <c r="CB30" s="22"/>
      <c r="CC30" s="22"/>
    </row>
    <row r="31" spans="1:81" x14ac:dyDescent="0.35">
      <c r="A31" s="200"/>
      <c r="B31" s="200"/>
      <c r="C31" s="251" t="s">
        <v>1377</v>
      </c>
      <c r="D31" s="390">
        <f>ber_Opm!C4</f>
        <v>0</v>
      </c>
      <c r="E31" s="391"/>
      <c r="F31" s="391"/>
      <c r="G31" s="391"/>
      <c r="H31" s="391"/>
      <c r="I31" s="391"/>
      <c r="J31" s="391"/>
      <c r="K31" s="23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22"/>
      <c r="BZ31" s="22"/>
      <c r="CA31" s="22"/>
      <c r="CB31" s="22"/>
      <c r="CC31" s="22"/>
    </row>
    <row r="32" spans="1:81" x14ac:dyDescent="0.35">
      <c r="A32" s="200"/>
      <c r="B32" s="200"/>
      <c r="C32" s="226"/>
      <c r="D32" s="391"/>
      <c r="E32" s="391"/>
      <c r="F32" s="391"/>
      <c r="G32" s="391"/>
      <c r="H32" s="391"/>
      <c r="I32" s="391"/>
      <c r="J32" s="391"/>
      <c r="K32" s="23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22"/>
      <c r="BZ32" s="22"/>
      <c r="CA32" s="22"/>
      <c r="CB32" s="22"/>
      <c r="CC32" s="22"/>
    </row>
    <row r="33" spans="1:81" x14ac:dyDescent="0.35">
      <c r="A33" s="200"/>
      <c r="B33" s="200"/>
      <c r="C33" s="226"/>
      <c r="D33" s="391"/>
      <c r="E33" s="391"/>
      <c r="F33" s="391"/>
      <c r="G33" s="391"/>
      <c r="H33" s="391"/>
      <c r="I33" s="391"/>
      <c r="J33" s="391"/>
      <c r="K33" s="23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22"/>
      <c r="BZ33" s="22"/>
      <c r="CA33" s="22"/>
      <c r="CB33" s="22"/>
      <c r="CC33" s="22"/>
    </row>
    <row r="34" spans="1:81" x14ac:dyDescent="0.35">
      <c r="A34" s="200"/>
      <c r="B34" s="200"/>
      <c r="C34" s="226"/>
      <c r="D34" s="391"/>
      <c r="E34" s="391"/>
      <c r="F34" s="391"/>
      <c r="G34" s="391"/>
      <c r="H34" s="391"/>
      <c r="I34" s="391"/>
      <c r="J34" s="391"/>
      <c r="K34" s="23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22"/>
      <c r="BZ34" s="22"/>
      <c r="CA34" s="22"/>
      <c r="CB34" s="22"/>
      <c r="CC34" s="22"/>
    </row>
    <row r="35" spans="1:81" x14ac:dyDescent="0.35">
      <c r="A35" s="222"/>
      <c r="B35" s="222"/>
      <c r="C35" s="226"/>
      <c r="D35" s="391"/>
      <c r="E35" s="391"/>
      <c r="F35" s="391"/>
      <c r="G35" s="391"/>
      <c r="H35" s="391"/>
      <c r="I35" s="391"/>
      <c r="J35" s="391"/>
      <c r="K35" s="109"/>
      <c r="L35" s="81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22"/>
      <c r="BZ35" s="22"/>
      <c r="CA35" s="22"/>
      <c r="CB35" s="22"/>
      <c r="CC35" s="22"/>
    </row>
    <row r="36" spans="1:81" x14ac:dyDescent="0.35">
      <c r="A36" s="200"/>
      <c r="B36" s="20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2"/>
      <c r="BU36" s="22"/>
      <c r="BV36" s="22"/>
      <c r="BW36" s="22"/>
      <c r="BX36" s="22"/>
      <c r="BY36" s="22"/>
      <c r="BZ36" s="22"/>
      <c r="CA36" s="22"/>
      <c r="CB36" s="22"/>
      <c r="CC36" s="22"/>
    </row>
    <row r="37" spans="1:81" x14ac:dyDescent="0.35">
      <c r="A37" s="200"/>
      <c r="B37" s="200"/>
      <c r="C37" s="80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2"/>
      <c r="BU37" s="22"/>
      <c r="BV37" s="22"/>
      <c r="BW37" s="22"/>
      <c r="BX37" s="22"/>
      <c r="BY37" s="22"/>
      <c r="BZ37" s="22"/>
      <c r="CA37" s="22"/>
      <c r="CB37" s="22"/>
      <c r="CC37" s="22"/>
    </row>
    <row r="38" spans="1:81" x14ac:dyDescent="0.35">
      <c r="A38" s="200"/>
      <c r="B38" s="200"/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2"/>
      <c r="BU38" s="22"/>
      <c r="BV38" s="22"/>
      <c r="BW38" s="22"/>
      <c r="BX38" s="22"/>
      <c r="BY38" s="22"/>
      <c r="BZ38" s="22"/>
      <c r="CA38" s="22"/>
      <c r="CB38" s="22"/>
      <c r="CC38" s="22"/>
    </row>
    <row r="39" spans="1:81" x14ac:dyDescent="0.35">
      <c r="A39" s="200"/>
      <c r="B39" s="200"/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</row>
    <row r="40" spans="1:81" x14ac:dyDescent="0.35">
      <c r="A40" s="200"/>
      <c r="B40" s="200"/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</row>
    <row r="41" spans="1:81" x14ac:dyDescent="0.35">
      <c r="A41" s="200"/>
      <c r="B41" s="200"/>
      <c r="C41" s="80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</row>
    <row r="42" spans="1:81" x14ac:dyDescent="0.35">
      <c r="A42" s="200"/>
      <c r="B42" s="200"/>
      <c r="C42" s="80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0"/>
      <c r="P42" s="80"/>
      <c r="Q42" s="80"/>
      <c r="R42" s="80"/>
      <c r="S42" s="80"/>
      <c r="T42" s="80"/>
      <c r="U42" s="80"/>
      <c r="V42" s="80"/>
      <c r="W42" s="80"/>
      <c r="X42" s="80"/>
    </row>
    <row r="43" spans="1:8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</row>
    <row r="44" spans="1:81" x14ac:dyDescent="0.35">
      <c r="A44" s="80"/>
      <c r="B44" s="80"/>
      <c r="C44" s="80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</row>
    <row r="45" spans="1:81" x14ac:dyDescent="0.35">
      <c r="A45" s="199"/>
      <c r="B45" s="199"/>
      <c r="C45" s="199"/>
      <c r="D45" s="199"/>
      <c r="E45" s="199"/>
      <c r="F45" s="199"/>
      <c r="G45" s="199"/>
      <c r="H45" s="199"/>
      <c r="I45" s="199"/>
      <c r="J45" s="199"/>
      <c r="K45" s="199"/>
      <c r="L45" s="199"/>
      <c r="M45" s="199"/>
      <c r="N45" s="199"/>
      <c r="O45" s="199"/>
      <c r="P45" s="199"/>
      <c r="Q45" s="199"/>
      <c r="R45" s="199"/>
      <c r="S45" s="199"/>
      <c r="T45" s="199"/>
      <c r="U45" s="199"/>
      <c r="V45" s="199"/>
      <c r="W45" s="199"/>
      <c r="X45" s="199"/>
    </row>
    <row r="46" spans="1:81" x14ac:dyDescent="0.35">
      <c r="A46" s="199"/>
      <c r="B46" s="199"/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9"/>
      <c r="O46" s="199"/>
      <c r="P46" s="199"/>
      <c r="Q46" s="199"/>
      <c r="R46" s="199"/>
      <c r="S46" s="199"/>
      <c r="T46" s="199"/>
      <c r="U46" s="199"/>
      <c r="V46" s="199"/>
      <c r="W46" s="199"/>
      <c r="X46" s="199"/>
    </row>
    <row r="47" spans="1:81" x14ac:dyDescent="0.35">
      <c r="A47" s="199"/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N47" s="199"/>
      <c r="O47" s="199"/>
      <c r="P47" s="199"/>
      <c r="Q47" s="199"/>
      <c r="R47" s="199"/>
      <c r="S47" s="199"/>
      <c r="T47" s="199"/>
      <c r="U47" s="199"/>
      <c r="V47" s="199"/>
      <c r="W47" s="199"/>
      <c r="X47" s="199"/>
    </row>
    <row r="48" spans="1:81" x14ac:dyDescent="0.35">
      <c r="A48" s="199"/>
      <c r="B48" s="199"/>
      <c r="C48" s="199"/>
      <c r="D48" s="199"/>
      <c r="E48" s="199"/>
      <c r="F48" s="199"/>
      <c r="G48" s="199"/>
      <c r="H48" s="199"/>
      <c r="I48" s="199"/>
      <c r="J48" s="199"/>
      <c r="K48" s="199"/>
      <c r="L48" s="199"/>
      <c r="M48" s="199"/>
      <c r="N48" s="199"/>
      <c r="O48" s="199"/>
      <c r="P48" s="199"/>
      <c r="Q48" s="199"/>
      <c r="R48" s="199"/>
      <c r="S48" s="199"/>
      <c r="T48" s="199"/>
      <c r="U48" s="199"/>
      <c r="V48" s="199"/>
      <c r="W48" s="199"/>
      <c r="X48" s="199"/>
    </row>
    <row r="49" spans="1:24" x14ac:dyDescent="0.35">
      <c r="A49" s="199"/>
      <c r="B49" s="199"/>
      <c r="C49" s="199"/>
      <c r="D49" s="199"/>
      <c r="E49" s="199"/>
      <c r="F49" s="199"/>
      <c r="G49" s="199"/>
      <c r="H49" s="199"/>
      <c r="I49" s="199"/>
      <c r="J49" s="199"/>
      <c r="K49" s="199"/>
      <c r="L49" s="199"/>
      <c r="M49" s="199"/>
      <c r="N49" s="199"/>
      <c r="O49" s="199"/>
      <c r="P49" s="199"/>
      <c r="Q49" s="199"/>
      <c r="R49" s="199"/>
      <c r="S49" s="199"/>
      <c r="T49" s="199"/>
      <c r="U49" s="199"/>
      <c r="V49" s="199"/>
      <c r="W49" s="199"/>
      <c r="X49" s="199"/>
    </row>
    <row r="50" spans="1:24" x14ac:dyDescent="0.35">
      <c r="A50" s="199"/>
      <c r="B50" s="199"/>
      <c r="C50" s="199"/>
      <c r="D50" s="199"/>
      <c r="E50" s="199"/>
      <c r="F50" s="199"/>
      <c r="G50" s="199"/>
      <c r="H50" s="199"/>
      <c r="I50" s="199"/>
      <c r="J50" s="199"/>
      <c r="K50" s="199"/>
      <c r="L50" s="199"/>
      <c r="M50" s="199"/>
      <c r="N50" s="199"/>
      <c r="O50" s="199"/>
      <c r="P50" s="199"/>
      <c r="Q50" s="199"/>
      <c r="R50" s="199"/>
      <c r="S50" s="199"/>
      <c r="T50" s="199"/>
      <c r="U50" s="199"/>
      <c r="V50" s="199"/>
      <c r="W50" s="199"/>
      <c r="X50" s="199"/>
    </row>
    <row r="51" spans="1:24" x14ac:dyDescent="0.35">
      <c r="A51" s="199"/>
      <c r="B51" s="199"/>
      <c r="C51" s="199"/>
      <c r="D51" s="199"/>
      <c r="E51" s="199"/>
      <c r="F51" s="199"/>
      <c r="G51" s="199"/>
      <c r="H51" s="199"/>
      <c r="I51" s="199"/>
      <c r="J51" s="199"/>
      <c r="K51" s="199"/>
      <c r="L51" s="199"/>
      <c r="M51" s="199"/>
      <c r="N51" s="199"/>
      <c r="O51" s="199"/>
      <c r="P51" s="199"/>
      <c r="Q51" s="199"/>
      <c r="R51" s="199"/>
      <c r="S51" s="199"/>
      <c r="T51" s="199"/>
      <c r="U51" s="199"/>
      <c r="V51" s="199"/>
      <c r="W51" s="199"/>
      <c r="X51" s="199"/>
    </row>
    <row r="52" spans="1:24" x14ac:dyDescent="0.35">
      <c r="A52" s="199"/>
      <c r="B52" s="199"/>
      <c r="C52" s="199"/>
      <c r="D52" s="199"/>
      <c r="E52" s="199"/>
      <c r="F52" s="199"/>
      <c r="G52" s="199"/>
      <c r="H52" s="199"/>
      <c r="I52" s="199"/>
      <c r="J52" s="199"/>
      <c r="K52" s="199"/>
      <c r="L52" s="199"/>
      <c r="M52" s="199"/>
      <c r="N52" s="199"/>
      <c r="O52" s="199"/>
      <c r="P52" s="199"/>
      <c r="Q52" s="199"/>
      <c r="R52" s="199"/>
    </row>
    <row r="53" spans="1:24" x14ac:dyDescent="0.35">
      <c r="A53" s="199"/>
      <c r="B53" s="199"/>
      <c r="C53" s="199"/>
      <c r="D53" s="199"/>
      <c r="E53" s="199"/>
      <c r="F53" s="199"/>
      <c r="G53" s="199"/>
      <c r="H53" s="199"/>
      <c r="I53" s="199"/>
      <c r="J53" s="199"/>
      <c r="K53" s="199"/>
      <c r="L53" s="199"/>
      <c r="M53" s="199"/>
      <c r="N53" s="199"/>
      <c r="O53" s="199"/>
      <c r="P53" s="199"/>
      <c r="Q53" s="199"/>
      <c r="R53" s="199"/>
    </row>
    <row r="54" spans="1:24" x14ac:dyDescent="0.35">
      <c r="A54" s="199"/>
      <c r="B54" s="199"/>
      <c r="C54" s="199"/>
      <c r="D54" s="199"/>
      <c r="E54" s="199"/>
      <c r="F54" s="199"/>
      <c r="G54" s="199"/>
      <c r="H54" s="199"/>
      <c r="I54" s="199"/>
      <c r="J54" s="199"/>
      <c r="K54" s="199"/>
      <c r="L54" s="199"/>
      <c r="M54" s="199"/>
      <c r="N54" s="199"/>
      <c r="O54" s="199"/>
      <c r="P54" s="199"/>
      <c r="Q54" s="199"/>
      <c r="R54" s="199"/>
    </row>
    <row r="55" spans="1:24" x14ac:dyDescent="0.35">
      <c r="A55" s="199"/>
      <c r="B55" s="199"/>
      <c r="C55" s="199"/>
      <c r="D55" s="199"/>
      <c r="E55" s="199"/>
      <c r="F55" s="199"/>
      <c r="G55" s="199"/>
      <c r="H55" s="199"/>
      <c r="I55" s="199"/>
      <c r="J55" s="199"/>
      <c r="K55" s="199"/>
      <c r="L55" s="199"/>
      <c r="M55" s="199"/>
      <c r="N55" s="199"/>
      <c r="O55" s="199"/>
      <c r="P55" s="199"/>
      <c r="Q55" s="199"/>
      <c r="R55" s="199"/>
    </row>
    <row r="56" spans="1:24" x14ac:dyDescent="0.35">
      <c r="A56" s="199"/>
      <c r="B56" s="199"/>
      <c r="C56" s="199"/>
      <c r="D56" s="199"/>
      <c r="E56" s="199"/>
      <c r="F56" s="199"/>
      <c r="G56" s="199"/>
      <c r="H56" s="199"/>
      <c r="I56" s="199"/>
      <c r="J56" s="199"/>
      <c r="K56" s="199"/>
      <c r="L56" s="199"/>
      <c r="M56" s="199"/>
      <c r="N56" s="199"/>
      <c r="O56" s="199"/>
      <c r="P56" s="199"/>
      <c r="Q56" s="199"/>
      <c r="R56" s="199"/>
    </row>
    <row r="57" spans="1:24" x14ac:dyDescent="0.35">
      <c r="A57" s="199"/>
      <c r="B57" s="199"/>
      <c r="C57" s="199"/>
      <c r="D57" s="199"/>
      <c r="E57" s="199"/>
      <c r="F57" s="199"/>
      <c r="G57" s="199"/>
      <c r="H57" s="199"/>
      <c r="I57" s="199"/>
      <c r="J57" s="199"/>
      <c r="K57" s="199"/>
      <c r="L57" s="199"/>
      <c r="M57" s="199"/>
      <c r="N57" s="199"/>
      <c r="O57" s="199"/>
      <c r="P57" s="199"/>
      <c r="Q57" s="199"/>
      <c r="R57" s="199"/>
    </row>
    <row r="58" spans="1:24" x14ac:dyDescent="0.35">
      <c r="A58" s="199"/>
      <c r="B58" s="199"/>
      <c r="C58" s="199"/>
      <c r="D58" s="199"/>
      <c r="E58" s="199"/>
      <c r="F58" s="199"/>
      <c r="G58" s="199"/>
      <c r="H58" s="199"/>
      <c r="I58" s="199"/>
      <c r="J58" s="199"/>
      <c r="K58" s="199"/>
      <c r="L58" s="199"/>
      <c r="M58" s="199"/>
      <c r="N58" s="199"/>
      <c r="O58" s="199"/>
      <c r="P58" s="199"/>
      <c r="Q58" s="199"/>
      <c r="R58" s="199"/>
    </row>
    <row r="59" spans="1:24" x14ac:dyDescent="0.35">
      <c r="A59" s="199"/>
      <c r="B59" s="199"/>
      <c r="C59" s="199"/>
      <c r="D59" s="199"/>
      <c r="E59" s="199"/>
      <c r="F59" s="199"/>
      <c r="G59" s="199"/>
      <c r="H59" s="199"/>
      <c r="I59" s="199"/>
      <c r="J59" s="199"/>
      <c r="K59" s="199"/>
      <c r="L59" s="199"/>
      <c r="M59" s="199"/>
      <c r="N59" s="199"/>
      <c r="O59" s="199"/>
      <c r="P59" s="199"/>
      <c r="Q59" s="199"/>
      <c r="R59" s="199"/>
    </row>
    <row r="60" spans="1:24" x14ac:dyDescent="0.35">
      <c r="A60" s="199"/>
      <c r="B60" s="199"/>
      <c r="C60" s="199"/>
      <c r="D60" s="199"/>
      <c r="E60" s="199"/>
      <c r="F60" s="199"/>
      <c r="G60" s="199"/>
      <c r="H60" s="199"/>
      <c r="I60" s="199"/>
      <c r="J60" s="199"/>
      <c r="K60" s="199"/>
      <c r="L60" s="199"/>
      <c r="M60" s="199"/>
      <c r="N60" s="199"/>
      <c r="O60" s="199"/>
      <c r="P60" s="199"/>
      <c r="Q60" s="199"/>
      <c r="R60" s="199"/>
    </row>
    <row r="61" spans="1:24" x14ac:dyDescent="0.35">
      <c r="A61" s="199"/>
      <c r="B61" s="199"/>
      <c r="C61" s="199"/>
      <c r="D61" s="199"/>
      <c r="E61" s="199"/>
      <c r="F61" s="199"/>
      <c r="G61" s="199"/>
      <c r="H61" s="199"/>
      <c r="I61" s="199"/>
      <c r="J61" s="199"/>
      <c r="K61" s="199"/>
      <c r="L61" s="199"/>
      <c r="M61" s="199"/>
      <c r="N61" s="199"/>
      <c r="O61" s="199"/>
      <c r="P61" s="199"/>
      <c r="Q61" s="199"/>
      <c r="R61" s="199"/>
    </row>
    <row r="62" spans="1:24" x14ac:dyDescent="0.35">
      <c r="A62" s="199"/>
      <c r="B62" s="199"/>
      <c r="C62" s="199"/>
      <c r="D62" s="199"/>
      <c r="E62" s="199"/>
      <c r="F62" s="199"/>
      <c r="G62" s="199"/>
      <c r="H62" s="199"/>
      <c r="I62" s="199"/>
      <c r="J62" s="199"/>
      <c r="K62" s="199"/>
      <c r="L62" s="199"/>
      <c r="M62" s="199"/>
      <c r="N62" s="199"/>
      <c r="O62" s="199"/>
      <c r="P62" s="199"/>
      <c r="Q62" s="199"/>
      <c r="R62" s="199"/>
    </row>
    <row r="63" spans="1:24" x14ac:dyDescent="0.35">
      <c r="A63" s="199"/>
      <c r="B63" s="199"/>
      <c r="C63" s="199"/>
      <c r="D63" s="199"/>
      <c r="E63" s="199"/>
      <c r="F63" s="199"/>
      <c r="G63" s="199"/>
      <c r="H63" s="199"/>
      <c r="I63" s="199"/>
      <c r="J63" s="199"/>
      <c r="K63" s="199"/>
      <c r="L63" s="199"/>
      <c r="M63" s="199"/>
      <c r="N63" s="199"/>
      <c r="O63" s="199"/>
      <c r="P63" s="199"/>
      <c r="Q63" s="199"/>
      <c r="R63" s="199"/>
    </row>
    <row r="64" spans="1:24" x14ac:dyDescent="0.35">
      <c r="A64" s="199"/>
      <c r="B64" s="199"/>
      <c r="C64" s="199"/>
      <c r="D64" s="199"/>
      <c r="E64" s="199"/>
      <c r="F64" s="199"/>
      <c r="G64" s="199"/>
      <c r="H64" s="199"/>
      <c r="I64" s="199"/>
      <c r="J64" s="199"/>
      <c r="K64" s="199"/>
      <c r="L64" s="199"/>
      <c r="M64" s="199"/>
      <c r="N64" s="199"/>
      <c r="O64" s="199"/>
      <c r="P64" s="199"/>
      <c r="Q64" s="199"/>
      <c r="R64" s="199"/>
    </row>
    <row r="65" spans="1:18" x14ac:dyDescent="0.35">
      <c r="A65" s="199"/>
      <c r="B65" s="199"/>
      <c r="C65" s="199"/>
      <c r="D65" s="199"/>
      <c r="E65" s="199"/>
      <c r="F65" s="199"/>
      <c r="G65" s="199"/>
      <c r="H65" s="199"/>
      <c r="I65" s="199"/>
      <c r="J65" s="199"/>
      <c r="K65" s="199"/>
      <c r="L65" s="199"/>
      <c r="M65" s="199"/>
      <c r="N65" s="199"/>
      <c r="O65" s="199"/>
      <c r="P65" s="199"/>
      <c r="Q65" s="199"/>
      <c r="R65" s="199"/>
    </row>
    <row r="66" spans="1:18" x14ac:dyDescent="0.35">
      <c r="A66" s="199"/>
      <c r="B66" s="199"/>
      <c r="C66" s="199"/>
      <c r="D66" s="199"/>
      <c r="E66" s="199"/>
      <c r="F66" s="199"/>
      <c r="G66" s="199"/>
      <c r="H66" s="199"/>
      <c r="I66" s="199"/>
      <c r="J66" s="199"/>
      <c r="K66" s="199"/>
      <c r="L66" s="199"/>
      <c r="M66" s="199"/>
      <c r="N66" s="199"/>
      <c r="O66" s="199"/>
      <c r="P66" s="199"/>
      <c r="Q66" s="199"/>
      <c r="R66" s="199"/>
    </row>
    <row r="67" spans="1:18" x14ac:dyDescent="0.35">
      <c r="A67" s="199"/>
      <c r="B67" s="199"/>
      <c r="C67" s="199"/>
      <c r="D67" s="199"/>
      <c r="E67" s="199"/>
      <c r="F67" s="199"/>
      <c r="G67" s="199"/>
      <c r="H67" s="199"/>
      <c r="I67" s="199"/>
      <c r="J67" s="199"/>
      <c r="K67" s="199"/>
      <c r="L67" s="199"/>
      <c r="M67" s="199"/>
      <c r="N67" s="199"/>
      <c r="O67" s="199"/>
      <c r="P67" s="199"/>
      <c r="Q67" s="199"/>
      <c r="R67" s="199"/>
    </row>
    <row r="68" spans="1:18" x14ac:dyDescent="0.35">
      <c r="A68" s="199"/>
      <c r="B68" s="199"/>
      <c r="C68" s="199"/>
      <c r="D68" s="199"/>
      <c r="E68" s="199"/>
      <c r="F68" s="199"/>
      <c r="G68" s="199"/>
      <c r="H68" s="199"/>
      <c r="I68" s="199"/>
      <c r="J68" s="199"/>
      <c r="K68" s="199"/>
      <c r="L68" s="199"/>
      <c r="M68" s="199"/>
      <c r="N68" s="199"/>
      <c r="O68" s="199"/>
      <c r="P68" s="199"/>
      <c r="Q68" s="199"/>
      <c r="R68" s="199"/>
    </row>
    <row r="69" spans="1:18" x14ac:dyDescent="0.35">
      <c r="A69" s="199"/>
      <c r="B69" s="199"/>
      <c r="C69" s="199"/>
      <c r="D69" s="199"/>
      <c r="E69" s="199"/>
      <c r="F69" s="199"/>
      <c r="G69" s="199"/>
      <c r="H69" s="199"/>
      <c r="I69" s="199"/>
      <c r="J69" s="199"/>
      <c r="K69" s="199"/>
      <c r="L69" s="199"/>
      <c r="M69" s="199"/>
      <c r="N69" s="199"/>
      <c r="O69" s="199"/>
      <c r="P69" s="199"/>
      <c r="Q69" s="199"/>
      <c r="R69" s="199"/>
    </row>
    <row r="70" spans="1:18" x14ac:dyDescent="0.35">
      <c r="A70" s="199"/>
      <c r="B70" s="199"/>
      <c r="C70" s="199"/>
      <c r="D70" s="199"/>
      <c r="E70" s="199"/>
      <c r="F70" s="199"/>
      <c r="G70" s="199"/>
      <c r="H70" s="199"/>
      <c r="I70" s="199"/>
      <c r="J70" s="199"/>
      <c r="K70" s="199"/>
      <c r="L70" s="199"/>
      <c r="M70" s="199"/>
      <c r="N70" s="199"/>
      <c r="O70" s="199"/>
      <c r="P70" s="199"/>
      <c r="Q70" s="199"/>
      <c r="R70" s="199"/>
    </row>
    <row r="71" spans="1:18" x14ac:dyDescent="0.35">
      <c r="A71" s="199"/>
      <c r="B71" s="199"/>
      <c r="C71" s="199"/>
      <c r="D71" s="199"/>
      <c r="E71" s="199"/>
      <c r="F71" s="199"/>
      <c r="G71" s="199"/>
      <c r="H71" s="199"/>
      <c r="I71" s="199"/>
      <c r="J71" s="199"/>
      <c r="K71" s="199"/>
      <c r="L71" s="199"/>
      <c r="M71" s="199"/>
      <c r="N71" s="199"/>
      <c r="O71" s="199"/>
      <c r="P71" s="199"/>
      <c r="Q71" s="199"/>
      <c r="R71" s="199"/>
    </row>
    <row r="72" spans="1:18" x14ac:dyDescent="0.35">
      <c r="A72" s="199"/>
      <c r="B72" s="199"/>
      <c r="C72" s="199"/>
      <c r="D72" s="199"/>
      <c r="E72" s="199"/>
      <c r="F72" s="199"/>
      <c r="G72" s="199"/>
      <c r="H72" s="199"/>
      <c r="I72" s="199"/>
      <c r="J72" s="199"/>
      <c r="K72" s="199"/>
      <c r="L72" s="199"/>
      <c r="M72" s="199"/>
      <c r="N72" s="199"/>
      <c r="O72" s="199"/>
      <c r="P72" s="199"/>
      <c r="Q72" s="199"/>
      <c r="R72" s="199"/>
    </row>
    <row r="73" spans="1:18" x14ac:dyDescent="0.35">
      <c r="A73" s="199"/>
      <c r="B73" s="199"/>
      <c r="C73" s="199"/>
      <c r="D73" s="199"/>
      <c r="E73" s="199"/>
      <c r="F73" s="199"/>
      <c r="G73" s="199"/>
      <c r="H73" s="199"/>
      <c r="I73" s="199"/>
      <c r="J73" s="199"/>
      <c r="K73" s="199"/>
      <c r="L73" s="199"/>
      <c r="M73" s="199"/>
      <c r="N73" s="199"/>
      <c r="O73" s="199"/>
      <c r="P73" s="199"/>
      <c r="Q73" s="199"/>
      <c r="R73" s="199"/>
    </row>
    <row r="74" spans="1:18" x14ac:dyDescent="0.35">
      <c r="A74" s="199"/>
      <c r="B74" s="199"/>
      <c r="C74" s="199"/>
      <c r="D74" s="199"/>
      <c r="E74" s="199"/>
      <c r="F74" s="199"/>
      <c r="G74" s="199"/>
      <c r="H74" s="199"/>
      <c r="I74" s="199"/>
      <c r="J74" s="199"/>
      <c r="K74" s="199"/>
      <c r="L74" s="199"/>
      <c r="M74" s="199"/>
      <c r="N74" s="199"/>
      <c r="O74" s="199"/>
      <c r="P74" s="199"/>
      <c r="Q74" s="199"/>
      <c r="R74" s="199"/>
    </row>
    <row r="75" spans="1:18" x14ac:dyDescent="0.35">
      <c r="A75" s="199"/>
      <c r="B75" s="199"/>
      <c r="C75" s="199"/>
      <c r="D75" s="199"/>
      <c r="E75" s="199"/>
      <c r="F75" s="199"/>
      <c r="G75" s="199"/>
      <c r="H75" s="199"/>
      <c r="I75" s="199"/>
      <c r="J75" s="199"/>
      <c r="K75" s="199"/>
      <c r="L75" s="199"/>
      <c r="M75" s="199"/>
      <c r="N75" s="199"/>
      <c r="O75" s="199"/>
      <c r="P75" s="199"/>
      <c r="Q75" s="199"/>
      <c r="R75" s="199"/>
    </row>
    <row r="76" spans="1:18" x14ac:dyDescent="0.35">
      <c r="A76" s="199"/>
      <c r="B76" s="199"/>
      <c r="C76" s="199"/>
      <c r="D76" s="199"/>
      <c r="E76" s="199"/>
      <c r="F76" s="199"/>
      <c r="G76" s="199"/>
      <c r="H76" s="199"/>
      <c r="I76" s="199"/>
      <c r="J76" s="199"/>
      <c r="K76" s="199"/>
      <c r="L76" s="199"/>
      <c r="M76" s="199"/>
      <c r="N76" s="199"/>
      <c r="O76" s="199"/>
      <c r="P76" s="199"/>
      <c r="Q76" s="199"/>
      <c r="R76" s="199"/>
    </row>
    <row r="77" spans="1:18" x14ac:dyDescent="0.35">
      <c r="A77" s="199"/>
      <c r="B77" s="199"/>
      <c r="C77" s="199"/>
      <c r="D77" s="199"/>
      <c r="E77" s="199"/>
      <c r="F77" s="199"/>
      <c r="G77" s="199"/>
      <c r="H77" s="199"/>
      <c r="I77" s="199"/>
      <c r="J77" s="199"/>
      <c r="K77" s="199"/>
      <c r="L77" s="199"/>
      <c r="M77" s="199"/>
      <c r="N77" s="199"/>
      <c r="O77" s="199"/>
      <c r="P77" s="199"/>
      <c r="Q77" s="199"/>
      <c r="R77" s="199"/>
    </row>
    <row r="78" spans="1:18" x14ac:dyDescent="0.35">
      <c r="A78" s="199"/>
      <c r="B78" s="199"/>
      <c r="C78" s="199"/>
      <c r="D78" s="199"/>
      <c r="E78" s="199"/>
      <c r="F78" s="199"/>
      <c r="G78" s="199"/>
      <c r="H78" s="199"/>
      <c r="I78" s="199"/>
      <c r="J78" s="199"/>
      <c r="K78" s="199"/>
      <c r="L78" s="199"/>
      <c r="M78" s="199"/>
      <c r="N78" s="199"/>
      <c r="O78" s="199"/>
      <c r="P78" s="199"/>
      <c r="Q78" s="199"/>
      <c r="R78" s="199"/>
    </row>
    <row r="79" spans="1:18" x14ac:dyDescent="0.35">
      <c r="A79" s="199"/>
      <c r="B79" s="199"/>
      <c r="C79" s="199"/>
      <c r="D79" s="199"/>
      <c r="E79" s="199"/>
      <c r="F79" s="199"/>
      <c r="G79" s="199"/>
      <c r="H79" s="199"/>
      <c r="I79" s="199"/>
      <c r="J79" s="199"/>
      <c r="K79" s="199"/>
      <c r="L79" s="199"/>
      <c r="M79" s="199"/>
      <c r="N79" s="199"/>
      <c r="O79" s="199"/>
      <c r="P79" s="199"/>
      <c r="Q79" s="199"/>
      <c r="R79" s="199"/>
    </row>
    <row r="80" spans="1:18" x14ac:dyDescent="0.35">
      <c r="A80" s="199"/>
      <c r="B80" s="199"/>
      <c r="C80" s="199"/>
      <c r="D80" s="199"/>
      <c r="E80" s="199"/>
      <c r="F80" s="199"/>
      <c r="G80" s="199"/>
      <c r="H80" s="199"/>
      <c r="I80" s="199"/>
      <c r="J80" s="199"/>
      <c r="K80" s="199"/>
      <c r="L80" s="199"/>
      <c r="M80" s="199"/>
      <c r="N80" s="199"/>
      <c r="O80" s="199"/>
      <c r="P80" s="199"/>
      <c r="Q80" s="199"/>
      <c r="R80" s="199"/>
    </row>
    <row r="81" spans="1:18" x14ac:dyDescent="0.35">
      <c r="A81" s="199"/>
      <c r="B81" s="199"/>
      <c r="C81" s="199"/>
      <c r="D81" s="199"/>
      <c r="E81" s="199"/>
      <c r="F81" s="199"/>
      <c r="G81" s="199"/>
      <c r="H81" s="199"/>
      <c r="I81" s="199"/>
      <c r="J81" s="199"/>
      <c r="K81" s="199"/>
      <c r="L81" s="199"/>
      <c r="M81" s="199"/>
      <c r="N81" s="199"/>
      <c r="O81" s="199"/>
      <c r="P81" s="199"/>
      <c r="Q81" s="199"/>
      <c r="R81" s="199"/>
    </row>
    <row r="82" spans="1:18" x14ac:dyDescent="0.35">
      <c r="A82" s="199"/>
      <c r="B82" s="199"/>
      <c r="C82" s="199"/>
      <c r="D82" s="199"/>
      <c r="E82" s="199"/>
      <c r="F82" s="199"/>
      <c r="G82" s="199"/>
      <c r="H82" s="199"/>
      <c r="I82" s="199"/>
      <c r="J82" s="199"/>
      <c r="K82" s="199"/>
      <c r="L82" s="199"/>
      <c r="M82" s="199"/>
      <c r="N82" s="199"/>
      <c r="O82" s="199"/>
      <c r="P82" s="199"/>
      <c r="Q82" s="199"/>
      <c r="R82" s="199"/>
    </row>
    <row r="83" spans="1:18" x14ac:dyDescent="0.35">
      <c r="A83" s="199"/>
      <c r="B83" s="199"/>
      <c r="C83" s="199"/>
      <c r="D83" s="199"/>
      <c r="E83" s="199"/>
      <c r="F83" s="199"/>
      <c r="G83" s="199"/>
      <c r="H83" s="199"/>
      <c r="I83" s="199"/>
      <c r="J83" s="199"/>
      <c r="K83" s="199"/>
      <c r="L83" s="199"/>
      <c r="M83" s="199"/>
      <c r="N83" s="199"/>
      <c r="O83" s="199"/>
      <c r="P83" s="199"/>
      <c r="Q83" s="199"/>
      <c r="R83" s="199"/>
    </row>
    <row r="84" spans="1:18" x14ac:dyDescent="0.35">
      <c r="A84" s="199"/>
      <c r="B84" s="199"/>
      <c r="C84" s="199"/>
      <c r="D84" s="199"/>
      <c r="E84" s="199"/>
      <c r="F84" s="199"/>
      <c r="G84" s="199"/>
      <c r="H84" s="199"/>
      <c r="I84" s="199"/>
      <c r="J84" s="199"/>
      <c r="K84" s="199"/>
      <c r="L84" s="199"/>
      <c r="M84" s="199"/>
      <c r="N84" s="199"/>
      <c r="O84" s="199"/>
      <c r="P84" s="199"/>
      <c r="Q84" s="199"/>
      <c r="R84" s="199"/>
    </row>
    <row r="85" spans="1:18" x14ac:dyDescent="0.35">
      <c r="A85" s="199"/>
      <c r="B85" s="199"/>
      <c r="C85" s="199"/>
      <c r="D85" s="199"/>
      <c r="E85" s="199"/>
      <c r="F85" s="199"/>
      <c r="G85" s="199"/>
      <c r="H85" s="199"/>
      <c r="I85" s="199"/>
      <c r="J85" s="199"/>
      <c r="K85" s="199"/>
      <c r="L85" s="199"/>
      <c r="M85" s="199"/>
      <c r="N85" s="199"/>
      <c r="O85" s="199"/>
      <c r="P85" s="199"/>
      <c r="Q85" s="199"/>
      <c r="R85" s="199"/>
    </row>
    <row r="86" spans="1:18" x14ac:dyDescent="0.35">
      <c r="A86" s="199"/>
      <c r="B86" s="199"/>
      <c r="C86" s="199"/>
      <c r="D86" s="199"/>
      <c r="E86" s="199"/>
      <c r="F86" s="199"/>
      <c r="G86" s="199"/>
      <c r="H86" s="199"/>
      <c r="I86" s="199"/>
      <c r="J86" s="199"/>
      <c r="K86" s="199"/>
      <c r="L86" s="199"/>
      <c r="M86" s="199"/>
      <c r="N86" s="199"/>
      <c r="O86" s="199"/>
      <c r="P86" s="199"/>
      <c r="Q86" s="199"/>
      <c r="R86" s="199"/>
    </row>
    <row r="87" spans="1:18" x14ac:dyDescent="0.35">
      <c r="A87" s="199"/>
      <c r="B87" s="199"/>
      <c r="C87" s="199"/>
      <c r="D87" s="199"/>
      <c r="E87" s="199"/>
      <c r="F87" s="199"/>
      <c r="G87" s="199"/>
      <c r="H87" s="199"/>
      <c r="I87" s="199"/>
      <c r="J87" s="199"/>
      <c r="K87" s="199"/>
      <c r="L87" s="199"/>
      <c r="M87" s="199"/>
      <c r="N87" s="199"/>
      <c r="O87" s="199"/>
      <c r="P87" s="199"/>
      <c r="Q87" s="199"/>
      <c r="R87" s="199"/>
    </row>
    <row r="88" spans="1:18" x14ac:dyDescent="0.35">
      <c r="A88" s="199"/>
      <c r="B88" s="199"/>
      <c r="C88" s="199"/>
      <c r="D88" s="199"/>
      <c r="E88" s="199"/>
      <c r="F88" s="199"/>
      <c r="G88" s="199"/>
      <c r="H88" s="199"/>
      <c r="I88" s="199"/>
      <c r="J88" s="199"/>
      <c r="K88" s="199"/>
      <c r="L88" s="199"/>
      <c r="M88" s="199"/>
      <c r="N88" s="199"/>
      <c r="O88" s="199"/>
      <c r="P88" s="199"/>
      <c r="Q88" s="199"/>
      <c r="R88" s="199"/>
    </row>
    <row r="89" spans="1:18" x14ac:dyDescent="0.35">
      <c r="A89" s="199"/>
      <c r="B89" s="199"/>
      <c r="C89" s="199"/>
      <c r="D89" s="199"/>
      <c r="E89" s="199"/>
      <c r="F89" s="199"/>
      <c r="G89" s="199"/>
      <c r="H89" s="199"/>
      <c r="I89" s="199"/>
      <c r="J89" s="199"/>
      <c r="K89" s="199"/>
      <c r="L89" s="199"/>
      <c r="M89" s="199"/>
      <c r="N89" s="199"/>
      <c r="O89" s="199"/>
      <c r="P89" s="199"/>
      <c r="Q89" s="199"/>
      <c r="R89" s="199"/>
    </row>
    <row r="90" spans="1:18" x14ac:dyDescent="0.35">
      <c r="A90" s="199"/>
      <c r="B90" s="199"/>
      <c r="C90" s="199"/>
      <c r="D90" s="199"/>
      <c r="E90" s="199"/>
      <c r="F90" s="199"/>
      <c r="G90" s="199"/>
      <c r="H90" s="199"/>
      <c r="I90" s="199"/>
      <c r="J90" s="199"/>
      <c r="K90" s="199"/>
      <c r="L90" s="199"/>
      <c r="M90" s="199"/>
      <c r="N90" s="199"/>
      <c r="O90" s="199"/>
      <c r="P90" s="199"/>
      <c r="Q90" s="199"/>
      <c r="R90" s="199"/>
    </row>
    <row r="91" spans="1:18" x14ac:dyDescent="0.35">
      <c r="A91" s="199"/>
      <c r="B91" s="199"/>
      <c r="C91" s="199"/>
      <c r="D91" s="199"/>
      <c r="E91" s="199"/>
      <c r="F91" s="199"/>
      <c r="G91" s="199"/>
      <c r="H91" s="199"/>
      <c r="I91" s="199"/>
      <c r="J91" s="199"/>
      <c r="K91" s="199"/>
      <c r="L91" s="199"/>
      <c r="M91" s="199"/>
      <c r="N91" s="199"/>
      <c r="O91" s="199"/>
      <c r="P91" s="199"/>
      <c r="Q91" s="199"/>
      <c r="R91" s="199"/>
    </row>
  </sheetData>
  <sheetProtection algorithmName="SHA-512" hashValue="A0FXNgY1kaQQVEOyoy/2Zgclxdz0JbaAipENQssl3UjjpKWMg8FtF56XUrA1xgCJiQafIxgDM7wQZt4UFkFfmw==" saltValue="l1GljBDgAC7UEnYCrZXVOg==" spinCount="100000" sheet="1" objects="1" scenarios="1" selectLockedCells="1" selectUnlockedCells="1"/>
  <mergeCells count="1">
    <mergeCell ref="D31:J35"/>
  </mergeCells>
  <phoneticPr fontId="26" type="noConversion"/>
  <pageMargins left="0.75" right="0.75" top="1" bottom="1" header="0.5" footer="0.5"/>
  <pageSetup paperSize="9" orientation="portrait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print="0" autoLine="0" autoPict="0">
                <anchor moveWithCells="1">
                  <from>
                    <xdr:col>2</xdr:col>
                    <xdr:colOff>114898</xdr:colOff>
                    <xdr:row>7</xdr:row>
                    <xdr:rowOff>38299</xdr:rowOff>
                  </from>
                  <to>
                    <xdr:col>2</xdr:col>
                    <xdr:colOff>1058023</xdr:colOff>
                    <xdr:row>8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print="0" autoLine="0" autoPict="0">
                <anchor moveWithCells="1">
                  <from>
                    <xdr:col>2</xdr:col>
                    <xdr:colOff>114898</xdr:colOff>
                    <xdr:row>8</xdr:row>
                    <xdr:rowOff>38299</xdr:rowOff>
                  </from>
                  <to>
                    <xdr:col>2</xdr:col>
                    <xdr:colOff>1058023</xdr:colOff>
                    <xdr:row>9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print="0" autoLine="0" autoPict="0">
                <anchor moveWithCells="1">
                  <from>
                    <xdr:col>2</xdr:col>
                    <xdr:colOff>114898</xdr:colOff>
                    <xdr:row>9</xdr:row>
                    <xdr:rowOff>38299</xdr:rowOff>
                  </from>
                  <to>
                    <xdr:col>2</xdr:col>
                    <xdr:colOff>1058023</xdr:colOff>
                    <xdr:row>10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2</xdr:col>
                    <xdr:colOff>114898</xdr:colOff>
                    <xdr:row>10</xdr:row>
                    <xdr:rowOff>38299</xdr:rowOff>
                  </from>
                  <to>
                    <xdr:col>2</xdr:col>
                    <xdr:colOff>1058023</xdr:colOff>
                    <xdr:row>11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Drop Down 6">
              <controlPr defaultSize="0" autoLine="0" autoPict="0">
                <anchor moveWithCells="1">
                  <from>
                    <xdr:col>2</xdr:col>
                    <xdr:colOff>114898</xdr:colOff>
                    <xdr:row>11</xdr:row>
                    <xdr:rowOff>38299</xdr:rowOff>
                  </from>
                  <to>
                    <xdr:col>2</xdr:col>
                    <xdr:colOff>1058023</xdr:colOff>
                    <xdr:row>12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Drop Down 7">
              <controlPr defaultSize="0" autoLine="0" autoPict="0">
                <anchor moveWithCells="1">
                  <from>
                    <xdr:col>2</xdr:col>
                    <xdr:colOff>114898</xdr:colOff>
                    <xdr:row>12</xdr:row>
                    <xdr:rowOff>38299</xdr:rowOff>
                  </from>
                  <to>
                    <xdr:col>2</xdr:col>
                    <xdr:colOff>1058023</xdr:colOff>
                    <xdr:row>13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Drop Down 8">
              <controlPr defaultSize="0" autoLine="0" autoPict="0">
                <anchor moveWithCells="1">
                  <from>
                    <xdr:col>2</xdr:col>
                    <xdr:colOff>114898</xdr:colOff>
                    <xdr:row>13</xdr:row>
                    <xdr:rowOff>38299</xdr:rowOff>
                  </from>
                  <to>
                    <xdr:col>2</xdr:col>
                    <xdr:colOff>1058023</xdr:colOff>
                    <xdr:row>14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Drop Down 9">
              <controlPr defaultSize="0" autoLine="0" autoPict="0">
                <anchor moveWithCells="1">
                  <from>
                    <xdr:col>2</xdr:col>
                    <xdr:colOff>114898</xdr:colOff>
                    <xdr:row>14</xdr:row>
                    <xdr:rowOff>38299</xdr:rowOff>
                  </from>
                  <to>
                    <xdr:col>2</xdr:col>
                    <xdr:colOff>1058023</xdr:colOff>
                    <xdr:row>15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Drop Down 10">
              <controlPr defaultSize="0" autoLine="0" autoPict="0">
                <anchor moveWithCells="1">
                  <from>
                    <xdr:col>2</xdr:col>
                    <xdr:colOff>114898</xdr:colOff>
                    <xdr:row>15</xdr:row>
                    <xdr:rowOff>38299</xdr:rowOff>
                  </from>
                  <to>
                    <xdr:col>2</xdr:col>
                    <xdr:colOff>1058023</xdr:colOff>
                    <xdr:row>16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7</xdr:row>
                    <xdr:rowOff>19150</xdr:rowOff>
                  </from>
                  <to>
                    <xdr:col>5</xdr:col>
                    <xdr:colOff>722903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4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5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6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7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8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9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5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6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7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8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9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0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1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2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3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18</xdr:row>
                    <xdr:rowOff>0</xdr:rowOff>
                  </from>
                  <to>
                    <xdr:col>5</xdr:col>
                    <xdr:colOff>665453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4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18</xdr:row>
                    <xdr:rowOff>28725</xdr:rowOff>
                  </from>
                  <to>
                    <xdr:col>4</xdr:col>
                    <xdr:colOff>646304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5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18</xdr:row>
                    <xdr:rowOff>19150</xdr:rowOff>
                  </from>
                  <to>
                    <xdr:col>6</xdr:col>
                    <xdr:colOff>962274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6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7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8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9" name="Drop Down 76">
              <controlPr defaultSize="0" autoLine="0" autoPict="0">
                <anchor moveWithCells="1">
                  <from>
                    <xdr:col>2</xdr:col>
                    <xdr:colOff>114898</xdr:colOff>
                    <xdr:row>16</xdr:row>
                    <xdr:rowOff>38299</xdr:rowOff>
                  </from>
                  <to>
                    <xdr:col>2</xdr:col>
                    <xdr:colOff>1058023</xdr:colOff>
                    <xdr:row>17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0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41" name="Spinner 78">
              <controlPr defaultSize="0" autoPict="0">
                <anchor moveWithCells="1" sizeWithCells="1">
                  <from>
                    <xdr:col>6</xdr:col>
                    <xdr:colOff>799502</xdr:colOff>
                    <xdr:row>7</xdr:row>
                    <xdr:rowOff>9575</xdr:rowOff>
                  </from>
                  <to>
                    <xdr:col>6</xdr:col>
                    <xdr:colOff>952699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2" name="Spinner 79">
              <controlPr defaultSize="0" autoPict="0">
                <anchor moveWithCells="1" sizeWithCells="1">
                  <from>
                    <xdr:col>6</xdr:col>
                    <xdr:colOff>799502</xdr:colOff>
                    <xdr:row>8</xdr:row>
                    <xdr:rowOff>9575</xdr:rowOff>
                  </from>
                  <to>
                    <xdr:col>6</xdr:col>
                    <xdr:colOff>952699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3" name="Spinner 80">
              <controlPr defaultSize="0" autoPict="0">
                <anchor moveWithCells="1" sizeWithCells="1">
                  <from>
                    <xdr:col>6</xdr:col>
                    <xdr:colOff>799502</xdr:colOff>
                    <xdr:row>9</xdr:row>
                    <xdr:rowOff>9575</xdr:rowOff>
                  </from>
                  <to>
                    <xdr:col>6</xdr:col>
                    <xdr:colOff>952699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4" name="Spinner 81">
              <controlPr defaultSize="0" autoPict="0">
                <anchor moveWithCells="1" sizeWithCells="1">
                  <from>
                    <xdr:col>6</xdr:col>
                    <xdr:colOff>799502</xdr:colOff>
                    <xdr:row>10</xdr:row>
                    <xdr:rowOff>9575</xdr:rowOff>
                  </from>
                  <to>
                    <xdr:col>6</xdr:col>
                    <xdr:colOff>952699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5" name="Spinner 82">
              <controlPr defaultSize="0" autoPict="0">
                <anchor moveWithCells="1" sizeWithCells="1">
                  <from>
                    <xdr:col>6</xdr:col>
                    <xdr:colOff>799502</xdr:colOff>
                    <xdr:row>11</xdr:row>
                    <xdr:rowOff>9575</xdr:rowOff>
                  </from>
                  <to>
                    <xdr:col>6</xdr:col>
                    <xdr:colOff>952699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6" name="Spinner 83">
              <controlPr defaultSize="0" autoPict="0">
                <anchor moveWithCells="1" sizeWithCells="1">
                  <from>
                    <xdr:col>6</xdr:col>
                    <xdr:colOff>799502</xdr:colOff>
                    <xdr:row>12</xdr:row>
                    <xdr:rowOff>9575</xdr:rowOff>
                  </from>
                  <to>
                    <xdr:col>6</xdr:col>
                    <xdr:colOff>952699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7" name="Spinner 84">
              <controlPr defaultSize="0" autoPict="0">
                <anchor moveWithCells="1" sizeWithCells="1">
                  <from>
                    <xdr:col>6</xdr:col>
                    <xdr:colOff>799502</xdr:colOff>
                    <xdr:row>13</xdr:row>
                    <xdr:rowOff>9575</xdr:rowOff>
                  </from>
                  <to>
                    <xdr:col>6</xdr:col>
                    <xdr:colOff>952699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8" name="Spinner 85">
              <controlPr defaultSize="0" autoPict="0">
                <anchor moveWithCells="1" sizeWithCells="1">
                  <from>
                    <xdr:col>6</xdr:col>
                    <xdr:colOff>799502</xdr:colOff>
                    <xdr:row>14</xdr:row>
                    <xdr:rowOff>9575</xdr:rowOff>
                  </from>
                  <to>
                    <xdr:col>6</xdr:col>
                    <xdr:colOff>952699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9" name="Spinner 86">
              <controlPr defaultSize="0" autoPict="0">
                <anchor moveWithCells="1" sizeWithCells="1">
                  <from>
                    <xdr:col>6</xdr:col>
                    <xdr:colOff>799502</xdr:colOff>
                    <xdr:row>15</xdr:row>
                    <xdr:rowOff>9575</xdr:rowOff>
                  </from>
                  <to>
                    <xdr:col>6</xdr:col>
                    <xdr:colOff>952699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0" name="Spinner 87">
              <controlPr defaultSize="0" autoPict="0">
                <anchor moveWithCells="1" sizeWithCells="1">
                  <from>
                    <xdr:col>6</xdr:col>
                    <xdr:colOff>799502</xdr:colOff>
                    <xdr:row>16</xdr:row>
                    <xdr:rowOff>9575</xdr:rowOff>
                  </from>
                  <to>
                    <xdr:col>6</xdr:col>
                    <xdr:colOff>952699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51" name="Spinner 111">
              <controlPr defaultSize="0" autoPict="0">
                <anchor moveWithCells="1" sizeWithCells="1">
                  <from>
                    <xdr:col>9</xdr:col>
                    <xdr:colOff>430869</xdr:colOff>
                    <xdr:row>2</xdr:row>
                    <xdr:rowOff>9575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2" name="Spinner 112">
              <controlPr defaultSize="0" autoPict="0">
                <anchor moveWithCells="1" sizeWithCells="1">
                  <from>
                    <xdr:col>11</xdr:col>
                    <xdr:colOff>354270</xdr:colOff>
                    <xdr:row>2</xdr:row>
                    <xdr:rowOff>0</xdr:rowOff>
                  </from>
                  <to>
                    <xdr:col>11</xdr:col>
                    <xdr:colOff>512255</xdr:colOff>
                    <xdr:row>2</xdr:row>
                    <xdr:rowOff>172348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VMed"/>
  <dimension ref="A1:P47"/>
  <sheetViews>
    <sheetView workbookViewId="0">
      <selection activeCell="H20" sqref="H20"/>
    </sheetView>
  </sheetViews>
  <sheetFormatPr defaultColWidth="9.1328125" defaultRowHeight="12.85" x14ac:dyDescent="0.35"/>
  <cols>
    <col min="1" max="1" width="9.1328125" style="26"/>
    <col min="2" max="2" width="13.3984375" style="26" customWidth="1"/>
    <col min="3" max="7" width="9.1328125" style="26"/>
    <col min="8" max="8" width="18.86328125" style="26" customWidth="1"/>
    <col min="9" max="9" width="24.265625" style="26" customWidth="1"/>
    <col min="10" max="10" width="7.73046875" style="26" customWidth="1"/>
    <col min="11" max="11" width="8.59765625" style="26" customWidth="1"/>
    <col min="12" max="12" width="9.86328125" style="26" customWidth="1"/>
    <col min="13" max="16384" width="9.1328125" style="26"/>
  </cols>
  <sheetData>
    <row r="1" spans="1:16" ht="26.05" thickBot="1" x14ac:dyDescent="0.4">
      <c r="B1" s="27" t="s">
        <v>1427</v>
      </c>
      <c r="C1" s="28"/>
      <c r="D1" s="27" t="s">
        <v>1428</v>
      </c>
      <c r="E1" s="27" t="s">
        <v>1429</v>
      </c>
      <c r="F1" s="27" t="s">
        <v>1430</v>
      </c>
      <c r="G1" s="27" t="s">
        <v>928</v>
      </c>
      <c r="H1" s="29" t="s">
        <v>929</v>
      </c>
      <c r="I1" s="29" t="s">
        <v>472</v>
      </c>
      <c r="J1" s="30" t="s">
        <v>929</v>
      </c>
      <c r="K1" s="29" t="s">
        <v>937</v>
      </c>
      <c r="L1" s="29" t="s">
        <v>983</v>
      </c>
      <c r="M1" s="29"/>
      <c r="P1" s="26" t="s">
        <v>938</v>
      </c>
    </row>
    <row r="2" spans="1:16" x14ac:dyDescent="0.35">
      <c r="B2" s="30"/>
      <c r="C2" s="31"/>
      <c r="D2" s="30"/>
      <c r="E2" s="30"/>
      <c r="F2" s="30"/>
      <c r="G2" s="29"/>
      <c r="H2" s="29"/>
      <c r="I2" s="29"/>
      <c r="J2" s="29"/>
      <c r="K2" s="29"/>
      <c r="L2" s="29"/>
    </row>
    <row r="3" spans="1:16" x14ac:dyDescent="0.35">
      <c r="A3" s="26">
        <v>1</v>
      </c>
      <c r="B3" s="30" t="s">
        <v>659</v>
      </c>
      <c r="C3" s="26">
        <f>ROUND((F3/100)*(Gewicht/10)*D3/(E3/10)/K3,0)*K3</f>
        <v>30</v>
      </c>
      <c r="D3" s="26">
        <v>50</v>
      </c>
      <c r="E3" s="26">
        <v>10</v>
      </c>
      <c r="F3" s="26">
        <v>5</v>
      </c>
      <c r="G3" s="26">
        <f>ROUND(C3/D3/(Gewicht/10),3)</f>
        <v>0.06</v>
      </c>
      <c r="H3" s="29" t="s">
        <v>371</v>
      </c>
      <c r="I3" s="29" t="s">
        <v>201</v>
      </c>
      <c r="J3" s="29" t="s">
        <v>385</v>
      </c>
      <c r="K3" s="29">
        <v>10</v>
      </c>
      <c r="L3" s="29"/>
    </row>
    <row r="4" spans="1:16" x14ac:dyDescent="0.35">
      <c r="A4" s="26">
        <v>2</v>
      </c>
      <c r="B4" s="26" t="s">
        <v>981</v>
      </c>
      <c r="C4" s="26">
        <f>IF(AND(L4&lt;&gt;"",ROUND((F4/100/1000)*(Gewicht/10)*60*D4/(E4/10)/K4,1)*K4/MedIVMlSpuit_2&gt;L4),MedIVMlSpuit_2*L4,ROUND((F4/100/1000)*(Gewicht/10)*60*D4/(E4/10)/K4,1)*K4)</f>
        <v>3</v>
      </c>
      <c r="D4" s="26">
        <v>50</v>
      </c>
      <c r="E4" s="26">
        <v>10</v>
      </c>
      <c r="F4" s="26">
        <v>10</v>
      </c>
      <c r="G4" s="26">
        <f>ROUND(1000*C4/D4/(Gewicht/10)/60,3)</f>
        <v>0.1</v>
      </c>
      <c r="H4" s="26" t="s">
        <v>2091</v>
      </c>
      <c r="I4" s="26" t="s">
        <v>1973</v>
      </c>
      <c r="J4" s="26" t="s">
        <v>817</v>
      </c>
      <c r="K4" s="26">
        <v>1</v>
      </c>
      <c r="L4" s="26">
        <v>1</v>
      </c>
      <c r="P4" s="26" t="s">
        <v>1309</v>
      </c>
    </row>
    <row r="5" spans="1:16" x14ac:dyDescent="0.35">
      <c r="A5" s="26">
        <v>3</v>
      </c>
      <c r="B5" s="26" t="s">
        <v>606</v>
      </c>
      <c r="C5" s="26">
        <v>0.2</v>
      </c>
      <c r="D5" s="26">
        <v>1</v>
      </c>
      <c r="E5" s="26">
        <v>10</v>
      </c>
      <c r="F5" s="26">
        <v>5</v>
      </c>
      <c r="G5" s="26">
        <f>ROUND(24*C5/1/(Gewicht/10),2)</f>
        <v>0.48</v>
      </c>
      <c r="H5" s="26" t="s">
        <v>1721</v>
      </c>
      <c r="I5" s="26" t="s">
        <v>984</v>
      </c>
      <c r="J5" s="26" t="s">
        <v>386</v>
      </c>
      <c r="K5" s="26">
        <v>10</v>
      </c>
      <c r="P5" s="26" t="s">
        <v>1310</v>
      </c>
    </row>
    <row r="6" spans="1:16" x14ac:dyDescent="0.35">
      <c r="A6" s="26">
        <v>4</v>
      </c>
      <c r="B6" s="26" t="s">
        <v>734</v>
      </c>
      <c r="C6" s="26">
        <f>IF((ROUND(ROUND((F6/1000/1000)*(Gewicht/10)*60*D6/(E6/10),2)/K6,2)*K6)/MedIVMlSpuit_4&gt;L6,MedIVMlSpuit_4*L6,ROUND(ROUND((F6/1000/1000)*(Gewicht/10)*60*D6/(E6/10),2)/K6,2)*K6)</f>
        <v>1</v>
      </c>
      <c r="D6" s="26">
        <v>50</v>
      </c>
      <c r="E6" s="26">
        <v>10</v>
      </c>
      <c r="F6" s="26">
        <v>25</v>
      </c>
      <c r="G6" s="26">
        <f>ROUND(1000*1000*C6/D6/(Gewicht/10)/60,1)</f>
        <v>33.299999999999997</v>
      </c>
      <c r="H6" s="26" t="s">
        <v>2092</v>
      </c>
      <c r="I6" s="26" t="s">
        <v>1302</v>
      </c>
      <c r="J6" s="26" t="s">
        <v>817</v>
      </c>
      <c r="K6" s="26">
        <v>50</v>
      </c>
      <c r="L6" s="26">
        <v>0.02</v>
      </c>
      <c r="P6" s="26" t="s">
        <v>1311</v>
      </c>
    </row>
    <row r="7" spans="1:16" x14ac:dyDescent="0.35">
      <c r="A7" s="26">
        <v>5</v>
      </c>
      <c r="B7" s="26" t="s">
        <v>273</v>
      </c>
      <c r="C7" s="26">
        <f>ROUND((F7/100)*(Gewicht/10)*D7/(E7/10)/K7,0)*K7/1000</f>
        <v>0.45</v>
      </c>
      <c r="D7" s="26">
        <v>50</v>
      </c>
      <c r="E7" s="26">
        <v>10</v>
      </c>
      <c r="F7" s="26">
        <v>100</v>
      </c>
      <c r="G7" s="26">
        <f>ROUND(C7*1000/D7/(Gewicht/10),3)</f>
        <v>0.9</v>
      </c>
      <c r="H7" s="26" t="s">
        <v>939</v>
      </c>
      <c r="I7" s="26" t="s">
        <v>936</v>
      </c>
      <c r="J7" s="26" t="s">
        <v>817</v>
      </c>
      <c r="K7" s="26">
        <v>150</v>
      </c>
      <c r="L7" s="26">
        <v>0.15</v>
      </c>
    </row>
    <row r="8" spans="1:16" x14ac:dyDescent="0.35">
      <c r="A8" s="26">
        <v>6</v>
      </c>
      <c r="B8" s="26" t="s">
        <v>1596</v>
      </c>
      <c r="C8" s="26">
        <f>IF(ROUND((F8/1/1000)*(Gewicht/10)*60*D8/(E8/10)/K8,1)*K8/MedIVMlSpuit_6&gt;L8,MedIVMlSpuit_6*L8,ROUND((F8/1/1000)*(Gewicht/10)*60*D8/(E8/10)/K8,1)*K8)</f>
        <v>250</v>
      </c>
      <c r="D8" s="26">
        <v>50</v>
      </c>
      <c r="E8" s="26">
        <v>10</v>
      </c>
      <c r="F8" s="26">
        <v>10</v>
      </c>
      <c r="G8" s="26">
        <f>ROUND(1000*C8/D8/(Gewicht/10)/60,1)</f>
        <v>8.3000000000000007</v>
      </c>
      <c r="H8" s="26" t="s">
        <v>2091</v>
      </c>
      <c r="I8" s="26" t="s">
        <v>1972</v>
      </c>
      <c r="J8" s="26" t="s">
        <v>817</v>
      </c>
      <c r="K8" s="26">
        <v>2500</v>
      </c>
      <c r="L8" s="26">
        <v>5</v>
      </c>
    </row>
    <row r="9" spans="1:16" x14ac:dyDescent="0.35">
      <c r="A9" s="26">
        <v>7</v>
      </c>
      <c r="B9" s="26" t="s">
        <v>1431</v>
      </c>
      <c r="C9" s="26">
        <f>IF(ROUND((F9/1/1000)*(Gewicht/10)*60*D9/(E9/10)/K9,0)*K9/MedIVMlSpuit_7&gt;L9,MedIVMlSpuit_7*L9,ROUND((F9/1/1000)*(Gewicht/10)*60*D9/(E9/10)/K9,0)*K9)</f>
        <v>200</v>
      </c>
      <c r="D9" s="26">
        <v>50</v>
      </c>
      <c r="E9" s="26">
        <v>10</v>
      </c>
      <c r="F9" s="26">
        <v>5</v>
      </c>
      <c r="G9" s="26">
        <f>ROUND(1000*C9/D9/(Gewicht/10)/60,1)</f>
        <v>6.7</v>
      </c>
      <c r="H9" s="26" t="s">
        <v>2091</v>
      </c>
      <c r="I9" s="26" t="s">
        <v>1595</v>
      </c>
      <c r="J9" s="26" t="s">
        <v>817</v>
      </c>
      <c r="K9" s="26">
        <v>200</v>
      </c>
      <c r="L9" s="26">
        <v>40</v>
      </c>
    </row>
    <row r="10" spans="1:16" x14ac:dyDescent="0.35">
      <c r="A10" s="26">
        <v>8</v>
      </c>
      <c r="B10" s="26" t="s">
        <v>477</v>
      </c>
      <c r="C10" s="26">
        <f>ROUND(ROUND((F10/1000/1000)*(Gewicht/10)*60*D10/(E10/10),2)/K10,2)*K10</f>
        <v>0.5</v>
      </c>
      <c r="D10" s="26">
        <v>50</v>
      </c>
      <c r="E10" s="26">
        <v>10</v>
      </c>
      <c r="F10" s="26">
        <v>10</v>
      </c>
      <c r="G10" s="26">
        <f>ROUND(1000*1000*C10/D10/(Gewicht/10)/60,0)</f>
        <v>17</v>
      </c>
      <c r="H10" s="26" t="s">
        <v>2092</v>
      </c>
      <c r="I10" s="26" t="s">
        <v>301</v>
      </c>
      <c r="J10" s="26" t="s">
        <v>817</v>
      </c>
      <c r="K10" s="26">
        <v>50</v>
      </c>
      <c r="L10" s="26">
        <v>0.01</v>
      </c>
    </row>
    <row r="11" spans="1:16" x14ac:dyDescent="0.35">
      <c r="A11" s="26">
        <v>9</v>
      </c>
      <c r="B11" s="26" t="s">
        <v>663</v>
      </c>
      <c r="C11" s="26">
        <f>ROUND((F11/10)*(Gewicht/10)*D11/(E11/10)/K11,0)*K11</f>
        <v>300</v>
      </c>
      <c r="D11" s="26">
        <v>50</v>
      </c>
      <c r="E11" s="26">
        <v>10</v>
      </c>
      <c r="F11" s="26">
        <v>5</v>
      </c>
      <c r="G11" s="26">
        <f>ROUND(C11/D11/(Gewicht/10),2)</f>
        <v>0.6</v>
      </c>
      <c r="H11" s="26" t="s">
        <v>1719</v>
      </c>
      <c r="I11" s="26" t="s">
        <v>982</v>
      </c>
      <c r="J11" s="26" t="s">
        <v>817</v>
      </c>
      <c r="K11" s="26">
        <v>100</v>
      </c>
      <c r="L11" s="26">
        <v>25</v>
      </c>
    </row>
    <row r="12" spans="1:16" x14ac:dyDescent="0.35">
      <c r="A12" s="26">
        <v>10</v>
      </c>
      <c r="B12" s="26" t="s">
        <v>865</v>
      </c>
      <c r="C12" s="26">
        <f>ROUND((F12/10)*(Gewicht/10)*D12/(E12/10)/24/K12,0)*K12</f>
        <v>40</v>
      </c>
      <c r="D12" s="26">
        <v>50</v>
      </c>
      <c r="E12" s="26">
        <v>10</v>
      </c>
      <c r="F12" s="26">
        <v>20</v>
      </c>
      <c r="G12" s="26">
        <f>ROUND(24*C12/D12/(Gewicht/10),1)</f>
        <v>1.9</v>
      </c>
      <c r="H12" s="26" t="s">
        <v>1720</v>
      </c>
      <c r="I12" s="26" t="s">
        <v>726</v>
      </c>
      <c r="J12" s="26" t="s">
        <v>817</v>
      </c>
      <c r="K12" s="26">
        <v>20</v>
      </c>
      <c r="L12" s="26">
        <v>10</v>
      </c>
    </row>
    <row r="13" spans="1:16" x14ac:dyDescent="0.35">
      <c r="A13" s="26">
        <v>11</v>
      </c>
      <c r="B13" s="26" t="s">
        <v>933</v>
      </c>
      <c r="C13" s="26">
        <f>ROUND((F13/1)*(Gewicht/10)*D13/(E13/10)/K13,0)*K13</f>
        <v>10000</v>
      </c>
      <c r="D13" s="26">
        <v>50</v>
      </c>
      <c r="E13" s="26">
        <v>10</v>
      </c>
      <c r="F13" s="26">
        <v>15</v>
      </c>
      <c r="G13" s="26">
        <f>ROUND(C13/D13/(Gewicht/10),1)</f>
        <v>20</v>
      </c>
      <c r="H13" s="26" t="s">
        <v>934</v>
      </c>
      <c r="I13" s="26" t="s">
        <v>935</v>
      </c>
      <c r="J13" s="26" t="s">
        <v>932</v>
      </c>
      <c r="K13" s="26">
        <v>5000</v>
      </c>
      <c r="L13" s="26">
        <v>5000</v>
      </c>
    </row>
    <row r="14" spans="1:16" x14ac:dyDescent="0.35">
      <c r="A14" s="26">
        <v>12</v>
      </c>
      <c r="B14" s="26" t="s">
        <v>1996</v>
      </c>
      <c r="C14" s="26">
        <f>ROUND((F14/100/1000)*(Gewicht/10)*60*D14/(E14/10)/K14,1)*K14</f>
        <v>3</v>
      </c>
      <c r="D14" s="26">
        <v>50</v>
      </c>
      <c r="E14" s="26">
        <v>10</v>
      </c>
      <c r="F14" s="26">
        <v>10</v>
      </c>
      <c r="G14" s="26">
        <f>ROUND(1000*C14/D14/(Gewicht/10)/60,3)</f>
        <v>0.1</v>
      </c>
      <c r="H14" s="26" t="s">
        <v>2091</v>
      </c>
      <c r="I14" s="26" t="s">
        <v>1301</v>
      </c>
      <c r="J14" s="26" t="s">
        <v>817</v>
      </c>
      <c r="K14" s="26">
        <v>2</v>
      </c>
      <c r="L14" s="26">
        <v>2</v>
      </c>
    </row>
    <row r="15" spans="1:16" x14ac:dyDescent="0.35">
      <c r="A15" s="26">
        <v>13</v>
      </c>
      <c r="B15" s="26" t="s">
        <v>42</v>
      </c>
      <c r="C15" s="26">
        <f>ROUND((F15/100/100)*(Gewicht/10)*60*D15/(E15/10)/K15,0)*K15</f>
        <v>30</v>
      </c>
      <c r="D15" s="26">
        <v>50</v>
      </c>
      <c r="E15" s="26">
        <v>10</v>
      </c>
      <c r="F15" s="26">
        <v>10</v>
      </c>
      <c r="G15" s="26">
        <f>ROUND(1000*C15/D15/(Gewicht/10)/60,2)</f>
        <v>1</v>
      </c>
      <c r="H15" s="26" t="s">
        <v>2091</v>
      </c>
      <c r="I15" s="26" t="s">
        <v>1491</v>
      </c>
      <c r="J15" s="26" t="s">
        <v>817</v>
      </c>
      <c r="K15" s="26">
        <v>10</v>
      </c>
      <c r="L15" s="26">
        <v>5</v>
      </c>
    </row>
    <row r="16" spans="1:16" x14ac:dyDescent="0.35">
      <c r="A16" s="26">
        <v>14</v>
      </c>
      <c r="B16" s="26" t="s">
        <v>1711</v>
      </c>
      <c r="C16" s="26">
        <f>IF(IF(MedIVMlSpuit_14=1,5,ROUND((F16/100)*(Gewicht/10)*D16/(E16/10)/K16,0)*K16)/MedIVMlSpuit_14&gt;L16,MedIVMlSpuit_14*L16,IF(MedIVMlSpuit_14=1,5,ROUND((F16/100)*(Gewicht/10)*D16/(E16/10)/K16,0)*K16))</f>
        <v>50</v>
      </c>
      <c r="D16" s="26">
        <v>50</v>
      </c>
      <c r="E16" s="26">
        <v>10</v>
      </c>
      <c r="F16" s="26">
        <v>10</v>
      </c>
      <c r="G16" s="26">
        <f>ROUND(C16/D16/(Gewicht/10),3)</f>
        <v>0.1</v>
      </c>
      <c r="H16" s="26" t="s">
        <v>1719</v>
      </c>
      <c r="I16" s="26" t="s">
        <v>604</v>
      </c>
      <c r="J16" s="26" t="s">
        <v>817</v>
      </c>
      <c r="K16" s="26">
        <v>5</v>
      </c>
      <c r="L16" s="26">
        <v>5</v>
      </c>
    </row>
    <row r="17" spans="1:14" x14ac:dyDescent="0.35">
      <c r="A17" s="26">
        <v>15</v>
      </c>
      <c r="B17" s="26" t="s">
        <v>1521</v>
      </c>
      <c r="C17" s="26">
        <f>ROUND((F17/100/1000)*(Gewicht/10)*60*D17/(E17/10)/K17,0)*K17</f>
        <v>10</v>
      </c>
      <c r="D17" s="26">
        <v>50</v>
      </c>
      <c r="E17" s="26">
        <v>10</v>
      </c>
      <c r="F17" s="26">
        <v>30</v>
      </c>
      <c r="G17" s="26">
        <f>ROUND(1000*C17/D17/(Gewicht/10)/60,3)</f>
        <v>0.33300000000000002</v>
      </c>
      <c r="H17" s="26" t="s">
        <v>2091</v>
      </c>
      <c r="I17" s="26" t="s">
        <v>1974</v>
      </c>
      <c r="J17" s="26" t="s">
        <v>817</v>
      </c>
      <c r="K17" s="26">
        <v>10</v>
      </c>
      <c r="L17" s="26">
        <v>0.2</v>
      </c>
    </row>
    <row r="18" spans="1:14" x14ac:dyDescent="0.35">
      <c r="A18" s="26">
        <v>16</v>
      </c>
      <c r="B18" s="26" t="s">
        <v>605</v>
      </c>
      <c r="C18" s="26">
        <f>ROUND((F18/100)*(Gewicht/10)*D18/(E18)/24/K18,0)*K18</f>
        <v>10</v>
      </c>
      <c r="D18" s="26">
        <v>50</v>
      </c>
      <c r="E18" s="26">
        <v>10</v>
      </c>
      <c r="F18" s="26">
        <v>250</v>
      </c>
      <c r="G18" s="26">
        <f>ROUND(24*C18/D18/(Gewicht/10),4)</f>
        <v>0.48</v>
      </c>
      <c r="H18" s="26" t="s">
        <v>1720</v>
      </c>
      <c r="I18" s="26" t="s">
        <v>607</v>
      </c>
      <c r="J18" s="26" t="s">
        <v>817</v>
      </c>
      <c r="K18" s="26">
        <v>10</v>
      </c>
      <c r="L18" s="26">
        <v>10</v>
      </c>
    </row>
    <row r="19" spans="1:14" x14ac:dyDescent="0.35">
      <c r="A19" s="26">
        <v>17</v>
      </c>
      <c r="B19" s="26" t="s">
        <v>1601</v>
      </c>
      <c r="C19" s="26">
        <v>0.5</v>
      </c>
      <c r="G19" s="26">
        <f>ROUND(24*C19/(Gewicht/10),2)</f>
        <v>1.2</v>
      </c>
      <c r="H19" s="26" t="s">
        <v>1977</v>
      </c>
      <c r="I19" s="26" t="s">
        <v>985</v>
      </c>
      <c r="J19" s="26" t="s">
        <v>1893</v>
      </c>
    </row>
    <row r="20" spans="1:14" x14ac:dyDescent="0.35">
      <c r="A20" s="26">
        <v>18</v>
      </c>
      <c r="B20" s="26" t="s">
        <v>300</v>
      </c>
      <c r="C20" s="26">
        <f>K20</f>
        <v>10</v>
      </c>
      <c r="D20" s="26">
        <v>50</v>
      </c>
      <c r="E20" s="26">
        <v>10</v>
      </c>
      <c r="F20" s="26">
        <v>30</v>
      </c>
      <c r="G20" s="26">
        <f>ROUND(1000*C20/D20/(Gewicht/10)/60,3)</f>
        <v>0.33300000000000002</v>
      </c>
      <c r="H20" s="26" t="s">
        <v>2091</v>
      </c>
      <c r="I20" s="26" t="s">
        <v>302</v>
      </c>
      <c r="J20" s="26" t="s">
        <v>817</v>
      </c>
      <c r="K20" s="26">
        <f>IF(Gewicht/10&gt;10,20,10)</f>
        <v>10</v>
      </c>
      <c r="L20" s="26">
        <v>1</v>
      </c>
    </row>
    <row r="21" spans="1:14" x14ac:dyDescent="0.35">
      <c r="A21" s="26">
        <v>19</v>
      </c>
      <c r="B21" s="26" t="s">
        <v>1975</v>
      </c>
      <c r="C21" s="26">
        <f>ROUND((F21/100/1000)*(Gewicht/10)*60*D21/(E21/10)/K21,)*K21</f>
        <v>5</v>
      </c>
      <c r="D21" s="26">
        <v>50</v>
      </c>
      <c r="E21" s="26">
        <v>10</v>
      </c>
      <c r="F21" s="26">
        <v>10</v>
      </c>
      <c r="G21" s="26">
        <f>ROUND(1000*C21/D21/(Gewicht/10)/60,3)</f>
        <v>0.16700000000000001</v>
      </c>
      <c r="H21" s="26" t="s">
        <v>2091</v>
      </c>
      <c r="I21" s="26" t="s">
        <v>1976</v>
      </c>
      <c r="J21" s="26" t="s">
        <v>817</v>
      </c>
      <c r="K21" s="26">
        <v>5</v>
      </c>
      <c r="L21" s="26">
        <v>1</v>
      </c>
    </row>
    <row r="22" spans="1:14" x14ac:dyDescent="0.35">
      <c r="A22" s="26">
        <v>20</v>
      </c>
      <c r="B22" s="26" t="s">
        <v>1534</v>
      </c>
      <c r="C22" s="26">
        <v>10</v>
      </c>
      <c r="G22" s="26">
        <f>ROUND(C22/(Gewicht/10),3)</f>
        <v>1</v>
      </c>
      <c r="H22" s="26" t="s">
        <v>1719</v>
      </c>
      <c r="I22" s="26" t="s">
        <v>2142</v>
      </c>
      <c r="J22" s="26" t="s">
        <v>1734</v>
      </c>
    </row>
    <row r="23" spans="1:14" x14ac:dyDescent="0.35">
      <c r="A23" s="26">
        <v>21</v>
      </c>
      <c r="B23" s="26" t="s">
        <v>1535</v>
      </c>
      <c r="C23" s="26">
        <v>20</v>
      </c>
      <c r="G23" s="26">
        <f>ROUND(C23/(Gewicht/10),3)</f>
        <v>2</v>
      </c>
      <c r="H23" s="26" t="s">
        <v>1719</v>
      </c>
      <c r="I23" s="26" t="s">
        <v>2142</v>
      </c>
      <c r="J23" s="26" t="s">
        <v>1734</v>
      </c>
    </row>
    <row r="24" spans="1:14" x14ac:dyDescent="0.35">
      <c r="A24" s="26">
        <v>22</v>
      </c>
      <c r="B24" s="26" t="s">
        <v>1300</v>
      </c>
      <c r="C24" s="26">
        <f>ROUND((F24/10)*(Gewicht/10)*D24/(E24/10)/K24,0)*K24</f>
        <v>300</v>
      </c>
      <c r="D24" s="26">
        <v>50</v>
      </c>
      <c r="E24" s="26">
        <v>10</v>
      </c>
      <c r="F24" s="26">
        <v>6</v>
      </c>
      <c r="G24" s="26">
        <f>ROUND(C24/D24/(Gewicht/10),2)</f>
        <v>0.6</v>
      </c>
      <c r="H24" s="26" t="s">
        <v>1719</v>
      </c>
      <c r="I24" s="26" t="s">
        <v>1551</v>
      </c>
      <c r="J24" s="26" t="s">
        <v>817</v>
      </c>
      <c r="K24" s="26">
        <v>50</v>
      </c>
      <c r="L24" s="26">
        <v>10</v>
      </c>
    </row>
    <row r="25" spans="1:14" x14ac:dyDescent="0.35">
      <c r="A25" s="26">
        <v>23</v>
      </c>
      <c r="B25" s="26" t="s">
        <v>145</v>
      </c>
      <c r="C25" s="26">
        <f>ROUND((F25/10/1000)*(Gewicht/10)*60*D25/(E25/10)/K25,0)*K25</f>
        <v>5</v>
      </c>
      <c r="D25" s="26">
        <v>50</v>
      </c>
      <c r="E25" s="26">
        <v>10</v>
      </c>
      <c r="F25" s="26">
        <v>2</v>
      </c>
      <c r="G25" s="26">
        <f>ROUND(1000*C25/D25/(Gewicht/10)/60,2)</f>
        <v>0.17</v>
      </c>
      <c r="H25" s="26" t="s">
        <v>2091</v>
      </c>
      <c r="I25" s="26" t="s">
        <v>1492</v>
      </c>
      <c r="J25" s="26" t="s">
        <v>817</v>
      </c>
      <c r="K25" s="26">
        <v>5</v>
      </c>
      <c r="L25" s="26">
        <v>1</v>
      </c>
    </row>
    <row r="26" spans="1:14" x14ac:dyDescent="0.35">
      <c r="A26" s="26">
        <v>24</v>
      </c>
      <c r="B26" s="26" t="s">
        <v>1691</v>
      </c>
      <c r="C26" s="26">
        <v>48</v>
      </c>
      <c r="D26" s="26">
        <v>50</v>
      </c>
      <c r="E26" s="26">
        <v>10</v>
      </c>
      <c r="F26" s="26">
        <v>70</v>
      </c>
      <c r="G26" s="26">
        <f>ROUND(C26/D26/(Gewicht/10),1)</f>
        <v>0.1</v>
      </c>
      <c r="H26" s="26" t="s">
        <v>1719</v>
      </c>
      <c r="I26" s="26" t="s">
        <v>2139</v>
      </c>
      <c r="J26" s="26" t="s">
        <v>817</v>
      </c>
      <c r="K26" s="26">
        <v>500</v>
      </c>
    </row>
    <row r="27" spans="1:14" x14ac:dyDescent="0.35">
      <c r="A27" s="26">
        <v>25</v>
      </c>
      <c r="B27" s="26" t="s">
        <v>2143</v>
      </c>
      <c r="C27" s="26">
        <v>0</v>
      </c>
      <c r="D27" s="26">
        <v>100</v>
      </c>
      <c r="E27" s="26">
        <v>10</v>
      </c>
      <c r="F27" s="26">
        <v>10</v>
      </c>
      <c r="G27" s="26">
        <f>F27/10</f>
        <v>1</v>
      </c>
      <c r="H27" s="26" t="s">
        <v>2144</v>
      </c>
      <c r="I27" s="26" t="s">
        <v>2170</v>
      </c>
      <c r="J27" s="26" t="s">
        <v>818</v>
      </c>
      <c r="K27" s="26">
        <v>10</v>
      </c>
    </row>
    <row r="29" spans="1:14" x14ac:dyDescent="0.35">
      <c r="F29" s="32"/>
      <c r="G29" s="32"/>
      <c r="H29" s="32"/>
      <c r="I29" s="32"/>
      <c r="J29" s="32"/>
      <c r="K29" s="32"/>
      <c r="L29" s="32"/>
    </row>
    <row r="30" spans="1:14" ht="25.65" x14ac:dyDescent="0.35">
      <c r="A30" s="34" t="s">
        <v>1080</v>
      </c>
      <c r="B30" s="34" t="s">
        <v>1081</v>
      </c>
      <c r="C30" s="35" t="s">
        <v>1552</v>
      </c>
      <c r="D30" s="34" t="s">
        <v>1082</v>
      </c>
      <c r="E30" s="35" t="s">
        <v>930</v>
      </c>
      <c r="F30" s="36" t="s">
        <v>931</v>
      </c>
      <c r="G30" s="36" t="s">
        <v>1310</v>
      </c>
      <c r="H30" s="35" t="s">
        <v>1313</v>
      </c>
      <c r="I30" s="35" t="s">
        <v>1309</v>
      </c>
      <c r="J30" s="35" t="s">
        <v>1005</v>
      </c>
      <c r="K30" s="35" t="s">
        <v>1006</v>
      </c>
      <c r="L30" s="35" t="s">
        <v>1978</v>
      </c>
      <c r="M30" s="26" t="s">
        <v>999</v>
      </c>
      <c r="N30" s="35" t="s">
        <v>956</v>
      </c>
    </row>
    <row r="31" spans="1:14" x14ac:dyDescent="0.35">
      <c r="A31" s="26">
        <v>1</v>
      </c>
      <c r="B31" s="26">
        <v>1</v>
      </c>
      <c r="D31" s="26">
        <v>4</v>
      </c>
      <c r="E31" s="33">
        <v>1</v>
      </c>
      <c r="F31" s="33">
        <f>IF(MedicatieIV!C8&lt;&gt;0,24*E31/10,0)</f>
        <v>0</v>
      </c>
      <c r="G31" s="33">
        <f>IF(ber_IVmed!$D31=2,ber_IVmed!F31*0.05,0)</f>
        <v>0</v>
      </c>
      <c r="H31" s="33">
        <f>IF(ber_IVmed!$D31=3,ber_IVmed!F31*0.1,0)</f>
        <v>0</v>
      </c>
      <c r="I31" s="33">
        <f>IF(ber_IVmed!$D31=1,ber_IVmed!F31*0.155,0)</f>
        <v>0</v>
      </c>
      <c r="J31" s="26">
        <f>IF(OR($B31=18),0.5*$F31,IF(B31=4,F31*145/1000,0))</f>
        <v>0</v>
      </c>
      <c r="K31" s="26">
        <f>IF(OR($B31=19),0,0)</f>
        <v>0</v>
      </c>
      <c r="L31" s="26">
        <f>IF(OR($B31=4),0.2*$F31,0)</f>
        <v>0</v>
      </c>
      <c r="M31" s="26">
        <f>IF(OR(B31=20,B31=21),0.1*F31,0)</f>
        <v>0</v>
      </c>
    </row>
    <row r="32" spans="1:14" x14ac:dyDescent="0.35">
      <c r="A32" s="26">
        <v>2</v>
      </c>
      <c r="B32" s="26">
        <v>1</v>
      </c>
      <c r="D32" s="26">
        <v>4</v>
      </c>
      <c r="E32" s="33"/>
      <c r="F32" s="33">
        <f>IF(MedicatieIV!C9&lt;&gt;0,24*E32/10,0)</f>
        <v>0</v>
      </c>
      <c r="G32" s="33">
        <f>IF(ber_IVmed!$D32=2,ber_IVmed!F32*0.05,0)</f>
        <v>0</v>
      </c>
      <c r="H32" s="33">
        <f>IF(ber_IVmed!$D32=3,ber_IVmed!F32*0.1,0)</f>
        <v>0</v>
      </c>
      <c r="I32" s="33">
        <f>IF(ber_IVmed!$D32=1,ber_IVmed!F32*0.155,0)</f>
        <v>0</v>
      </c>
      <c r="J32" s="26">
        <f t="shared" ref="J32:J45" si="0">IF(OR($B32=18),0.5*$F32,IF(B32=4,F32*145/1000,0))</f>
        <v>0</v>
      </c>
      <c r="K32" s="26">
        <f t="shared" ref="K32:K45" si="1">IF(OR($B32=19),0,0)</f>
        <v>0</v>
      </c>
      <c r="L32" s="26">
        <f t="shared" ref="L32:L45" si="2">IF(OR($B32=4),0.2*$F32,0)</f>
        <v>0</v>
      </c>
      <c r="M32" s="26">
        <f t="shared" ref="M32:M45" si="3">IF(OR(B32=20,B32=21),0.1*F32,0)</f>
        <v>0</v>
      </c>
    </row>
    <row r="33" spans="1:13" x14ac:dyDescent="0.35">
      <c r="A33" s="26">
        <v>3</v>
      </c>
      <c r="B33" s="26">
        <v>1</v>
      </c>
      <c r="D33" s="26">
        <v>4</v>
      </c>
      <c r="E33" s="33"/>
      <c r="F33" s="33">
        <f>IF(MedicatieIV!C10&lt;&gt;0,24*E33/10,0)</f>
        <v>0</v>
      </c>
      <c r="G33" s="33">
        <f>IF(ber_IVmed!$D33=2,ber_IVmed!F33*0.05,0)</f>
        <v>0</v>
      </c>
      <c r="H33" s="33">
        <f>IF(ber_IVmed!$D33=3,ber_IVmed!F33*0.1,0)</f>
        <v>0</v>
      </c>
      <c r="I33" s="33">
        <f>IF(ber_IVmed!$D33=1,ber_IVmed!F33*0.155,0)</f>
        <v>0</v>
      </c>
      <c r="J33" s="26">
        <f t="shared" si="0"/>
        <v>0</v>
      </c>
      <c r="K33" s="26">
        <f t="shared" si="1"/>
        <v>0</v>
      </c>
      <c r="L33" s="26">
        <f t="shared" si="2"/>
        <v>0</v>
      </c>
      <c r="M33" s="26">
        <f t="shared" si="3"/>
        <v>0</v>
      </c>
    </row>
    <row r="34" spans="1:13" x14ac:dyDescent="0.35">
      <c r="A34" s="26">
        <v>4</v>
      </c>
      <c r="B34" s="26">
        <v>1</v>
      </c>
      <c r="D34" s="26">
        <v>4</v>
      </c>
      <c r="E34" s="33"/>
      <c r="F34" s="33">
        <f>IF(MedicatieIV!C11&lt;&gt;0,24*E34/10,0)</f>
        <v>0</v>
      </c>
      <c r="G34" s="33">
        <f>IF(ber_IVmed!$D34=2,ber_IVmed!F34*0.05,0)</f>
        <v>0</v>
      </c>
      <c r="H34" s="33">
        <f>IF(ber_IVmed!$D34=3,ber_IVmed!F34*0.1,0)</f>
        <v>0</v>
      </c>
      <c r="I34" s="33">
        <f>IF(ber_IVmed!$D34=1,ber_IVmed!F34*0.155,0)</f>
        <v>0</v>
      </c>
      <c r="J34" s="26">
        <f t="shared" si="0"/>
        <v>0</v>
      </c>
      <c r="K34" s="26">
        <f t="shared" si="1"/>
        <v>0</v>
      </c>
      <c r="L34" s="26">
        <f t="shared" si="2"/>
        <v>0</v>
      </c>
      <c r="M34" s="26">
        <f t="shared" si="3"/>
        <v>0</v>
      </c>
    </row>
    <row r="35" spans="1:13" x14ac:dyDescent="0.35">
      <c r="A35" s="26">
        <v>5</v>
      </c>
      <c r="B35" s="26">
        <v>1</v>
      </c>
      <c r="D35" s="26">
        <v>4</v>
      </c>
      <c r="E35" s="33"/>
      <c r="F35" s="33">
        <f>IF(MedicatieIV!C12&lt;&gt;0,24*E35/10,0)</f>
        <v>0</v>
      </c>
      <c r="G35" s="33">
        <f>IF(ber_IVmed!$D35=2,ber_IVmed!F35*0.05,0)</f>
        <v>0</v>
      </c>
      <c r="H35" s="33">
        <f>IF(ber_IVmed!$D35=3,ber_IVmed!F35*0.1,0)</f>
        <v>0</v>
      </c>
      <c r="I35" s="33">
        <f>IF(ber_IVmed!$D35=1,ber_IVmed!F35*0.155,0)</f>
        <v>0</v>
      </c>
      <c r="J35" s="26">
        <f t="shared" si="0"/>
        <v>0</v>
      </c>
      <c r="K35" s="26">
        <f t="shared" si="1"/>
        <v>0</v>
      </c>
      <c r="L35" s="26">
        <f t="shared" si="2"/>
        <v>0</v>
      </c>
      <c r="M35" s="26">
        <f t="shared" si="3"/>
        <v>0</v>
      </c>
    </row>
    <row r="36" spans="1:13" x14ac:dyDescent="0.35">
      <c r="A36" s="26">
        <v>6</v>
      </c>
      <c r="B36" s="26">
        <v>1</v>
      </c>
      <c r="D36" s="26">
        <v>4</v>
      </c>
      <c r="E36" s="33"/>
      <c r="F36" s="33">
        <f>IF(MedicatieIV!C13&lt;&gt;0,24*E36/10,0)</f>
        <v>0</v>
      </c>
      <c r="G36" s="33">
        <f>IF(ber_IVmed!$D36=2,ber_IVmed!F36*0.05,0)</f>
        <v>0</v>
      </c>
      <c r="H36" s="33">
        <f>IF(ber_IVmed!$D36=3,ber_IVmed!F36*0.1,0)</f>
        <v>0</v>
      </c>
      <c r="I36" s="33">
        <f>IF(ber_IVmed!$D36=1,ber_IVmed!F36*0.155,0)</f>
        <v>0</v>
      </c>
      <c r="J36" s="26">
        <f t="shared" si="0"/>
        <v>0</v>
      </c>
      <c r="K36" s="26">
        <f t="shared" si="1"/>
        <v>0</v>
      </c>
      <c r="L36" s="26">
        <f t="shared" si="2"/>
        <v>0</v>
      </c>
      <c r="M36" s="26">
        <f t="shared" si="3"/>
        <v>0</v>
      </c>
    </row>
    <row r="37" spans="1:13" x14ac:dyDescent="0.35">
      <c r="A37" s="26">
        <v>7</v>
      </c>
      <c r="B37" s="26">
        <v>1</v>
      </c>
      <c r="D37" s="26">
        <v>4</v>
      </c>
      <c r="E37" s="33"/>
      <c r="F37" s="33">
        <f>IF(MedicatieIV!C14&lt;&gt;0,24*E37/10,0)</f>
        <v>0</v>
      </c>
      <c r="G37" s="33">
        <f>IF(ber_IVmed!$D37=2,ber_IVmed!F37*0.05,0)</f>
        <v>0</v>
      </c>
      <c r="H37" s="33">
        <f>IF(ber_IVmed!$D37=3,ber_IVmed!F37*0.1,0)</f>
        <v>0</v>
      </c>
      <c r="I37" s="33">
        <f>IF(ber_IVmed!$D37=1,ber_IVmed!F37*0.155,0)</f>
        <v>0</v>
      </c>
      <c r="J37" s="26">
        <f t="shared" si="0"/>
        <v>0</v>
      </c>
      <c r="K37" s="26">
        <f t="shared" si="1"/>
        <v>0</v>
      </c>
      <c r="L37" s="26">
        <f t="shared" si="2"/>
        <v>0</v>
      </c>
      <c r="M37" s="26">
        <f t="shared" si="3"/>
        <v>0</v>
      </c>
    </row>
    <row r="38" spans="1:13" x14ac:dyDescent="0.35">
      <c r="A38" s="26">
        <v>8</v>
      </c>
      <c r="B38" s="26">
        <v>1</v>
      </c>
      <c r="D38" s="26">
        <v>4</v>
      </c>
      <c r="E38" s="33"/>
      <c r="F38" s="33">
        <f>IF(MedicatieIV!C15&lt;&gt;0,24*E38/10,0)</f>
        <v>0</v>
      </c>
      <c r="G38" s="33">
        <f>IF(ber_IVmed!$D38=2,ber_IVmed!F38*0.05,0)</f>
        <v>0</v>
      </c>
      <c r="H38" s="33">
        <f>IF(ber_IVmed!$D38=3,ber_IVmed!F38*0.1,0)</f>
        <v>0</v>
      </c>
      <c r="I38" s="33">
        <f>IF(ber_IVmed!$D38=1,ber_IVmed!F38*0.155,0)</f>
        <v>0</v>
      </c>
      <c r="J38" s="26">
        <f t="shared" si="0"/>
        <v>0</v>
      </c>
      <c r="K38" s="26">
        <f t="shared" si="1"/>
        <v>0</v>
      </c>
      <c r="L38" s="26">
        <f t="shared" si="2"/>
        <v>0</v>
      </c>
      <c r="M38" s="26">
        <f t="shared" si="3"/>
        <v>0</v>
      </c>
    </row>
    <row r="39" spans="1:13" x14ac:dyDescent="0.35">
      <c r="A39" s="26">
        <v>9</v>
      </c>
      <c r="B39" s="26">
        <v>1</v>
      </c>
      <c r="D39" s="26">
        <v>4</v>
      </c>
      <c r="E39" s="33"/>
      <c r="F39" s="33">
        <f>IF(MedicatieIV!C16&lt;&gt;0,24*E39/10,0)</f>
        <v>0</v>
      </c>
      <c r="G39" s="33">
        <f>IF(ber_IVmed!$D39=2,ber_IVmed!F39*0.05,0)</f>
        <v>0</v>
      </c>
      <c r="H39" s="33">
        <f>IF(ber_IVmed!$D39=3,ber_IVmed!F39*0.1,0)</f>
        <v>0</v>
      </c>
      <c r="I39" s="33">
        <f>IF(ber_IVmed!$D39=1,ber_IVmed!F39*0.155,0)</f>
        <v>0</v>
      </c>
      <c r="J39" s="26">
        <f t="shared" si="0"/>
        <v>0</v>
      </c>
      <c r="K39" s="26">
        <f t="shared" si="1"/>
        <v>0</v>
      </c>
      <c r="L39" s="26">
        <f t="shared" si="2"/>
        <v>0</v>
      </c>
      <c r="M39" s="26">
        <f t="shared" si="3"/>
        <v>0</v>
      </c>
    </row>
    <row r="40" spans="1:13" x14ac:dyDescent="0.35">
      <c r="A40" s="26">
        <v>10</v>
      </c>
      <c r="B40" s="26">
        <v>1</v>
      </c>
      <c r="D40" s="26">
        <v>4</v>
      </c>
      <c r="E40" s="33"/>
      <c r="F40" s="33">
        <f>IF(MedicatieIV!C17&lt;&gt;0,24*E40/10,0)</f>
        <v>0</v>
      </c>
      <c r="G40" s="33">
        <f>IF(ber_IVmed!$D40=2,ber_IVmed!F40*0.05,0)</f>
        <v>0</v>
      </c>
      <c r="H40" s="33">
        <f>IF(ber_IVmed!$D40=3,ber_IVmed!F40*0.1,0)</f>
        <v>0</v>
      </c>
      <c r="I40" s="33">
        <f>IF(ber_IVmed!$D40=1,ber_IVmed!F40*0.155,0)</f>
        <v>0</v>
      </c>
      <c r="J40" s="26">
        <f t="shared" si="0"/>
        <v>0</v>
      </c>
      <c r="K40" s="26">
        <f t="shared" si="1"/>
        <v>0</v>
      </c>
      <c r="L40" s="26">
        <f t="shared" si="2"/>
        <v>0</v>
      </c>
      <c r="M40" s="26">
        <f t="shared" si="3"/>
        <v>0</v>
      </c>
    </row>
    <row r="41" spans="1:13" x14ac:dyDescent="0.35">
      <c r="A41" s="26">
        <v>11</v>
      </c>
      <c r="C41" s="33"/>
      <c r="D41" s="26">
        <v>4</v>
      </c>
      <c r="E41" s="33"/>
      <c r="F41" s="33">
        <f>IF(MedicatieIV!C19&lt;&gt;"",E41/10*24,0)</f>
        <v>0</v>
      </c>
      <c r="G41" s="33">
        <f>IF(ber_IVmed!$D41=2,ber_IVmed!F41*0.05,0)</f>
        <v>0</v>
      </c>
      <c r="H41" s="33">
        <f>IF(ber_IVmed!$D41=3,ber_IVmed!F41*0.1,0)</f>
        <v>0</v>
      </c>
      <c r="I41" s="33">
        <f>IF(ber_IVmed!$D41=1,ber_IVmed!F41*0.155,0)</f>
        <v>0</v>
      </c>
      <c r="J41" s="26">
        <f t="shared" si="0"/>
        <v>0</v>
      </c>
      <c r="K41" s="26">
        <f t="shared" si="1"/>
        <v>0</v>
      </c>
      <c r="L41" s="26">
        <f t="shared" si="2"/>
        <v>0</v>
      </c>
      <c r="M41" s="26">
        <f t="shared" si="3"/>
        <v>0</v>
      </c>
    </row>
    <row r="42" spans="1:13" x14ac:dyDescent="0.35">
      <c r="A42" s="26">
        <v>12</v>
      </c>
      <c r="C42" s="33"/>
      <c r="D42" s="26">
        <v>4</v>
      </c>
      <c r="E42" s="33"/>
      <c r="F42" s="33">
        <f>IF(MedicatieIV!C20&lt;&gt;"",E42/10*24,0)</f>
        <v>0</v>
      </c>
      <c r="G42" s="33">
        <f>IF(ber_IVmed!$D42=2,ber_IVmed!F42*0.05,0)</f>
        <v>0</v>
      </c>
      <c r="H42" s="33">
        <f>IF(ber_IVmed!$D42=3,ber_IVmed!F42*0.1,0)</f>
        <v>0</v>
      </c>
      <c r="I42" s="33">
        <f>IF(ber_IVmed!$D42=1,ber_IVmed!F42*0.155,0)</f>
        <v>0</v>
      </c>
      <c r="J42" s="26">
        <f t="shared" si="0"/>
        <v>0</v>
      </c>
      <c r="K42" s="26">
        <f t="shared" si="1"/>
        <v>0</v>
      </c>
      <c r="L42" s="26">
        <f t="shared" si="2"/>
        <v>0</v>
      </c>
      <c r="M42" s="26">
        <f t="shared" si="3"/>
        <v>0</v>
      </c>
    </row>
    <row r="43" spans="1:13" x14ac:dyDescent="0.35">
      <c r="A43" s="26">
        <v>13</v>
      </c>
      <c r="C43" s="33"/>
      <c r="D43" s="26">
        <v>4</v>
      </c>
      <c r="E43" s="33"/>
      <c r="F43" s="33">
        <f>IF(MedicatieIV!C21&lt;&gt;"",E43/10*24,0)</f>
        <v>0</v>
      </c>
      <c r="G43" s="33">
        <f>IF(ber_IVmed!$D43=2,ber_IVmed!F43*0.05,0)</f>
        <v>0</v>
      </c>
      <c r="H43" s="33">
        <f>IF(ber_IVmed!$D43=3,ber_IVmed!F43*0.1,0)</f>
        <v>0</v>
      </c>
      <c r="I43" s="33">
        <f>IF(ber_IVmed!$D43=1,ber_IVmed!F43*0.155,0)</f>
        <v>0</v>
      </c>
      <c r="J43" s="26">
        <f t="shared" si="0"/>
        <v>0</v>
      </c>
      <c r="K43" s="26">
        <f t="shared" si="1"/>
        <v>0</v>
      </c>
      <c r="L43" s="26">
        <f t="shared" si="2"/>
        <v>0</v>
      </c>
      <c r="M43" s="26">
        <f t="shared" si="3"/>
        <v>0</v>
      </c>
    </row>
    <row r="44" spans="1:13" x14ac:dyDescent="0.35">
      <c r="A44" s="26">
        <v>14</v>
      </c>
      <c r="C44" s="33"/>
      <c r="D44" s="26">
        <v>4</v>
      </c>
      <c r="E44" s="33"/>
      <c r="F44" s="33">
        <f>IF(MedicatieIV!C22&lt;&gt;"",E44/10*24,0)</f>
        <v>0</v>
      </c>
      <c r="G44" s="33">
        <f>IF(ber_IVmed!$D44=2,ber_IVmed!F44*0.05,0)</f>
        <v>0</v>
      </c>
      <c r="H44" s="33">
        <f>IF(ber_IVmed!$D44=3,ber_IVmed!F44*0.1,0)</f>
        <v>0</v>
      </c>
      <c r="I44" s="33">
        <f>IF(ber_IVmed!$D44=1,ber_IVmed!F44*0.155,0)</f>
        <v>0</v>
      </c>
      <c r="J44" s="26">
        <f t="shared" si="0"/>
        <v>0</v>
      </c>
      <c r="K44" s="26">
        <f t="shared" si="1"/>
        <v>0</v>
      </c>
      <c r="L44" s="26">
        <f t="shared" si="2"/>
        <v>0</v>
      </c>
      <c r="M44" s="26">
        <f t="shared" si="3"/>
        <v>0</v>
      </c>
    </row>
    <row r="45" spans="1:13" x14ac:dyDescent="0.35">
      <c r="A45" s="26">
        <v>15</v>
      </c>
      <c r="C45" s="33"/>
      <c r="D45" s="26">
        <v>4</v>
      </c>
      <c r="E45" s="33"/>
      <c r="F45" s="33">
        <f>IF(MedicatieIV!C23&lt;&gt;"",E45/10*24,0)</f>
        <v>0</v>
      </c>
      <c r="G45" s="33">
        <f>IF(ber_IVmed!$D45=2,ber_IVmed!F45*0.05,0)</f>
        <v>0</v>
      </c>
      <c r="H45" s="33">
        <f>IF(ber_IVmed!$D45=3,ber_IVmed!F45*0.1,0)</f>
        <v>0</v>
      </c>
      <c r="I45" s="33">
        <f>IF(ber_IVmed!$D45=1,ber_IVmed!F45*0.155,0)</f>
        <v>0</v>
      </c>
      <c r="J45" s="26">
        <f t="shared" si="0"/>
        <v>0</v>
      </c>
      <c r="K45" s="26">
        <f t="shared" si="1"/>
        <v>0</v>
      </c>
      <c r="L45" s="26">
        <f t="shared" si="2"/>
        <v>0</v>
      </c>
      <c r="M45" s="26">
        <f t="shared" si="3"/>
        <v>0</v>
      </c>
    </row>
    <row r="46" spans="1:13" x14ac:dyDescent="0.35">
      <c r="F46" s="33">
        <f>SUM(F31:F45)</f>
        <v>0</v>
      </c>
      <c r="G46" s="33">
        <f>SUM(G31:G45)</f>
        <v>0</v>
      </c>
      <c r="H46" s="33">
        <f>SUM(H31:H45)</f>
        <v>0</v>
      </c>
      <c r="I46" s="33"/>
      <c r="J46" s="26">
        <f>SUM(J31:J45)+SUM(I31:I45)</f>
        <v>0</v>
      </c>
      <c r="K46" s="26">
        <f>SUM(K31:K45)</f>
        <v>0</v>
      </c>
      <c r="L46" s="26">
        <f>SUM(L31:L45)</f>
        <v>0</v>
      </c>
      <c r="M46" s="26">
        <f>SUM(M31:M45)</f>
        <v>0</v>
      </c>
    </row>
    <row r="47" spans="1:13" x14ac:dyDescent="0.35">
      <c r="M47" s="33"/>
    </row>
  </sheetData>
  <phoneticPr fontId="26" type="noConversion"/>
  <printOptions gridLines="1"/>
  <pageMargins left="0.53" right="0.22" top="1.06" bottom="1" header="0.5" footer="0.5"/>
  <pageSetup paperSize="9" orientation="landscape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nstellen">
    <outlinePr showOutlineSymbols="0"/>
    <pageSetUpPr autoPageBreaks="0"/>
  </sheetPr>
  <dimension ref="A1:I23"/>
  <sheetViews>
    <sheetView showGridLines="0" showRowColHeaders="0" showZeros="0" showOutlineSymbols="0" zoomScale="125" workbookViewId="0">
      <selection activeCell="F26" sqref="F26"/>
    </sheetView>
  </sheetViews>
  <sheetFormatPr defaultColWidth="9.1328125" defaultRowHeight="17.25" customHeight="1" x14ac:dyDescent="0.35"/>
  <cols>
    <col min="1" max="1" width="5.73046875" style="202" customWidth="1"/>
    <col min="2" max="2" width="13.3984375" style="202" customWidth="1"/>
    <col min="3" max="3" width="11.3984375" style="202" customWidth="1"/>
    <col min="4" max="4" width="11.73046875" style="202" customWidth="1"/>
    <col min="5" max="5" width="14.86328125" style="202" customWidth="1"/>
    <col min="6" max="6" width="18.265625" style="202" customWidth="1"/>
    <col min="7" max="7" width="25.59765625" style="202" customWidth="1"/>
    <col min="8" max="8" width="9.1328125" style="202"/>
    <col min="9" max="9" width="9.73046875" style="202" customWidth="1"/>
    <col min="10" max="16384" width="9.1328125" style="202"/>
  </cols>
  <sheetData>
    <row r="1" spans="1:9" ht="10" customHeight="1" x14ac:dyDescent="0.4">
      <c r="A1" s="201"/>
      <c r="B1" s="201"/>
      <c r="C1" s="201"/>
      <c r="D1" s="201"/>
      <c r="E1" s="201"/>
      <c r="F1" s="201"/>
      <c r="G1" s="201"/>
      <c r="H1" s="201"/>
    </row>
    <row r="2" spans="1:9" ht="17.25" customHeight="1" x14ac:dyDescent="0.4">
      <c r="A2" s="201"/>
      <c r="B2" s="244" t="s">
        <v>1427</v>
      </c>
      <c r="C2" s="245"/>
      <c r="D2" s="244" t="s">
        <v>1428</v>
      </c>
      <c r="E2" s="244" t="s">
        <v>1429</v>
      </c>
      <c r="F2" s="244" t="s">
        <v>1430</v>
      </c>
      <c r="G2" s="246" t="s">
        <v>1554</v>
      </c>
      <c r="H2" s="247" t="s">
        <v>937</v>
      </c>
      <c r="I2" s="332"/>
    </row>
    <row r="3" spans="1:9" ht="14.25" customHeight="1" x14ac:dyDescent="0.4">
      <c r="A3" s="201"/>
      <c r="C3" s="214"/>
      <c r="D3" s="214"/>
      <c r="E3" s="214"/>
      <c r="F3" s="214"/>
      <c r="G3" s="214"/>
      <c r="H3" s="214"/>
    </row>
    <row r="4" spans="1:9" ht="17.25" customHeight="1" x14ac:dyDescent="0.4">
      <c r="A4" s="201"/>
      <c r="B4" s="203" t="str">
        <f>ber_IVmed!B3</f>
        <v>insuline aspart</v>
      </c>
      <c r="C4" s="248" t="str">
        <f>ber_IVmed!C3&amp;" "&amp;ber_IVmed!J3</f>
        <v>30 E</v>
      </c>
      <c r="D4" s="209" t="str">
        <f>ber_IVmed!D3&amp;" ml"</f>
        <v>50 ml</v>
      </c>
      <c r="E4" s="210" t="str">
        <f>ber_IVmed!E3/10&amp;" ml/uur"</f>
        <v>1 ml/uur</v>
      </c>
      <c r="F4" s="211" t="str">
        <f>ber_IVmed!F3/100&amp;" "&amp;ber_IVmed!H3</f>
        <v>0.05 E/kg/uur</v>
      </c>
      <c r="G4" s="212" t="str">
        <f>ber_IVmed!I3</f>
        <v>0,05-0,1 E/kg/uur</v>
      </c>
      <c r="H4" s="213">
        <f>ber_IVmed!K3</f>
        <v>10</v>
      </c>
    </row>
    <row r="5" spans="1:9" ht="17.25" customHeight="1" x14ac:dyDescent="0.4">
      <c r="A5" s="201"/>
      <c r="B5" s="203" t="str">
        <f>ber_IVmed!B4</f>
        <v>adrenaline</v>
      </c>
      <c r="C5" s="248" t="str">
        <f>ber_IVmed!C4&amp;" "&amp;ber_IVmed!J4</f>
        <v>3 mg</v>
      </c>
      <c r="D5" s="209" t="str">
        <f>ber_IVmed!D4&amp;" ml"</f>
        <v>50 ml</v>
      </c>
      <c r="E5" s="210" t="str">
        <f>ber_IVmed!E4/10&amp;" ml/uur"</f>
        <v>1 ml/uur</v>
      </c>
      <c r="F5" s="211" t="str">
        <f>ber_IVmed!F4/100&amp;" "&amp;ber_IVmed!H4</f>
        <v>0.1 mcg/kg/min</v>
      </c>
      <c r="G5" s="212" t="str">
        <f>ber_IVmed!I4</f>
        <v>0,05-0,1 mcg/kg/min</v>
      </c>
      <c r="H5" s="213">
        <f>ber_IVmed!K4/10</f>
        <v>0.1</v>
      </c>
    </row>
    <row r="6" spans="1:9" ht="17.25" customHeight="1" x14ac:dyDescent="0.4">
      <c r="A6" s="201"/>
      <c r="B6" s="203" t="str">
        <f>ber_IVmed!B6</f>
        <v>alprostadil</v>
      </c>
      <c r="C6" s="249" t="str">
        <f>ber_IVmed!C6&amp;" "&amp;ber_IVmed!J6</f>
        <v>1 mg</v>
      </c>
      <c r="D6" s="204" t="str">
        <f>ber_IVmed!D6&amp;" ml"</f>
        <v>50 ml</v>
      </c>
      <c r="E6" s="205" t="str">
        <f>ber_IVmed!E6/10&amp;" ml/uur"</f>
        <v>1 ml/uur</v>
      </c>
      <c r="F6" s="206" t="str">
        <f>ber_IVmed!F6&amp;" "&amp;ber_IVmed!H6</f>
        <v>25 nanog/kg/min</v>
      </c>
      <c r="G6" s="207" t="str">
        <f>ber_IVmed!I6</f>
        <v>25-100 nanogram/kg/min</v>
      </c>
      <c r="H6" s="208">
        <f>ber_IVmed!K6/100</f>
        <v>0.5</v>
      </c>
    </row>
    <row r="7" spans="1:9" ht="17.25" customHeight="1" x14ac:dyDescent="0.4">
      <c r="A7" s="201"/>
      <c r="B7" s="203" t="str">
        <f>ber_IVmed!B7</f>
        <v>clonidine</v>
      </c>
      <c r="C7" s="249" t="str">
        <f>ber_IVmed!C7&amp;" "&amp;ber_IVmed!J7</f>
        <v>0.45 mg</v>
      </c>
      <c r="D7" s="204" t="str">
        <f>ber_IVmed!D7&amp;" ml"</f>
        <v>50 ml</v>
      </c>
      <c r="E7" s="205" t="str">
        <f>ber_IVmed!E7/10&amp;" ml/uur"</f>
        <v>1 ml/uur</v>
      </c>
      <c r="F7" s="206" t="str">
        <f>ber_IVmed!F7/100&amp;" "&amp;ber_IVmed!H7</f>
        <v>1 mcg/kg/uur</v>
      </c>
      <c r="G7" s="207" t="str">
        <f>ber_IVmed!I7</f>
        <v>0,25-2 mcg/kg/uur</v>
      </c>
      <c r="H7" s="208">
        <f>ber_IVmed!K7/1000</f>
        <v>0.15</v>
      </c>
    </row>
    <row r="8" spans="1:9" ht="17.25" customHeight="1" x14ac:dyDescent="0.4">
      <c r="A8" s="201"/>
      <c r="B8" s="203" t="str">
        <f>ber_IVmed!B8</f>
        <v>dobutamine</v>
      </c>
      <c r="C8" s="249" t="str">
        <f>ber_IVmed!C8&amp;" "&amp;ber_IVmed!J8</f>
        <v>250 mg</v>
      </c>
      <c r="D8" s="204" t="str">
        <f>ber_IVmed!D8&amp;" ml"</f>
        <v>50 ml</v>
      </c>
      <c r="E8" s="205" t="str">
        <f>ber_IVmed!E8/10&amp;" ml/uur"</f>
        <v>1 ml/uur</v>
      </c>
      <c r="F8" s="206" t="str">
        <f>ber_IVmed!F8/1&amp;" "&amp;ber_IVmed!H8</f>
        <v>10 mcg/kg/min</v>
      </c>
      <c r="G8" s="207" t="str">
        <f>ber_IVmed!I8</f>
        <v>2,5-20 mcg/kg/min</v>
      </c>
      <c r="H8" s="208">
        <f>ber_IVmed!K8/10</f>
        <v>250</v>
      </c>
    </row>
    <row r="9" spans="1:9" ht="17.25" customHeight="1" x14ac:dyDescent="0.4">
      <c r="A9" s="201"/>
      <c r="B9" s="203" t="str">
        <f>ber_IVmed!B9</f>
        <v>dopamine</v>
      </c>
      <c r="C9" s="249" t="str">
        <f>ber_IVmed!C9&amp;" "&amp;ber_IVmed!J9</f>
        <v>200 mg</v>
      </c>
      <c r="D9" s="204" t="str">
        <f>ber_IVmed!D9&amp;" ml"</f>
        <v>50 ml</v>
      </c>
      <c r="E9" s="205" t="str">
        <f>ber_IVmed!E9/10&amp;" ml/uur"</f>
        <v>1 ml/uur</v>
      </c>
      <c r="F9" s="206" t="str">
        <f>ber_IVmed!F9/1&amp;" "&amp;ber_IVmed!H9</f>
        <v>5 mcg/kg/min</v>
      </c>
      <c r="G9" s="207" t="str">
        <f>ber_IVmed!I9</f>
        <v>1-20 mcg/kg/min</v>
      </c>
      <c r="H9" s="208">
        <f>ber_IVmed!K9/1</f>
        <v>200</v>
      </c>
    </row>
    <row r="10" spans="1:9" ht="17.25" customHeight="1" x14ac:dyDescent="0.4">
      <c r="A10" s="201"/>
      <c r="B10" s="203" t="str">
        <f>ber_IVmed!B10</f>
        <v>epoprostenol</v>
      </c>
      <c r="C10" s="249" t="str">
        <f>ber_IVmed!C10&amp;" "&amp;ber_IVmed!J10</f>
        <v>0.5 mg</v>
      </c>
      <c r="D10" s="204" t="str">
        <f>ber_IVmed!D10&amp;" ml"</f>
        <v>50 ml</v>
      </c>
      <c r="E10" s="205" t="str">
        <f>ber_IVmed!E10/10&amp;" ml/uur"</f>
        <v>1 ml/uur</v>
      </c>
      <c r="F10" s="206" t="str">
        <f>ber_IVmed!F10/1&amp;" "&amp;ber_IVmed!H10</f>
        <v>10 nanog/kg/min</v>
      </c>
      <c r="G10" s="207" t="str">
        <f>ber_IVmed!I10</f>
        <v>5-30 nanogram/kg/min (moet in zout!)</v>
      </c>
      <c r="H10" s="208">
        <f>ber_IVmed!K10/100</f>
        <v>0.5</v>
      </c>
    </row>
    <row r="11" spans="1:9" ht="17.25" customHeight="1" x14ac:dyDescent="0.4">
      <c r="A11" s="201"/>
      <c r="B11" s="203" t="str">
        <f>ber_IVmed!B11</f>
        <v>esketamine</v>
      </c>
      <c r="C11" s="249" t="str">
        <f>ber_IVmed!C11&amp;" "&amp;ber_IVmed!J11</f>
        <v>300 mg</v>
      </c>
      <c r="D11" s="204" t="str">
        <f>ber_IVmed!D11&amp;" ml"</f>
        <v>50 ml</v>
      </c>
      <c r="E11" s="205" t="str">
        <f>ber_IVmed!E11/10&amp;" ml/uur"</f>
        <v>1 ml/uur</v>
      </c>
      <c r="F11" s="206" t="str">
        <f>ber_IVmed!F11/10&amp;" "&amp;ber_IVmed!H11</f>
        <v>0.5 mg/kg/uur</v>
      </c>
      <c r="G11" s="207" t="str">
        <f>ber_IVmed!I11</f>
        <v>0,5-1 mg/kg/uur</v>
      </c>
      <c r="H11" s="208">
        <f>ber_IVmed!K11</f>
        <v>100</v>
      </c>
    </row>
    <row r="12" spans="1:9" ht="17.25" customHeight="1" x14ac:dyDescent="0.4">
      <c r="A12" s="201"/>
      <c r="B12" s="203" t="str">
        <f>ber_IVmed!B12</f>
        <v>furosemide</v>
      </c>
      <c r="C12" s="249" t="str">
        <f>ber_IVmed!C12&amp;" "&amp;ber_IVmed!J12</f>
        <v>40 mg</v>
      </c>
      <c r="D12" s="204" t="str">
        <f>ber_IVmed!D12&amp;" ml"</f>
        <v>50 ml</v>
      </c>
      <c r="E12" s="205" t="str">
        <f>ber_IVmed!E12/10&amp;" ml/uur"</f>
        <v>1 ml/uur</v>
      </c>
      <c r="F12" s="206" t="str">
        <f>ber_IVmed!F12/10&amp;" "&amp;ber_IVmed!H12</f>
        <v>2 mg/kg/dag</v>
      </c>
      <c r="G12" s="207" t="str">
        <f>ber_IVmed!I12</f>
        <v>1-4 mg/kg/dag</v>
      </c>
      <c r="H12" s="208">
        <f>ber_IVmed!K12/1</f>
        <v>20</v>
      </c>
    </row>
    <row r="13" spans="1:9" ht="17.25" customHeight="1" x14ac:dyDescent="0.35">
      <c r="B13" s="203" t="str">
        <f>ber_IVmed!B13</f>
        <v>heparine</v>
      </c>
      <c r="C13" s="249" t="str">
        <f>ber_IVmed!C13&amp;" "&amp;ber_IVmed!J13</f>
        <v>10000 IE</v>
      </c>
      <c r="D13" s="204" t="str">
        <f>ber_IVmed!D13&amp;" ml"</f>
        <v>50 ml</v>
      </c>
      <c r="E13" s="205" t="str">
        <f>ber_IVmed!E13/10&amp;" ml/uur"</f>
        <v>1 ml/uur</v>
      </c>
      <c r="F13" s="206" t="str">
        <f>ber_IVmed!F13/1&amp;" "&amp;ber_IVmed!H13</f>
        <v>15 IE/kg/uur</v>
      </c>
      <c r="G13" s="207" t="str">
        <f>ber_IVmed!I13</f>
        <v>15-20 IE/kg/uur</v>
      </c>
      <c r="H13" s="208">
        <f>ber_IVmed!K13</f>
        <v>5000</v>
      </c>
    </row>
    <row r="14" spans="1:9" ht="17.25" customHeight="1" x14ac:dyDescent="0.35">
      <c r="B14" s="203" t="str">
        <f>ber_IVmed!B14</f>
        <v>isoprenaline</v>
      </c>
      <c r="C14" s="249" t="str">
        <f>ber_IVmed!C14&amp;" "&amp;ber_IVmed!J14</f>
        <v>3 mg</v>
      </c>
      <c r="D14" s="204" t="str">
        <f>ber_IVmed!D14&amp;" ml"</f>
        <v>50 ml</v>
      </c>
      <c r="E14" s="205" t="str">
        <f>ber_IVmed!E14/10&amp;" ml/uur"</f>
        <v>1 ml/uur</v>
      </c>
      <c r="F14" s="206" t="str">
        <f>ber_IVmed!F14/100&amp;" "&amp;ber_IVmed!H14</f>
        <v>0.1 mcg/kg/min</v>
      </c>
      <c r="G14" s="207" t="str">
        <f>ber_IVmed!I14</f>
        <v>0,01-1,5 mcg/kg/min</v>
      </c>
      <c r="H14" s="208">
        <f>ber_IVmed!K14/10</f>
        <v>0.2</v>
      </c>
    </row>
    <row r="15" spans="1:9" ht="17.25" customHeight="1" x14ac:dyDescent="0.35">
      <c r="B15" s="203" t="str">
        <f>ber_IVmed!B15</f>
        <v>ketanserine</v>
      </c>
      <c r="C15" s="249" t="str">
        <f>ber_IVmed!C15&amp;" "&amp;ber_IVmed!J15</f>
        <v>30 mg</v>
      </c>
      <c r="D15" s="204" t="str">
        <f>ber_IVmed!D15&amp;" ml"</f>
        <v>50 ml</v>
      </c>
      <c r="E15" s="205" t="str">
        <f>ber_IVmed!E15/10&amp;" ml/uur"</f>
        <v>1 ml/uur</v>
      </c>
      <c r="F15" s="206" t="str">
        <f>ber_IVmed!F15/10&amp;" "&amp;ber_IVmed!H15</f>
        <v>1 mcg/kg/min</v>
      </c>
      <c r="G15" s="207" t="str">
        <f>ber_IVmed!I15</f>
        <v>0,5-5 mcg/kg/min</v>
      </c>
      <c r="H15" s="208">
        <f>ber_IVmed!K15</f>
        <v>10</v>
      </c>
    </row>
    <row r="16" spans="1:9" ht="17.25" customHeight="1" x14ac:dyDescent="0.35">
      <c r="B16" s="203" t="str">
        <f>ber_IVmed!B16</f>
        <v>midazolam</v>
      </c>
      <c r="C16" s="249" t="str">
        <f>ber_IVmed!C16&amp;" "&amp;ber_IVmed!J16</f>
        <v>50 mg</v>
      </c>
      <c r="D16" s="204" t="str">
        <f>ber_IVmed!D16&amp;" ml"</f>
        <v>50 ml</v>
      </c>
      <c r="E16" s="205" t="str">
        <f>ber_IVmed!E16/10&amp;" ml/uur"</f>
        <v>1 ml/uur</v>
      </c>
      <c r="F16" s="206" t="str">
        <f>ber_IVmed!F16/100&amp;" "&amp;ber_IVmed!H16</f>
        <v>0.1 mg/kg/uur</v>
      </c>
      <c r="G16" s="207" t="str">
        <f>ber_IVmed!I16</f>
        <v>0,05-0,5 mg/kg/uur</v>
      </c>
      <c r="H16" s="208">
        <f>ber_IVmed!K16</f>
        <v>5</v>
      </c>
    </row>
    <row r="17" spans="2:8" ht="17.25" customHeight="1" x14ac:dyDescent="0.35">
      <c r="B17" s="203" t="str">
        <f>ber_IVmed!B17</f>
        <v>milrinon</v>
      </c>
      <c r="C17" s="249" t="str">
        <f>ber_IVmed!C17&amp;" "&amp;ber_IVmed!J17</f>
        <v>10 mg</v>
      </c>
      <c r="D17" s="204" t="str">
        <f>ber_IVmed!D17&amp;" ml"</f>
        <v>50 ml</v>
      </c>
      <c r="E17" s="205" t="str">
        <f>ber_IVmed!E17/10&amp;" ml/uur"</f>
        <v>1 ml/uur</v>
      </c>
      <c r="F17" s="206" t="str">
        <f>ber_IVmed!F17/100&amp;" "&amp;ber_IVmed!H17</f>
        <v>0.3 mcg/kg/min</v>
      </c>
      <c r="G17" s="207" t="str">
        <f>ber_IVmed!I17</f>
        <v>0,15-0,7 mcg/kg/min</v>
      </c>
      <c r="H17" s="208">
        <f>ber_IVmed!K17</f>
        <v>10</v>
      </c>
    </row>
    <row r="18" spans="2:8" ht="17.25" customHeight="1" x14ac:dyDescent="0.35">
      <c r="B18" s="203" t="str">
        <f>ber_IVmed!B18</f>
        <v>morfine</v>
      </c>
      <c r="C18" s="249" t="str">
        <f>ber_IVmed!C18&amp;" "&amp;ber_IVmed!J18</f>
        <v>10 mg</v>
      </c>
      <c r="D18" s="204" t="str">
        <f>ber_IVmed!D18&amp;" ml"</f>
        <v>50 ml</v>
      </c>
      <c r="E18" s="205" t="str">
        <f>ber_IVmed!E18/10&amp;" ml/uur"</f>
        <v>1 ml/uur</v>
      </c>
      <c r="F18" s="206" t="str">
        <f>ber_IVmed!F18/1000&amp;" "&amp;ber_IVmed!H18</f>
        <v>0.25 mg/kg/dag</v>
      </c>
      <c r="G18" s="207" t="str">
        <f>ber_IVmed!I18</f>
        <v>0,125-0,25 mg/kg/dag</v>
      </c>
      <c r="H18" s="208">
        <f>ber_IVmed!K18</f>
        <v>10</v>
      </c>
    </row>
    <row r="19" spans="2:8" ht="17.25" customHeight="1" x14ac:dyDescent="0.35">
      <c r="B19" s="203" t="str">
        <f>ber_IVmed!B21</f>
        <v>noradrenaline</v>
      </c>
      <c r="C19" s="249" t="str">
        <f>ber_IVmed!C21&amp;" "&amp;ber_IVmed!J21</f>
        <v>5 mg</v>
      </c>
      <c r="D19" s="204" t="str">
        <f>ber_IVmed!D21&amp;" ml"</f>
        <v>50 ml</v>
      </c>
      <c r="E19" s="205" t="str">
        <f>ber_IVmed!E21/10&amp;" ml/uur"</f>
        <v>1 ml/uur</v>
      </c>
      <c r="F19" s="206" t="str">
        <f>ber_IVmed!F21/100&amp;" "&amp;ber_IVmed!H21</f>
        <v>0.1 mcg/kg/min</v>
      </c>
      <c r="G19" s="207" t="str">
        <f>ber_IVmed!I21</f>
        <v>0,05-2 mcg/kg/min</v>
      </c>
      <c r="H19" s="208">
        <f>ber_IVmed!K21</f>
        <v>5</v>
      </c>
    </row>
    <row r="20" spans="2:8" ht="17.25" customHeight="1" x14ac:dyDescent="0.35">
      <c r="B20" s="203" t="str">
        <f>ber_IVmed!B24</f>
        <v>rocuronium</v>
      </c>
      <c r="C20" s="249" t="str">
        <f>ber_IVmed!C24&amp;" "&amp;ber_IVmed!J24</f>
        <v>300 mg</v>
      </c>
      <c r="D20" s="204" t="str">
        <f>ber_IVmed!D24&amp;" ml"</f>
        <v>50 ml</v>
      </c>
      <c r="E20" s="205" t="str">
        <f>ber_IVmed!E24/10&amp;" ml/uur"</f>
        <v>1 ml/uur</v>
      </c>
      <c r="F20" s="206" t="str">
        <f>ber_IVmed!F24/10&amp;" "&amp;ber_IVmed!H24</f>
        <v>0.6 mg/kg/uur</v>
      </c>
      <c r="G20" s="207" t="str">
        <f>ber_IVmed!I24</f>
        <v>0,6-1,2 mg/kg/uur</v>
      </c>
      <c r="H20" s="208">
        <f>ber_IVmed!K24</f>
        <v>50</v>
      </c>
    </row>
    <row r="21" spans="2:8" ht="17.25" customHeight="1" x14ac:dyDescent="0.35">
      <c r="B21" s="203" t="str">
        <f>ber_IVmed!B25</f>
        <v>salbutamol</v>
      </c>
      <c r="C21" s="249" t="str">
        <f>ber_IVmed!C25&amp;" "&amp;ber_IVmed!J25</f>
        <v>5 mg</v>
      </c>
      <c r="D21" s="204" t="str">
        <f>ber_IVmed!D25&amp;" ml"</f>
        <v>50 ml</v>
      </c>
      <c r="E21" s="205" t="str">
        <f>ber_IVmed!E25/10&amp;" ml/uur"</f>
        <v>1 ml/uur</v>
      </c>
      <c r="F21" s="206" t="str">
        <f>ber_IVmed!F25/10&amp;" "&amp;ber_IVmed!H25</f>
        <v>0.2 mcg/kg/min</v>
      </c>
      <c r="G21" s="207" t="str">
        <f>ber_IVmed!I25</f>
        <v>0,2-2 mcg/kg/min</v>
      </c>
      <c r="H21" s="208">
        <f>ber_IVmed!K25/1</f>
        <v>5</v>
      </c>
    </row>
    <row r="22" spans="2:8" ht="17.25" customHeight="1" x14ac:dyDescent="0.35">
      <c r="B22" s="203" t="str">
        <f>ber_IVmed!B26</f>
        <v>thiopental</v>
      </c>
      <c r="C22" s="249" t="str">
        <f>ber_IVmed!C26&amp;" "&amp;ber_IVmed!J26</f>
        <v>48 mg</v>
      </c>
      <c r="D22" s="204" t="str">
        <f>ber_IVmed!D26&amp;" ml"</f>
        <v>50 ml</v>
      </c>
      <c r="E22" s="205" t="str">
        <f>ber_IVmed!E26/10&amp;" ml/uur"</f>
        <v>1 ml/uur</v>
      </c>
      <c r="F22" s="206" t="str">
        <f>ber_IVmed!F26/10&amp;" "&amp;ber_IVmed!H26</f>
        <v>7 mg/kg/uur</v>
      </c>
      <c r="G22" s="207" t="str">
        <f>ber_IVmed!I26</f>
        <v>Op geleide van spiegels</v>
      </c>
      <c r="H22" s="208">
        <f>ber_IVmed!K26/1</f>
        <v>500</v>
      </c>
    </row>
    <row r="23" spans="2:8" ht="17.25" customHeight="1" x14ac:dyDescent="0.35">
      <c r="B23" s="203" t="str">
        <f>ber_IVmed!B27</f>
        <v>Epiduraal WKZ</v>
      </c>
      <c r="C23" s="249" t="str">
        <f>ber_IVmed!C27&amp;" "&amp;ber_IVmed!J27</f>
        <v>0 ml</v>
      </c>
      <c r="D23" s="204" t="str">
        <f>ber_IVmed!D27&amp;" ml"</f>
        <v>100 ml</v>
      </c>
      <c r="E23" s="205"/>
      <c r="F23" s="206"/>
      <c r="G23" s="207"/>
      <c r="H23" s="208"/>
    </row>
  </sheetData>
  <sheetProtection password="CC20" sheet="1" objects="1" scenarios="1" selectLockedCells="1" selectUnlockedCells="1"/>
  <phoneticPr fontId="26" type="noConversion"/>
  <conditionalFormatting sqref="D4:D23 G4:G23">
    <cfRule type="cellIs" dxfId="1" priority="1" stopIfTrue="1" operator="between">
      <formula>$A$5</formula>
      <formula>$A$5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6" r:id="rId4" name="Spinner 26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5" name="Spinner 27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6" name="Spinner 28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7" name="Spinner 29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8" name="Spinner 30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9" name="Spinner 31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10" name="Spinner 32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11" name="Spinner 33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12" name="Spinner 34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13" name="Spinner 35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14" name="Spinner 36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15" name="Spinner 37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16" name="Spinner 38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7" name="Spinner 63">
              <controlPr defaultSize="0" print="0" autoPict="0">
                <anchor moveWithCells="1" sizeWithCells="1">
                  <from>
                    <xdr:col>5</xdr:col>
                    <xdr:colOff>1077173</xdr:colOff>
                    <xdr:row>20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" r:id="rId18" name="Spinner 124">
              <controlPr defaultSize="0" autoPict="0">
                <anchor moveWithCells="1" sizeWithCells="1">
                  <from>
                    <xdr:col>3</xdr:col>
                    <xdr:colOff>627154</xdr:colOff>
                    <xdr:row>4</xdr:row>
                    <xdr:rowOff>38299</xdr:rowOff>
                  </from>
                  <to>
                    <xdr:col>3</xdr:col>
                    <xdr:colOff>742052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" r:id="rId19" name="Spinner 146">
              <controlPr defaultSize="0" autoPict="0">
                <anchor moveWithCells="1" sizeWithCells="1">
                  <from>
                    <xdr:col>4</xdr:col>
                    <xdr:colOff>809076</xdr:colOff>
                    <xdr:row>4</xdr:row>
                    <xdr:rowOff>38299</xdr:rowOff>
                  </from>
                  <to>
                    <xdr:col>4</xdr:col>
                    <xdr:colOff>923975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8" r:id="rId20" name="Spinner 168">
              <controlPr defaultSize="0" autoPict="0">
                <anchor moveWithCells="1" sizeWithCells="1">
                  <from>
                    <xdr:col>5</xdr:col>
                    <xdr:colOff>1086748</xdr:colOff>
                    <xdr:row>4</xdr:row>
                    <xdr:rowOff>38299</xdr:rowOff>
                  </from>
                  <to>
                    <xdr:col>5</xdr:col>
                    <xdr:colOff>1201646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9" r:id="rId21" name="Spinner 169">
              <controlPr defaultSize="0" autoPict="0">
                <anchor moveWithCells="1" sizeWithCells="1">
                  <from>
                    <xdr:col>5</xdr:col>
                    <xdr:colOff>1086748</xdr:colOff>
                    <xdr:row>5</xdr:row>
                    <xdr:rowOff>38299</xdr:rowOff>
                  </from>
                  <to>
                    <xdr:col>5</xdr:col>
                    <xdr:colOff>1201646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0" r:id="rId22" name="Spinner 170">
              <controlPr defaultSize="0" autoPict="0">
                <anchor moveWithCells="1" sizeWithCells="1">
                  <from>
                    <xdr:col>5</xdr:col>
                    <xdr:colOff>1086748</xdr:colOff>
                    <xdr:row>6</xdr:row>
                    <xdr:rowOff>38299</xdr:rowOff>
                  </from>
                  <to>
                    <xdr:col>5</xdr:col>
                    <xdr:colOff>1201646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1" r:id="rId23" name="Spinner 171">
              <controlPr defaultSize="0" autoPict="0">
                <anchor moveWithCells="1" sizeWithCells="1">
                  <from>
                    <xdr:col>5</xdr:col>
                    <xdr:colOff>1086748</xdr:colOff>
                    <xdr:row>7</xdr:row>
                    <xdr:rowOff>38299</xdr:rowOff>
                  </from>
                  <to>
                    <xdr:col>5</xdr:col>
                    <xdr:colOff>1201646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2" r:id="rId24" name="Spinner 172">
              <controlPr defaultSize="0" autoPict="0">
                <anchor moveWithCells="1" sizeWithCells="1">
                  <from>
                    <xdr:col>5</xdr:col>
                    <xdr:colOff>1086748</xdr:colOff>
                    <xdr:row>9</xdr:row>
                    <xdr:rowOff>38299</xdr:rowOff>
                  </from>
                  <to>
                    <xdr:col>5</xdr:col>
                    <xdr:colOff>1201646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3" r:id="rId25" name="Spinner 173">
              <controlPr defaultSize="0" autoPict="0">
                <anchor moveWithCells="1" sizeWithCells="1">
                  <from>
                    <xdr:col>5</xdr:col>
                    <xdr:colOff>1086748</xdr:colOff>
                    <xdr:row>10</xdr:row>
                    <xdr:rowOff>38299</xdr:rowOff>
                  </from>
                  <to>
                    <xdr:col>5</xdr:col>
                    <xdr:colOff>1201646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" r:id="rId26" name="Spinner 174">
              <controlPr defaultSize="0" autoPict="0">
                <anchor moveWithCells="1" sizeWithCells="1">
                  <from>
                    <xdr:col>5</xdr:col>
                    <xdr:colOff>1086748</xdr:colOff>
                    <xdr:row>11</xdr:row>
                    <xdr:rowOff>38299</xdr:rowOff>
                  </from>
                  <to>
                    <xdr:col>5</xdr:col>
                    <xdr:colOff>1201646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5" r:id="rId27" name="Spinner 175">
              <controlPr defaultSize="0" autoPict="0">
                <anchor moveWithCells="1" sizeWithCells="1">
                  <from>
                    <xdr:col>5</xdr:col>
                    <xdr:colOff>1086748</xdr:colOff>
                    <xdr:row>12</xdr:row>
                    <xdr:rowOff>38299</xdr:rowOff>
                  </from>
                  <to>
                    <xdr:col>5</xdr:col>
                    <xdr:colOff>1201646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6" r:id="rId28" name="Spinner 176">
              <controlPr defaultSize="0" autoPict="0">
                <anchor moveWithCells="1" sizeWithCells="1">
                  <from>
                    <xdr:col>5</xdr:col>
                    <xdr:colOff>1086748</xdr:colOff>
                    <xdr:row>13</xdr:row>
                    <xdr:rowOff>38299</xdr:rowOff>
                  </from>
                  <to>
                    <xdr:col>5</xdr:col>
                    <xdr:colOff>1201646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8" r:id="rId29" name="Spinner 178">
              <controlPr defaultSize="0" autoPict="0">
                <anchor moveWithCells="1" sizeWithCells="1">
                  <from>
                    <xdr:col>5</xdr:col>
                    <xdr:colOff>1086748</xdr:colOff>
                    <xdr:row>14</xdr:row>
                    <xdr:rowOff>38299</xdr:rowOff>
                  </from>
                  <to>
                    <xdr:col>5</xdr:col>
                    <xdr:colOff>1201646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" r:id="rId30" name="Spinner 179">
              <controlPr defaultSize="0" autoPict="0">
                <anchor moveWithCells="1" sizeWithCells="1">
                  <from>
                    <xdr:col>5</xdr:col>
                    <xdr:colOff>1086748</xdr:colOff>
                    <xdr:row>15</xdr:row>
                    <xdr:rowOff>38299</xdr:rowOff>
                  </from>
                  <to>
                    <xdr:col>5</xdr:col>
                    <xdr:colOff>1201646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0" r:id="rId31" name="Spinner 180">
              <controlPr defaultSize="0" autoPict="0">
                <anchor moveWithCells="1" sizeWithCells="1">
                  <from>
                    <xdr:col>5</xdr:col>
                    <xdr:colOff>1086748</xdr:colOff>
                    <xdr:row>16</xdr:row>
                    <xdr:rowOff>38299</xdr:rowOff>
                  </from>
                  <to>
                    <xdr:col>5</xdr:col>
                    <xdr:colOff>1201646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1" r:id="rId32" name="Spinner 181">
              <controlPr defaultSize="0" autoPict="0">
                <anchor moveWithCells="1" sizeWithCells="1">
                  <from>
                    <xdr:col>5</xdr:col>
                    <xdr:colOff>1086748</xdr:colOff>
                    <xdr:row>17</xdr:row>
                    <xdr:rowOff>38299</xdr:rowOff>
                  </from>
                  <to>
                    <xdr:col>5</xdr:col>
                    <xdr:colOff>1201646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3" r:id="rId33" name="Spinner 183">
              <controlPr defaultSize="0" autoPict="0">
                <anchor moveWithCells="1" sizeWithCells="1">
                  <from>
                    <xdr:col>5</xdr:col>
                    <xdr:colOff>1086748</xdr:colOff>
                    <xdr:row>18</xdr:row>
                    <xdr:rowOff>38299</xdr:rowOff>
                  </from>
                  <to>
                    <xdr:col>5</xdr:col>
                    <xdr:colOff>1201646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4" r:id="rId34" name="Spinner 184">
              <controlPr defaultSize="0" autoPict="0">
                <anchor moveWithCells="1" sizeWithCells="1">
                  <from>
                    <xdr:col>5</xdr:col>
                    <xdr:colOff>1086748</xdr:colOff>
                    <xdr:row>19</xdr:row>
                    <xdr:rowOff>38299</xdr:rowOff>
                  </from>
                  <to>
                    <xdr:col>5</xdr:col>
                    <xdr:colOff>1201646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7" r:id="rId35" name="Spinner 187">
              <controlPr defaultSize="0" autoPict="0">
                <anchor moveWithCells="1" sizeWithCells="1">
                  <from>
                    <xdr:col>5</xdr:col>
                    <xdr:colOff>1086748</xdr:colOff>
                    <xdr:row>20</xdr:row>
                    <xdr:rowOff>38299</xdr:rowOff>
                  </from>
                  <to>
                    <xdr:col>5</xdr:col>
                    <xdr:colOff>1201646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8" r:id="rId36" name="Spinner 188">
              <controlPr defaultSize="0" autoPict="0">
                <anchor moveWithCells="1" sizeWithCells="1">
                  <from>
                    <xdr:col>5</xdr:col>
                    <xdr:colOff>1086748</xdr:colOff>
                    <xdr:row>21</xdr:row>
                    <xdr:rowOff>38299</xdr:rowOff>
                  </from>
                  <to>
                    <xdr:col>5</xdr:col>
                    <xdr:colOff>1201646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0" r:id="rId37" name="Spinner 190">
              <controlPr defaultSize="0" autoPict="0">
                <anchor moveWithCells="1" sizeWithCells="1">
                  <from>
                    <xdr:col>7</xdr:col>
                    <xdr:colOff>512255</xdr:colOff>
                    <xdr:row>4</xdr:row>
                    <xdr:rowOff>38299</xdr:rowOff>
                  </from>
                  <to>
                    <xdr:col>8</xdr:col>
                    <xdr:colOff>19150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1" r:id="rId38" name="Spinner 191">
              <controlPr defaultSize="0" autoPict="0">
                <anchor moveWithCells="1" sizeWithCells="1">
                  <from>
                    <xdr:col>7</xdr:col>
                    <xdr:colOff>512255</xdr:colOff>
                    <xdr:row>5</xdr:row>
                    <xdr:rowOff>38299</xdr:rowOff>
                  </from>
                  <to>
                    <xdr:col>8</xdr:col>
                    <xdr:colOff>19150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2" r:id="rId39" name="Spinner 192">
              <controlPr defaultSize="0" autoPict="0">
                <anchor moveWithCells="1" sizeWithCells="1">
                  <from>
                    <xdr:col>7</xdr:col>
                    <xdr:colOff>512255</xdr:colOff>
                    <xdr:row>6</xdr:row>
                    <xdr:rowOff>38299</xdr:rowOff>
                  </from>
                  <to>
                    <xdr:col>8</xdr:col>
                    <xdr:colOff>19150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40" name="Spinner 193">
              <controlPr defaultSize="0" autoPict="0">
                <anchor moveWithCells="1" sizeWithCells="1">
                  <from>
                    <xdr:col>7</xdr:col>
                    <xdr:colOff>512255</xdr:colOff>
                    <xdr:row>7</xdr:row>
                    <xdr:rowOff>38299</xdr:rowOff>
                  </from>
                  <to>
                    <xdr:col>8</xdr:col>
                    <xdr:colOff>19150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41" name="Spinner 194">
              <controlPr defaultSize="0" autoPict="0">
                <anchor moveWithCells="1" sizeWithCells="1">
                  <from>
                    <xdr:col>7</xdr:col>
                    <xdr:colOff>512255</xdr:colOff>
                    <xdr:row>9</xdr:row>
                    <xdr:rowOff>38299</xdr:rowOff>
                  </from>
                  <to>
                    <xdr:col>8</xdr:col>
                    <xdr:colOff>19150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42" name="Spinner 195">
              <controlPr defaultSize="0" autoPict="0">
                <anchor moveWithCells="1" sizeWithCells="1">
                  <from>
                    <xdr:col>7</xdr:col>
                    <xdr:colOff>512255</xdr:colOff>
                    <xdr:row>10</xdr:row>
                    <xdr:rowOff>38299</xdr:rowOff>
                  </from>
                  <to>
                    <xdr:col>8</xdr:col>
                    <xdr:colOff>19150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43" name="Spinner 196">
              <controlPr defaultSize="0" autoPict="0">
                <anchor moveWithCells="1" sizeWithCells="1">
                  <from>
                    <xdr:col>7</xdr:col>
                    <xdr:colOff>512255</xdr:colOff>
                    <xdr:row>11</xdr:row>
                    <xdr:rowOff>38299</xdr:rowOff>
                  </from>
                  <to>
                    <xdr:col>8</xdr:col>
                    <xdr:colOff>19150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44" name="Spinner 197">
              <controlPr defaultSize="0" autoPict="0">
                <anchor moveWithCells="1" sizeWithCells="1">
                  <from>
                    <xdr:col>7</xdr:col>
                    <xdr:colOff>512255</xdr:colOff>
                    <xdr:row>12</xdr:row>
                    <xdr:rowOff>38299</xdr:rowOff>
                  </from>
                  <to>
                    <xdr:col>8</xdr:col>
                    <xdr:colOff>19150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45" name="Spinner 198">
              <controlPr defaultSize="0" autoPict="0">
                <anchor moveWithCells="1" sizeWithCells="1">
                  <from>
                    <xdr:col>7</xdr:col>
                    <xdr:colOff>512255</xdr:colOff>
                    <xdr:row>13</xdr:row>
                    <xdr:rowOff>38299</xdr:rowOff>
                  </from>
                  <to>
                    <xdr:col>8</xdr:col>
                    <xdr:colOff>19150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46" name="Spinner 200">
              <controlPr defaultSize="0" autoPict="0">
                <anchor moveWithCells="1" sizeWithCells="1">
                  <from>
                    <xdr:col>7</xdr:col>
                    <xdr:colOff>512255</xdr:colOff>
                    <xdr:row>14</xdr:row>
                    <xdr:rowOff>38299</xdr:rowOff>
                  </from>
                  <to>
                    <xdr:col>8</xdr:col>
                    <xdr:colOff>19150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47" name="Spinner 201">
              <controlPr defaultSize="0" autoPict="0">
                <anchor moveWithCells="1" sizeWithCells="1">
                  <from>
                    <xdr:col>7</xdr:col>
                    <xdr:colOff>512255</xdr:colOff>
                    <xdr:row>15</xdr:row>
                    <xdr:rowOff>38299</xdr:rowOff>
                  </from>
                  <to>
                    <xdr:col>8</xdr:col>
                    <xdr:colOff>19150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48" name="Spinner 202">
              <controlPr defaultSize="0" autoPict="0">
                <anchor moveWithCells="1" sizeWithCells="1">
                  <from>
                    <xdr:col>7</xdr:col>
                    <xdr:colOff>512255</xdr:colOff>
                    <xdr:row>16</xdr:row>
                    <xdr:rowOff>38299</xdr:rowOff>
                  </from>
                  <to>
                    <xdr:col>8</xdr:col>
                    <xdr:colOff>19150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49" name="Spinner 203">
              <controlPr defaultSize="0" autoPict="0">
                <anchor moveWithCells="1" sizeWithCells="1">
                  <from>
                    <xdr:col>7</xdr:col>
                    <xdr:colOff>512255</xdr:colOff>
                    <xdr:row>17</xdr:row>
                    <xdr:rowOff>38299</xdr:rowOff>
                  </from>
                  <to>
                    <xdr:col>8</xdr:col>
                    <xdr:colOff>19150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50" name="Spinner 205">
              <controlPr defaultSize="0" autoPict="0">
                <anchor moveWithCells="1" sizeWithCells="1">
                  <from>
                    <xdr:col>7</xdr:col>
                    <xdr:colOff>512255</xdr:colOff>
                    <xdr:row>18</xdr:row>
                    <xdr:rowOff>38299</xdr:rowOff>
                  </from>
                  <to>
                    <xdr:col>8</xdr:col>
                    <xdr:colOff>19150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51" name="Spinner 206">
              <controlPr defaultSize="0" autoPict="0">
                <anchor moveWithCells="1" sizeWithCells="1">
                  <from>
                    <xdr:col>7</xdr:col>
                    <xdr:colOff>512255</xdr:colOff>
                    <xdr:row>19</xdr:row>
                    <xdr:rowOff>38299</xdr:rowOff>
                  </from>
                  <to>
                    <xdr:col>8</xdr:col>
                    <xdr:colOff>19150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52" name="Spinner 209">
              <controlPr defaultSize="0" autoPict="0">
                <anchor moveWithCells="1" sizeWithCells="1">
                  <from>
                    <xdr:col>7</xdr:col>
                    <xdr:colOff>512255</xdr:colOff>
                    <xdr:row>20</xdr:row>
                    <xdr:rowOff>38299</xdr:rowOff>
                  </from>
                  <to>
                    <xdr:col>8</xdr:col>
                    <xdr:colOff>19150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53" name="Spinner 210">
              <controlPr defaultSize="0" autoPict="0">
                <anchor moveWithCells="1" sizeWithCells="1">
                  <from>
                    <xdr:col>7</xdr:col>
                    <xdr:colOff>512255</xdr:colOff>
                    <xdr:row>21</xdr:row>
                    <xdr:rowOff>38299</xdr:rowOff>
                  </from>
                  <to>
                    <xdr:col>8</xdr:col>
                    <xdr:colOff>19150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54" name="Spinner 211">
              <controlPr defaultSize="0" autoPict="0">
                <anchor moveWithCells="1" sizeWithCells="1">
                  <from>
                    <xdr:col>3</xdr:col>
                    <xdr:colOff>627154</xdr:colOff>
                    <xdr:row>5</xdr:row>
                    <xdr:rowOff>38299</xdr:rowOff>
                  </from>
                  <to>
                    <xdr:col>3</xdr:col>
                    <xdr:colOff>742052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55" name="Spinner 212">
              <controlPr defaultSize="0" autoPict="0">
                <anchor moveWithCells="1" sizeWithCells="1">
                  <from>
                    <xdr:col>4</xdr:col>
                    <xdr:colOff>809076</xdr:colOff>
                    <xdr:row>5</xdr:row>
                    <xdr:rowOff>38299</xdr:rowOff>
                  </from>
                  <to>
                    <xdr:col>4</xdr:col>
                    <xdr:colOff>923975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56" name="Spinner 213">
              <controlPr defaultSize="0" autoPict="0">
                <anchor moveWithCells="1" sizeWithCells="1">
                  <from>
                    <xdr:col>3</xdr:col>
                    <xdr:colOff>627154</xdr:colOff>
                    <xdr:row>6</xdr:row>
                    <xdr:rowOff>38299</xdr:rowOff>
                  </from>
                  <to>
                    <xdr:col>3</xdr:col>
                    <xdr:colOff>742052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57" name="Spinner 214">
              <controlPr defaultSize="0" autoPict="0">
                <anchor moveWithCells="1" sizeWithCells="1">
                  <from>
                    <xdr:col>4</xdr:col>
                    <xdr:colOff>809076</xdr:colOff>
                    <xdr:row>6</xdr:row>
                    <xdr:rowOff>38299</xdr:rowOff>
                  </from>
                  <to>
                    <xdr:col>4</xdr:col>
                    <xdr:colOff>923975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58" name="Spinner 215">
              <controlPr defaultSize="0" autoPict="0">
                <anchor moveWithCells="1" sizeWithCells="1">
                  <from>
                    <xdr:col>3</xdr:col>
                    <xdr:colOff>627154</xdr:colOff>
                    <xdr:row>7</xdr:row>
                    <xdr:rowOff>38299</xdr:rowOff>
                  </from>
                  <to>
                    <xdr:col>3</xdr:col>
                    <xdr:colOff>742052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59" name="Spinner 216">
              <controlPr defaultSize="0" autoPict="0">
                <anchor moveWithCells="1" sizeWithCells="1">
                  <from>
                    <xdr:col>4</xdr:col>
                    <xdr:colOff>809076</xdr:colOff>
                    <xdr:row>7</xdr:row>
                    <xdr:rowOff>38299</xdr:rowOff>
                  </from>
                  <to>
                    <xdr:col>4</xdr:col>
                    <xdr:colOff>923975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60" name="Spinner 218">
              <controlPr defaultSize="0" autoPict="0">
                <anchor moveWithCells="1" sizeWithCells="1">
                  <from>
                    <xdr:col>4</xdr:col>
                    <xdr:colOff>809076</xdr:colOff>
                    <xdr:row>9</xdr:row>
                    <xdr:rowOff>38299</xdr:rowOff>
                  </from>
                  <to>
                    <xdr:col>4</xdr:col>
                    <xdr:colOff>923975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61" name="Spinner 219">
              <controlPr defaultSize="0" autoPict="0">
                <anchor moveWithCells="1" sizeWithCells="1">
                  <from>
                    <xdr:col>3</xdr:col>
                    <xdr:colOff>627154</xdr:colOff>
                    <xdr:row>10</xdr:row>
                    <xdr:rowOff>38299</xdr:rowOff>
                  </from>
                  <to>
                    <xdr:col>3</xdr:col>
                    <xdr:colOff>742052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62" name="Spinner 220">
              <controlPr defaultSize="0" autoPict="0">
                <anchor moveWithCells="1" sizeWithCells="1">
                  <from>
                    <xdr:col>4</xdr:col>
                    <xdr:colOff>809076</xdr:colOff>
                    <xdr:row>10</xdr:row>
                    <xdr:rowOff>38299</xdr:rowOff>
                  </from>
                  <to>
                    <xdr:col>4</xdr:col>
                    <xdr:colOff>923975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63" name="Spinner 221">
              <controlPr defaultSize="0" autoPict="0">
                <anchor moveWithCells="1" sizeWithCells="1">
                  <from>
                    <xdr:col>3</xdr:col>
                    <xdr:colOff>627154</xdr:colOff>
                    <xdr:row>11</xdr:row>
                    <xdr:rowOff>38299</xdr:rowOff>
                  </from>
                  <to>
                    <xdr:col>3</xdr:col>
                    <xdr:colOff>742052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64" name="Spinner 222">
              <controlPr defaultSize="0" autoPict="0">
                <anchor moveWithCells="1" sizeWithCells="1">
                  <from>
                    <xdr:col>4</xdr:col>
                    <xdr:colOff>809076</xdr:colOff>
                    <xdr:row>11</xdr:row>
                    <xdr:rowOff>38299</xdr:rowOff>
                  </from>
                  <to>
                    <xdr:col>4</xdr:col>
                    <xdr:colOff>923975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65" name="Spinner 223">
              <controlPr defaultSize="0" autoPict="0">
                <anchor moveWithCells="1" sizeWithCells="1">
                  <from>
                    <xdr:col>3</xdr:col>
                    <xdr:colOff>627154</xdr:colOff>
                    <xdr:row>12</xdr:row>
                    <xdr:rowOff>38299</xdr:rowOff>
                  </from>
                  <to>
                    <xdr:col>3</xdr:col>
                    <xdr:colOff>742052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66" name="Spinner 224">
              <controlPr defaultSize="0" autoPict="0">
                <anchor moveWithCells="1" sizeWithCells="1">
                  <from>
                    <xdr:col>4</xdr:col>
                    <xdr:colOff>809076</xdr:colOff>
                    <xdr:row>12</xdr:row>
                    <xdr:rowOff>38299</xdr:rowOff>
                  </from>
                  <to>
                    <xdr:col>4</xdr:col>
                    <xdr:colOff>923975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67" name="Spinner 225">
              <controlPr defaultSize="0" autoPict="0">
                <anchor moveWithCells="1" sizeWithCells="1">
                  <from>
                    <xdr:col>3</xdr:col>
                    <xdr:colOff>627154</xdr:colOff>
                    <xdr:row>13</xdr:row>
                    <xdr:rowOff>38299</xdr:rowOff>
                  </from>
                  <to>
                    <xdr:col>3</xdr:col>
                    <xdr:colOff>742052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68" name="Spinner 226">
              <controlPr defaultSize="0" autoPict="0">
                <anchor moveWithCells="1" sizeWithCells="1">
                  <from>
                    <xdr:col>4</xdr:col>
                    <xdr:colOff>809076</xdr:colOff>
                    <xdr:row>13</xdr:row>
                    <xdr:rowOff>38299</xdr:rowOff>
                  </from>
                  <to>
                    <xdr:col>4</xdr:col>
                    <xdr:colOff>923975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69" name="Spinner 227">
              <controlPr defaultSize="0" autoPict="0">
                <anchor moveWithCells="1" sizeWithCells="1">
                  <from>
                    <xdr:col>3</xdr:col>
                    <xdr:colOff>627154</xdr:colOff>
                    <xdr:row>14</xdr:row>
                    <xdr:rowOff>38299</xdr:rowOff>
                  </from>
                  <to>
                    <xdr:col>3</xdr:col>
                    <xdr:colOff>742052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70" name="Spinner 228">
              <controlPr defaultSize="0" autoPict="0">
                <anchor moveWithCells="1" sizeWithCells="1">
                  <from>
                    <xdr:col>4</xdr:col>
                    <xdr:colOff>809076</xdr:colOff>
                    <xdr:row>14</xdr:row>
                    <xdr:rowOff>38299</xdr:rowOff>
                  </from>
                  <to>
                    <xdr:col>4</xdr:col>
                    <xdr:colOff>923975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71" name="Spinner 229">
              <controlPr defaultSize="0" autoPict="0">
                <anchor moveWithCells="1" sizeWithCells="1">
                  <from>
                    <xdr:col>3</xdr:col>
                    <xdr:colOff>627154</xdr:colOff>
                    <xdr:row>15</xdr:row>
                    <xdr:rowOff>38299</xdr:rowOff>
                  </from>
                  <to>
                    <xdr:col>3</xdr:col>
                    <xdr:colOff>742052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72" name="Spinner 230">
              <controlPr defaultSize="0" autoPict="0">
                <anchor moveWithCells="1" sizeWithCells="1">
                  <from>
                    <xdr:col>4</xdr:col>
                    <xdr:colOff>809076</xdr:colOff>
                    <xdr:row>15</xdr:row>
                    <xdr:rowOff>38299</xdr:rowOff>
                  </from>
                  <to>
                    <xdr:col>4</xdr:col>
                    <xdr:colOff>923975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73" name="Spinner 231">
              <controlPr defaultSize="0" autoPict="0">
                <anchor moveWithCells="1" sizeWithCells="1">
                  <from>
                    <xdr:col>3</xdr:col>
                    <xdr:colOff>627154</xdr:colOff>
                    <xdr:row>16</xdr:row>
                    <xdr:rowOff>38299</xdr:rowOff>
                  </from>
                  <to>
                    <xdr:col>3</xdr:col>
                    <xdr:colOff>742052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74" name="Spinner 232">
              <controlPr defaultSize="0" autoPict="0">
                <anchor moveWithCells="1" sizeWithCells="1">
                  <from>
                    <xdr:col>4</xdr:col>
                    <xdr:colOff>809076</xdr:colOff>
                    <xdr:row>16</xdr:row>
                    <xdr:rowOff>38299</xdr:rowOff>
                  </from>
                  <to>
                    <xdr:col>4</xdr:col>
                    <xdr:colOff>923975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75" name="Spinner 233">
              <controlPr defaultSize="0" autoPict="0">
                <anchor moveWithCells="1" sizeWithCells="1">
                  <from>
                    <xdr:col>3</xdr:col>
                    <xdr:colOff>627154</xdr:colOff>
                    <xdr:row>17</xdr:row>
                    <xdr:rowOff>38299</xdr:rowOff>
                  </from>
                  <to>
                    <xdr:col>3</xdr:col>
                    <xdr:colOff>742052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76" name="Spinner 234">
              <controlPr defaultSize="0" autoPict="0">
                <anchor moveWithCells="1" sizeWithCells="1">
                  <from>
                    <xdr:col>4</xdr:col>
                    <xdr:colOff>809076</xdr:colOff>
                    <xdr:row>17</xdr:row>
                    <xdr:rowOff>38299</xdr:rowOff>
                  </from>
                  <to>
                    <xdr:col>4</xdr:col>
                    <xdr:colOff>923975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77" name="Spinner 235">
              <controlPr defaultSize="0" autoPict="0">
                <anchor moveWithCells="1" sizeWithCells="1">
                  <from>
                    <xdr:col>3</xdr:col>
                    <xdr:colOff>627154</xdr:colOff>
                    <xdr:row>18</xdr:row>
                    <xdr:rowOff>38299</xdr:rowOff>
                  </from>
                  <to>
                    <xdr:col>3</xdr:col>
                    <xdr:colOff>742052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78" name="Spinner 236">
              <controlPr defaultSize="0" autoPict="0">
                <anchor moveWithCells="1" sizeWithCells="1">
                  <from>
                    <xdr:col>4</xdr:col>
                    <xdr:colOff>809076</xdr:colOff>
                    <xdr:row>18</xdr:row>
                    <xdr:rowOff>38299</xdr:rowOff>
                  </from>
                  <to>
                    <xdr:col>4</xdr:col>
                    <xdr:colOff>923975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79" name="Spinner 237">
              <controlPr defaultSize="0" autoPict="0">
                <anchor moveWithCells="1" sizeWithCells="1">
                  <from>
                    <xdr:col>3</xdr:col>
                    <xdr:colOff>627154</xdr:colOff>
                    <xdr:row>19</xdr:row>
                    <xdr:rowOff>38299</xdr:rowOff>
                  </from>
                  <to>
                    <xdr:col>3</xdr:col>
                    <xdr:colOff>742052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80" name="Spinner 238">
              <controlPr defaultSize="0" autoPict="0">
                <anchor moveWithCells="1" sizeWithCells="1">
                  <from>
                    <xdr:col>4</xdr:col>
                    <xdr:colOff>809076</xdr:colOff>
                    <xdr:row>19</xdr:row>
                    <xdr:rowOff>38299</xdr:rowOff>
                  </from>
                  <to>
                    <xdr:col>4</xdr:col>
                    <xdr:colOff>923975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81" name="Spinner 239">
              <controlPr defaultSize="0" autoPict="0">
                <anchor moveWithCells="1" sizeWithCells="1">
                  <from>
                    <xdr:col>3</xdr:col>
                    <xdr:colOff>627154</xdr:colOff>
                    <xdr:row>20</xdr:row>
                    <xdr:rowOff>38299</xdr:rowOff>
                  </from>
                  <to>
                    <xdr:col>3</xdr:col>
                    <xdr:colOff>742052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82" name="Spinner 240">
              <controlPr defaultSize="0" autoPict="0">
                <anchor moveWithCells="1" sizeWithCells="1">
                  <from>
                    <xdr:col>4</xdr:col>
                    <xdr:colOff>809076</xdr:colOff>
                    <xdr:row>20</xdr:row>
                    <xdr:rowOff>38299</xdr:rowOff>
                  </from>
                  <to>
                    <xdr:col>4</xdr:col>
                    <xdr:colOff>923975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83" name="Spinner 241">
              <controlPr defaultSize="0" autoPict="0">
                <anchor moveWithCells="1" sizeWithCells="1">
                  <from>
                    <xdr:col>3</xdr:col>
                    <xdr:colOff>627154</xdr:colOff>
                    <xdr:row>21</xdr:row>
                    <xdr:rowOff>38299</xdr:rowOff>
                  </from>
                  <to>
                    <xdr:col>3</xdr:col>
                    <xdr:colOff>742052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84" name="Spinner 242">
              <controlPr defaultSize="0" autoPict="0">
                <anchor moveWithCells="1" sizeWithCells="1">
                  <from>
                    <xdr:col>4</xdr:col>
                    <xdr:colOff>809076</xdr:colOff>
                    <xdr:row>21</xdr:row>
                    <xdr:rowOff>38299</xdr:rowOff>
                  </from>
                  <to>
                    <xdr:col>4</xdr:col>
                    <xdr:colOff>923975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85" name="Spinner 243">
              <controlPr defaultSize="0" autoPict="0">
                <anchor moveWithCells="1" sizeWithCells="1">
                  <from>
                    <xdr:col>3</xdr:col>
                    <xdr:colOff>627154</xdr:colOff>
                    <xdr:row>3</xdr:row>
                    <xdr:rowOff>38299</xdr:rowOff>
                  </from>
                  <to>
                    <xdr:col>3</xdr:col>
                    <xdr:colOff>742052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86" name="Spinner 244">
              <controlPr defaultSize="0" autoPict="0">
                <anchor moveWithCells="1" sizeWithCells="1">
                  <from>
                    <xdr:col>4</xdr:col>
                    <xdr:colOff>809076</xdr:colOff>
                    <xdr:row>3</xdr:row>
                    <xdr:rowOff>38299</xdr:rowOff>
                  </from>
                  <to>
                    <xdr:col>4</xdr:col>
                    <xdr:colOff>923975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87" name="Spinner 245">
              <controlPr defaultSize="0" autoPict="0">
                <anchor moveWithCells="1" sizeWithCells="1">
                  <from>
                    <xdr:col>5</xdr:col>
                    <xdr:colOff>1086748</xdr:colOff>
                    <xdr:row>3</xdr:row>
                    <xdr:rowOff>38299</xdr:rowOff>
                  </from>
                  <to>
                    <xdr:col>5</xdr:col>
                    <xdr:colOff>1201646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88" name="Spinner 246">
              <controlPr defaultSize="0" autoPict="0">
                <anchor moveWithCells="1" sizeWithCells="1">
                  <from>
                    <xdr:col>7</xdr:col>
                    <xdr:colOff>512255</xdr:colOff>
                    <xdr:row>3</xdr:row>
                    <xdr:rowOff>38299</xdr:rowOff>
                  </from>
                  <to>
                    <xdr:col>8</xdr:col>
                    <xdr:colOff>19150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89" name="Spinner 247">
              <controlPr defaultSize="0" autoPict="0">
                <anchor moveWithCells="1" sizeWithCells="1">
                  <from>
                    <xdr:col>5</xdr:col>
                    <xdr:colOff>1086748</xdr:colOff>
                    <xdr:row>8</xdr:row>
                    <xdr:rowOff>38299</xdr:rowOff>
                  </from>
                  <to>
                    <xdr:col>5</xdr:col>
                    <xdr:colOff>1201646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90" name="Spinner 248">
              <controlPr defaultSize="0" autoPict="0">
                <anchor moveWithCells="1" sizeWithCells="1">
                  <from>
                    <xdr:col>7</xdr:col>
                    <xdr:colOff>512255</xdr:colOff>
                    <xdr:row>8</xdr:row>
                    <xdr:rowOff>38299</xdr:rowOff>
                  </from>
                  <to>
                    <xdr:col>8</xdr:col>
                    <xdr:colOff>19150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91" name="Spinner 249">
              <controlPr defaultSize="0" autoPict="0">
                <anchor moveWithCells="1" sizeWithCells="1">
                  <from>
                    <xdr:col>3</xdr:col>
                    <xdr:colOff>627154</xdr:colOff>
                    <xdr:row>8</xdr:row>
                    <xdr:rowOff>38299</xdr:rowOff>
                  </from>
                  <to>
                    <xdr:col>3</xdr:col>
                    <xdr:colOff>742052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92" name="Spinner 250">
              <controlPr defaultSize="0" autoPict="0">
                <anchor moveWithCells="1" sizeWithCells="1">
                  <from>
                    <xdr:col>4</xdr:col>
                    <xdr:colOff>809076</xdr:colOff>
                    <xdr:row>8</xdr:row>
                    <xdr:rowOff>38299</xdr:rowOff>
                  </from>
                  <to>
                    <xdr:col>4</xdr:col>
                    <xdr:colOff>923975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93" name="Spinner 253">
              <controlPr defaultSize="0" autoPict="0">
                <anchor moveWithCells="1" sizeWithCells="1">
                  <from>
                    <xdr:col>3</xdr:col>
                    <xdr:colOff>627154</xdr:colOff>
                    <xdr:row>22</xdr:row>
                    <xdr:rowOff>38299</xdr:rowOff>
                  </from>
                  <to>
                    <xdr:col>3</xdr:col>
                    <xdr:colOff>742052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94" name="Spinner 255">
              <controlPr defaultSize="0" autoPict="0">
                <anchor moveWithCells="1" sizeWithCells="1">
                  <from>
                    <xdr:col>2</xdr:col>
                    <xdr:colOff>627154</xdr:colOff>
                    <xdr:row>22</xdr:row>
                    <xdr:rowOff>38299</xdr:rowOff>
                  </from>
                  <to>
                    <xdr:col>2</xdr:col>
                    <xdr:colOff>742052</xdr:colOff>
                    <xdr:row>22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dDisc">
    <outlinePr showOutlineSymbols="0"/>
  </sheetPr>
  <dimension ref="A1:BL128"/>
  <sheetViews>
    <sheetView showGridLines="0" showRowColHeaders="0" showZeros="0" showOutlineSymbols="0" workbookViewId="0">
      <pane ySplit="4" topLeftCell="A5" activePane="bottomLeft" state="frozenSplit"/>
      <selection sqref="A1:P3"/>
      <selection pane="bottomLeft" activeCell="C6" sqref="C6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176"/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6"/>
      <c r="AZ1" s="176"/>
      <c r="BA1" s="176"/>
      <c r="BB1" s="176"/>
      <c r="BC1" s="176"/>
      <c r="BD1" s="176"/>
      <c r="BE1" s="176"/>
      <c r="BF1" s="176"/>
      <c r="BG1" s="176"/>
      <c r="BH1" s="176"/>
      <c r="BI1" s="176"/>
      <c r="BJ1" s="176"/>
      <c r="BK1" s="176"/>
    </row>
    <row r="2" spans="1:64" s="43" customFormat="1" ht="17.25" customHeight="1" x14ac:dyDescent="0.4">
      <c r="A2" s="176"/>
      <c r="B2" s="176"/>
      <c r="C2" s="177" t="s">
        <v>1441</v>
      </c>
      <c r="D2" s="176"/>
      <c r="E2" s="178">
        <f ca="1">AfspraakDatum</f>
        <v>42191</v>
      </c>
      <c r="F2" s="179"/>
      <c r="G2" s="176"/>
      <c r="H2" s="177" t="s">
        <v>1442</v>
      </c>
      <c r="I2" s="176"/>
      <c r="J2" s="180">
        <f>OpnDatum</f>
        <v>41363</v>
      </c>
      <c r="K2" s="177" t="str">
        <f ca="1">"ICU-dag: "&amp;AfspraakDatum-OpnDatum+1</f>
        <v>ICU-dag: 829</v>
      </c>
      <c r="L2" s="176"/>
      <c r="M2" s="177"/>
      <c r="N2" s="177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</row>
    <row r="3" spans="1:64" s="43" customFormat="1" ht="17.25" customHeight="1" x14ac:dyDescent="0.4">
      <c r="A3" s="176"/>
      <c r="B3" s="176"/>
      <c r="C3" s="177" t="s">
        <v>151</v>
      </c>
      <c r="D3" s="176"/>
      <c r="E3" s="181" t="str">
        <f>AchterNaam&amp;", "&amp;VoorNaam</f>
        <v>Achternaam, Voornaam</v>
      </c>
      <c r="F3" s="181"/>
      <c r="G3" s="176"/>
      <c r="H3" s="177" t="s">
        <v>1484</v>
      </c>
      <c r="I3" s="176"/>
      <c r="J3" s="180">
        <f>GebDatum</f>
        <v>40909</v>
      </c>
      <c r="K3" s="182" t="str">
        <f>"Gewicht: "&amp;Gewicht/10&amp;" kg"</f>
        <v>Gewicht: 10 kg</v>
      </c>
      <c r="L3" s="177"/>
      <c r="M3" s="176"/>
      <c r="N3" s="182" t="str">
        <f>"Lengte: "&amp;Lengte&amp;" cm"</f>
        <v>Lengte: 80 cm</v>
      </c>
      <c r="O3" s="177"/>
      <c r="P3" s="176"/>
      <c r="Q3" s="176"/>
      <c r="R3" s="176"/>
      <c r="S3" s="176"/>
      <c r="T3" s="176"/>
      <c r="U3" s="176"/>
      <c r="V3" s="176"/>
      <c r="W3" s="176"/>
      <c r="X3" s="176"/>
      <c r="Y3" s="176"/>
      <c r="Z3" s="176"/>
      <c r="AA3" s="176"/>
      <c r="AB3" s="176"/>
      <c r="AC3" s="176"/>
      <c r="AD3" s="176"/>
      <c r="AE3" s="176"/>
      <c r="AF3" s="176"/>
      <c r="AG3" s="176"/>
      <c r="AH3" s="176"/>
      <c r="AI3" s="176"/>
      <c r="AJ3" s="176"/>
      <c r="AK3" s="176"/>
      <c r="AL3" s="176"/>
      <c r="AM3" s="176"/>
      <c r="AN3" s="176"/>
      <c r="AO3" s="176"/>
      <c r="AP3" s="176"/>
      <c r="AQ3" s="176"/>
      <c r="AR3" s="176"/>
      <c r="AS3" s="176"/>
      <c r="AT3" s="176"/>
      <c r="AU3" s="176"/>
      <c r="AV3" s="176"/>
      <c r="AW3" s="176"/>
      <c r="AX3" s="176"/>
      <c r="AY3" s="176"/>
      <c r="AZ3" s="176"/>
      <c r="BA3" s="176"/>
      <c r="BB3" s="176"/>
      <c r="BC3" s="176"/>
      <c r="BD3" s="176"/>
      <c r="BE3" s="176"/>
      <c r="BF3" s="176"/>
      <c r="BG3" s="176"/>
      <c r="BH3" s="176"/>
      <c r="BI3" s="176"/>
      <c r="BJ3" s="176"/>
      <c r="BK3" s="176"/>
    </row>
    <row r="4" spans="1:64" s="43" customFormat="1" ht="17.25" customHeight="1" x14ac:dyDescent="0.4">
      <c r="A4" s="176"/>
      <c r="B4" s="176"/>
      <c r="C4" s="177" t="s">
        <v>1666</v>
      </c>
      <c r="D4" s="183"/>
      <c r="E4" s="182">
        <f>PatNummer</f>
        <v>0</v>
      </c>
      <c r="F4" s="179"/>
      <c r="G4" s="183"/>
      <c r="H4" s="177" t="s">
        <v>1304</v>
      </c>
      <c r="I4" s="183"/>
      <c r="J4" s="184" t="str">
        <f ca="1">TRUNC((AfspraakDatum-GebDatum)/365,0)&amp;" jaar en "&amp;TRUNC(((AfspraakDatum-GebDatum)-365*TRUNC((AfspraakDatum-GebDatum)/365,0))/30,0)&amp;" maand(-en)"</f>
        <v>3 jaar en 6 maand(-en)</v>
      </c>
      <c r="K4" s="177"/>
      <c r="L4" s="183"/>
      <c r="M4" s="177" t="str">
        <f>"Lichamelijk oppervlak: "&amp;ROUND(POWER(Gewicht/10,0.425)*POWER(((Lengte/100)*100),0.725)*0.007184,2)&amp;" m2"</f>
        <v>Lichamelijk oppervlak: 0.46 m2</v>
      </c>
      <c r="N4" s="177"/>
      <c r="O4" s="183"/>
      <c r="P4" s="183"/>
      <c r="Q4" s="183"/>
      <c r="R4" s="176"/>
      <c r="S4" s="176"/>
      <c r="T4" s="176"/>
      <c r="U4" s="176"/>
      <c r="V4" s="176"/>
      <c r="W4" s="176"/>
      <c r="X4" s="176"/>
      <c r="Y4" s="176"/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6"/>
      <c r="AP4" s="176"/>
      <c r="AQ4" s="176"/>
      <c r="AR4" s="176"/>
      <c r="AS4" s="176"/>
      <c r="AT4" s="176"/>
      <c r="AU4" s="176"/>
      <c r="AV4" s="176"/>
      <c r="AW4" s="176"/>
      <c r="AX4" s="176"/>
      <c r="AY4" s="176"/>
      <c r="AZ4" s="176"/>
      <c r="BA4" s="176"/>
      <c r="BB4" s="176"/>
      <c r="BC4" s="176"/>
      <c r="BD4" s="176"/>
      <c r="BE4" s="176"/>
      <c r="BF4" s="176"/>
      <c r="BG4" s="176"/>
      <c r="BH4" s="176"/>
      <c r="BI4" s="176"/>
      <c r="BJ4" s="176"/>
      <c r="BK4" s="176"/>
    </row>
    <row r="5" spans="1:64" s="357" customFormat="1" x14ac:dyDescent="0.35">
      <c r="A5" s="185"/>
      <c r="B5" s="185"/>
      <c r="C5" s="185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5"/>
      <c r="P5" s="185"/>
      <c r="Q5" s="185"/>
      <c r="R5" s="185"/>
      <c r="S5" s="185"/>
      <c r="T5" s="185"/>
      <c r="U5" s="185"/>
      <c r="V5" s="185"/>
    </row>
    <row r="6" spans="1:64" s="357" customFormat="1" ht="19.55" customHeight="1" x14ac:dyDescent="0.4">
      <c r="A6" s="185"/>
      <c r="B6" s="187">
        <v>1</v>
      </c>
      <c r="C6" s="188" t="str">
        <f>IF(ber_Med_disc!C2&gt;1,#REF!-1500+ber_Med_disc!B2,"")</f>
        <v/>
      </c>
      <c r="D6" s="392">
        <f>ber_Med_disc!C2</f>
        <v>0</v>
      </c>
      <c r="E6" s="392"/>
      <c r="F6" s="392"/>
      <c r="G6" s="392"/>
      <c r="H6" s="189" t="str">
        <f>IF(INDEX(ber_Med_disc!$D$27:$D$38,ber_Med_disc!H2,1)=0,"",INDEX(ber_Med_disc!$D$27:$D$38,ber_Med_disc!H2,1))</f>
        <v/>
      </c>
      <c r="I6" s="190" t="str">
        <f>IF(ber_Med_disc!C2&gt;1,ber_Med_disc!G2,"")</f>
        <v/>
      </c>
      <c r="J6" s="191" t="str">
        <f>IF(ber_Med_disc!C2&gt;1,ber_Med_disc!E2,"")</f>
        <v/>
      </c>
      <c r="K6" s="192">
        <f>ber_Med_disc!K2</f>
        <v>0</v>
      </c>
      <c r="L6" s="185" t="str">
        <f>IF(AND(ber_Med_disc!C2&gt;1,ber_Med_disc!N2&gt;1),ber_Med_disc!M2,"")</f>
        <v/>
      </c>
      <c r="M6" s="185" t="str">
        <f>IF(AND(ber_Med_disc!C2&gt;1,L6&lt;&gt;0,ber_Med_disc!N2&gt;1),"ml","")</f>
        <v/>
      </c>
      <c r="N6" s="185"/>
      <c r="O6" s="185" t="str">
        <f>IF(AND(L6&lt;&gt;"",ber_Med_disc!P2&gt;0),ber_Med_disc!P2&amp;" min","")</f>
        <v/>
      </c>
      <c r="P6" s="185"/>
      <c r="Q6" s="185"/>
      <c r="R6" s="185"/>
      <c r="S6" s="185"/>
      <c r="T6" s="185"/>
      <c r="U6" s="185"/>
      <c r="V6" s="185"/>
    </row>
    <row r="7" spans="1:64" s="357" customFormat="1" ht="19.55" customHeight="1" x14ac:dyDescent="0.35">
      <c r="A7" s="186"/>
      <c r="B7" s="193" t="s">
        <v>1377</v>
      </c>
      <c r="C7" s="194"/>
      <c r="D7" s="196">
        <f>ber_Opm!C16</f>
        <v>0</v>
      </c>
      <c r="E7" s="196"/>
      <c r="F7" s="196"/>
      <c r="G7" s="196"/>
      <c r="H7" s="195" t="str">
        <f>IF(ber_Med_disc!C2&gt;1,"Dosering/kg/dag: ","")</f>
        <v/>
      </c>
      <c r="I7" s="194"/>
      <c r="J7" s="196" t="str">
        <f>IF(ber_Med_disc!C2&gt;1,ber_Med_disc!L2,"")</f>
        <v/>
      </c>
      <c r="K7" s="194" t="str">
        <f>IF(AND(ber_Med_disc!C2&gt;1),J6&amp;"/kg/dag ","")</f>
        <v/>
      </c>
      <c r="L7" s="194"/>
      <c r="M7" s="194" t="str">
        <f>IF(AND(ber_Med_disc!C2&gt;1,ber_Med_disc!N2&gt;1,ber_Med_disc!M2&gt;0),"Oplossing:","")</f>
        <v/>
      </c>
      <c r="N7" s="194" t="str">
        <f>IF(AND(ber_Med_disc!C2&gt;1,ber_Med_disc!N2&gt;1,ber_Med_disc!M2&gt;0),ROUND(ber_Med_disc!G2/ber_Med_disc!M2,2)&amp;" "&amp;ber_Med_disc!E2&amp;"/ml","")</f>
        <v/>
      </c>
      <c r="O7" s="194"/>
      <c r="P7" s="194"/>
      <c r="Q7" s="185"/>
      <c r="R7" s="185"/>
      <c r="S7" s="185"/>
      <c r="T7" s="185"/>
      <c r="U7" s="185"/>
      <c r="V7" s="185"/>
    </row>
    <row r="8" spans="1:64" s="357" customFormat="1" ht="19.55" customHeight="1" x14ac:dyDescent="0.4">
      <c r="A8" s="185"/>
      <c r="B8" s="187">
        <v>2</v>
      </c>
      <c r="C8" s="188" t="str">
        <f>IF(ber_Med_disc!C3&gt;1,#REF!-1500+ber_Med_disc!B3,"")</f>
        <v/>
      </c>
      <c r="D8" s="392">
        <f>ber_Med_disc!C3</f>
        <v>0</v>
      </c>
      <c r="E8" s="392"/>
      <c r="F8" s="392"/>
      <c r="G8" s="392"/>
      <c r="H8" s="189" t="str">
        <f>IF(INDEX(ber_Med_disc!$D$27:$D$38,ber_Med_disc!H3,1)=0,"",INDEX(ber_Med_disc!$D$27:$D$38,ber_Med_disc!H3,1))</f>
        <v/>
      </c>
      <c r="I8" s="190" t="str">
        <f>IF(ber_Med_disc!C3&gt;1,ber_Med_disc!G3,"")</f>
        <v/>
      </c>
      <c r="J8" s="191" t="str">
        <f>IF(ber_Med_disc!C3&gt;1,ber_Med_disc!E3,"")</f>
        <v/>
      </c>
      <c r="K8" s="192">
        <f>ber_Med_disc!K3</f>
        <v>0</v>
      </c>
      <c r="L8" s="185" t="str">
        <f>IF(AND(ber_Med_disc!C3&gt;1,ber_Med_disc!N3&gt;1,H8&lt;&gt;"STOP"),ber_Med_disc!M3,"")</f>
        <v/>
      </c>
      <c r="M8" s="185" t="str">
        <f>IF(AND(ber_Med_disc!C3&gt;1,L8&lt;&gt;0,ber_Med_disc!N3&gt;1,H8&lt;&gt;"STOP"),"ml","")</f>
        <v/>
      </c>
      <c r="N8" s="185"/>
      <c r="O8" s="185" t="str">
        <f>IF(AND(L8&lt;&gt;"",ber_Med_disc!P3&gt;0,H8&lt;&gt;"STOP"),ber_Med_disc!P3&amp;" min","")</f>
        <v/>
      </c>
      <c r="P8" s="185"/>
      <c r="Q8" s="185"/>
      <c r="R8" s="185"/>
      <c r="S8" s="185"/>
      <c r="T8" s="185"/>
      <c r="U8" s="185"/>
      <c r="V8" s="185"/>
    </row>
    <row r="9" spans="1:64" s="357" customFormat="1" ht="19.55" customHeight="1" x14ac:dyDescent="0.35">
      <c r="A9" s="185"/>
      <c r="B9" s="193" t="s">
        <v>1377</v>
      </c>
      <c r="C9" s="194"/>
      <c r="D9" s="196">
        <f>ber_Opm!C17</f>
        <v>0</v>
      </c>
      <c r="E9" s="196"/>
      <c r="F9" s="196"/>
      <c r="G9" s="196"/>
      <c r="H9" s="195" t="str">
        <f>IF(AND(ber_Med_disc!C3&gt;1,H8&lt;&gt;"STOP"),"Dosering/kg/dag: ","")</f>
        <v/>
      </c>
      <c r="I9" s="194"/>
      <c r="J9" s="196" t="str">
        <f>IF(ber_Med_disc!C3&gt;1,ber_Med_disc!L3,"")</f>
        <v/>
      </c>
      <c r="K9" s="194" t="str">
        <f>IF(AND(ber_Med_disc!C3&gt;1,H8&lt;&gt;"STOP"),J8&amp;"/kg/dag ","")</f>
        <v/>
      </c>
      <c r="L9" s="194"/>
      <c r="M9" s="194" t="str">
        <f>IF(AND(ber_Med_disc!C3&gt;1,ber_Med_disc!N3&gt;1,ber_Med_disc!M3&gt;0,H8&lt;&gt;"STOP"),"Oplossing:","")</f>
        <v/>
      </c>
      <c r="N9" s="194" t="str">
        <f>IF(AND(ber_Med_disc!C3&gt;1,ber_Med_disc!N3&gt;1,ber_Med_disc!M3&gt;0,H8&lt;&gt;"STOP"),ROUND(ber_Med_disc!G3/ber_Med_disc!M3,2)&amp;" "&amp;ber_Med_disc!E3&amp;"/ml","")</f>
        <v/>
      </c>
      <c r="O9" s="194"/>
      <c r="P9" s="194"/>
      <c r="Q9" s="185"/>
      <c r="R9" s="185"/>
      <c r="S9" s="185"/>
      <c r="T9" s="185"/>
      <c r="U9" s="185"/>
      <c r="V9" s="185"/>
    </row>
    <row r="10" spans="1:64" s="357" customFormat="1" ht="19.55" customHeight="1" x14ac:dyDescent="0.4">
      <c r="A10" s="185"/>
      <c r="B10" s="187">
        <v>3</v>
      </c>
      <c r="C10" s="188" t="str">
        <f>IF(ber_Med_disc!C4&gt;1,#REF!-1500+ber_Med_disc!B4,"")</f>
        <v/>
      </c>
      <c r="D10" s="392">
        <f>ber_Med_disc!C4</f>
        <v>0</v>
      </c>
      <c r="E10" s="392"/>
      <c r="F10" s="392"/>
      <c r="G10" s="392"/>
      <c r="H10" s="189" t="str">
        <f>IF(INDEX(ber_Med_disc!$D$27:$D$38,ber_Med_disc!H4,1)=0,"",INDEX(ber_Med_disc!$D$27:$D$38,ber_Med_disc!H4,1))</f>
        <v/>
      </c>
      <c r="I10" s="190" t="str">
        <f>IF(ber_Med_disc!C4&gt;1,ber_Med_disc!G4,"")</f>
        <v/>
      </c>
      <c r="J10" s="191" t="str">
        <f>IF(ber_Med_disc!C4&gt;1,ber_Med_disc!E4,"")</f>
        <v/>
      </c>
      <c r="K10" s="192">
        <f>ber_Med_disc!K4</f>
        <v>0</v>
      </c>
      <c r="L10" s="185" t="str">
        <f>IF(AND(ber_Med_disc!C4&gt;1,ber_Med_disc!N4&gt;1,H10&lt;&gt;"STOP"),ber_Med_disc!M4,"")</f>
        <v/>
      </c>
      <c r="M10" s="185" t="str">
        <f>IF(AND(ber_Med_disc!C4&gt;1,L10&lt;&gt;0,ber_Med_disc!N4&gt;1,H10&lt;&gt;"STOP"),"ml","")</f>
        <v/>
      </c>
      <c r="N10" s="185"/>
      <c r="O10" s="185" t="str">
        <f>IF(AND(L10&lt;&gt;"",ber_Med_disc!P4&gt;0,H10&lt;&gt;"STOP"),ber_Med_disc!P4&amp;" min","")</f>
        <v/>
      </c>
      <c r="P10" s="185"/>
      <c r="Q10" s="185"/>
      <c r="R10" s="185"/>
      <c r="S10" s="185"/>
      <c r="T10" s="185"/>
      <c r="U10" s="185"/>
      <c r="V10" s="185"/>
    </row>
    <row r="11" spans="1:64" s="357" customFormat="1" ht="19.55" customHeight="1" x14ac:dyDescent="0.35">
      <c r="A11" s="185"/>
      <c r="B11" s="193" t="s">
        <v>1377</v>
      </c>
      <c r="C11" s="194"/>
      <c r="D11" s="196">
        <f>ber_Opm!C18</f>
        <v>0</v>
      </c>
      <c r="E11" s="196"/>
      <c r="F11" s="196"/>
      <c r="G11" s="196"/>
      <c r="H11" s="195" t="str">
        <f>IF(AND(ber_Med_disc!C4&gt;1,H10&lt;&gt;"STOP"),"Dosering/kg/dag: ","")</f>
        <v/>
      </c>
      <c r="I11" s="194"/>
      <c r="J11" s="196" t="str">
        <f>IF(ber_Med_disc!C4&gt;1,ber_Med_disc!L4,"")</f>
        <v/>
      </c>
      <c r="K11" s="194" t="str">
        <f>IF(AND(ber_Med_disc!C4&gt;1,H10&lt;&gt;"STOP"),J10&amp;"/kg/dag ","")</f>
        <v/>
      </c>
      <c r="L11" s="194"/>
      <c r="M11" s="194" t="str">
        <f>IF(AND(ber_Med_disc!C4&gt;1,ber_Med_disc!N4&gt;1,ber_Med_disc!M4&gt;0,H10&lt;&gt;"STOP"),"Oplossing:","")</f>
        <v/>
      </c>
      <c r="N11" s="194" t="str">
        <f>IF(AND(ber_Med_disc!C4&gt;1,ber_Med_disc!N4&gt;1,ber_Med_disc!M4&gt;0,H10&lt;&gt;"STOP"),ROUND(ber_Med_disc!G4/ber_Med_disc!M4,2)&amp;" "&amp;ber_Med_disc!E4&amp;"/ml","")</f>
        <v/>
      </c>
      <c r="O11" s="194"/>
      <c r="P11" s="194"/>
      <c r="Q11" s="185"/>
      <c r="R11" s="185"/>
      <c r="S11" s="185"/>
      <c r="T11" s="185"/>
      <c r="U11" s="185"/>
      <c r="V11" s="185"/>
    </row>
    <row r="12" spans="1:64" s="357" customFormat="1" ht="19.55" customHeight="1" x14ac:dyDescent="0.4">
      <c r="A12" s="185"/>
      <c r="B12" s="187">
        <v>4</v>
      </c>
      <c r="C12" s="188" t="str">
        <f>IF(ber_Med_disc!C5&gt;1,#REF!-1500+ber_Med_disc!B5,"")</f>
        <v/>
      </c>
      <c r="D12" s="392">
        <f>ber_Med_disc!C5</f>
        <v>0</v>
      </c>
      <c r="E12" s="392"/>
      <c r="F12" s="392"/>
      <c r="G12" s="392"/>
      <c r="H12" s="189" t="str">
        <f>IF(INDEX(ber_Med_disc!$D$27:$D$38,ber_Med_disc!H5,1)=0,"",INDEX(ber_Med_disc!$D$27:$D$38,ber_Med_disc!H5,1))</f>
        <v/>
      </c>
      <c r="I12" s="190" t="str">
        <f>IF(ber_Med_disc!C5&gt;1,ber_Med_disc!G5,"")</f>
        <v/>
      </c>
      <c r="J12" s="191" t="str">
        <f>IF(ber_Med_disc!C5&gt;1,ber_Med_disc!E5,"")</f>
        <v/>
      </c>
      <c r="K12" s="192">
        <f>ber_Med_disc!K5</f>
        <v>0</v>
      </c>
      <c r="L12" s="185" t="str">
        <f>IF(AND(ber_Med_disc!C5&gt;1,ber_Med_disc!N5&gt;1,H12&lt;&gt;"STOP"),ber_Med_disc!M5,"")</f>
        <v/>
      </c>
      <c r="M12" s="185" t="str">
        <f>IF(AND(ber_Med_disc!C5&gt;1,L12&lt;&gt;0,ber_Med_disc!N5&gt;1,H12&lt;&gt;"STOP"),"ml","")</f>
        <v/>
      </c>
      <c r="N12" s="185"/>
      <c r="O12" s="185" t="str">
        <f>IF(AND(L12&lt;&gt;"",ber_Med_disc!P5&gt;0,H12&lt;&gt;"STOP"),ber_Med_disc!P5&amp;" min","")</f>
        <v/>
      </c>
      <c r="P12" s="185"/>
      <c r="Q12" s="185"/>
      <c r="R12" s="185"/>
      <c r="S12" s="185"/>
      <c r="T12" s="185"/>
      <c r="U12" s="185"/>
      <c r="V12" s="185"/>
    </row>
    <row r="13" spans="1:64" s="357" customFormat="1" ht="19.55" customHeight="1" x14ac:dyDescent="0.35">
      <c r="A13" s="185"/>
      <c r="B13" s="193" t="s">
        <v>1377</v>
      </c>
      <c r="C13" s="194"/>
      <c r="D13" s="196">
        <f>ber_Opm!C19</f>
        <v>0</v>
      </c>
      <c r="E13" s="196"/>
      <c r="F13" s="196"/>
      <c r="G13" s="196"/>
      <c r="H13" s="195" t="str">
        <f>IF(AND(ber_Med_disc!C5&gt;1,H12&lt;&gt;"STOP"),"Dosering/kg/dag: ","")</f>
        <v/>
      </c>
      <c r="I13" s="194"/>
      <c r="J13" s="196" t="str">
        <f>IF(ber_Med_disc!C5&gt;1,ber_Med_disc!L5,"")</f>
        <v/>
      </c>
      <c r="K13" s="194" t="str">
        <f>IF(AND(ber_Med_disc!C5&gt;1,H12&lt;&gt;"STOP"),J12&amp;"/kg/dag ","")</f>
        <v/>
      </c>
      <c r="L13" s="194"/>
      <c r="M13" s="194" t="str">
        <f>IF(AND(ber_Med_disc!C5&gt;1,ber_Med_disc!N5&gt;1,ber_Med_disc!M5&gt;0,H12&lt;&gt;"STOP"),"Oplossing:","")</f>
        <v/>
      </c>
      <c r="N13" s="194" t="str">
        <f>IF(AND(ber_Med_disc!C5&gt;1,ber_Med_disc!N5&gt;1,ber_Med_disc!M5&gt;0,H12&lt;&gt;"STOP"),ROUND(ber_Med_disc!G5/ber_Med_disc!M5,2)&amp;" "&amp;ber_Med_disc!E5&amp;"/ml","")</f>
        <v/>
      </c>
      <c r="O13" s="194"/>
      <c r="P13" s="194"/>
      <c r="Q13" s="185"/>
      <c r="R13" s="197"/>
      <c r="S13" s="197"/>
      <c r="T13" s="197"/>
      <c r="U13" s="197"/>
      <c r="V13" s="197"/>
      <c r="W13" s="358"/>
      <c r="X13" s="358"/>
      <c r="Y13" s="358"/>
      <c r="Z13" s="358"/>
      <c r="AA13" s="358"/>
      <c r="AB13" s="358"/>
      <c r="AC13" s="358"/>
      <c r="AD13" s="358"/>
      <c r="AE13" s="358"/>
      <c r="AF13" s="358"/>
      <c r="AG13" s="358"/>
      <c r="AH13" s="358"/>
      <c r="AI13" s="358"/>
      <c r="AJ13" s="358"/>
      <c r="AK13" s="358"/>
      <c r="AL13" s="358"/>
      <c r="AM13" s="358"/>
      <c r="AN13" s="358"/>
      <c r="AO13" s="358"/>
      <c r="AP13" s="358"/>
      <c r="AQ13" s="358"/>
      <c r="AR13" s="358"/>
      <c r="AS13" s="358"/>
      <c r="AT13" s="358"/>
      <c r="AU13" s="358"/>
      <c r="AV13" s="358"/>
      <c r="AW13" s="358"/>
      <c r="AX13" s="358"/>
      <c r="AY13" s="358"/>
      <c r="AZ13" s="358"/>
      <c r="BA13" s="358"/>
      <c r="BB13" s="358"/>
      <c r="BC13" s="358"/>
      <c r="BD13" s="358"/>
      <c r="BE13" s="358"/>
      <c r="BF13" s="358"/>
      <c r="BG13" s="358"/>
      <c r="BH13" s="358"/>
      <c r="BI13" s="358"/>
      <c r="BJ13" s="358"/>
      <c r="BK13" s="358"/>
      <c r="BL13" s="358"/>
    </row>
    <row r="14" spans="1:64" s="358" customFormat="1" ht="19.55" customHeight="1" x14ac:dyDescent="0.4">
      <c r="A14" s="185"/>
      <c r="B14" s="187">
        <v>5</v>
      </c>
      <c r="C14" s="188" t="str">
        <f>IF(ber_Med_disc!C6&gt;1,#REF!-1500+ber_Med_disc!B6,"")</f>
        <v/>
      </c>
      <c r="D14" s="392">
        <f>ber_Med_disc!C6</f>
        <v>0</v>
      </c>
      <c r="E14" s="392"/>
      <c r="F14" s="392"/>
      <c r="G14" s="392"/>
      <c r="H14" s="189" t="str">
        <f>IF(INDEX(ber_Med_disc!$D$27:$D$38,ber_Med_disc!H6,1)=0,"",INDEX(ber_Med_disc!$D$27:$D$38,ber_Med_disc!H6,1))</f>
        <v/>
      </c>
      <c r="I14" s="190" t="str">
        <f>IF(ber_Med_disc!C6&gt;1,ber_Med_disc!G6,"")</f>
        <v/>
      </c>
      <c r="J14" s="191" t="str">
        <f>IF(ber_Med_disc!C6&gt;1,ber_Med_disc!E6,"")</f>
        <v/>
      </c>
      <c r="K14" s="192">
        <f>ber_Med_disc!K6</f>
        <v>0</v>
      </c>
      <c r="L14" s="185" t="str">
        <f>IF(AND(ber_Med_disc!C6&gt;1,ber_Med_disc!N6&gt;1,H14&lt;&gt;"STOP"),ber_Med_disc!M6,"")</f>
        <v/>
      </c>
      <c r="M14" s="185" t="str">
        <f>IF(AND(ber_Med_disc!C6&gt;1,L14&lt;&gt;0,ber_Med_disc!N6&gt;1,H14&lt;&gt;"STOP"),"ml","")</f>
        <v/>
      </c>
      <c r="N14" s="185"/>
      <c r="O14" s="185" t="str">
        <f>IF(AND(L14&lt;&gt;"",ber_Med_disc!P6&gt;0,H14&lt;&gt;"STOP"),ber_Med_disc!P6&amp;" min","")</f>
        <v/>
      </c>
      <c r="P14" s="185"/>
      <c r="Q14" s="185"/>
      <c r="R14" s="185"/>
      <c r="S14" s="185"/>
      <c r="T14" s="185"/>
      <c r="U14" s="185"/>
      <c r="V14" s="185"/>
      <c r="W14" s="357"/>
      <c r="X14" s="357"/>
      <c r="Y14" s="357"/>
      <c r="Z14" s="357"/>
      <c r="AA14" s="357"/>
      <c r="AB14" s="357"/>
      <c r="AC14" s="357"/>
      <c r="AD14" s="357"/>
      <c r="AE14" s="357"/>
      <c r="AF14" s="357"/>
      <c r="AG14" s="357"/>
      <c r="AH14" s="357"/>
      <c r="AI14" s="357"/>
      <c r="AJ14" s="357"/>
      <c r="AK14" s="357"/>
      <c r="AL14" s="357"/>
      <c r="AM14" s="357"/>
      <c r="AN14" s="357"/>
      <c r="AO14" s="357"/>
      <c r="AP14" s="357"/>
      <c r="AQ14" s="357"/>
      <c r="AR14" s="357"/>
      <c r="AS14" s="357"/>
      <c r="AT14" s="357"/>
      <c r="AU14" s="357"/>
      <c r="AV14" s="357"/>
      <c r="AW14" s="357"/>
      <c r="AX14" s="357"/>
      <c r="AY14" s="357"/>
      <c r="AZ14" s="357"/>
      <c r="BA14" s="357"/>
      <c r="BB14" s="357"/>
      <c r="BC14" s="357"/>
      <c r="BD14" s="357"/>
      <c r="BE14" s="357"/>
      <c r="BF14" s="357"/>
      <c r="BG14" s="357"/>
      <c r="BH14" s="357"/>
      <c r="BI14" s="357"/>
      <c r="BJ14" s="357"/>
      <c r="BK14" s="357"/>
      <c r="BL14" s="357"/>
    </row>
    <row r="15" spans="1:64" s="357" customFormat="1" ht="19.55" customHeight="1" x14ac:dyDescent="0.35">
      <c r="A15" s="185"/>
      <c r="B15" s="193" t="s">
        <v>1377</v>
      </c>
      <c r="C15" s="194"/>
      <c r="D15" s="196">
        <f>ber_Opm!C20</f>
        <v>0</v>
      </c>
      <c r="E15" s="196"/>
      <c r="F15" s="196"/>
      <c r="G15" s="196"/>
      <c r="H15" s="195" t="str">
        <f>IF(AND(ber_Med_disc!C6&gt;1,H14&lt;&gt;"STOP"),"Dosering/kg/dag: ","")</f>
        <v/>
      </c>
      <c r="I15" s="194"/>
      <c r="J15" s="196" t="str">
        <f>IF(ber_Med_disc!C6&gt;1,ber_Med_disc!L6,"")</f>
        <v/>
      </c>
      <c r="K15" s="194" t="str">
        <f>IF(AND(ber_Med_disc!C6&gt;1,H14&lt;&gt;"STOP"),J14&amp;"/kg/dag ","")</f>
        <v/>
      </c>
      <c r="L15" s="194"/>
      <c r="M15" s="194" t="str">
        <f>IF(AND(ber_Med_disc!C6&gt;1,ber_Med_disc!N6&gt;1,ber_Med_disc!M6&gt;0,H14&lt;&gt;"STOP"),"Oplossing:","")</f>
        <v/>
      </c>
      <c r="N15" s="194" t="str">
        <f>IF(AND(ber_Med_disc!C6&gt;1,ber_Med_disc!N6&gt;1,ber_Med_disc!M6&gt;0,H14&lt;&gt;"STOP"),ROUND(ber_Med_disc!G6/ber_Med_disc!M6,2)&amp;" "&amp;ber_Med_disc!E6&amp;"/ml","")</f>
        <v/>
      </c>
      <c r="O15" s="194"/>
      <c r="P15" s="194"/>
      <c r="Q15" s="185"/>
      <c r="R15" s="185"/>
      <c r="S15" s="185"/>
      <c r="T15" s="185"/>
      <c r="U15" s="185"/>
      <c r="V15" s="185"/>
    </row>
    <row r="16" spans="1:64" s="357" customFormat="1" ht="19.55" customHeight="1" x14ac:dyDescent="0.4">
      <c r="A16" s="185"/>
      <c r="B16" s="187">
        <v>6</v>
      </c>
      <c r="C16" s="188" t="str">
        <f>IF(ber_Med_disc!C7&gt;1,#REF!-1500+ber_Med_disc!B7,"")</f>
        <v/>
      </c>
      <c r="D16" s="392">
        <f>ber_Med_disc!C7</f>
        <v>0</v>
      </c>
      <c r="E16" s="392"/>
      <c r="F16" s="392"/>
      <c r="G16" s="392"/>
      <c r="H16" s="189" t="str">
        <f>IF(INDEX(ber_Med_disc!$D$27:$D$38,ber_Med_disc!H7,1)=0,"",INDEX(ber_Med_disc!$D$27:$D$38,ber_Med_disc!H7,1))</f>
        <v/>
      </c>
      <c r="I16" s="190" t="str">
        <f>IF(ber_Med_disc!C7&gt;1,ber_Med_disc!G7,"")</f>
        <v/>
      </c>
      <c r="J16" s="191" t="str">
        <f>IF(ber_Med_disc!C7&gt;1,ber_Med_disc!E7,"")</f>
        <v/>
      </c>
      <c r="K16" s="192">
        <f>ber_Med_disc!K7</f>
        <v>0</v>
      </c>
      <c r="L16" s="185" t="str">
        <f>IF(AND(ber_Med_disc!C7&gt;1,ber_Med_disc!N7&gt;1,H16&lt;&gt;"STOP"),ber_Med_disc!M7,"")</f>
        <v/>
      </c>
      <c r="M16" s="185" t="str">
        <f>IF(AND(ber_Med_disc!C7&gt;1,L16&lt;&gt;0,ber_Med_disc!N7&gt;1,H16&lt;&gt;"STOP"),"ml","")</f>
        <v/>
      </c>
      <c r="N16" s="185"/>
      <c r="O16" s="185" t="str">
        <f>IF(AND(L16&lt;&gt;"",ber_Med_disc!P7&gt;0,H16&lt;&gt;"STOP"),ber_Med_disc!P7&amp;" min","")</f>
        <v/>
      </c>
      <c r="P16" s="185"/>
      <c r="Q16" s="185"/>
      <c r="R16" s="185"/>
      <c r="S16" s="185"/>
      <c r="T16" s="185"/>
      <c r="U16" s="185"/>
      <c r="V16" s="185"/>
    </row>
    <row r="17" spans="1:22" s="357" customFormat="1" ht="19.55" customHeight="1" x14ac:dyDescent="0.35">
      <c r="A17" s="185"/>
      <c r="B17" s="193" t="s">
        <v>1377</v>
      </c>
      <c r="C17" s="194"/>
      <c r="D17" s="196">
        <f>ber_Opm!C21</f>
        <v>0</v>
      </c>
      <c r="E17" s="196"/>
      <c r="F17" s="196"/>
      <c r="G17" s="196"/>
      <c r="H17" s="195" t="str">
        <f>IF(AND(ber_Med_disc!C7&gt;1,H16&lt;&gt;"STOP"),"Dosering/kg/dag: ","")</f>
        <v/>
      </c>
      <c r="I17" s="194"/>
      <c r="J17" s="196" t="str">
        <f>IF(ber_Med_disc!C7&gt;1,ber_Med_disc!L7,"")</f>
        <v/>
      </c>
      <c r="K17" s="194" t="str">
        <f>IF(AND(ber_Med_disc!C7&gt;1,H16&lt;&gt;"STOP"),J16&amp;"/kg/dag ","")</f>
        <v/>
      </c>
      <c r="L17" s="194"/>
      <c r="M17" s="194" t="str">
        <f>IF(AND(ber_Med_disc!C7&gt;1,ber_Med_disc!N7&gt;1,ber_Med_disc!M7&gt;0,H16&lt;&gt;"STOP"),"Oplossing:","")</f>
        <v/>
      </c>
      <c r="N17" s="194" t="str">
        <f>IF(AND(ber_Med_disc!C7&gt;1,ber_Med_disc!N7&gt;1,ber_Med_disc!M7&gt;0,H16&lt;&gt;"STOP"),ROUND(ber_Med_disc!G7/ber_Med_disc!M7,2)&amp;" "&amp;ber_Med_disc!E7&amp;"/ml","")</f>
        <v/>
      </c>
      <c r="O17" s="194"/>
      <c r="P17" s="194"/>
      <c r="Q17" s="185"/>
      <c r="R17" s="185"/>
      <c r="S17" s="185"/>
      <c r="T17" s="185"/>
      <c r="U17" s="185"/>
      <c r="V17" s="185"/>
    </row>
    <row r="18" spans="1:22" s="357" customFormat="1" ht="19.55" customHeight="1" x14ac:dyDescent="0.4">
      <c r="A18" s="185"/>
      <c r="B18" s="187">
        <v>7</v>
      </c>
      <c r="C18" s="188" t="str">
        <f>IF(ber_Med_disc!C8&gt;1,#REF!-1500+ber_Med_disc!B8,"")</f>
        <v/>
      </c>
      <c r="D18" s="392">
        <f>ber_Med_disc!C8</f>
        <v>0</v>
      </c>
      <c r="E18" s="392"/>
      <c r="F18" s="392"/>
      <c r="G18" s="392"/>
      <c r="H18" s="189" t="str">
        <f>IF(INDEX(ber_Med_disc!$D$27:$D$38,ber_Med_disc!H8,1)=0,"",INDEX(ber_Med_disc!$D$27:$D$38,ber_Med_disc!H8,1))</f>
        <v/>
      </c>
      <c r="I18" s="190" t="str">
        <f>IF(ber_Med_disc!C8&gt;1,ber_Med_disc!G8,"")</f>
        <v/>
      </c>
      <c r="J18" s="191" t="str">
        <f>IF(ber_Med_disc!C8&gt;1,ber_Med_disc!E8,"")</f>
        <v/>
      </c>
      <c r="K18" s="192">
        <f>ber_Med_disc!K8</f>
        <v>0</v>
      </c>
      <c r="L18" s="185" t="str">
        <f>IF(AND(ber_Med_disc!C8&gt;1,ber_Med_disc!N8&gt;1,H18&lt;&gt;"STOP"),ber_Med_disc!M8,"")</f>
        <v/>
      </c>
      <c r="M18" s="185" t="str">
        <f>IF(AND(ber_Med_disc!C8&gt;1,L18&lt;&gt;0,ber_Med_disc!N8&gt;1,H18&lt;&gt;"STOP"),"ml","")</f>
        <v/>
      </c>
      <c r="N18" s="185"/>
      <c r="O18" s="185" t="str">
        <f>IF(AND(L18&lt;&gt;"",ber_Med_disc!P8&gt;0,H18&lt;&gt;"STOP"),ber_Med_disc!P8&amp;" min","")</f>
        <v/>
      </c>
      <c r="P18" s="185"/>
      <c r="Q18" s="185"/>
      <c r="R18" s="185"/>
      <c r="S18" s="185"/>
      <c r="T18" s="185"/>
      <c r="U18" s="185"/>
      <c r="V18" s="185"/>
    </row>
    <row r="19" spans="1:22" s="357" customFormat="1" ht="19.55" customHeight="1" x14ac:dyDescent="0.35">
      <c r="A19" s="185"/>
      <c r="B19" s="193" t="s">
        <v>1377</v>
      </c>
      <c r="C19" s="194"/>
      <c r="D19" s="196">
        <f>ber_Opm!C22</f>
        <v>0</v>
      </c>
      <c r="E19" s="196"/>
      <c r="F19" s="196"/>
      <c r="G19" s="196"/>
      <c r="H19" s="195" t="str">
        <f>IF(AND(ber_Med_disc!C8&gt;1,H18&lt;&gt;"STOP"),"Dosering/kg/dag: ","")</f>
        <v/>
      </c>
      <c r="I19" s="194"/>
      <c r="J19" s="196" t="str">
        <f>IF(ber_Med_disc!C8&gt;1,ber_Med_disc!L8,"")</f>
        <v/>
      </c>
      <c r="K19" s="194" t="str">
        <f>IF(AND(ber_Med_disc!C8&gt;1,H18&lt;&gt;"STOP"),J18&amp;"/kg/dag ","")</f>
        <v/>
      </c>
      <c r="L19" s="194"/>
      <c r="M19" s="194" t="str">
        <f>IF(AND(ber_Med_disc!C8&gt;1,ber_Med_disc!N8&gt;1,ber_Med_disc!M8&gt;0,H18&lt;&gt;"STOP"),"Oplossing:","")</f>
        <v/>
      </c>
      <c r="N19" s="194" t="str">
        <f>IF(AND(ber_Med_disc!C8&gt;1,ber_Med_disc!N8&gt;1,ber_Med_disc!M8&gt;0,H18&lt;&gt;"STOP"),ROUND(ber_Med_disc!G8/ber_Med_disc!M8,2)&amp;" "&amp;ber_Med_disc!E8&amp;"/ml","")</f>
        <v/>
      </c>
      <c r="O19" s="194"/>
      <c r="P19" s="194"/>
      <c r="Q19" s="185"/>
      <c r="R19" s="185"/>
      <c r="S19" s="185"/>
      <c r="T19" s="185"/>
      <c r="U19" s="185"/>
      <c r="V19" s="185"/>
    </row>
    <row r="20" spans="1:22" s="357" customFormat="1" ht="19.55" customHeight="1" x14ac:dyDescent="0.4">
      <c r="A20" s="185"/>
      <c r="B20" s="187">
        <v>8</v>
      </c>
      <c r="C20" s="188" t="str">
        <f>IF(ber_Med_disc!C9&gt;1,#REF!-1500+ber_Med_disc!B9,"")</f>
        <v/>
      </c>
      <c r="D20" s="392">
        <f>ber_Med_disc!C9</f>
        <v>0</v>
      </c>
      <c r="E20" s="392"/>
      <c r="F20" s="392"/>
      <c r="G20" s="392"/>
      <c r="H20" s="189" t="str">
        <f>IF(INDEX(ber_Med_disc!$D$27:$D$38,ber_Med_disc!H9,1)=0,"",INDEX(ber_Med_disc!$D$27:$D$38,ber_Med_disc!H9,1))</f>
        <v/>
      </c>
      <c r="I20" s="190" t="str">
        <f>IF(ber_Med_disc!C9&gt;1,ber_Med_disc!G9,"")</f>
        <v/>
      </c>
      <c r="J20" s="191" t="str">
        <f>IF(ber_Med_disc!C9&gt;1,ber_Med_disc!E9,"")</f>
        <v/>
      </c>
      <c r="K20" s="192">
        <f>ber_Med_disc!K9</f>
        <v>0</v>
      </c>
      <c r="L20" s="185" t="str">
        <f>IF(AND(ber_Med_disc!C9&gt;1,ber_Med_disc!N9&gt;1,H20&lt;&gt;"STOP"),ber_Med_disc!M9,"")</f>
        <v/>
      </c>
      <c r="M20" s="185" t="str">
        <f>IF(AND(ber_Med_disc!C9&gt;1,L20&lt;&gt;0,ber_Med_disc!N9&gt;1,H20&lt;&gt;"STOP"),"ml","")</f>
        <v/>
      </c>
      <c r="N20" s="185"/>
      <c r="O20" s="185" t="str">
        <f>IF(AND(L20&lt;&gt;"",ber_Med_disc!P9&gt;0,H20&lt;&gt;"STOP"),ber_Med_disc!P9&amp;" min","")</f>
        <v/>
      </c>
      <c r="P20" s="185"/>
      <c r="Q20" s="185"/>
      <c r="R20" s="185"/>
      <c r="S20" s="185"/>
      <c r="T20" s="185"/>
      <c r="U20" s="185"/>
      <c r="V20" s="185"/>
    </row>
    <row r="21" spans="1:22" s="357" customFormat="1" ht="19.55" customHeight="1" x14ac:dyDescent="0.35">
      <c r="A21" s="185"/>
      <c r="B21" s="193" t="s">
        <v>1377</v>
      </c>
      <c r="C21" s="194"/>
      <c r="D21" s="196">
        <f>ber_Opm!C23</f>
        <v>0</v>
      </c>
      <c r="E21" s="196"/>
      <c r="F21" s="196"/>
      <c r="G21" s="196"/>
      <c r="H21" s="195" t="str">
        <f>IF(AND(ber_Med_disc!C9&gt;1,H20&lt;&gt;"STOP"),"Dosering/kg/dag: ","")</f>
        <v/>
      </c>
      <c r="I21" s="194"/>
      <c r="J21" s="196" t="str">
        <f>IF(ber_Med_disc!C9&gt;1,ber_Med_disc!L9,"")</f>
        <v/>
      </c>
      <c r="K21" s="194" t="str">
        <f>IF(AND(ber_Med_disc!C9&gt;1,H20&lt;&gt;"STOP"),J20&amp;"/kg/dag ","")</f>
        <v/>
      </c>
      <c r="L21" s="194"/>
      <c r="M21" s="194" t="str">
        <f>IF(AND(ber_Med_disc!C9&gt;1,ber_Med_disc!N9&gt;1,ber_Med_disc!M9&gt;0,H20&lt;&gt;"STOP"),"Oplossing:","")</f>
        <v/>
      </c>
      <c r="N21" s="194" t="str">
        <f>IF(AND(ber_Med_disc!C9&gt;1,ber_Med_disc!N9&gt;1,ber_Med_disc!M9&gt;0,H20&lt;&gt;"STOP"),ROUND(ber_Med_disc!G9/ber_Med_disc!M9,2)&amp;" "&amp;ber_Med_disc!E9&amp;"/ml","")</f>
        <v/>
      </c>
      <c r="O21" s="194"/>
      <c r="P21" s="194"/>
      <c r="Q21" s="185"/>
      <c r="R21" s="185"/>
      <c r="S21" s="185"/>
      <c r="T21" s="185"/>
      <c r="U21" s="185"/>
      <c r="V21" s="185"/>
    </row>
    <row r="22" spans="1:22" s="357" customFormat="1" ht="19.55" customHeight="1" x14ac:dyDescent="0.4">
      <c r="A22" s="185"/>
      <c r="B22" s="187">
        <v>9</v>
      </c>
      <c r="C22" s="188" t="str">
        <f>IF(ber_Med_disc!C10&gt;1,#REF!-1500+ber_Med_disc!B10,"")</f>
        <v/>
      </c>
      <c r="D22" s="392">
        <f>ber_Med_disc!C10</f>
        <v>0</v>
      </c>
      <c r="E22" s="392"/>
      <c r="F22" s="392"/>
      <c r="G22" s="392"/>
      <c r="H22" s="189" t="str">
        <f>IF(INDEX(ber_Med_disc!$D$27:$D$38,ber_Med_disc!H10,1)=0,"",INDEX(ber_Med_disc!$D$27:$D$38,ber_Med_disc!H10,1))</f>
        <v/>
      </c>
      <c r="I22" s="190" t="str">
        <f>IF(ber_Med_disc!C10&gt;1,ber_Med_disc!G10,"")</f>
        <v/>
      </c>
      <c r="J22" s="191" t="str">
        <f>IF(ber_Med_disc!C10&gt;1,ber_Med_disc!E10,"")</f>
        <v/>
      </c>
      <c r="K22" s="192">
        <f>ber_Med_disc!K10</f>
        <v>0</v>
      </c>
      <c r="L22" s="185" t="str">
        <f>IF(AND(ber_Med_disc!C10&gt;1,ber_Med_disc!N10&gt;1,H22&lt;&gt;"STOP"),ber_Med_disc!M10,"")</f>
        <v/>
      </c>
      <c r="M22" s="185" t="str">
        <f>IF(AND(ber_Med_disc!C10&gt;1,L22&lt;&gt;0,ber_Med_disc!N10&gt;1,H22&lt;&gt;"STOP"),"ml","")</f>
        <v/>
      </c>
      <c r="N22" s="185"/>
      <c r="O22" s="185" t="str">
        <f>IF(AND(L22&lt;&gt;"",ber_Med_disc!P10&gt;0,H22&lt;&gt;"STOP"),ber_Med_disc!P10&amp;" min","")</f>
        <v/>
      </c>
      <c r="P22" s="185"/>
      <c r="Q22" s="185"/>
      <c r="R22" s="185"/>
      <c r="S22" s="185"/>
      <c r="T22" s="185"/>
      <c r="U22" s="185"/>
      <c r="V22" s="185"/>
    </row>
    <row r="23" spans="1:22" s="357" customFormat="1" ht="19.55" customHeight="1" x14ac:dyDescent="0.35">
      <c r="A23" s="185"/>
      <c r="B23" s="193" t="s">
        <v>1377</v>
      </c>
      <c r="C23" s="194"/>
      <c r="D23" s="196">
        <f>ber_Opm!C24</f>
        <v>0</v>
      </c>
      <c r="E23" s="196"/>
      <c r="F23" s="196"/>
      <c r="G23" s="196"/>
      <c r="H23" s="195" t="str">
        <f>IF(AND(ber_Med_disc!C10&gt;1,H22&lt;&gt;"STOP"),"Dosering/kg/dag: ","")</f>
        <v/>
      </c>
      <c r="I23" s="194"/>
      <c r="J23" s="196" t="str">
        <f>IF(ber_Med_disc!C10&gt;1,ber_Med_disc!L10,"")</f>
        <v/>
      </c>
      <c r="K23" s="194" t="str">
        <f>IF(AND(ber_Med_disc!C10&gt;1,H22&lt;&gt;"STOP"),J22&amp;"/kg/dag ","")</f>
        <v/>
      </c>
      <c r="L23" s="194"/>
      <c r="M23" s="194" t="str">
        <f>IF(AND(ber_Med_disc!C10&gt;1,ber_Med_disc!N10&gt;1,ber_Med_disc!M10&gt;0,H22&lt;&gt;"STOP"),"Oplossing:","")</f>
        <v/>
      </c>
      <c r="N23" s="194" t="str">
        <f>IF(AND(ber_Med_disc!C10&gt;1,ber_Med_disc!N10&gt;1,ber_Med_disc!M10&gt;0,H22&lt;&gt;"STOP"),ROUND(ber_Med_disc!G10/ber_Med_disc!M10,2)&amp;" "&amp;ber_Med_disc!E10&amp;"/ml","")</f>
        <v/>
      </c>
      <c r="O23" s="194"/>
      <c r="P23" s="194"/>
      <c r="Q23" s="185"/>
      <c r="R23" s="185"/>
      <c r="S23" s="185"/>
      <c r="T23" s="185"/>
      <c r="U23" s="185"/>
      <c r="V23" s="185"/>
    </row>
    <row r="24" spans="1:22" s="357" customFormat="1" ht="19.55" customHeight="1" x14ac:dyDescent="0.4">
      <c r="A24" s="185"/>
      <c r="B24" s="187">
        <v>10</v>
      </c>
      <c r="C24" s="188" t="str">
        <f>IF(ber_Med_disc!C11&gt;1,#REF!-1500+ber_Med_disc!B11,"")</f>
        <v/>
      </c>
      <c r="D24" s="392">
        <f>ber_Med_disc!C11</f>
        <v>0</v>
      </c>
      <c r="E24" s="392"/>
      <c r="F24" s="392"/>
      <c r="G24" s="392"/>
      <c r="H24" s="189" t="str">
        <f>IF(INDEX(ber_Med_disc!$D$27:$D$38,ber_Med_disc!H11,1)=0,"",INDEX(ber_Med_disc!$D$27:$D$38,ber_Med_disc!H11,1))</f>
        <v/>
      </c>
      <c r="I24" s="190" t="str">
        <f>IF(ber_Med_disc!C11&gt;1,ber_Med_disc!G11,"")</f>
        <v/>
      </c>
      <c r="J24" s="191" t="str">
        <f>IF(ber_Med_disc!C11&gt;1,ber_Med_disc!E11,"")</f>
        <v/>
      </c>
      <c r="K24" s="192">
        <f>ber_Med_disc!K11</f>
        <v>0</v>
      </c>
      <c r="L24" s="185" t="str">
        <f>IF(AND(ber_Med_disc!C11&gt;1,ber_Med_disc!N11&gt;1,H24&lt;&gt;"STOP"),ber_Med_disc!M11,"")</f>
        <v/>
      </c>
      <c r="M24" s="185" t="str">
        <f>IF(AND(ber_Med_disc!C11&gt;1,L24&lt;&gt;0,ber_Med_disc!N11&gt;1,H24&lt;&gt;"STOP"),"ml","")</f>
        <v/>
      </c>
      <c r="N24" s="185"/>
      <c r="O24" s="185" t="str">
        <f>IF(AND(L24&lt;&gt;"",ber_Med_disc!P11&gt;0,H24&lt;&gt;"STOP"),ber_Med_disc!P11&amp;" min","")</f>
        <v/>
      </c>
      <c r="P24" s="185"/>
      <c r="Q24" s="185"/>
      <c r="R24" s="185"/>
      <c r="S24" s="185"/>
      <c r="T24" s="185"/>
      <c r="U24" s="185"/>
      <c r="V24" s="185"/>
    </row>
    <row r="25" spans="1:22" s="357" customFormat="1" ht="19.55" customHeight="1" x14ac:dyDescent="0.35">
      <c r="A25" s="185"/>
      <c r="B25" s="193" t="s">
        <v>1377</v>
      </c>
      <c r="C25" s="194"/>
      <c r="D25" s="196">
        <f>ber_Opm!C25</f>
        <v>0</v>
      </c>
      <c r="E25" s="196"/>
      <c r="F25" s="196"/>
      <c r="G25" s="196"/>
      <c r="H25" s="195" t="str">
        <f>IF(AND(ber_Med_disc!C11&gt;1,H24&lt;&gt;"STOP"),"Dosering/kg/dag: ","")</f>
        <v/>
      </c>
      <c r="I25" s="194"/>
      <c r="J25" s="196" t="str">
        <f>IF(ber_Med_disc!C11&gt;1,ber_Med_disc!L11,"")</f>
        <v/>
      </c>
      <c r="K25" s="194" t="str">
        <f>IF(AND(ber_Med_disc!C11&gt;1,H24&lt;&gt;"STOP"),J24&amp;"/kg/dag ","")</f>
        <v/>
      </c>
      <c r="L25" s="194"/>
      <c r="M25" s="194" t="str">
        <f>IF(AND(ber_Med_disc!C11&gt;1,ber_Med_disc!N11&gt;1,ber_Med_disc!M11&gt;0,H24&lt;&gt;"STOP"),"Oplossing:","")</f>
        <v/>
      </c>
      <c r="N25" s="194" t="str">
        <f>IF(AND(ber_Med_disc!C11&gt;1,ber_Med_disc!N11&gt;1,ber_Med_disc!M11&gt;0,H24&lt;&gt;"STOP"),ROUND(ber_Med_disc!G11/ber_Med_disc!M11,2)&amp;" "&amp;ber_Med_disc!E11&amp;"/ml","")</f>
        <v/>
      </c>
      <c r="O25" s="194"/>
      <c r="P25" s="194"/>
      <c r="Q25" s="185"/>
      <c r="R25" s="185"/>
      <c r="S25" s="185"/>
      <c r="T25" s="185"/>
      <c r="U25" s="185"/>
      <c r="V25" s="185"/>
    </row>
    <row r="26" spans="1:22" s="357" customFormat="1" ht="19.55" customHeight="1" x14ac:dyDescent="0.4">
      <c r="A26" s="185"/>
      <c r="B26" s="187">
        <v>11</v>
      </c>
      <c r="C26" s="188" t="str">
        <f>IF(ber_Med_disc!C12&gt;1,#REF!-1500+ber_Med_disc!B12,"")</f>
        <v/>
      </c>
      <c r="D26" s="392">
        <f>ber_Med_disc!C12</f>
        <v>0</v>
      </c>
      <c r="E26" s="392"/>
      <c r="F26" s="392"/>
      <c r="G26" s="392"/>
      <c r="H26" s="189" t="str">
        <f>IF(INDEX(ber_Med_disc!$D$27:$D$38,ber_Med_disc!H12,1)=0,"",INDEX(ber_Med_disc!$D$27:$D$38,ber_Med_disc!H12,1))</f>
        <v/>
      </c>
      <c r="I26" s="190" t="str">
        <f>IF(ber_Med_disc!C12&gt;1,ber_Med_disc!G12,"")</f>
        <v/>
      </c>
      <c r="J26" s="191" t="str">
        <f>IF(ber_Med_disc!C12&gt;1,ber_Med_disc!E12,"")</f>
        <v/>
      </c>
      <c r="K26" s="192">
        <f>ber_Med_disc!K12</f>
        <v>0</v>
      </c>
      <c r="L26" s="185" t="str">
        <f>IF(AND(ber_Med_disc!C12&gt;1,ber_Med_disc!N12&gt;1,H26&lt;&gt;"STOP"),ber_Med_disc!M12,"")</f>
        <v/>
      </c>
      <c r="M26" s="185" t="str">
        <f>IF(AND(ber_Med_disc!C12&gt;1,L26&lt;&gt;0,ber_Med_disc!N12&gt;1,H26&lt;&gt;"STOP"),"ml","")</f>
        <v/>
      </c>
      <c r="N26" s="185"/>
      <c r="O26" s="185" t="str">
        <f>IF(AND(L26&lt;&gt;"",ber_Med_disc!P12&gt;0,H26&lt;&gt;"STOP"),ber_Med_disc!P12&amp;" min","")</f>
        <v/>
      </c>
      <c r="P26" s="185"/>
      <c r="Q26" s="185"/>
      <c r="R26" s="185"/>
      <c r="S26" s="185"/>
      <c r="T26" s="185"/>
      <c r="U26" s="185"/>
      <c r="V26" s="185"/>
    </row>
    <row r="27" spans="1:22" s="357" customFormat="1" ht="19.55" customHeight="1" x14ac:dyDescent="0.35">
      <c r="A27" s="185"/>
      <c r="B27" s="193" t="s">
        <v>1377</v>
      </c>
      <c r="C27" s="194"/>
      <c r="D27" s="196">
        <f>ber_Opm!C26</f>
        <v>0</v>
      </c>
      <c r="E27" s="196"/>
      <c r="F27" s="196"/>
      <c r="G27" s="196"/>
      <c r="H27" s="195" t="str">
        <f>IF(AND(ber_Med_disc!C12&gt;1,H26&lt;&gt;"STOP"),"Dosering/kg/dag: ","")</f>
        <v/>
      </c>
      <c r="I27" s="194"/>
      <c r="J27" s="196" t="str">
        <f>IF(ber_Med_disc!C12&gt;1,ber_Med_disc!L12,"")</f>
        <v/>
      </c>
      <c r="K27" s="194" t="str">
        <f>IF(AND(ber_Med_disc!C12&gt;1,H26&lt;&gt;"STOP"),J26&amp;"/kg/dag ","")</f>
        <v/>
      </c>
      <c r="L27" s="194"/>
      <c r="M27" s="194" t="str">
        <f>IF(AND(ber_Med_disc!C12&gt;1,ber_Med_disc!N12&gt;1,ber_Med_disc!M12&gt;0,H26&lt;&gt;"STOP"),"Oplossing:","")</f>
        <v/>
      </c>
      <c r="N27" s="194" t="str">
        <f>IF(AND(ber_Med_disc!C12&gt;1,ber_Med_disc!N12&gt;1,ber_Med_disc!M12&gt;0,H26&lt;&gt;"STOP"),ROUND(ber_Med_disc!G12/ber_Med_disc!M12,2)&amp;" "&amp;ber_Med_disc!E12&amp;"/ml","")</f>
        <v/>
      </c>
      <c r="O27" s="194"/>
      <c r="P27" s="194"/>
      <c r="Q27" s="185"/>
      <c r="R27" s="185"/>
      <c r="S27" s="185"/>
      <c r="T27" s="185"/>
      <c r="U27" s="185"/>
      <c r="V27" s="185"/>
    </row>
    <row r="28" spans="1:22" s="357" customFormat="1" ht="19.55" customHeight="1" x14ac:dyDescent="0.4">
      <c r="A28" s="185"/>
      <c r="B28" s="187">
        <v>12</v>
      </c>
      <c r="C28" s="188" t="str">
        <f>IF(ber_Med_disc!C13&gt;1,#REF!-1500+ber_Med_disc!B13,"")</f>
        <v/>
      </c>
      <c r="D28" s="392">
        <f>ber_Med_disc!C13</f>
        <v>0</v>
      </c>
      <c r="E28" s="392"/>
      <c r="F28" s="392"/>
      <c r="G28" s="392"/>
      <c r="H28" s="189" t="str">
        <f>IF(INDEX(ber_Med_disc!$D$27:$D$38,ber_Med_disc!H13,1)=0,"",INDEX(ber_Med_disc!$D$27:$D$38,ber_Med_disc!H13,1))</f>
        <v/>
      </c>
      <c r="I28" s="190" t="str">
        <f>IF(ber_Med_disc!C13&gt;1,ber_Med_disc!G13,"")</f>
        <v/>
      </c>
      <c r="J28" s="191" t="str">
        <f>IF(ber_Med_disc!C13&gt;1,ber_Med_disc!E13,"")</f>
        <v/>
      </c>
      <c r="K28" s="192">
        <f>ber_Med_disc!K13</f>
        <v>0</v>
      </c>
      <c r="L28" s="185" t="str">
        <f>IF(AND(ber_Med_disc!C13&gt;1,ber_Med_disc!N13&gt;1,H28&lt;&gt;"STOP"),ber_Med_disc!M13,"")</f>
        <v/>
      </c>
      <c r="M28" s="185" t="str">
        <f>IF(AND(ber_Med_disc!C13&gt;1,L28&lt;&gt;0,ber_Med_disc!N13&gt;1,H28&lt;&gt;"STOP"),"ml","")</f>
        <v/>
      </c>
      <c r="N28" s="185"/>
      <c r="O28" s="185" t="str">
        <f>IF(AND(L28&lt;&gt;"",ber_Med_disc!P13&gt;0,H28&lt;&gt;"STOP"),ber_Med_disc!P13&amp;" min","")</f>
        <v/>
      </c>
      <c r="P28" s="185"/>
      <c r="Q28" s="185"/>
      <c r="R28" s="185"/>
      <c r="S28" s="185"/>
      <c r="T28" s="185"/>
      <c r="U28" s="185"/>
      <c r="V28" s="185"/>
    </row>
    <row r="29" spans="1:22" s="357" customFormat="1" ht="19.55" customHeight="1" x14ac:dyDescent="0.35">
      <c r="A29" s="185"/>
      <c r="B29" s="193" t="s">
        <v>1377</v>
      </c>
      <c r="C29" s="194"/>
      <c r="D29" s="196">
        <f>ber_Opm!C27</f>
        <v>0</v>
      </c>
      <c r="E29" s="196"/>
      <c r="F29" s="196"/>
      <c r="G29" s="196"/>
      <c r="H29" s="195" t="str">
        <f>IF(AND(ber_Med_disc!C13&gt;1,H28&lt;&gt;"STOP"),"Dosering/kg/dag: ","")</f>
        <v/>
      </c>
      <c r="I29" s="194"/>
      <c r="J29" s="196" t="str">
        <f>IF(ber_Med_disc!C13&gt;1,ber_Med_disc!L13,"")</f>
        <v/>
      </c>
      <c r="K29" s="194" t="str">
        <f>IF(AND(ber_Med_disc!C13&gt;1,H28&lt;&gt;"STOP"),J28&amp;"/kg/dag ","")</f>
        <v/>
      </c>
      <c r="L29" s="194"/>
      <c r="M29" s="194" t="str">
        <f>IF(AND(ber_Med_disc!C13&gt;1,ber_Med_disc!N13&gt;1,ber_Med_disc!M13&gt;0,H28&lt;&gt;"STOP"),"Oplossing:","")</f>
        <v/>
      </c>
      <c r="N29" s="194" t="str">
        <f>IF(AND(ber_Med_disc!C13&gt;1,ber_Med_disc!N13&gt;1,ber_Med_disc!M13&gt;0,H28&lt;&gt;"STOP"),ROUND(ber_Med_disc!G13/ber_Med_disc!M13,2)&amp;" "&amp;ber_Med_disc!E13&amp;"/ml","")</f>
        <v/>
      </c>
      <c r="O29" s="194"/>
      <c r="P29" s="194"/>
      <c r="Q29" s="185"/>
      <c r="R29" s="185"/>
      <c r="S29" s="185"/>
      <c r="T29" s="185"/>
      <c r="U29" s="185"/>
      <c r="V29" s="185"/>
    </row>
    <row r="30" spans="1:22" s="357" customFormat="1" ht="19.55" customHeight="1" x14ac:dyDescent="0.4">
      <c r="A30" s="185"/>
      <c r="B30" s="187">
        <v>13</v>
      </c>
      <c r="C30" s="188" t="str">
        <f>IF(ber_Med_disc!C14&gt;1,#REF!-1500+ber_Med_disc!B14,"")</f>
        <v/>
      </c>
      <c r="D30" s="392">
        <f>ber_Med_disc!C14</f>
        <v>0</v>
      </c>
      <c r="E30" s="392"/>
      <c r="F30" s="392"/>
      <c r="G30" s="392"/>
      <c r="H30" s="189" t="str">
        <f>IF(INDEX(ber_Med_disc!$D$27:$D$38,ber_Med_disc!H14,1)=0,"",INDEX(ber_Med_disc!$D$27:$D$38,ber_Med_disc!H14,1))</f>
        <v/>
      </c>
      <c r="I30" s="190" t="str">
        <f>IF(ber_Med_disc!C14&gt;1,ber_Med_disc!G14,"")</f>
        <v/>
      </c>
      <c r="J30" s="191" t="str">
        <f>IF(ber_Med_disc!C14&gt;1,ber_Med_disc!E14,"")</f>
        <v/>
      </c>
      <c r="K30" s="192">
        <f>ber_Med_disc!K14</f>
        <v>0</v>
      </c>
      <c r="L30" s="185" t="str">
        <f>IF(AND(ber_Med_disc!C14&gt;1,ber_Med_disc!N14&gt;1,H30&lt;&gt;"STOP"),ber_Med_disc!M14,"")</f>
        <v/>
      </c>
      <c r="M30" s="185" t="str">
        <f>IF(AND(ber_Med_disc!C14&gt;1,L30&lt;&gt;0,ber_Med_disc!N14&gt;1,H30&lt;&gt;"STOP"),"ml","")</f>
        <v/>
      </c>
      <c r="N30" s="185"/>
      <c r="O30" s="185" t="str">
        <f>IF(AND(L30&lt;&gt;"",ber_Med_disc!P14&gt;0,H30&lt;&gt;"STOP"),ber_Med_disc!P14&amp;" min","")</f>
        <v/>
      </c>
      <c r="P30" s="185"/>
      <c r="Q30" s="185"/>
      <c r="R30" s="185"/>
      <c r="S30" s="185"/>
      <c r="T30" s="185"/>
      <c r="U30" s="185"/>
      <c r="V30" s="185"/>
    </row>
    <row r="31" spans="1:22" s="357" customFormat="1" ht="19.55" customHeight="1" x14ac:dyDescent="0.35">
      <c r="A31" s="185"/>
      <c r="B31" s="193" t="s">
        <v>1377</v>
      </c>
      <c r="C31" s="194"/>
      <c r="D31" s="196">
        <f>ber_Opm!C28</f>
        <v>0</v>
      </c>
      <c r="E31" s="196"/>
      <c r="F31" s="196"/>
      <c r="G31" s="196"/>
      <c r="H31" s="195" t="str">
        <f>IF(AND(ber_Med_disc!C14&gt;1,H30&lt;&gt;"STOP"),"Dosering/kg/dag: ","")</f>
        <v/>
      </c>
      <c r="I31" s="194"/>
      <c r="J31" s="196" t="str">
        <f>IF(ber_Med_disc!C14&gt;1,ber_Med_disc!L14,"")</f>
        <v/>
      </c>
      <c r="K31" s="194" t="str">
        <f>IF(AND(ber_Med_disc!C14&gt;1,H30&lt;&gt;"STOP"),J30&amp;"/kg/dag ","")</f>
        <v/>
      </c>
      <c r="L31" s="194"/>
      <c r="M31" s="194" t="str">
        <f>IF(AND(ber_Med_disc!C14&gt;1,ber_Med_disc!N14&gt;1,ber_Med_disc!M14&gt;0,H30&lt;&gt;"STOP"),"Oplossing:","")</f>
        <v/>
      </c>
      <c r="N31" s="194" t="str">
        <f>IF(AND(ber_Med_disc!C14&gt;1,ber_Med_disc!N14&gt;1,ber_Med_disc!M14&gt;0,H30&lt;&gt;"STOP"),ROUND(ber_Med_disc!G14/ber_Med_disc!M14,2)&amp;" "&amp;ber_Med_disc!E14&amp;"/ml","")</f>
        <v/>
      </c>
      <c r="O31" s="194"/>
      <c r="P31" s="194"/>
      <c r="Q31" s="185"/>
      <c r="R31" s="185"/>
      <c r="S31" s="185"/>
      <c r="T31" s="185"/>
      <c r="U31" s="185"/>
      <c r="V31" s="185"/>
    </row>
    <row r="32" spans="1:22" s="357" customFormat="1" ht="19.55" customHeight="1" x14ac:dyDescent="0.4">
      <c r="A32" s="185"/>
      <c r="B32" s="187">
        <v>14</v>
      </c>
      <c r="C32" s="188" t="str">
        <f>IF(ber_Med_disc!C15&gt;1,#REF!-1500+ber_Med_disc!B15,"")</f>
        <v/>
      </c>
      <c r="D32" s="392">
        <f>ber_Med_disc!C15</f>
        <v>0</v>
      </c>
      <c r="E32" s="392"/>
      <c r="F32" s="392"/>
      <c r="G32" s="392"/>
      <c r="H32" s="189" t="str">
        <f>IF(INDEX(ber_Med_disc!$D$27:$D$38,ber_Med_disc!H15,1)=0,"",INDEX(ber_Med_disc!$D$27:$D$38,ber_Med_disc!H15,1))</f>
        <v/>
      </c>
      <c r="I32" s="190" t="str">
        <f>IF(ber_Med_disc!C15&gt;1,ber_Med_disc!G15,"")</f>
        <v/>
      </c>
      <c r="J32" s="191" t="str">
        <f>IF(ber_Med_disc!C15&gt;1,ber_Med_disc!E15,"")</f>
        <v/>
      </c>
      <c r="K32" s="192">
        <f>ber_Med_disc!K15</f>
        <v>0</v>
      </c>
      <c r="L32" s="185" t="str">
        <f>IF(AND(ber_Med_disc!C15&gt;1,ber_Med_disc!N15&gt;1,H32&lt;&gt;"STOP"),ber_Med_disc!M15,"")</f>
        <v/>
      </c>
      <c r="M32" s="185" t="str">
        <f>IF(AND(ber_Med_disc!C15&gt;1,L32&lt;&gt;0,ber_Med_disc!N15&gt;1,H32&lt;&gt;"STOP"),"ml","")</f>
        <v/>
      </c>
      <c r="N32" s="185"/>
      <c r="O32" s="185" t="str">
        <f>IF(AND(L32&lt;&gt;"",ber_Med_disc!P15&gt;0,H32&lt;&gt;"STOP"),ber_Med_disc!P15&amp;" min","")</f>
        <v/>
      </c>
      <c r="P32" s="185"/>
      <c r="Q32" s="185"/>
      <c r="R32" s="185"/>
      <c r="S32" s="185"/>
      <c r="T32" s="185"/>
      <c r="U32" s="185"/>
      <c r="V32" s="185"/>
    </row>
    <row r="33" spans="1:22" s="357" customFormat="1" ht="19.55" customHeight="1" x14ac:dyDescent="0.35">
      <c r="A33" s="185"/>
      <c r="B33" s="193" t="s">
        <v>1377</v>
      </c>
      <c r="C33" s="194"/>
      <c r="D33" s="196">
        <f>ber_Opm!C29</f>
        <v>0</v>
      </c>
      <c r="E33" s="196"/>
      <c r="F33" s="196"/>
      <c r="G33" s="196"/>
      <c r="H33" s="195" t="str">
        <f>IF(AND(ber_Med_disc!C15&gt;1,H32&lt;&gt;"STOP"),"Dosering/kg/dag: ","")</f>
        <v/>
      </c>
      <c r="I33" s="194"/>
      <c r="J33" s="196" t="str">
        <f>IF(ber_Med_disc!C15&gt;1,ber_Med_disc!L15,"")</f>
        <v/>
      </c>
      <c r="K33" s="194" t="str">
        <f>IF(AND(ber_Med_disc!C15&gt;1,H32&lt;&gt;"STOP"),J32&amp;"/kg/dag ","")</f>
        <v/>
      </c>
      <c r="L33" s="194"/>
      <c r="M33" s="194" t="str">
        <f>IF(AND(ber_Med_disc!C15&gt;1,ber_Med_disc!N15&gt;1,ber_Med_disc!M15&gt;0,H32&lt;&gt;"STOP"),"Oplossing:","")</f>
        <v/>
      </c>
      <c r="N33" s="194" t="str">
        <f>IF(AND(ber_Med_disc!C15&gt;1,ber_Med_disc!N15&gt;1,ber_Med_disc!M15&gt;0,H32&lt;&gt;"STOP"),ROUND(ber_Med_disc!G15/ber_Med_disc!M15,2)&amp;" "&amp;ber_Med_disc!E15&amp;"/ml","")</f>
        <v/>
      </c>
      <c r="O33" s="194"/>
      <c r="P33" s="194"/>
      <c r="Q33" s="185"/>
      <c r="R33" s="185"/>
      <c r="S33" s="185"/>
      <c r="T33" s="185"/>
      <c r="U33" s="185"/>
      <c r="V33" s="185"/>
    </row>
    <row r="34" spans="1:22" s="357" customFormat="1" ht="19.55" customHeight="1" x14ac:dyDescent="0.4">
      <c r="A34" s="185"/>
      <c r="B34" s="187">
        <v>15</v>
      </c>
      <c r="C34" s="188" t="str">
        <f>IF(ber_Med_disc!C16&gt;1,#REF!-1500+ber_Med_disc!B16,"")</f>
        <v/>
      </c>
      <c r="D34" s="392">
        <f>ber_Med_disc!C16</f>
        <v>0</v>
      </c>
      <c r="E34" s="392"/>
      <c r="F34" s="392"/>
      <c r="G34" s="392"/>
      <c r="H34" s="189" t="str">
        <f>IF(INDEX(ber_Med_disc!$D$27:$D$38,ber_Med_disc!H16,1)=0,"",INDEX(ber_Med_disc!$D$27:$D$38,ber_Med_disc!H16,1))</f>
        <v/>
      </c>
      <c r="I34" s="190" t="str">
        <f>IF(ber_Med_disc!C16&gt;1,ber_Med_disc!G16,"")</f>
        <v/>
      </c>
      <c r="J34" s="191" t="str">
        <f>IF(ber_Med_disc!C16&gt;1,ber_Med_disc!E16,"")</f>
        <v/>
      </c>
      <c r="K34" s="192">
        <f>ber_Med_disc!K16</f>
        <v>0</v>
      </c>
      <c r="L34" s="185" t="str">
        <f>IF(AND(ber_Med_disc!C16&gt;1,ber_Med_disc!N16&gt;1,H34&lt;&gt;"STOP"),ber_Med_disc!M16,"")</f>
        <v/>
      </c>
      <c r="M34" s="185" t="str">
        <f>IF(AND(ber_Med_disc!C16&gt;1,L34&lt;&gt;0,ber_Med_disc!N16&gt;1,H34&lt;&gt;"STOP"),"ml","")</f>
        <v/>
      </c>
      <c r="N34" s="185"/>
      <c r="O34" s="185" t="str">
        <f>IF(AND(L34&lt;&gt;"",ber_Med_disc!P16&gt;0,H34&lt;&gt;"STOP"),ber_Med_disc!P16&amp;" min","")</f>
        <v/>
      </c>
      <c r="P34" s="185"/>
      <c r="Q34" s="185"/>
      <c r="R34" s="185"/>
      <c r="S34" s="185"/>
      <c r="T34" s="185"/>
      <c r="U34" s="185"/>
      <c r="V34" s="185"/>
    </row>
    <row r="35" spans="1:22" s="357" customFormat="1" ht="19.55" customHeight="1" x14ac:dyDescent="0.35">
      <c r="A35" s="185"/>
      <c r="B35" s="193" t="s">
        <v>1377</v>
      </c>
      <c r="C35" s="194"/>
      <c r="D35" s="196">
        <f>ber_Opm!C30</f>
        <v>0</v>
      </c>
      <c r="E35" s="196"/>
      <c r="F35" s="196"/>
      <c r="G35" s="196"/>
      <c r="H35" s="195" t="str">
        <f>IF(AND(ber_Med_disc!C16&gt;1,H34&lt;&gt;"STOP"),"Dosering/kg/dag: ","")</f>
        <v/>
      </c>
      <c r="I35" s="194"/>
      <c r="J35" s="196" t="str">
        <f>IF(ber_Med_disc!C16&gt;1,ber_Med_disc!L16,"")</f>
        <v/>
      </c>
      <c r="K35" s="194" t="str">
        <f>IF(AND(ber_Med_disc!C16&gt;1,H34&lt;&gt;"STOP"),J34&amp;"/kg/dag ","")</f>
        <v/>
      </c>
      <c r="L35" s="194"/>
      <c r="M35" s="194" t="str">
        <f>IF(AND(ber_Med_disc!C16&gt;1,ber_Med_disc!N16&gt;1,ber_Med_disc!M16&gt;0,H34&lt;&gt;"STOP"),"Oplossing:","")</f>
        <v/>
      </c>
      <c r="N35" s="194" t="str">
        <f>IF(AND(ber_Med_disc!C16&gt;1,ber_Med_disc!N16&gt;1,ber_Med_disc!M16&gt;0,H34&lt;&gt;"STOP"),ROUND(ber_Med_disc!G16/ber_Med_disc!M16,2)&amp;" "&amp;ber_Med_disc!E16&amp;"/ml","")</f>
        <v/>
      </c>
      <c r="O35" s="194"/>
      <c r="P35" s="194"/>
      <c r="Q35" s="185"/>
      <c r="R35" s="185"/>
      <c r="S35" s="185"/>
      <c r="T35" s="185"/>
      <c r="U35" s="185"/>
      <c r="V35" s="185"/>
    </row>
    <row r="36" spans="1:22" s="357" customFormat="1" ht="19.55" customHeight="1" x14ac:dyDescent="0.4">
      <c r="A36" s="185"/>
      <c r="B36" s="187">
        <v>16</v>
      </c>
      <c r="C36" s="188" t="str">
        <f>IF(ber_Med_disc!C17&gt;1,#REF!-1500+ber_Med_disc!B17,"")</f>
        <v/>
      </c>
      <c r="D36" s="392">
        <f>ber_Med_disc!C17</f>
        <v>0</v>
      </c>
      <c r="E36" s="392"/>
      <c r="F36" s="392"/>
      <c r="G36" s="392"/>
      <c r="H36" s="189" t="str">
        <f>IF(INDEX(ber_Med_disc!$D$27:$D$38,ber_Med_disc!H17,1)=0,"",INDEX(ber_Med_disc!$D$27:$D$38,ber_Med_disc!H17,1))</f>
        <v/>
      </c>
      <c r="I36" s="190" t="str">
        <f>IF(ber_Med_disc!C17&gt;1,ber_Med_disc!G17,"")</f>
        <v/>
      </c>
      <c r="J36" s="191" t="str">
        <f>IF(ber_Med_disc!C17&gt;1,ber_Med_disc!E17,"")</f>
        <v/>
      </c>
      <c r="K36" s="192">
        <f>ber_Med_disc!K17</f>
        <v>0</v>
      </c>
      <c r="L36" s="185" t="str">
        <f>IF(AND(ber_Med_disc!C17&gt;1,ber_Med_disc!N17&gt;1),ber_Med_disc!M17,"")</f>
        <v/>
      </c>
      <c r="M36" s="185" t="str">
        <f>IF(AND(ber_Med_disc!C17&gt;1,L36&lt;&gt;0,ber_Med_disc!N17&gt;1),"ml","")</f>
        <v/>
      </c>
      <c r="N36" s="185"/>
      <c r="O36" s="185" t="str">
        <f>IF(AND(L36&lt;&gt;"",ber_Med_disc!P17&gt;0),ber_Med_disc!P17&amp;" min","")</f>
        <v/>
      </c>
      <c r="P36" s="185"/>
      <c r="Q36" s="185"/>
      <c r="R36" s="185"/>
      <c r="S36" s="185"/>
      <c r="T36" s="185"/>
      <c r="U36" s="185"/>
      <c r="V36" s="185"/>
    </row>
    <row r="37" spans="1:22" s="357" customFormat="1" ht="19.55" customHeight="1" x14ac:dyDescent="0.35">
      <c r="A37" s="185"/>
      <c r="B37" s="193" t="s">
        <v>1377</v>
      </c>
      <c r="C37" s="194"/>
      <c r="D37" s="196">
        <f>ber_Opm!C31</f>
        <v>0</v>
      </c>
      <c r="E37" s="196"/>
      <c r="F37" s="196"/>
      <c r="G37" s="196"/>
      <c r="H37" s="195" t="str">
        <f>IF(ber_Med_disc!C17&gt;1,"Dosering/kg/dag: ","")</f>
        <v/>
      </c>
      <c r="I37" s="194"/>
      <c r="J37" s="196" t="str">
        <f>IF(ber_Med_disc!C17&gt;1,ber_Med_disc!L17,"")</f>
        <v/>
      </c>
      <c r="K37" s="194" t="str">
        <f>IF(AND(ber_Med_disc!C17&gt;1),INDEX(ber_Med_disc!E27:E32,J36,1)&amp;"/kg/dag ","")</f>
        <v/>
      </c>
      <c r="L37" s="194"/>
      <c r="M37" s="194" t="str">
        <f>IF(AND(ber_Med_disc!C17&gt;1,ber_Med_disc!N17&gt;1,ber_Med_disc!M17&gt;0),"Oplossing:","")</f>
        <v/>
      </c>
      <c r="N37" s="194" t="str">
        <f>IF(AND(ber_Med_disc!C17&gt;1,ber_Med_disc!N17&gt;1,ber_Med_disc!M17&gt;0),ROUND(ber_Med_disc!G17/ber_Med_disc!M17,2)&amp;" "&amp;ber_Med_disc!E17&amp;"/ml","")</f>
        <v/>
      </c>
      <c r="O37" s="194"/>
      <c r="P37" s="194"/>
      <c r="Q37" s="185"/>
      <c r="R37" s="185"/>
      <c r="S37" s="185"/>
      <c r="T37" s="185"/>
      <c r="U37" s="185"/>
      <c r="V37" s="185"/>
    </row>
    <row r="38" spans="1:22" s="357" customFormat="1" ht="19.55" customHeight="1" x14ac:dyDescent="0.4">
      <c r="A38" s="185"/>
      <c r="B38" s="187">
        <v>17</v>
      </c>
      <c r="C38" s="188" t="str">
        <f>IF(ber_Med_disc!C18&gt;1,#REF!-1500+ber_Med_disc!B18,"")</f>
        <v/>
      </c>
      <c r="D38" s="392">
        <f>ber_Med_disc!C18</f>
        <v>0</v>
      </c>
      <c r="E38" s="392"/>
      <c r="F38" s="392"/>
      <c r="G38" s="392"/>
      <c r="H38" s="189" t="str">
        <f>IF(INDEX(ber_Med_disc!$D$27:$D$38,ber_Med_disc!H18,1)=0,"",INDEX(ber_Med_disc!$D$27:$D$38,ber_Med_disc!H18,1))</f>
        <v/>
      </c>
      <c r="I38" s="190" t="str">
        <f>IF(ber_Med_disc!C18&gt;1,ber_Med_disc!G18,"")</f>
        <v/>
      </c>
      <c r="J38" s="191" t="str">
        <f>IF(ber_Med_disc!C18&gt;1,ber_Med_disc!E18,"")</f>
        <v/>
      </c>
      <c r="K38" s="192">
        <f>ber_Med_disc!K18</f>
        <v>0</v>
      </c>
      <c r="L38" s="185" t="str">
        <f>IF(AND(ber_Med_disc!C18&gt;1,ber_Med_disc!N18&gt;1),ber_Med_disc!M18,"")</f>
        <v/>
      </c>
      <c r="M38" s="185" t="str">
        <f>IF(AND(ber_Med_disc!C18&gt;1,L38&lt;&gt;0,ber_Med_disc!N18&gt;1),"ml","")</f>
        <v/>
      </c>
      <c r="N38" s="185"/>
      <c r="O38" s="185" t="str">
        <f>IF(AND(L38&lt;&gt;"",ber_Med_disc!P18&gt;0),ber_Med_disc!P18&amp;" min","")</f>
        <v/>
      </c>
      <c r="P38" s="185"/>
      <c r="Q38" s="185"/>
      <c r="R38" s="185"/>
      <c r="S38" s="185"/>
      <c r="T38" s="185"/>
      <c r="U38" s="185"/>
      <c r="V38" s="185"/>
    </row>
    <row r="39" spans="1:22" s="357" customFormat="1" ht="19.55" customHeight="1" x14ac:dyDescent="0.35">
      <c r="A39" s="185"/>
      <c r="B39" s="193" t="s">
        <v>1377</v>
      </c>
      <c r="C39" s="194"/>
      <c r="D39" s="196">
        <f>ber_Opm!C32</f>
        <v>0</v>
      </c>
      <c r="E39" s="196"/>
      <c r="F39" s="196"/>
      <c r="G39" s="196"/>
      <c r="H39" s="195" t="str">
        <f>IF(ber_Med_disc!C18&gt;1,"Dosering/kg/dag: ","")</f>
        <v/>
      </c>
      <c r="I39" s="194"/>
      <c r="J39" s="196" t="str">
        <f>IF(ber_Med_disc!C18&gt;1,ber_Med_disc!L18,"")</f>
        <v/>
      </c>
      <c r="K39" s="194" t="str">
        <f>IF(AND(ber_Med_disc!C18&gt;1),J38&amp;"/kg/dag ","")</f>
        <v/>
      </c>
      <c r="L39" s="194"/>
      <c r="M39" s="194" t="str">
        <f>IF(AND(ber_Med_disc!C18&gt;1,ber_Med_disc!N18&gt;1,ber_Med_disc!M18&gt;0),"Oplossing:","")</f>
        <v/>
      </c>
      <c r="N39" s="194" t="str">
        <f>IF(AND(ber_Med_disc!C18&gt;1,ber_Med_disc!N18&gt;1,ber_Med_disc!M18&gt;0),ROUND(ber_Med_disc!G18/ber_Med_disc!M18,2)&amp;" "&amp;ber_Med_disc!E18&amp;"/ml","")</f>
        <v/>
      </c>
      <c r="O39" s="194"/>
      <c r="P39" s="194"/>
      <c r="Q39" s="185"/>
      <c r="R39" s="185"/>
      <c r="S39" s="185"/>
      <c r="T39" s="185"/>
      <c r="U39" s="185"/>
      <c r="V39" s="185"/>
    </row>
    <row r="40" spans="1:22" s="357" customFormat="1" ht="19.55" customHeight="1" x14ac:dyDescent="0.4">
      <c r="A40" s="185"/>
      <c r="B40" s="187">
        <v>18</v>
      </c>
      <c r="C40" s="188" t="str">
        <f>IF(ber_Med_disc!C19&gt;1,#REF!-1500+ber_Med_disc!B19,"")</f>
        <v/>
      </c>
      <c r="D40" s="392">
        <f>ber_Med_disc!C19</f>
        <v>0</v>
      </c>
      <c r="E40" s="392"/>
      <c r="F40" s="392"/>
      <c r="G40" s="392"/>
      <c r="H40" s="189" t="str">
        <f>IF(INDEX(ber_Med_disc!$D$27:$D$38,ber_Med_disc!H19,1)=0,"",INDEX(ber_Med_disc!$D$27:$D$38,ber_Med_disc!H19,1))</f>
        <v/>
      </c>
      <c r="I40" s="190" t="str">
        <f>IF(ber_Med_disc!C19&gt;1,ber_Med_disc!G19,"")</f>
        <v/>
      </c>
      <c r="J40" s="191" t="str">
        <f>IF(ber_Med_disc!C19&gt;1,ber_Med_disc!E19,"")</f>
        <v/>
      </c>
      <c r="K40" s="192">
        <f>ber_Med_disc!K19</f>
        <v>0</v>
      </c>
      <c r="L40" s="185" t="str">
        <f>IF(AND(ber_Med_disc!C19&gt;1,ber_Med_disc!N19&gt;1),ber_Med_disc!M19,"")</f>
        <v/>
      </c>
      <c r="M40" s="185" t="str">
        <f>IF(AND(ber_Med_disc!C19&gt;1,L40&lt;&gt;0,ber_Med_disc!N19&gt;1),"ml","")</f>
        <v/>
      </c>
      <c r="N40" s="185"/>
      <c r="O40" s="185" t="str">
        <f>IF(AND(L40&lt;&gt;"",ber_Med_disc!P19&gt;0),ber_Med_disc!P19&amp;" min","")</f>
        <v/>
      </c>
      <c r="P40" s="185"/>
      <c r="Q40" s="185"/>
      <c r="R40" s="185"/>
      <c r="S40" s="185"/>
      <c r="T40" s="185"/>
      <c r="U40" s="185"/>
      <c r="V40" s="185"/>
    </row>
    <row r="41" spans="1:22" s="357" customFormat="1" ht="19.55" customHeight="1" x14ac:dyDescent="0.35">
      <c r="A41" s="185"/>
      <c r="B41" s="193" t="s">
        <v>1377</v>
      </c>
      <c r="C41" s="194"/>
      <c r="D41" s="196">
        <f>ber_Opm!C33</f>
        <v>0</v>
      </c>
      <c r="E41" s="196"/>
      <c r="F41" s="196"/>
      <c r="G41" s="196"/>
      <c r="H41" s="195" t="str">
        <f>IF(ber_Med_disc!C19&gt;1,"Dosering/kg/dag: ","")</f>
        <v/>
      </c>
      <c r="I41" s="194"/>
      <c r="J41" s="196" t="str">
        <f>IF(ber_Med_disc!C19&gt;1,ber_Med_disc!L19,"")</f>
        <v/>
      </c>
      <c r="K41" s="194" t="str">
        <f>IF(AND(ber_Med_disc!C19&gt;1),J40&amp;"/kg/dag ","")</f>
        <v/>
      </c>
      <c r="L41" s="194"/>
      <c r="M41" s="194" t="str">
        <f>IF(AND(ber_Med_disc!C19&gt;1,ber_Med_disc!N19&gt;1,ber_Med_disc!M19&gt;0),"Oplossing:","")</f>
        <v/>
      </c>
      <c r="N41" s="194" t="str">
        <f>IF(AND(ber_Med_disc!C19&gt;1,ber_Med_disc!N19&gt;1,ber_Med_disc!M19&gt;0),ROUND(ber_Med_disc!G19/ber_Med_disc!M19,2)&amp;" "&amp;ber_Med_disc!E19&amp;"/ml","")</f>
        <v/>
      </c>
      <c r="O41" s="194"/>
      <c r="P41" s="194"/>
      <c r="Q41" s="185"/>
      <c r="R41" s="185"/>
      <c r="S41" s="185"/>
      <c r="T41" s="185"/>
      <c r="U41" s="185"/>
      <c r="V41" s="185"/>
    </row>
    <row r="42" spans="1:22" s="357" customFormat="1" ht="19.55" customHeight="1" x14ac:dyDescent="0.4">
      <c r="A42" s="185"/>
      <c r="B42" s="187">
        <v>19</v>
      </c>
      <c r="C42" s="188" t="str">
        <f>IF(ber_Med_disc!C20&gt;1,#REF!-1500+ber_Med_disc!B20,"")</f>
        <v/>
      </c>
      <c r="D42" s="392">
        <f>ber_Med_disc!C20</f>
        <v>0</v>
      </c>
      <c r="E42" s="392"/>
      <c r="F42" s="392"/>
      <c r="G42" s="392"/>
      <c r="H42" s="189" t="str">
        <f>IF(INDEX(ber_Med_disc!$D$27:$D$38,ber_Med_disc!H20,1)=0,"",INDEX(ber_Med_disc!$D$27:$D$38,ber_Med_disc!H20,1))</f>
        <v/>
      </c>
      <c r="I42" s="190" t="str">
        <f>IF(ber_Med_disc!C20&gt;1,ber_Med_disc!G20,"")</f>
        <v/>
      </c>
      <c r="J42" s="191" t="str">
        <f>IF(ber_Med_disc!C20&gt;1,ber_Med_disc!E20,"")</f>
        <v/>
      </c>
      <c r="K42" s="192">
        <f>ber_Med_disc!K20</f>
        <v>0</v>
      </c>
      <c r="L42" s="185" t="str">
        <f>IF(AND(ber_Med_disc!C20&gt;1,ber_Med_disc!N20&gt;1),ber_Med_disc!M20,"")</f>
        <v/>
      </c>
      <c r="M42" s="185" t="str">
        <f>IF(AND(ber_Med_disc!C20&gt;1,L42&lt;&gt;0,ber_Med_disc!N20&gt;1),"ml","")</f>
        <v/>
      </c>
      <c r="N42" s="185"/>
      <c r="O42" s="185" t="str">
        <f>IF(AND(L42&lt;&gt;"",ber_Med_disc!P20&gt;0),ber_Med_disc!P20&amp;" min","")</f>
        <v/>
      </c>
      <c r="P42" s="185"/>
      <c r="Q42" s="185"/>
      <c r="R42" s="185"/>
      <c r="S42" s="185"/>
      <c r="T42" s="185"/>
      <c r="U42" s="185"/>
      <c r="V42" s="185"/>
    </row>
    <row r="43" spans="1:22" s="357" customFormat="1" ht="19.55" customHeight="1" x14ac:dyDescent="0.35">
      <c r="A43" s="185"/>
      <c r="B43" s="193" t="s">
        <v>1377</v>
      </c>
      <c r="C43" s="194"/>
      <c r="D43" s="196">
        <f>ber_Opm!C34</f>
        <v>0</v>
      </c>
      <c r="E43" s="196"/>
      <c r="F43" s="196"/>
      <c r="G43" s="196"/>
      <c r="H43" s="195" t="str">
        <f>IF(ber_Med_disc!C20&gt;1,"Dosering/kg/dag: ","")</f>
        <v/>
      </c>
      <c r="I43" s="194"/>
      <c r="J43" s="196" t="str">
        <f>IF(ber_Med_disc!C20&gt;1,ber_Med_disc!L20,"")</f>
        <v/>
      </c>
      <c r="K43" s="194" t="str">
        <f>IF(AND(ber_Med_disc!C20&gt;1),J42&amp;"/kg/dag ","")</f>
        <v/>
      </c>
      <c r="L43" s="194"/>
      <c r="M43" s="194" t="str">
        <f>IF(AND(ber_Med_disc!C20&gt;1,ber_Med_disc!N20&gt;1,ber_Med_disc!M20&gt;0),"Oplossing:","")</f>
        <v/>
      </c>
      <c r="N43" s="194" t="str">
        <f>IF(AND(ber_Med_disc!C20&gt;1,ber_Med_disc!N20&gt;1,ber_Med_disc!M20&gt;0),ROUND(ber_Med_disc!G20/ber_Med_disc!M20,2)&amp;" "&amp;ber_Med_disc!E20&amp;"/ml","")</f>
        <v/>
      </c>
      <c r="O43" s="194"/>
      <c r="P43" s="194"/>
      <c r="Q43" s="185"/>
      <c r="R43" s="185"/>
      <c r="S43" s="185"/>
      <c r="T43" s="185"/>
      <c r="U43" s="185"/>
      <c r="V43" s="185"/>
    </row>
    <row r="44" spans="1:22" s="357" customFormat="1" ht="19.55" customHeight="1" x14ac:dyDescent="0.4">
      <c r="A44" s="185"/>
      <c r="B44" s="187">
        <v>20</v>
      </c>
      <c r="C44" s="198" t="str">
        <f>IF(ber_Med_disc!C21&gt;1,#REF!-1500+ber_Med_disc!B21,"")</f>
        <v/>
      </c>
      <c r="D44" s="392">
        <f>ber_Med_disc!C21</f>
        <v>0</v>
      </c>
      <c r="E44" s="392"/>
      <c r="F44" s="392"/>
      <c r="G44" s="392"/>
      <c r="H44" s="189" t="str">
        <f>IF(INDEX(ber_Med_disc!$D$27:$D$38,ber_Med_disc!H21,1)=0,"",INDEX(ber_Med_disc!$D$27:$D$38,ber_Med_disc!H21,1))</f>
        <v/>
      </c>
      <c r="I44" s="190" t="str">
        <f>IF(ber_Med_disc!C21&gt;1,ber_Med_disc!G21,"")</f>
        <v/>
      </c>
      <c r="J44" s="191" t="str">
        <f>IF(ber_Med_disc!C21&gt;1,ber_Med_disc!E21,"")</f>
        <v/>
      </c>
      <c r="K44" s="192">
        <f>ber_Med_disc!K21</f>
        <v>0</v>
      </c>
      <c r="L44" s="185" t="str">
        <f>IF(AND(ber_Med_disc!C21&gt;1,ber_Med_disc!N21&gt;1),ber_Med_disc!M21,"")</f>
        <v/>
      </c>
      <c r="M44" s="185" t="str">
        <f>IF(AND(ber_Med_disc!C21&gt;1,L44&lt;&gt;0,ber_Med_disc!N21&gt;1),"ml","")</f>
        <v/>
      </c>
      <c r="N44" s="185"/>
      <c r="O44" s="185" t="str">
        <f>IF(AND(L44&lt;&gt;"",ber_Med_disc!P21&gt;0),ber_Med_disc!P21&amp;" min","")</f>
        <v/>
      </c>
      <c r="P44" s="185"/>
      <c r="Q44" s="185"/>
      <c r="R44" s="185"/>
      <c r="S44" s="185"/>
      <c r="T44" s="185"/>
      <c r="U44" s="185"/>
      <c r="V44" s="185"/>
    </row>
    <row r="45" spans="1:22" s="357" customFormat="1" ht="19.55" customHeight="1" x14ac:dyDescent="0.35">
      <c r="A45" s="185"/>
      <c r="B45" s="193" t="s">
        <v>1377</v>
      </c>
      <c r="C45" s="194"/>
      <c r="D45" s="196">
        <f>ber_Opm!C35</f>
        <v>0</v>
      </c>
      <c r="E45" s="196"/>
      <c r="F45" s="196"/>
      <c r="G45" s="196"/>
      <c r="H45" s="195" t="str">
        <f>IF(ber_Med_disc!C21&gt;1,"Dosering/kg/dag: ","")</f>
        <v/>
      </c>
      <c r="I45" s="194"/>
      <c r="J45" s="196" t="str">
        <f>IF(ber_Med_disc!C21&gt;1,ber_Med_disc!L21,"")</f>
        <v/>
      </c>
      <c r="K45" s="194" t="str">
        <f>IF(AND(ber_Med_disc!C21&gt;1),J44&amp;"/kg/dag ","")</f>
        <v/>
      </c>
      <c r="L45" s="194"/>
      <c r="M45" s="194" t="str">
        <f>IF(AND(ber_Med_disc!C21&gt;1,ber_Med_disc!N21&gt;1,ber_Med_disc!M21&gt;0),"Oplossing:","")</f>
        <v/>
      </c>
      <c r="N45" s="194" t="str">
        <f>IF(AND(ber_Med_disc!C21&gt;1,ber_Med_disc!N21&gt;1,ber_Med_disc!M21&gt;0),ROUND(ber_Med_disc!G21/ber_Med_disc!M21,2)&amp;" "&amp;ber_Med_disc!E21&amp;"/ml","")</f>
        <v/>
      </c>
      <c r="O45" s="194"/>
      <c r="P45" s="194"/>
      <c r="Q45" s="185"/>
      <c r="R45" s="185"/>
      <c r="S45" s="185"/>
      <c r="T45" s="185"/>
      <c r="U45" s="185"/>
      <c r="V45" s="185"/>
    </row>
    <row r="46" spans="1:22" s="357" customFormat="1" ht="19.55" customHeight="1" x14ac:dyDescent="0.35">
      <c r="A46" s="185"/>
      <c r="B46" s="185"/>
      <c r="C46" s="185"/>
      <c r="D46" s="185"/>
      <c r="E46" s="185"/>
      <c r="F46" s="185"/>
      <c r="G46" s="186"/>
      <c r="H46" s="185"/>
      <c r="I46" s="185"/>
      <c r="J46" s="185"/>
      <c r="K46" s="185"/>
      <c r="L46" s="185"/>
      <c r="M46" s="185"/>
      <c r="N46" s="185"/>
      <c r="O46" s="185"/>
      <c r="P46" s="185"/>
      <c r="Q46" s="185"/>
      <c r="R46" s="185"/>
      <c r="S46" s="185"/>
      <c r="T46" s="185"/>
      <c r="U46" s="185"/>
      <c r="V46" s="185"/>
    </row>
    <row r="47" spans="1:22" s="357" customFormat="1" ht="19.55" customHeight="1" x14ac:dyDescent="0.35">
      <c r="A47" s="185"/>
      <c r="B47" s="185"/>
      <c r="C47" s="185"/>
      <c r="D47" s="185"/>
      <c r="E47" s="185"/>
      <c r="F47" s="185"/>
      <c r="G47" s="185"/>
      <c r="H47" s="185"/>
      <c r="I47" s="185"/>
      <c r="J47" s="185"/>
      <c r="K47" s="185"/>
      <c r="L47" s="185"/>
      <c r="M47" s="185"/>
      <c r="N47" s="185"/>
      <c r="O47" s="185"/>
      <c r="P47" s="185"/>
      <c r="Q47" s="185"/>
      <c r="R47" s="185"/>
      <c r="S47" s="185"/>
      <c r="T47" s="185"/>
      <c r="U47" s="185"/>
      <c r="V47" s="185"/>
    </row>
    <row r="48" spans="1:22" s="357" customFormat="1" ht="19.55" customHeight="1" x14ac:dyDescent="0.35">
      <c r="A48" s="185"/>
      <c r="B48" s="185"/>
      <c r="C48" s="185"/>
      <c r="D48" s="185"/>
      <c r="E48" s="185"/>
      <c r="F48" s="185"/>
      <c r="G48" s="185"/>
      <c r="H48" s="185"/>
      <c r="I48" s="185"/>
      <c r="J48" s="185"/>
      <c r="K48" s="185"/>
      <c r="L48" s="185"/>
      <c r="M48" s="185"/>
      <c r="N48" s="185"/>
      <c r="O48" s="185"/>
      <c r="P48" s="185"/>
      <c r="Q48" s="185"/>
      <c r="R48" s="185"/>
      <c r="S48" s="185"/>
      <c r="T48" s="185"/>
      <c r="U48" s="185"/>
      <c r="V48" s="185"/>
    </row>
    <row r="49" spans="1:22" s="357" customFormat="1" ht="19.55" customHeight="1" x14ac:dyDescent="0.35">
      <c r="A49" s="185"/>
      <c r="B49" s="185"/>
      <c r="C49" s="185"/>
      <c r="D49" s="185"/>
      <c r="E49" s="185"/>
      <c r="F49" s="185"/>
      <c r="G49" s="185"/>
      <c r="H49" s="185"/>
      <c r="I49" s="185"/>
      <c r="J49" s="185"/>
      <c r="K49" s="185"/>
      <c r="L49" s="185"/>
      <c r="M49" s="185"/>
      <c r="N49" s="185"/>
      <c r="O49" s="185"/>
      <c r="P49" s="185"/>
      <c r="Q49" s="185"/>
      <c r="R49" s="185"/>
      <c r="S49" s="185"/>
      <c r="T49" s="185"/>
      <c r="U49" s="185"/>
      <c r="V49" s="185"/>
    </row>
    <row r="50" spans="1:22" s="357" customFormat="1" ht="19.55" customHeight="1" x14ac:dyDescent="0.35">
      <c r="A50" s="185"/>
      <c r="B50" s="185"/>
      <c r="C50" s="185"/>
      <c r="D50" s="185"/>
      <c r="E50" s="185"/>
      <c r="F50" s="185"/>
      <c r="G50" s="185"/>
      <c r="H50" s="185"/>
      <c r="I50" s="185"/>
      <c r="J50" s="185"/>
      <c r="K50" s="185"/>
      <c r="L50" s="185"/>
      <c r="M50" s="185"/>
      <c r="N50" s="185"/>
      <c r="O50" s="185"/>
      <c r="P50" s="185"/>
      <c r="Q50" s="185"/>
      <c r="R50" s="185"/>
      <c r="S50" s="185"/>
      <c r="T50" s="185"/>
      <c r="U50" s="185"/>
      <c r="V50" s="185"/>
    </row>
    <row r="51" spans="1:22" s="357" customFormat="1" ht="19.55" customHeight="1" x14ac:dyDescent="0.35">
      <c r="A51" s="185"/>
      <c r="B51" s="185"/>
      <c r="C51" s="185"/>
      <c r="D51" s="185"/>
      <c r="E51" s="185"/>
      <c r="F51" s="185"/>
      <c r="G51" s="185"/>
      <c r="H51" s="185"/>
      <c r="I51" s="185"/>
      <c r="J51" s="185"/>
      <c r="K51" s="185"/>
      <c r="L51" s="185"/>
      <c r="M51" s="185"/>
      <c r="N51" s="185"/>
      <c r="O51" s="185"/>
      <c r="P51" s="185"/>
      <c r="Q51" s="185"/>
      <c r="R51" s="185"/>
      <c r="S51" s="185"/>
      <c r="T51" s="185"/>
      <c r="U51" s="185"/>
      <c r="V51" s="185"/>
    </row>
    <row r="52" spans="1:22" s="357" customFormat="1" ht="19.55" customHeight="1" x14ac:dyDescent="0.35">
      <c r="A52" s="185"/>
      <c r="B52" s="185"/>
      <c r="C52" s="185"/>
      <c r="D52" s="185"/>
      <c r="E52" s="185"/>
      <c r="F52" s="185"/>
      <c r="G52" s="185"/>
      <c r="H52" s="185"/>
      <c r="I52" s="185"/>
      <c r="J52" s="185"/>
      <c r="K52" s="185"/>
      <c r="L52" s="185"/>
      <c r="M52" s="185"/>
      <c r="N52" s="185"/>
      <c r="O52" s="185"/>
      <c r="P52" s="185"/>
      <c r="Q52" s="185"/>
      <c r="R52" s="185"/>
      <c r="S52" s="185"/>
      <c r="T52" s="185"/>
      <c r="U52" s="185"/>
      <c r="V52" s="185"/>
    </row>
    <row r="53" spans="1:22" s="357" customFormat="1" ht="19.55" customHeight="1" x14ac:dyDescent="0.35">
      <c r="A53" s="185"/>
      <c r="B53" s="185"/>
      <c r="C53" s="185"/>
      <c r="D53" s="185"/>
      <c r="E53" s="185"/>
      <c r="F53" s="185"/>
      <c r="G53" s="185"/>
      <c r="H53" s="185"/>
      <c r="I53" s="185"/>
      <c r="J53" s="185"/>
      <c r="K53" s="185"/>
      <c r="L53" s="185"/>
      <c r="M53" s="185"/>
      <c r="N53" s="185"/>
      <c r="O53" s="185"/>
      <c r="P53" s="185"/>
      <c r="Q53" s="185"/>
      <c r="R53" s="185"/>
      <c r="S53" s="185"/>
      <c r="T53" s="185"/>
      <c r="U53" s="185"/>
      <c r="V53" s="185"/>
    </row>
    <row r="54" spans="1:22" s="357" customFormat="1" ht="19.55" customHeight="1" x14ac:dyDescent="0.35">
      <c r="A54" s="185"/>
      <c r="B54" s="185"/>
      <c r="C54" s="185"/>
      <c r="D54" s="185"/>
      <c r="E54" s="185"/>
      <c r="F54" s="185"/>
      <c r="G54" s="185"/>
      <c r="H54" s="185"/>
      <c r="I54" s="185"/>
      <c r="J54" s="185"/>
      <c r="K54" s="185"/>
      <c r="L54" s="185"/>
      <c r="M54" s="185"/>
      <c r="N54" s="185"/>
      <c r="O54" s="185"/>
      <c r="P54" s="185"/>
      <c r="Q54" s="185"/>
      <c r="R54" s="185"/>
      <c r="S54" s="185"/>
      <c r="T54" s="185"/>
      <c r="U54" s="185"/>
      <c r="V54" s="185"/>
    </row>
    <row r="55" spans="1:22" s="357" customFormat="1" ht="19.55" customHeight="1" x14ac:dyDescent="0.35">
      <c r="A55" s="185"/>
      <c r="B55" s="185"/>
      <c r="C55" s="185"/>
      <c r="D55" s="185"/>
      <c r="E55" s="185"/>
      <c r="F55" s="185"/>
      <c r="G55" s="185"/>
      <c r="H55" s="185"/>
      <c r="I55" s="185"/>
      <c r="J55" s="185"/>
      <c r="K55" s="185"/>
      <c r="L55" s="185"/>
      <c r="M55" s="185"/>
      <c r="N55" s="185"/>
      <c r="O55" s="185"/>
      <c r="P55" s="185"/>
      <c r="Q55" s="185"/>
      <c r="R55" s="185"/>
      <c r="S55" s="185"/>
      <c r="T55" s="185"/>
      <c r="U55" s="185"/>
      <c r="V55" s="185"/>
    </row>
    <row r="56" spans="1:22" s="357" customFormat="1" ht="19.55" customHeight="1" x14ac:dyDescent="0.35">
      <c r="A56" s="185"/>
      <c r="B56" s="185"/>
      <c r="C56" s="185"/>
      <c r="D56" s="185"/>
      <c r="E56" s="185"/>
      <c r="F56" s="185"/>
      <c r="G56" s="185"/>
      <c r="H56" s="185"/>
      <c r="I56" s="185"/>
      <c r="J56" s="185"/>
      <c r="K56" s="185"/>
      <c r="L56" s="185"/>
      <c r="M56" s="185"/>
      <c r="N56" s="185"/>
      <c r="O56" s="185"/>
      <c r="P56" s="185"/>
      <c r="Q56" s="185"/>
      <c r="R56" s="185"/>
      <c r="S56" s="185"/>
      <c r="T56" s="185"/>
      <c r="U56" s="185"/>
      <c r="V56" s="185"/>
    </row>
    <row r="57" spans="1:22" s="357" customFormat="1" ht="19.55" customHeight="1" x14ac:dyDescent="0.35">
      <c r="A57" s="185"/>
      <c r="B57" s="185"/>
      <c r="C57" s="185"/>
      <c r="D57" s="185"/>
      <c r="E57" s="185"/>
      <c r="F57" s="185"/>
      <c r="G57" s="185"/>
      <c r="H57" s="185"/>
      <c r="I57" s="185"/>
      <c r="J57" s="185"/>
      <c r="K57" s="185"/>
      <c r="L57" s="185"/>
      <c r="M57" s="185"/>
      <c r="N57" s="185"/>
      <c r="O57" s="185"/>
      <c r="P57" s="185"/>
      <c r="Q57" s="185"/>
      <c r="R57" s="185"/>
      <c r="S57" s="185"/>
      <c r="T57" s="185"/>
      <c r="U57" s="185"/>
      <c r="V57" s="185"/>
    </row>
    <row r="58" spans="1:22" s="357" customFormat="1" x14ac:dyDescent="0.35">
      <c r="A58" s="185"/>
      <c r="B58" s="185"/>
      <c r="C58" s="185"/>
      <c r="D58" s="185"/>
      <c r="E58" s="185"/>
      <c r="F58" s="185"/>
      <c r="G58" s="185"/>
      <c r="H58" s="185"/>
      <c r="I58" s="185"/>
      <c r="J58" s="185"/>
      <c r="K58" s="185"/>
      <c r="L58" s="185"/>
      <c r="M58" s="185"/>
      <c r="N58" s="185"/>
      <c r="O58" s="185"/>
      <c r="P58" s="185"/>
      <c r="Q58" s="185"/>
      <c r="R58" s="185"/>
      <c r="S58" s="185"/>
      <c r="T58" s="185"/>
      <c r="U58" s="185"/>
      <c r="V58" s="185"/>
    </row>
    <row r="59" spans="1:22" s="357" customFormat="1" x14ac:dyDescent="0.35">
      <c r="A59" s="185"/>
      <c r="B59" s="185"/>
      <c r="C59" s="185"/>
      <c r="D59" s="185"/>
      <c r="E59" s="185"/>
      <c r="F59" s="185"/>
      <c r="G59" s="185"/>
      <c r="H59" s="185"/>
      <c r="I59" s="185"/>
      <c r="J59" s="185"/>
      <c r="K59" s="185"/>
      <c r="L59" s="185"/>
      <c r="M59" s="185"/>
      <c r="N59" s="185"/>
      <c r="O59" s="185"/>
      <c r="P59" s="185"/>
      <c r="Q59" s="185"/>
      <c r="R59" s="185"/>
      <c r="S59" s="185"/>
      <c r="T59" s="185"/>
      <c r="U59" s="185"/>
      <c r="V59" s="185"/>
    </row>
    <row r="60" spans="1:22" s="357" customFormat="1" x14ac:dyDescent="0.35">
      <c r="A60" s="185"/>
      <c r="B60" s="185"/>
      <c r="C60" s="185"/>
      <c r="D60" s="185"/>
      <c r="E60" s="185"/>
      <c r="F60" s="185"/>
      <c r="G60" s="185"/>
      <c r="H60" s="185"/>
      <c r="I60" s="185"/>
      <c r="J60" s="185"/>
      <c r="K60" s="185"/>
      <c r="L60" s="185"/>
      <c r="M60" s="185"/>
      <c r="N60" s="185"/>
      <c r="O60" s="185"/>
      <c r="P60" s="185"/>
      <c r="Q60" s="185"/>
      <c r="R60" s="185"/>
      <c r="S60" s="185"/>
      <c r="T60" s="185"/>
      <c r="U60" s="185"/>
      <c r="V60" s="185"/>
    </row>
    <row r="61" spans="1:22" s="357" customFormat="1" x14ac:dyDescent="0.35">
      <c r="A61" s="185"/>
      <c r="B61" s="185"/>
      <c r="C61" s="185"/>
      <c r="D61" s="185"/>
      <c r="E61" s="185"/>
      <c r="F61" s="185"/>
      <c r="G61" s="185"/>
      <c r="H61" s="185"/>
      <c r="I61" s="185"/>
      <c r="J61" s="185"/>
      <c r="K61" s="185"/>
      <c r="L61" s="185"/>
      <c r="M61" s="185"/>
      <c r="N61" s="185"/>
      <c r="O61" s="185"/>
      <c r="P61" s="185"/>
      <c r="Q61" s="185"/>
      <c r="R61" s="185"/>
      <c r="S61" s="185"/>
      <c r="T61" s="185"/>
      <c r="U61" s="185"/>
      <c r="V61" s="185"/>
    </row>
    <row r="62" spans="1:22" s="357" customFormat="1" x14ac:dyDescent="0.35">
      <c r="A62" s="185"/>
      <c r="B62" s="185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</row>
    <row r="63" spans="1:22" s="357" customFormat="1" x14ac:dyDescent="0.35">
      <c r="A63" s="185"/>
      <c r="B63" s="185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</row>
    <row r="64" spans="1:22" s="357" customFormat="1" x14ac:dyDescent="0.35">
      <c r="A64" s="185"/>
      <c r="B64" s="185"/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</row>
    <row r="65" spans="1:22" s="357" customFormat="1" x14ac:dyDescent="0.35">
      <c r="A65" s="185"/>
      <c r="B65" s="185"/>
      <c r="C65" s="185"/>
      <c r="D65" s="185"/>
      <c r="E65" s="185"/>
      <c r="F65" s="185"/>
      <c r="G65" s="185"/>
      <c r="H65" s="185"/>
      <c r="I65" s="185"/>
      <c r="J65" s="185"/>
      <c r="K65" s="185"/>
      <c r="L65" s="185"/>
      <c r="M65" s="185"/>
      <c r="N65" s="185"/>
      <c r="O65" s="185"/>
      <c r="P65" s="185"/>
      <c r="Q65" s="185"/>
      <c r="R65" s="185"/>
      <c r="S65" s="185"/>
      <c r="T65" s="185"/>
      <c r="U65" s="185"/>
      <c r="V65" s="185"/>
    </row>
    <row r="66" spans="1:22" s="357" customFormat="1" x14ac:dyDescent="0.35">
      <c r="A66" s="185"/>
      <c r="B66" s="185"/>
      <c r="C66" s="185"/>
      <c r="D66" s="185"/>
      <c r="E66" s="185"/>
      <c r="F66" s="185"/>
      <c r="G66" s="185"/>
      <c r="H66" s="185"/>
      <c r="I66" s="185"/>
      <c r="J66" s="185"/>
      <c r="K66" s="185"/>
      <c r="L66" s="185"/>
      <c r="M66" s="185"/>
      <c r="N66" s="185"/>
      <c r="O66" s="185"/>
      <c r="P66" s="185"/>
      <c r="Q66" s="185"/>
      <c r="R66" s="185"/>
      <c r="S66" s="185"/>
      <c r="T66" s="185"/>
      <c r="U66" s="185"/>
      <c r="V66" s="185"/>
    </row>
    <row r="67" spans="1:22" s="357" customFormat="1" x14ac:dyDescent="0.35">
      <c r="A67" s="185"/>
      <c r="B67" s="185"/>
      <c r="C67" s="185"/>
      <c r="D67" s="185"/>
      <c r="E67" s="185"/>
      <c r="F67" s="185"/>
      <c r="G67" s="185"/>
      <c r="H67" s="185"/>
      <c r="I67" s="185"/>
      <c r="J67" s="185"/>
      <c r="K67" s="185"/>
      <c r="L67" s="185"/>
      <c r="M67" s="185"/>
      <c r="N67" s="185"/>
      <c r="O67" s="185"/>
      <c r="P67" s="185"/>
      <c r="Q67" s="185"/>
      <c r="R67" s="185"/>
      <c r="S67" s="185"/>
      <c r="T67" s="185"/>
      <c r="U67" s="185"/>
      <c r="V67" s="185"/>
    </row>
    <row r="68" spans="1:22" s="357" customFormat="1" x14ac:dyDescent="0.35">
      <c r="A68" s="185"/>
      <c r="B68" s="185"/>
      <c r="C68" s="185"/>
      <c r="D68" s="185"/>
      <c r="E68" s="185"/>
      <c r="F68" s="185"/>
      <c r="G68" s="185"/>
      <c r="H68" s="185"/>
      <c r="I68" s="185"/>
      <c r="J68" s="185"/>
      <c r="K68" s="185"/>
      <c r="L68" s="185"/>
      <c r="M68" s="185"/>
      <c r="N68" s="185"/>
      <c r="O68" s="185"/>
      <c r="P68" s="185"/>
      <c r="Q68" s="185"/>
      <c r="R68" s="185"/>
      <c r="S68" s="185"/>
      <c r="T68" s="185"/>
      <c r="U68" s="185"/>
      <c r="V68" s="185"/>
    </row>
    <row r="69" spans="1:22" s="357" customFormat="1" x14ac:dyDescent="0.35">
      <c r="A69" s="185"/>
      <c r="B69" s="185"/>
      <c r="C69" s="185"/>
      <c r="D69" s="185"/>
      <c r="E69" s="185"/>
      <c r="F69" s="185"/>
      <c r="G69" s="185"/>
      <c r="H69" s="185"/>
      <c r="I69" s="185"/>
      <c r="J69" s="185"/>
      <c r="K69" s="185"/>
      <c r="L69" s="185"/>
      <c r="M69" s="185"/>
      <c r="N69" s="185"/>
      <c r="O69" s="185"/>
      <c r="P69" s="185"/>
      <c r="Q69" s="185"/>
      <c r="R69" s="185"/>
      <c r="S69" s="185"/>
      <c r="T69" s="185"/>
      <c r="U69" s="185"/>
      <c r="V69" s="185"/>
    </row>
    <row r="70" spans="1:22" s="357" customFormat="1" x14ac:dyDescent="0.35"/>
    <row r="71" spans="1:22" s="357" customFormat="1" x14ac:dyDescent="0.35"/>
    <row r="72" spans="1:22" s="357" customFormat="1" x14ac:dyDescent="0.35"/>
    <row r="73" spans="1:22" s="357" customFormat="1" x14ac:dyDescent="0.35"/>
    <row r="74" spans="1:22" s="357" customFormat="1" x14ac:dyDescent="0.35"/>
    <row r="75" spans="1:22" s="357" customFormat="1" x14ac:dyDescent="0.35"/>
    <row r="76" spans="1:22" s="357" customFormat="1" x14ac:dyDescent="0.35"/>
    <row r="77" spans="1:22" s="357" customFormat="1" x14ac:dyDescent="0.35"/>
    <row r="78" spans="1:22" s="357" customFormat="1" x14ac:dyDescent="0.35"/>
    <row r="79" spans="1:22" s="357" customFormat="1" x14ac:dyDescent="0.35"/>
    <row r="80" spans="1:22" s="357" customFormat="1" x14ac:dyDescent="0.35"/>
    <row r="81" s="357" customFormat="1" x14ac:dyDescent="0.35"/>
    <row r="82" s="357" customFormat="1" x14ac:dyDescent="0.35"/>
    <row r="83" s="357" customFormat="1" x14ac:dyDescent="0.35"/>
    <row r="84" s="357" customFormat="1" x14ac:dyDescent="0.35"/>
    <row r="85" s="357" customFormat="1" x14ac:dyDescent="0.35"/>
    <row r="86" s="357" customFormat="1" x14ac:dyDescent="0.35"/>
    <row r="87" s="357" customFormat="1" x14ac:dyDescent="0.35"/>
    <row r="88" s="357" customFormat="1" x14ac:dyDescent="0.35"/>
    <row r="89" s="357" customFormat="1" x14ac:dyDescent="0.35"/>
    <row r="90" s="357" customFormat="1" x14ac:dyDescent="0.35"/>
    <row r="91" s="357" customFormat="1" x14ac:dyDescent="0.35"/>
    <row r="92" s="357" customFormat="1" x14ac:dyDescent="0.35"/>
    <row r="93" s="357" customFormat="1" x14ac:dyDescent="0.35"/>
    <row r="94" s="357" customFormat="1" x14ac:dyDescent="0.35"/>
    <row r="95" s="357" customFormat="1" x14ac:dyDescent="0.35"/>
    <row r="96" s="357" customFormat="1" x14ac:dyDescent="0.35"/>
    <row r="97" s="357" customFormat="1" x14ac:dyDescent="0.35"/>
    <row r="98" s="357" customFormat="1" x14ac:dyDescent="0.35"/>
    <row r="99" s="357" customFormat="1" x14ac:dyDescent="0.35"/>
    <row r="100" s="357" customFormat="1" x14ac:dyDescent="0.35"/>
    <row r="101" s="357" customFormat="1" x14ac:dyDescent="0.35"/>
    <row r="102" s="357" customFormat="1" x14ac:dyDescent="0.35"/>
    <row r="103" s="357" customFormat="1" x14ac:dyDescent="0.35"/>
    <row r="104" s="357" customFormat="1" x14ac:dyDescent="0.35"/>
    <row r="105" s="357" customFormat="1" x14ac:dyDescent="0.35"/>
    <row r="106" s="357" customFormat="1" x14ac:dyDescent="0.35"/>
    <row r="107" s="357" customFormat="1" x14ac:dyDescent="0.35"/>
    <row r="108" s="357" customFormat="1" x14ac:dyDescent="0.35"/>
    <row r="109" s="357" customFormat="1" x14ac:dyDescent="0.35"/>
    <row r="110" s="357" customFormat="1" x14ac:dyDescent="0.35"/>
    <row r="111" s="357" customFormat="1" x14ac:dyDescent="0.35"/>
    <row r="112" s="357" customFormat="1" x14ac:dyDescent="0.35"/>
    <row r="113" s="357" customFormat="1" x14ac:dyDescent="0.35"/>
    <row r="114" s="357" customFormat="1" x14ac:dyDescent="0.35"/>
    <row r="115" s="357" customFormat="1" x14ac:dyDescent="0.35"/>
    <row r="116" s="357" customFormat="1" x14ac:dyDescent="0.35"/>
    <row r="117" s="357" customFormat="1" x14ac:dyDescent="0.35"/>
    <row r="118" s="357" customFormat="1" x14ac:dyDescent="0.35"/>
    <row r="119" s="357" customFormat="1" x14ac:dyDescent="0.35"/>
    <row r="120" s="357" customFormat="1" x14ac:dyDescent="0.35"/>
    <row r="121" s="357" customFormat="1" x14ac:dyDescent="0.35"/>
    <row r="122" s="357" customFormat="1" x14ac:dyDescent="0.35"/>
    <row r="123" s="357" customFormat="1" x14ac:dyDescent="0.35"/>
    <row r="124" s="357" customFormat="1" x14ac:dyDescent="0.35"/>
    <row r="125" s="357" customFormat="1" x14ac:dyDescent="0.35"/>
    <row r="126" s="357" customFormat="1" x14ac:dyDescent="0.35"/>
    <row r="127" s="357" customFormat="1" x14ac:dyDescent="0.35"/>
    <row r="128" s="357" customFormat="1" x14ac:dyDescent="0.35"/>
  </sheetData>
  <sheetProtection algorithmName="SHA-512" hashValue="VGhxAY1QbjHqxyZjqgVQlkZCf23yokNdKNMlSxBqG7dc240edekYV5Uu7DkE4zPYs7bITGM34BV1/cskNmVrhg==" saltValue="IqKI/665pdXWX9Sf/Xy5Xg==" spinCount="100000" sheet="1" objects="1" scenarios="1" selectLockedCells="1" selectUnlockedCells="1"/>
  <mergeCells count="20">
    <mergeCell ref="D8:G8"/>
    <mergeCell ref="D6:G6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  <mergeCell ref="D30:G30"/>
    <mergeCell ref="D44:G44"/>
    <mergeCell ref="D36:G36"/>
    <mergeCell ref="D38:G38"/>
    <mergeCell ref="D40:G40"/>
    <mergeCell ref="D42:G42"/>
  </mergeCells>
  <phoneticPr fontId="26" type="noConversion"/>
  <pageMargins left="0.75" right="0.75" top="1" bottom="1" header="0.5" footer="0.5"/>
  <pageSetup paperSize="9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4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5" r:id="rId5" name="Spinner 73">
              <controlPr defaultSize="0" autoPict="0">
                <anchor moveWithCells="1" sizeWithCells="1">
                  <from>
                    <xdr:col>2</xdr:col>
                    <xdr:colOff>493106</xdr:colOff>
                    <xdr:row>5</xdr:row>
                    <xdr:rowOff>19150</xdr:rowOff>
                  </from>
                  <to>
                    <xdr:col>3</xdr:col>
                    <xdr:colOff>0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6" r:id="rId9" name="Spinner 124">
              <controlPr defaultSize="0" autoPict="0">
                <anchor moveWithCells="1" sizeWithCells="1">
                  <from>
                    <xdr:col>2</xdr:col>
                    <xdr:colOff>493106</xdr:colOff>
                    <xdr:row>7</xdr:row>
                    <xdr:rowOff>19150</xdr:rowOff>
                  </from>
                  <to>
                    <xdr:col>3</xdr:col>
                    <xdr:colOff>0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10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1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2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3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3" r:id="rId14" name="Spinner 131">
              <controlPr defaultSize="0" autoPict="0">
                <anchor moveWithCells="1" sizeWithCells="1">
                  <from>
                    <xdr:col>2</xdr:col>
                    <xdr:colOff>493106</xdr:colOff>
                    <xdr:row>9</xdr:row>
                    <xdr:rowOff>19150</xdr:rowOff>
                  </from>
                  <to>
                    <xdr:col>3</xdr:col>
                    <xdr:colOff>0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5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6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7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8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0" r:id="rId19" name="Spinner 138">
              <controlPr defaultSize="0" autoPict="0">
                <anchor moveWithCells="1" sizeWithCells="1">
                  <from>
                    <xdr:col>2</xdr:col>
                    <xdr:colOff>493106</xdr:colOff>
                    <xdr:row>11</xdr:row>
                    <xdr:rowOff>19150</xdr:rowOff>
                  </from>
                  <to>
                    <xdr:col>3</xdr:col>
                    <xdr:colOff>0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20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21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22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3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7" r:id="rId24" name="Spinner 145">
              <controlPr defaultSize="0" autoPict="0">
                <anchor moveWithCells="1" sizeWithCells="1">
                  <from>
                    <xdr:col>2</xdr:col>
                    <xdr:colOff>493106</xdr:colOff>
                    <xdr:row>13</xdr:row>
                    <xdr:rowOff>19150</xdr:rowOff>
                  </from>
                  <to>
                    <xdr:col>3</xdr:col>
                    <xdr:colOff>0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5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6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7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8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4" r:id="rId29" name="Spinner 152">
              <controlPr defaultSize="0" autoPict="0">
                <anchor moveWithCells="1" sizeWithCells="1">
                  <from>
                    <xdr:col>2</xdr:col>
                    <xdr:colOff>493106</xdr:colOff>
                    <xdr:row>15</xdr:row>
                    <xdr:rowOff>19150</xdr:rowOff>
                  </from>
                  <to>
                    <xdr:col>3</xdr:col>
                    <xdr:colOff>0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30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31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32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33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1" r:id="rId34" name="Spinner 159">
              <controlPr defaultSize="0" autoPict="0">
                <anchor moveWithCells="1" sizeWithCells="1">
                  <from>
                    <xdr:col>2</xdr:col>
                    <xdr:colOff>493106</xdr:colOff>
                    <xdr:row>17</xdr:row>
                    <xdr:rowOff>19150</xdr:rowOff>
                  </from>
                  <to>
                    <xdr:col>3</xdr:col>
                    <xdr:colOff>0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35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6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7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8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8" r:id="rId39" name="Spinner 166">
              <controlPr defaultSize="0" autoPict="0">
                <anchor moveWithCells="1" sizeWithCells="1">
                  <from>
                    <xdr:col>2</xdr:col>
                    <xdr:colOff>493106</xdr:colOff>
                    <xdr:row>19</xdr:row>
                    <xdr:rowOff>19150</xdr:rowOff>
                  </from>
                  <to>
                    <xdr:col>3</xdr:col>
                    <xdr:colOff>0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40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41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42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43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5" r:id="rId44" name="Spinner 173">
              <controlPr defaultSize="0" autoPict="0">
                <anchor moveWithCells="1" sizeWithCells="1">
                  <from>
                    <xdr:col>2</xdr:col>
                    <xdr:colOff>493106</xdr:colOff>
                    <xdr:row>21</xdr:row>
                    <xdr:rowOff>19150</xdr:rowOff>
                  </from>
                  <to>
                    <xdr:col>3</xdr:col>
                    <xdr:colOff>0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45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46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47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8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2" r:id="rId49" name="Spinner 180">
              <controlPr defaultSize="0" autoPict="0">
                <anchor moveWithCells="1" sizeWithCells="1">
                  <from>
                    <xdr:col>2</xdr:col>
                    <xdr:colOff>493106</xdr:colOff>
                    <xdr:row>23</xdr:row>
                    <xdr:rowOff>19150</xdr:rowOff>
                  </from>
                  <to>
                    <xdr:col>3</xdr:col>
                    <xdr:colOff>0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50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51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52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53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6" r:id="rId54" name="Spinner 264">
              <controlPr defaultSize="0" autoPict="0">
                <anchor moveWithCells="1" sizeWithCells="1">
                  <from>
                    <xdr:col>2</xdr:col>
                    <xdr:colOff>493106</xdr:colOff>
                    <xdr:row>25</xdr:row>
                    <xdr:rowOff>19150</xdr:rowOff>
                  </from>
                  <to>
                    <xdr:col>3</xdr:col>
                    <xdr:colOff>0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55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56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57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58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3" r:id="rId59" name="Spinner 271">
              <controlPr defaultSize="0" autoPict="0">
                <anchor moveWithCells="1" sizeWithCells="1">
                  <from>
                    <xdr:col>2</xdr:col>
                    <xdr:colOff>493106</xdr:colOff>
                    <xdr:row>27</xdr:row>
                    <xdr:rowOff>19150</xdr:rowOff>
                  </from>
                  <to>
                    <xdr:col>3</xdr:col>
                    <xdr:colOff>0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60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61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62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63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0" r:id="rId64" name="Spinner 278">
              <controlPr defaultSize="0" autoPict="0">
                <anchor moveWithCells="1" sizeWithCells="1">
                  <from>
                    <xdr:col>2</xdr:col>
                    <xdr:colOff>493106</xdr:colOff>
                    <xdr:row>29</xdr:row>
                    <xdr:rowOff>19150</xdr:rowOff>
                  </from>
                  <to>
                    <xdr:col>3</xdr:col>
                    <xdr:colOff>0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65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66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67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68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7" r:id="rId69" name="Spinner 285">
              <controlPr defaultSize="0" autoPict="0">
                <anchor moveWithCells="1" sizeWithCells="1">
                  <from>
                    <xdr:col>2</xdr:col>
                    <xdr:colOff>493106</xdr:colOff>
                    <xdr:row>31</xdr:row>
                    <xdr:rowOff>19150</xdr:rowOff>
                  </from>
                  <to>
                    <xdr:col>3</xdr:col>
                    <xdr:colOff>0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70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71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72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73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4" r:id="rId74" name="Spinner 292">
              <controlPr defaultSize="0" autoPict="0">
                <anchor moveWithCells="1" sizeWithCells="1">
                  <from>
                    <xdr:col>2</xdr:col>
                    <xdr:colOff>493106</xdr:colOff>
                    <xdr:row>33</xdr:row>
                    <xdr:rowOff>19150</xdr:rowOff>
                  </from>
                  <to>
                    <xdr:col>3</xdr:col>
                    <xdr:colOff>0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75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76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77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78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1" r:id="rId79" name="Spinner 299">
              <controlPr defaultSize="0" autoPict="0">
                <anchor moveWithCells="1" sizeWithCells="1">
                  <from>
                    <xdr:col>2</xdr:col>
                    <xdr:colOff>493106</xdr:colOff>
                    <xdr:row>35</xdr:row>
                    <xdr:rowOff>19150</xdr:rowOff>
                  </from>
                  <to>
                    <xdr:col>3</xdr:col>
                    <xdr:colOff>0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80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81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82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83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8" r:id="rId84" name="Spinner 306">
              <controlPr defaultSize="0" autoPict="0">
                <anchor moveWithCells="1" sizeWithCells="1">
                  <from>
                    <xdr:col>2</xdr:col>
                    <xdr:colOff>493106</xdr:colOff>
                    <xdr:row>37</xdr:row>
                    <xdr:rowOff>19150</xdr:rowOff>
                  </from>
                  <to>
                    <xdr:col>3</xdr:col>
                    <xdr:colOff>0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85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86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87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88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5" r:id="rId89" name="Spinner 313">
              <controlPr defaultSize="0" autoPict="0">
                <anchor moveWithCells="1" sizeWithCells="1">
                  <from>
                    <xdr:col>2</xdr:col>
                    <xdr:colOff>493106</xdr:colOff>
                    <xdr:row>39</xdr:row>
                    <xdr:rowOff>19150</xdr:rowOff>
                  </from>
                  <to>
                    <xdr:col>3</xdr:col>
                    <xdr:colOff>0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90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91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92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93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2" r:id="rId94" name="Spinner 320">
              <controlPr defaultSize="0" autoPict="0">
                <anchor moveWithCells="1" sizeWithCells="1">
                  <from>
                    <xdr:col>2</xdr:col>
                    <xdr:colOff>493106</xdr:colOff>
                    <xdr:row>41</xdr:row>
                    <xdr:rowOff>19150</xdr:rowOff>
                  </from>
                  <to>
                    <xdr:col>3</xdr:col>
                    <xdr:colOff>0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95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96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97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98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9" r:id="rId99" name="Spinner 327">
              <controlPr defaultSize="0" autoPict="0">
                <anchor moveWithCells="1" sizeWithCells="1">
                  <from>
                    <xdr:col>2</xdr:col>
                    <xdr:colOff>493106</xdr:colOff>
                    <xdr:row>43</xdr:row>
                    <xdr:rowOff>19150</xdr:rowOff>
                  </from>
                  <to>
                    <xdr:col>3</xdr:col>
                    <xdr:colOff>0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100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101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102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103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104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105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106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107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108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109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110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111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112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113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114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115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116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117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118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19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20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21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22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23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24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3" r:id="rId125" name="Spinner 451">
              <controlPr defaultSize="0" autoPict="0">
                <anchor moveWithCells="1" sizeWithCells="1">
                  <from>
                    <xdr:col>12</xdr:col>
                    <xdr:colOff>47874</xdr:colOff>
                    <xdr:row>2</xdr:row>
                    <xdr:rowOff>28725</xdr:rowOff>
                  </from>
                  <to>
                    <xdr:col>12</xdr:col>
                    <xdr:colOff>210647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2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MedDisc"/>
  <dimension ref="A1:AD38"/>
  <sheetViews>
    <sheetView zoomScaleNormal="100" workbookViewId="0">
      <selection activeCell="C2" sqref="C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21" max="21" width="24.1328125" customWidth="1"/>
    <col min="23" max="23" width="27.265625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</cols>
  <sheetData>
    <row r="1" spans="1:30" x14ac:dyDescent="0.35">
      <c r="B1" t="s">
        <v>2093</v>
      </c>
      <c r="C1" t="s">
        <v>1597</v>
      </c>
      <c r="D1" t="s">
        <v>815</v>
      </c>
      <c r="E1" t="s">
        <v>816</v>
      </c>
      <c r="F1" t="s">
        <v>667</v>
      </c>
      <c r="G1" t="s">
        <v>1598</v>
      </c>
      <c r="H1" t="s">
        <v>1867</v>
      </c>
      <c r="I1" t="s">
        <v>963</v>
      </c>
      <c r="J1" t="s">
        <v>668</v>
      </c>
      <c r="K1" t="s">
        <v>669</v>
      </c>
      <c r="L1" t="s">
        <v>520</v>
      </c>
      <c r="M1" t="s">
        <v>1776</v>
      </c>
      <c r="N1" t="s">
        <v>1777</v>
      </c>
      <c r="O1" t="s">
        <v>1779</v>
      </c>
      <c r="P1" t="s">
        <v>1868</v>
      </c>
      <c r="Q1" t="s">
        <v>1005</v>
      </c>
      <c r="R1" t="s">
        <v>1862</v>
      </c>
      <c r="S1" t="s">
        <v>1863</v>
      </c>
      <c r="T1" t="s">
        <v>296</v>
      </c>
      <c r="U1" t="s">
        <v>1713</v>
      </c>
      <c r="V1" t="s">
        <v>2146</v>
      </c>
      <c r="W1" t="s">
        <v>1598</v>
      </c>
      <c r="X1" t="s">
        <v>2147</v>
      </c>
      <c r="Y1" t="s">
        <v>768</v>
      </c>
      <c r="Z1" t="s">
        <v>1868</v>
      </c>
      <c r="AA1" t="s">
        <v>2148</v>
      </c>
      <c r="AB1" t="s">
        <v>2122</v>
      </c>
    </row>
    <row r="2" spans="1:30" x14ac:dyDescent="0.35">
      <c r="A2">
        <v>1</v>
      </c>
      <c r="B2">
        <v>1500</v>
      </c>
      <c r="D2" s="23"/>
      <c r="G2">
        <f t="shared" ref="G2:G21" si="0">D2*F2</f>
        <v>0</v>
      </c>
      <c r="H2">
        <v>1</v>
      </c>
      <c r="I2">
        <f t="shared" ref="I2:I21" si="1">IF(AND(H2&gt;2,H2&lt;12),INDEX($C$27:$C$38,H2,1),)</f>
        <v>0</v>
      </c>
      <c r="J2">
        <f t="shared" ref="J2:J21" si="2">I2*G2</f>
        <v>0</v>
      </c>
      <c r="L2">
        <f t="shared" ref="L2:L21" si="3">IF(ROUND(10*J2/Gewicht,1) = 0,ROUND(10*J2/Gewicht,2),ROUND(10*J2/Gewicht,1) )</f>
        <v>0</v>
      </c>
      <c r="O2">
        <f>IF(N2&gt;1,M2*I2,0)</f>
        <v>0</v>
      </c>
      <c r="Q2">
        <f t="shared" ref="Q2:Q21" si="4">IF(N2=2,O2*0.155,0)</f>
        <v>0</v>
      </c>
      <c r="R2">
        <f t="shared" ref="R2:R21" si="5">IF(N2=3,O2*0.05,0)</f>
        <v>0</v>
      </c>
      <c r="S2">
        <f t="shared" ref="S2:S21" si="6">IF(N2=4,O2*0.1,0)</f>
        <v>0</v>
      </c>
      <c r="U2" t="str">
        <f t="shared" ref="U2:U21" si="7">IF(T2=0,"",IF(T2=-1,C2,INDEX(tblDBFormularium,T2+1,4)))</f>
        <v/>
      </c>
      <c r="V2" t="str">
        <f>IF(T2=0,"",INDEX($C$27:$D$38,H2,2))</f>
        <v/>
      </c>
      <c r="W2" t="str">
        <f>IF(T2=0,"",G2&amp;" "&amp;E2&amp;" ("&amp;ROUND(J2*10/Gewicht,AC2)&amp;" "&amp;E2&amp;"/kg/dag)")</f>
        <v/>
      </c>
      <c r="X2" t="str">
        <f>IF(T2=0,"",TRIM(K2))</f>
        <v/>
      </c>
      <c r="Y2" t="str">
        <f>IF(O2=0,"","opl: "&amp;M2&amp;" mL "&amp;INDEX(B$27:B$38,N2,1)&amp;" "&amp;IF(P2=0,"","("&amp;ROUND(ber_Med_disc!G2/ber_Med_disc!M2,2)&amp;" "&amp;ber_Med_disc!E2&amp;"/ml)"))</f>
        <v/>
      </c>
      <c r="Z2" t="str">
        <f>IF(OR(P2=0,Y2=""),"","in "&amp;P2&amp;" min")</f>
        <v/>
      </c>
      <c r="AA2" t="str">
        <f>IF(ber_Opm!C16=0,"",ber_Opm!C16)</f>
        <v/>
      </c>
      <c r="AB2" t="str">
        <f>IF(OR(U2="",U2=0),"",TRIM(U2)&amp;"||"&amp;TRIM(V2)&amp;"||"&amp;TRIM(W2)&amp;"||"&amp;TRIM(X2)&amp;"||"&amp;TRIM(Y2)&amp;"||"&amp;TRIM(Z2)&amp;"||"&amp;TRIM(AA2))</f>
        <v/>
      </c>
      <c r="AC2">
        <f>IF(AD2&gt;=10,0,IF(AD2&gt;=1,1,IF(AD2&gt;=0,2,IF(AD2&gt;=0.1,3,IF(AD2&gt;=0.01,4,5)))))</f>
        <v>2</v>
      </c>
      <c r="AD2">
        <f t="shared" ref="AD2:AD21" si="8">J2*10/Gewicht</f>
        <v>0</v>
      </c>
    </row>
    <row r="3" spans="1:30" x14ac:dyDescent="0.35">
      <c r="A3">
        <v>2</v>
      </c>
      <c r="B3">
        <v>1500</v>
      </c>
      <c r="D3" s="23"/>
      <c r="G3">
        <f t="shared" si="0"/>
        <v>0</v>
      </c>
      <c r="H3">
        <v>1</v>
      </c>
      <c r="I3">
        <f t="shared" si="1"/>
        <v>0</v>
      </c>
      <c r="J3">
        <f t="shared" si="2"/>
        <v>0</v>
      </c>
      <c r="L3">
        <f t="shared" si="3"/>
        <v>0</v>
      </c>
      <c r="O3">
        <f t="shared" ref="O3:O21" si="9">IF(N3&gt;1,M3*I3,0)</f>
        <v>0</v>
      </c>
      <c r="Q3">
        <f t="shared" si="4"/>
        <v>0</v>
      </c>
      <c r="R3">
        <f t="shared" si="5"/>
        <v>0</v>
      </c>
      <c r="S3">
        <f t="shared" si="6"/>
        <v>0</v>
      </c>
      <c r="U3" t="str">
        <f t="shared" si="7"/>
        <v/>
      </c>
      <c r="V3" t="str">
        <f t="shared" ref="V3:V21" si="10">IF(T3=0,"",INDEX($C$27:$D$38,H3,2))</f>
        <v/>
      </c>
      <c r="W3" t="str">
        <f>IF(T3=0,"",G3&amp;" "&amp;E3&amp;" ("&amp;ROUND(J3*10/Gewicht,AC3)&amp;" "&amp;E3&amp;"/kg/dag)")</f>
        <v/>
      </c>
      <c r="X3" t="str">
        <f t="shared" ref="X3:X21" si="11">IF(T3=0,"",TRIM(K3))</f>
        <v/>
      </c>
      <c r="Y3" t="str">
        <f>IF(O3=0,"","opl: "&amp;M3&amp;" mL "&amp;INDEX(B$27:B$38,N3,1)&amp;" "&amp;IF(P3=0,"","("&amp;ROUND(ber_Med_disc!G3/ber_Med_disc!M3,2)&amp;" "&amp;ber_Med_disc!E3&amp;"/ml)"))</f>
        <v/>
      </c>
      <c r="Z3" t="str">
        <f t="shared" ref="Z3:Z21" si="12">IF(OR(P3=0,Y3=""),"","in "&amp;P3&amp;" min")</f>
        <v/>
      </c>
      <c r="AA3" t="str">
        <f>IF(ber_Opm!C17=0,"",ber_Opm!C17)</f>
        <v/>
      </c>
      <c r="AB3" t="str">
        <f t="shared" ref="AB3:AB21" si="13">IF(OR(U3="",U3=0),"",TRIM(U3)&amp;"||"&amp;TRIM(V3)&amp;"||"&amp;TRIM(W3)&amp;"||"&amp;TRIM(X3)&amp;"||"&amp;TRIM(Y3)&amp;"||"&amp;TRIM(Z3)&amp;"||"&amp;TRIM(AA3))</f>
        <v/>
      </c>
      <c r="AC3">
        <f t="shared" ref="AC3:AC21" si="14">IF(AD3&gt;=10,0,IF(AD3&gt;=1,1,IF(AD3&gt;=0,2,IF(AD3&gt;=0.1,3,IF(AD3&gt;=0.01,4,5)))))</f>
        <v>2</v>
      </c>
      <c r="AD3">
        <f t="shared" si="8"/>
        <v>0</v>
      </c>
    </row>
    <row r="4" spans="1:30" x14ac:dyDescent="0.35">
      <c r="A4">
        <v>3</v>
      </c>
      <c r="B4">
        <v>1500</v>
      </c>
      <c r="D4" s="23"/>
      <c r="G4">
        <f t="shared" si="0"/>
        <v>0</v>
      </c>
      <c r="H4">
        <v>1</v>
      </c>
      <c r="I4">
        <f t="shared" si="1"/>
        <v>0</v>
      </c>
      <c r="J4">
        <f t="shared" si="2"/>
        <v>0</v>
      </c>
      <c r="L4">
        <f t="shared" si="3"/>
        <v>0</v>
      </c>
      <c r="O4">
        <f t="shared" si="9"/>
        <v>0</v>
      </c>
      <c r="Q4">
        <f t="shared" si="4"/>
        <v>0</v>
      </c>
      <c r="R4">
        <f t="shared" si="5"/>
        <v>0</v>
      </c>
      <c r="S4">
        <f t="shared" si="6"/>
        <v>0</v>
      </c>
      <c r="U4" t="str">
        <f t="shared" si="7"/>
        <v/>
      </c>
      <c r="V4" t="str">
        <f t="shared" si="10"/>
        <v/>
      </c>
      <c r="W4" t="str">
        <f>IF(T4=0,"",G4&amp;" "&amp;E4&amp;" ("&amp;ROUND(J4*10/Gewicht,AC4)&amp;" "&amp;E4&amp;"/kg/dag)")</f>
        <v/>
      </c>
      <c r="X4" t="str">
        <f t="shared" si="11"/>
        <v/>
      </c>
      <c r="Y4" t="str">
        <f>IF(O4=0,"","opl: "&amp;M4&amp;" mL "&amp;INDEX(B$27:B$38,N4,1)&amp;" "&amp;IF(P4=0,"","("&amp;ROUND(ber_Med_disc!G4/ber_Med_disc!M4,2)&amp;" "&amp;ber_Med_disc!E4&amp;"/ml)"))</f>
        <v/>
      </c>
      <c r="Z4" t="str">
        <f t="shared" si="12"/>
        <v/>
      </c>
      <c r="AA4" t="str">
        <f>IF(ber_Opm!C18=0,"",ber_Opm!C18)</f>
        <v/>
      </c>
      <c r="AB4" t="str">
        <f t="shared" si="13"/>
        <v/>
      </c>
      <c r="AC4">
        <f t="shared" si="14"/>
        <v>2</v>
      </c>
      <c r="AD4">
        <f t="shared" si="8"/>
        <v>0</v>
      </c>
    </row>
    <row r="5" spans="1:30" x14ac:dyDescent="0.35">
      <c r="A5">
        <v>4</v>
      </c>
      <c r="B5">
        <v>1500</v>
      </c>
      <c r="D5" s="23"/>
      <c r="G5">
        <f t="shared" si="0"/>
        <v>0</v>
      </c>
      <c r="H5">
        <v>1</v>
      </c>
      <c r="I5">
        <f t="shared" si="1"/>
        <v>0</v>
      </c>
      <c r="J5">
        <f t="shared" si="2"/>
        <v>0</v>
      </c>
      <c r="L5">
        <f t="shared" si="3"/>
        <v>0</v>
      </c>
      <c r="O5">
        <f t="shared" si="9"/>
        <v>0</v>
      </c>
      <c r="Q5">
        <f t="shared" si="4"/>
        <v>0</v>
      </c>
      <c r="R5">
        <f t="shared" si="5"/>
        <v>0</v>
      </c>
      <c r="S5">
        <f t="shared" si="6"/>
        <v>0</v>
      </c>
      <c r="U5" t="str">
        <f t="shared" si="7"/>
        <v/>
      </c>
      <c r="V5" t="str">
        <f t="shared" si="10"/>
        <v/>
      </c>
      <c r="W5" t="str">
        <f>IF(T5=0,"",G5&amp;" "&amp;E5&amp;" ("&amp;ROUND(J5*10/Gewicht,AC5)&amp;" "&amp;E5&amp;"/kg/dag)")</f>
        <v/>
      </c>
      <c r="X5" t="str">
        <f t="shared" si="11"/>
        <v/>
      </c>
      <c r="Y5" t="str">
        <f>IF(O5=0,"","opl: "&amp;M5&amp;" mL "&amp;INDEX(B$27:B$38,N5,1)&amp;" "&amp;IF(P5=0,"","("&amp;ROUND(ber_Med_disc!G5/ber_Med_disc!M5,2)&amp;" "&amp;ber_Med_disc!E5&amp;"/ml)"))</f>
        <v/>
      </c>
      <c r="Z5" t="str">
        <f t="shared" si="12"/>
        <v/>
      </c>
      <c r="AA5" t="str">
        <f>IF(ber_Opm!C19=0,"",ber_Opm!C19)</f>
        <v/>
      </c>
      <c r="AB5" t="str">
        <f t="shared" si="13"/>
        <v/>
      </c>
      <c r="AC5">
        <f t="shared" si="14"/>
        <v>2</v>
      </c>
      <c r="AD5">
        <f t="shared" si="8"/>
        <v>0</v>
      </c>
    </row>
    <row r="6" spans="1:30" x14ac:dyDescent="0.35">
      <c r="A6">
        <v>5</v>
      </c>
      <c r="B6">
        <v>1500</v>
      </c>
      <c r="D6" s="23"/>
      <c r="G6">
        <f t="shared" si="0"/>
        <v>0</v>
      </c>
      <c r="H6">
        <v>1</v>
      </c>
      <c r="I6">
        <f t="shared" si="1"/>
        <v>0</v>
      </c>
      <c r="J6">
        <f t="shared" si="2"/>
        <v>0</v>
      </c>
      <c r="L6">
        <f t="shared" si="3"/>
        <v>0</v>
      </c>
      <c r="O6">
        <f t="shared" si="9"/>
        <v>0</v>
      </c>
      <c r="Q6">
        <f t="shared" si="4"/>
        <v>0</v>
      </c>
      <c r="R6">
        <f t="shared" si="5"/>
        <v>0</v>
      </c>
      <c r="S6">
        <f t="shared" si="6"/>
        <v>0</v>
      </c>
      <c r="U6" t="str">
        <f t="shared" si="7"/>
        <v/>
      </c>
      <c r="V6" t="str">
        <f t="shared" si="10"/>
        <v/>
      </c>
      <c r="W6" t="str">
        <f>IF(T6=0,"",G6&amp;" "&amp;E6&amp;" ("&amp;ROUND(J6*10/Gewicht,AC6)&amp;" "&amp;E6&amp;"/kg/dag)")</f>
        <v/>
      </c>
      <c r="X6" t="str">
        <f t="shared" si="11"/>
        <v/>
      </c>
      <c r="Y6" t="str">
        <f>IF(O6=0,"","opl: "&amp;M6&amp;" mL "&amp;INDEX(B$27:B$38,N6,1)&amp;" "&amp;IF(P6=0,"","("&amp;ROUND(ber_Med_disc!G6/ber_Med_disc!M6,2)&amp;" "&amp;ber_Med_disc!E6&amp;"/ml)"))</f>
        <v/>
      </c>
      <c r="Z6" t="str">
        <f t="shared" si="12"/>
        <v/>
      </c>
      <c r="AA6" t="str">
        <f>IF(ber_Opm!C20=0,"",ber_Opm!C20)</f>
        <v/>
      </c>
      <c r="AB6" t="str">
        <f t="shared" si="13"/>
        <v/>
      </c>
      <c r="AC6">
        <f t="shared" si="14"/>
        <v>2</v>
      </c>
      <c r="AD6">
        <f t="shared" si="8"/>
        <v>0</v>
      </c>
    </row>
    <row r="7" spans="1:30" x14ac:dyDescent="0.35">
      <c r="A7">
        <v>6</v>
      </c>
      <c r="B7">
        <v>1500</v>
      </c>
      <c r="D7" s="23"/>
      <c r="G7">
        <f t="shared" si="0"/>
        <v>0</v>
      </c>
      <c r="H7">
        <v>1</v>
      </c>
      <c r="I7">
        <f t="shared" si="1"/>
        <v>0</v>
      </c>
      <c r="J7">
        <f t="shared" si="2"/>
        <v>0</v>
      </c>
      <c r="L7">
        <f t="shared" si="3"/>
        <v>0</v>
      </c>
      <c r="O7">
        <f t="shared" si="9"/>
        <v>0</v>
      </c>
      <c r="Q7">
        <f t="shared" si="4"/>
        <v>0</v>
      </c>
      <c r="R7">
        <f t="shared" si="5"/>
        <v>0</v>
      </c>
      <c r="S7">
        <f t="shared" si="6"/>
        <v>0</v>
      </c>
      <c r="U7" t="str">
        <f t="shared" si="7"/>
        <v/>
      </c>
      <c r="V7" t="str">
        <f t="shared" si="10"/>
        <v/>
      </c>
      <c r="W7" t="str">
        <f>IF(T7=0,"",G7&amp;" "&amp;E7&amp;" ("&amp;ROUND(J7*10/Gewicht,AC7)&amp;" "&amp;E7&amp;"/kg/dag)")</f>
        <v/>
      </c>
      <c r="X7" t="str">
        <f t="shared" si="11"/>
        <v/>
      </c>
      <c r="Y7" t="str">
        <f>IF(O7=0,"","opl: "&amp;M7&amp;" mL "&amp;INDEX(B$27:B$38,N7,1)&amp;" "&amp;IF(P7=0,"","("&amp;ROUND(ber_Med_disc!G7/ber_Med_disc!M7,2)&amp;" "&amp;ber_Med_disc!E7&amp;"/ml)"))</f>
        <v/>
      </c>
      <c r="Z7" t="str">
        <f t="shared" si="12"/>
        <v/>
      </c>
      <c r="AA7" t="str">
        <f>IF(ber_Opm!C21=0,"",ber_Opm!C21)</f>
        <v/>
      </c>
      <c r="AB7" t="str">
        <f t="shared" si="13"/>
        <v/>
      </c>
      <c r="AC7">
        <f t="shared" si="14"/>
        <v>2</v>
      </c>
      <c r="AD7">
        <f t="shared" si="8"/>
        <v>0</v>
      </c>
    </row>
    <row r="8" spans="1:30" x14ac:dyDescent="0.35">
      <c r="A8">
        <v>7</v>
      </c>
      <c r="B8">
        <v>1500</v>
      </c>
      <c r="D8" s="23"/>
      <c r="G8">
        <f t="shared" si="0"/>
        <v>0</v>
      </c>
      <c r="H8">
        <v>1</v>
      </c>
      <c r="I8">
        <f t="shared" si="1"/>
        <v>0</v>
      </c>
      <c r="J8">
        <f t="shared" si="2"/>
        <v>0</v>
      </c>
      <c r="L8">
        <f t="shared" si="3"/>
        <v>0</v>
      </c>
      <c r="O8">
        <f t="shared" si="9"/>
        <v>0</v>
      </c>
      <c r="Q8">
        <f t="shared" si="4"/>
        <v>0</v>
      </c>
      <c r="R8">
        <f t="shared" si="5"/>
        <v>0</v>
      </c>
      <c r="S8">
        <f t="shared" si="6"/>
        <v>0</v>
      </c>
      <c r="U8" t="str">
        <f t="shared" si="7"/>
        <v/>
      </c>
      <c r="V8" t="str">
        <f t="shared" si="10"/>
        <v/>
      </c>
      <c r="W8" t="str">
        <f>IF(T8=0,"",G8&amp;" "&amp;E8&amp;" ("&amp;ROUND(J8*10/Gewicht,AC8)&amp;" "&amp;E8&amp;"/kg/dag)")</f>
        <v/>
      </c>
      <c r="X8" t="str">
        <f t="shared" si="11"/>
        <v/>
      </c>
      <c r="Y8" t="str">
        <f>IF(O8=0,"","opl: "&amp;M8&amp;" mL "&amp;INDEX(B$27:B$38,N8,1)&amp;" "&amp;IF(P8=0,"","("&amp;ROUND(ber_Med_disc!G8/ber_Med_disc!M8,2)&amp;" "&amp;ber_Med_disc!E8&amp;"/ml)"))</f>
        <v/>
      </c>
      <c r="Z8" t="str">
        <f t="shared" si="12"/>
        <v/>
      </c>
      <c r="AA8" t="str">
        <f>IF(ber_Opm!C22=0,"",ber_Opm!C22)</f>
        <v/>
      </c>
      <c r="AB8" t="str">
        <f t="shared" si="13"/>
        <v/>
      </c>
      <c r="AC8">
        <f t="shared" si="14"/>
        <v>2</v>
      </c>
      <c r="AD8">
        <f t="shared" si="8"/>
        <v>0</v>
      </c>
    </row>
    <row r="9" spans="1:30" x14ac:dyDescent="0.35">
      <c r="A9">
        <v>8</v>
      </c>
      <c r="B9">
        <v>1500</v>
      </c>
      <c r="D9" s="23"/>
      <c r="G9">
        <f t="shared" si="0"/>
        <v>0</v>
      </c>
      <c r="H9">
        <v>1</v>
      </c>
      <c r="I9">
        <f t="shared" si="1"/>
        <v>0</v>
      </c>
      <c r="J9">
        <f t="shared" si="2"/>
        <v>0</v>
      </c>
      <c r="L9">
        <f t="shared" si="3"/>
        <v>0</v>
      </c>
      <c r="O9">
        <f t="shared" si="9"/>
        <v>0</v>
      </c>
      <c r="Q9">
        <f t="shared" si="4"/>
        <v>0</v>
      </c>
      <c r="R9">
        <f t="shared" si="5"/>
        <v>0</v>
      </c>
      <c r="S9">
        <f t="shared" si="6"/>
        <v>0</v>
      </c>
      <c r="U9" t="str">
        <f t="shared" si="7"/>
        <v/>
      </c>
      <c r="V9" t="str">
        <f t="shared" si="10"/>
        <v/>
      </c>
      <c r="W9" t="str">
        <f>IF(T9=0,"",G9&amp;" "&amp;E9&amp;" ("&amp;ROUND(J9*10/Gewicht,AC9)&amp;" "&amp;E9&amp;"/kg/dag)")</f>
        <v/>
      </c>
      <c r="X9" t="str">
        <f t="shared" si="11"/>
        <v/>
      </c>
      <c r="Y9" t="str">
        <f>IF(O9=0,"","opl: "&amp;M9&amp;" mL "&amp;INDEX(B$27:B$38,N9,1)&amp;" "&amp;IF(P9=0,"","("&amp;ROUND(ber_Med_disc!G9/ber_Med_disc!M9,2)&amp;" "&amp;ber_Med_disc!E9&amp;"/ml)"))</f>
        <v/>
      </c>
      <c r="Z9" t="str">
        <f t="shared" si="12"/>
        <v/>
      </c>
      <c r="AA9" t="str">
        <f>IF(ber_Opm!C23=0,"",ber_Opm!C23)</f>
        <v/>
      </c>
      <c r="AB9" t="str">
        <f t="shared" si="13"/>
        <v/>
      </c>
      <c r="AC9">
        <f t="shared" si="14"/>
        <v>2</v>
      </c>
      <c r="AD9">
        <f t="shared" si="8"/>
        <v>0</v>
      </c>
    </row>
    <row r="10" spans="1:30" x14ac:dyDescent="0.35">
      <c r="A10">
        <v>9</v>
      </c>
      <c r="B10">
        <v>1500</v>
      </c>
      <c r="D10" s="23"/>
      <c r="G10">
        <f t="shared" si="0"/>
        <v>0</v>
      </c>
      <c r="H10">
        <v>1</v>
      </c>
      <c r="I10">
        <f t="shared" si="1"/>
        <v>0</v>
      </c>
      <c r="J10">
        <f t="shared" si="2"/>
        <v>0</v>
      </c>
      <c r="L10">
        <f t="shared" si="3"/>
        <v>0</v>
      </c>
      <c r="O10">
        <f t="shared" si="9"/>
        <v>0</v>
      </c>
      <c r="Q10">
        <f t="shared" si="4"/>
        <v>0</v>
      </c>
      <c r="R10">
        <f t="shared" si="5"/>
        <v>0</v>
      </c>
      <c r="S10">
        <f t="shared" si="6"/>
        <v>0</v>
      </c>
      <c r="U10" t="str">
        <f t="shared" si="7"/>
        <v/>
      </c>
      <c r="V10" t="str">
        <f t="shared" si="10"/>
        <v/>
      </c>
      <c r="W10" t="str">
        <f>IF(T10=0,"",G10&amp;" "&amp;E10&amp;" ("&amp;ROUND(J10*10/Gewicht,AC10)&amp;" "&amp;E10&amp;"/kg/dag)")</f>
        <v/>
      </c>
      <c r="X10" t="str">
        <f t="shared" si="11"/>
        <v/>
      </c>
      <c r="Y10" t="str">
        <f>IF(O10=0,"","opl: "&amp;M10&amp;" mL "&amp;INDEX(B$27:B$38,N10,1)&amp;" "&amp;IF(P10=0,"","("&amp;ROUND(ber_Med_disc!G10/ber_Med_disc!M10,2)&amp;" "&amp;ber_Med_disc!E10&amp;"/ml)"))</f>
        <v/>
      </c>
      <c r="Z10" t="str">
        <f t="shared" si="12"/>
        <v/>
      </c>
      <c r="AA10" t="str">
        <f>IF(ber_Opm!C24=0,"",ber_Opm!C24)</f>
        <v/>
      </c>
      <c r="AB10" t="str">
        <f t="shared" si="13"/>
        <v/>
      </c>
      <c r="AC10">
        <f t="shared" si="14"/>
        <v>2</v>
      </c>
      <c r="AD10">
        <f t="shared" si="8"/>
        <v>0</v>
      </c>
    </row>
    <row r="11" spans="1:30" x14ac:dyDescent="0.35">
      <c r="A11">
        <v>10</v>
      </c>
      <c r="B11">
        <v>1500</v>
      </c>
      <c r="D11" s="23"/>
      <c r="G11">
        <f t="shared" si="0"/>
        <v>0</v>
      </c>
      <c r="H11">
        <v>1</v>
      </c>
      <c r="I11">
        <f t="shared" si="1"/>
        <v>0</v>
      </c>
      <c r="J11">
        <f t="shared" si="2"/>
        <v>0</v>
      </c>
      <c r="L11">
        <f t="shared" si="3"/>
        <v>0</v>
      </c>
      <c r="O11">
        <f t="shared" si="9"/>
        <v>0</v>
      </c>
      <c r="Q11">
        <f t="shared" si="4"/>
        <v>0</v>
      </c>
      <c r="R11">
        <f t="shared" si="5"/>
        <v>0</v>
      </c>
      <c r="S11">
        <f t="shared" si="6"/>
        <v>0</v>
      </c>
      <c r="U11" t="str">
        <f t="shared" si="7"/>
        <v/>
      </c>
      <c r="V11" t="str">
        <f t="shared" si="10"/>
        <v/>
      </c>
      <c r="W11" t="str">
        <f>IF(T11=0,"",G11&amp;" "&amp;E11&amp;" ("&amp;ROUND(J11*10/Gewicht,AC11)&amp;" "&amp;E11&amp;"/kg/dag)")</f>
        <v/>
      </c>
      <c r="X11" t="str">
        <f t="shared" si="11"/>
        <v/>
      </c>
      <c r="Y11" t="str">
        <f>IF(O11=0,"","opl: "&amp;M11&amp;" mL "&amp;INDEX(B$27:B$38,N11,1)&amp;" "&amp;IF(P11=0,"","("&amp;ROUND(ber_Med_disc!G11/ber_Med_disc!M11,2)&amp;" "&amp;ber_Med_disc!E11&amp;"/ml)"))</f>
        <v/>
      </c>
      <c r="Z11" t="str">
        <f t="shared" si="12"/>
        <v/>
      </c>
      <c r="AA11" t="str">
        <f>IF(ber_Opm!C25=0,"",ber_Opm!C25)</f>
        <v/>
      </c>
      <c r="AB11" t="str">
        <f t="shared" si="13"/>
        <v/>
      </c>
      <c r="AC11">
        <f t="shared" si="14"/>
        <v>2</v>
      </c>
      <c r="AD11">
        <f t="shared" si="8"/>
        <v>0</v>
      </c>
    </row>
    <row r="12" spans="1:30" x14ac:dyDescent="0.35">
      <c r="A12">
        <v>11</v>
      </c>
      <c r="B12">
        <v>1500</v>
      </c>
      <c r="D12" s="23"/>
      <c r="G12">
        <f t="shared" si="0"/>
        <v>0</v>
      </c>
      <c r="H12">
        <v>1</v>
      </c>
      <c r="I12">
        <f t="shared" si="1"/>
        <v>0</v>
      </c>
      <c r="J12">
        <f t="shared" si="2"/>
        <v>0</v>
      </c>
      <c r="L12">
        <f t="shared" si="3"/>
        <v>0</v>
      </c>
      <c r="O12">
        <f t="shared" si="9"/>
        <v>0</v>
      </c>
      <c r="Q12">
        <f t="shared" si="4"/>
        <v>0</v>
      </c>
      <c r="R12">
        <f t="shared" si="5"/>
        <v>0</v>
      </c>
      <c r="S12">
        <f t="shared" si="6"/>
        <v>0</v>
      </c>
      <c r="U12" t="str">
        <f t="shared" si="7"/>
        <v/>
      </c>
      <c r="V12" t="str">
        <f t="shared" si="10"/>
        <v/>
      </c>
      <c r="W12" t="str">
        <f>IF(T12=0,"",G12&amp;" "&amp;E12&amp;" ("&amp;ROUND(J12*10/Gewicht,AC12)&amp;" "&amp;E12&amp;"/kg/dag)")</f>
        <v/>
      </c>
      <c r="X12" t="str">
        <f t="shared" si="11"/>
        <v/>
      </c>
      <c r="Y12" t="str">
        <f>IF(O12=0,"","opl: "&amp;M12&amp;" mL "&amp;INDEX(B$27:B$38,N12,1)&amp;" "&amp;IF(P12=0,"","("&amp;ROUND(ber_Med_disc!G12/ber_Med_disc!M12,2)&amp;" "&amp;ber_Med_disc!E12&amp;"/ml)"))</f>
        <v/>
      </c>
      <c r="Z12" t="str">
        <f t="shared" si="12"/>
        <v/>
      </c>
      <c r="AA12" t="str">
        <f>IF(ber_Opm!C26=0,"",ber_Opm!C26)</f>
        <v/>
      </c>
      <c r="AB12" t="str">
        <f t="shared" si="13"/>
        <v/>
      </c>
      <c r="AC12">
        <f t="shared" si="14"/>
        <v>2</v>
      </c>
      <c r="AD12">
        <f t="shared" si="8"/>
        <v>0</v>
      </c>
    </row>
    <row r="13" spans="1:30" x14ac:dyDescent="0.35">
      <c r="A13">
        <v>12</v>
      </c>
      <c r="B13">
        <v>1500</v>
      </c>
      <c r="D13" s="23"/>
      <c r="G13">
        <f t="shared" si="0"/>
        <v>0</v>
      </c>
      <c r="H13">
        <v>1</v>
      </c>
      <c r="I13">
        <f t="shared" si="1"/>
        <v>0</v>
      </c>
      <c r="J13">
        <f t="shared" si="2"/>
        <v>0</v>
      </c>
      <c r="L13">
        <f t="shared" si="3"/>
        <v>0</v>
      </c>
      <c r="O13">
        <f t="shared" si="9"/>
        <v>0</v>
      </c>
      <c r="Q13">
        <f t="shared" si="4"/>
        <v>0</v>
      </c>
      <c r="R13">
        <f t="shared" si="5"/>
        <v>0</v>
      </c>
      <c r="S13">
        <f t="shared" si="6"/>
        <v>0</v>
      </c>
      <c r="U13" t="str">
        <f t="shared" si="7"/>
        <v/>
      </c>
      <c r="V13" t="str">
        <f t="shared" si="10"/>
        <v/>
      </c>
      <c r="W13" t="str">
        <f>IF(T13=0,"",G13&amp;" "&amp;E13&amp;" ("&amp;ROUND(J13*10/Gewicht,AC13)&amp;" "&amp;E13&amp;"/kg/dag)")</f>
        <v/>
      </c>
      <c r="X13" t="str">
        <f t="shared" si="11"/>
        <v/>
      </c>
      <c r="Y13" t="str">
        <f>IF(O13=0,"","opl: "&amp;M13&amp;" mL "&amp;INDEX(B$27:B$38,N13,1)&amp;" "&amp;IF(P13=0,"","("&amp;ROUND(ber_Med_disc!G13/ber_Med_disc!M13,2)&amp;" "&amp;ber_Med_disc!E13&amp;"/ml)"))</f>
        <v/>
      </c>
      <c r="Z13" t="str">
        <f t="shared" si="12"/>
        <v/>
      </c>
      <c r="AA13" t="str">
        <f>IF(ber_Opm!C27=0,"",ber_Opm!C27)</f>
        <v/>
      </c>
      <c r="AB13" t="str">
        <f t="shared" si="13"/>
        <v/>
      </c>
      <c r="AC13">
        <f t="shared" si="14"/>
        <v>2</v>
      </c>
      <c r="AD13">
        <f t="shared" si="8"/>
        <v>0</v>
      </c>
    </row>
    <row r="14" spans="1:30" x14ac:dyDescent="0.35">
      <c r="A14">
        <v>13</v>
      </c>
      <c r="B14">
        <v>1500</v>
      </c>
      <c r="D14" s="23"/>
      <c r="G14">
        <f t="shared" si="0"/>
        <v>0</v>
      </c>
      <c r="H14">
        <v>1</v>
      </c>
      <c r="I14">
        <f t="shared" si="1"/>
        <v>0</v>
      </c>
      <c r="J14">
        <f t="shared" si="2"/>
        <v>0</v>
      </c>
      <c r="L14">
        <f t="shared" si="3"/>
        <v>0</v>
      </c>
      <c r="O14">
        <f t="shared" si="9"/>
        <v>0</v>
      </c>
      <c r="Q14">
        <f t="shared" si="4"/>
        <v>0</v>
      </c>
      <c r="R14">
        <f t="shared" si="5"/>
        <v>0</v>
      </c>
      <c r="S14">
        <f t="shared" si="6"/>
        <v>0</v>
      </c>
      <c r="U14" t="str">
        <f t="shared" si="7"/>
        <v/>
      </c>
      <c r="V14" t="str">
        <f t="shared" si="10"/>
        <v/>
      </c>
      <c r="W14" t="str">
        <f>IF(T14=0,"",G14&amp;" "&amp;E14&amp;" ("&amp;ROUND(J14*10/Gewicht,AC14)&amp;" "&amp;E14&amp;"/kg/dag)")</f>
        <v/>
      </c>
      <c r="X14" t="str">
        <f t="shared" si="11"/>
        <v/>
      </c>
      <c r="Y14" t="str">
        <f>IF(O14=0,"","opl: "&amp;M14&amp;" mL "&amp;INDEX(B$27:B$38,N14,1)&amp;" "&amp;IF(P14=0,"","("&amp;ROUND(ber_Med_disc!G14/ber_Med_disc!M14,2)&amp;" "&amp;ber_Med_disc!E14&amp;"/ml)"))</f>
        <v/>
      </c>
      <c r="Z14" t="str">
        <f t="shared" si="12"/>
        <v/>
      </c>
      <c r="AA14" t="str">
        <f>IF(ber_Opm!C28=0,"",ber_Opm!C28)</f>
        <v/>
      </c>
      <c r="AB14" t="str">
        <f t="shared" si="13"/>
        <v/>
      </c>
      <c r="AC14">
        <f t="shared" si="14"/>
        <v>2</v>
      </c>
      <c r="AD14">
        <f t="shared" si="8"/>
        <v>0</v>
      </c>
    </row>
    <row r="15" spans="1:30" x14ac:dyDescent="0.35">
      <c r="A15">
        <v>14</v>
      </c>
      <c r="B15">
        <v>1500</v>
      </c>
      <c r="D15" s="23"/>
      <c r="G15">
        <f t="shared" si="0"/>
        <v>0</v>
      </c>
      <c r="H15">
        <v>1</v>
      </c>
      <c r="I15">
        <f t="shared" si="1"/>
        <v>0</v>
      </c>
      <c r="J15">
        <f t="shared" si="2"/>
        <v>0</v>
      </c>
      <c r="L15">
        <f t="shared" si="3"/>
        <v>0</v>
      </c>
      <c r="O15">
        <f t="shared" si="9"/>
        <v>0</v>
      </c>
      <c r="Q15">
        <f t="shared" si="4"/>
        <v>0</v>
      </c>
      <c r="R15">
        <f t="shared" si="5"/>
        <v>0</v>
      </c>
      <c r="S15">
        <f t="shared" si="6"/>
        <v>0</v>
      </c>
      <c r="U15" t="str">
        <f t="shared" si="7"/>
        <v/>
      </c>
      <c r="V15" t="str">
        <f t="shared" si="10"/>
        <v/>
      </c>
      <c r="W15" t="str">
        <f>IF(T15=0,"",G15&amp;" "&amp;E15&amp;" ("&amp;ROUND(J15*10/Gewicht,AC15)&amp;" "&amp;E15&amp;"/kg/dag)")</f>
        <v/>
      </c>
      <c r="X15" t="str">
        <f t="shared" si="11"/>
        <v/>
      </c>
      <c r="Y15" t="str">
        <f>IF(O15=0,"","opl: "&amp;M15&amp;" mL "&amp;INDEX(B$27:B$38,N15,1)&amp;" "&amp;IF(P15=0,"","("&amp;ROUND(ber_Med_disc!G15/ber_Med_disc!M15,2)&amp;" "&amp;ber_Med_disc!E15&amp;"/ml)"))</f>
        <v/>
      </c>
      <c r="Z15" t="str">
        <f t="shared" si="12"/>
        <v/>
      </c>
      <c r="AA15" t="str">
        <f>IF(ber_Opm!C29=0,"",ber_Opm!C29)</f>
        <v/>
      </c>
      <c r="AB15" t="str">
        <f t="shared" si="13"/>
        <v/>
      </c>
      <c r="AC15">
        <f t="shared" si="14"/>
        <v>2</v>
      </c>
      <c r="AD15">
        <f t="shared" si="8"/>
        <v>0</v>
      </c>
    </row>
    <row r="16" spans="1:30" x14ac:dyDescent="0.35">
      <c r="A16">
        <v>15</v>
      </c>
      <c r="B16">
        <v>1500</v>
      </c>
      <c r="D16" s="23"/>
      <c r="G16">
        <f t="shared" si="0"/>
        <v>0</v>
      </c>
      <c r="H16">
        <v>1</v>
      </c>
      <c r="I16">
        <f t="shared" si="1"/>
        <v>0</v>
      </c>
      <c r="J16">
        <f t="shared" si="2"/>
        <v>0</v>
      </c>
      <c r="L16">
        <f t="shared" si="3"/>
        <v>0</v>
      </c>
      <c r="O16">
        <f t="shared" si="9"/>
        <v>0</v>
      </c>
      <c r="Q16">
        <f t="shared" si="4"/>
        <v>0</v>
      </c>
      <c r="R16">
        <f t="shared" si="5"/>
        <v>0</v>
      </c>
      <c r="S16">
        <f t="shared" si="6"/>
        <v>0</v>
      </c>
      <c r="U16" t="str">
        <f t="shared" si="7"/>
        <v/>
      </c>
      <c r="V16" t="str">
        <f t="shared" si="10"/>
        <v/>
      </c>
      <c r="W16" t="str">
        <f>IF(T16=0,"",G16&amp;" "&amp;E16&amp;" ("&amp;ROUND(J16*10/Gewicht,AC16)&amp;" "&amp;E16&amp;"/kg/dag)")</f>
        <v/>
      </c>
      <c r="X16" t="str">
        <f t="shared" si="11"/>
        <v/>
      </c>
      <c r="Y16" t="str">
        <f>IF(O16=0,"","opl: "&amp;M16&amp;" mL "&amp;INDEX(B$27:B$38,N16,1)&amp;" "&amp;IF(P16=0,"","("&amp;ROUND(ber_Med_disc!G16/ber_Med_disc!M16,2)&amp;" "&amp;ber_Med_disc!E16&amp;"/ml)"))</f>
        <v/>
      </c>
      <c r="Z16" t="str">
        <f t="shared" si="12"/>
        <v/>
      </c>
      <c r="AA16" t="str">
        <f>IF(ber_Opm!C30=0,"",ber_Opm!C30)</f>
        <v/>
      </c>
      <c r="AB16" t="str">
        <f t="shared" si="13"/>
        <v/>
      </c>
      <c r="AC16">
        <f t="shared" si="14"/>
        <v>2</v>
      </c>
      <c r="AD16">
        <f t="shared" si="8"/>
        <v>0</v>
      </c>
    </row>
    <row r="17" spans="1:30" x14ac:dyDescent="0.35">
      <c r="A17">
        <v>16</v>
      </c>
      <c r="B17">
        <v>1500</v>
      </c>
      <c r="D17" s="23"/>
      <c r="G17">
        <f t="shared" si="0"/>
        <v>0</v>
      </c>
      <c r="H17">
        <v>1</v>
      </c>
      <c r="I17">
        <f t="shared" si="1"/>
        <v>0</v>
      </c>
      <c r="J17">
        <f t="shared" si="2"/>
        <v>0</v>
      </c>
      <c r="L17">
        <f t="shared" si="3"/>
        <v>0</v>
      </c>
      <c r="O17">
        <f t="shared" si="9"/>
        <v>0</v>
      </c>
      <c r="Q17">
        <f t="shared" si="4"/>
        <v>0</v>
      </c>
      <c r="R17">
        <f t="shared" si="5"/>
        <v>0</v>
      </c>
      <c r="S17">
        <f t="shared" si="6"/>
        <v>0</v>
      </c>
      <c r="U17" t="str">
        <f t="shared" si="7"/>
        <v/>
      </c>
      <c r="V17" t="str">
        <f t="shared" si="10"/>
        <v/>
      </c>
      <c r="W17" t="str">
        <f>IF(T17=0,"",G17&amp;" "&amp;E17&amp;" ("&amp;ROUND(J17*10/Gewicht,AC17)&amp;" "&amp;E17&amp;"/kg/dag)")</f>
        <v/>
      </c>
      <c r="X17" t="str">
        <f t="shared" si="11"/>
        <v/>
      </c>
      <c r="Y17" t="str">
        <f>IF(O17=0,"","opl: "&amp;M17&amp;" mL "&amp;INDEX(B$27:B$38,N17,1)&amp;" "&amp;IF(P17=0,"","("&amp;ROUND(ber_Med_disc!G17/ber_Med_disc!M17,2)&amp;" "&amp;ber_Med_disc!E17&amp;"/ml)"))</f>
        <v/>
      </c>
      <c r="Z17" t="str">
        <f t="shared" si="12"/>
        <v/>
      </c>
      <c r="AA17" t="str">
        <f>IF(ber_Opm!C31=0,"",ber_Opm!C31)</f>
        <v/>
      </c>
      <c r="AB17" t="str">
        <f t="shared" si="13"/>
        <v/>
      </c>
      <c r="AC17">
        <f t="shared" si="14"/>
        <v>2</v>
      </c>
      <c r="AD17">
        <f t="shared" si="8"/>
        <v>0</v>
      </c>
    </row>
    <row r="18" spans="1:30" x14ac:dyDescent="0.35">
      <c r="A18">
        <v>17</v>
      </c>
      <c r="B18">
        <v>1500</v>
      </c>
      <c r="D18" s="23"/>
      <c r="G18">
        <f t="shared" si="0"/>
        <v>0</v>
      </c>
      <c r="H18">
        <v>1</v>
      </c>
      <c r="I18">
        <f t="shared" si="1"/>
        <v>0</v>
      </c>
      <c r="J18">
        <f t="shared" si="2"/>
        <v>0</v>
      </c>
      <c r="L18">
        <f t="shared" si="3"/>
        <v>0</v>
      </c>
      <c r="O18">
        <f t="shared" si="9"/>
        <v>0</v>
      </c>
      <c r="Q18">
        <f t="shared" si="4"/>
        <v>0</v>
      </c>
      <c r="R18">
        <f t="shared" si="5"/>
        <v>0</v>
      </c>
      <c r="S18">
        <f t="shared" si="6"/>
        <v>0</v>
      </c>
      <c r="U18" t="str">
        <f t="shared" si="7"/>
        <v/>
      </c>
      <c r="V18" t="str">
        <f t="shared" si="10"/>
        <v/>
      </c>
      <c r="W18" t="str">
        <f>IF(T18=0,"",G18&amp;" "&amp;E18&amp;" ("&amp;ROUND(J18*10/Gewicht,AC18)&amp;" "&amp;E18&amp;"/kg/dag)")</f>
        <v/>
      </c>
      <c r="X18" t="str">
        <f t="shared" si="11"/>
        <v/>
      </c>
      <c r="Y18" t="str">
        <f>IF(O18=0,"","opl: "&amp;M18&amp;" mL "&amp;INDEX(B$27:B$38,N18,1)&amp;" "&amp;IF(P18=0,"","("&amp;ROUND(ber_Med_disc!G18/ber_Med_disc!M18,2)&amp;" "&amp;ber_Med_disc!E18&amp;"/ml)"))</f>
        <v/>
      </c>
      <c r="Z18" t="str">
        <f t="shared" si="12"/>
        <v/>
      </c>
      <c r="AA18" t="str">
        <f>IF(ber_Opm!C32=0,"",ber_Opm!C32)</f>
        <v/>
      </c>
      <c r="AB18" t="str">
        <f t="shared" si="13"/>
        <v/>
      </c>
      <c r="AC18">
        <f t="shared" si="14"/>
        <v>2</v>
      </c>
      <c r="AD18">
        <f t="shared" si="8"/>
        <v>0</v>
      </c>
    </row>
    <row r="19" spans="1:30" x14ac:dyDescent="0.35">
      <c r="A19">
        <v>18</v>
      </c>
      <c r="B19">
        <v>1500</v>
      </c>
      <c r="D19" s="23"/>
      <c r="G19">
        <f t="shared" si="0"/>
        <v>0</v>
      </c>
      <c r="H19">
        <v>1</v>
      </c>
      <c r="I19">
        <f t="shared" si="1"/>
        <v>0</v>
      </c>
      <c r="J19">
        <f t="shared" si="2"/>
        <v>0</v>
      </c>
      <c r="L19">
        <f t="shared" si="3"/>
        <v>0</v>
      </c>
      <c r="O19">
        <f t="shared" si="9"/>
        <v>0</v>
      </c>
      <c r="Q19">
        <f t="shared" si="4"/>
        <v>0</v>
      </c>
      <c r="R19">
        <f t="shared" si="5"/>
        <v>0</v>
      </c>
      <c r="S19">
        <f t="shared" si="6"/>
        <v>0</v>
      </c>
      <c r="U19" t="str">
        <f t="shared" si="7"/>
        <v/>
      </c>
      <c r="V19" t="str">
        <f t="shared" si="10"/>
        <v/>
      </c>
      <c r="W19" t="str">
        <f>IF(T19=0,"",G19&amp;" "&amp;E19&amp;" ("&amp;ROUND(J19*10/Gewicht,AC19)&amp;" "&amp;E19&amp;"/kg/dag)")</f>
        <v/>
      </c>
      <c r="X19" t="str">
        <f t="shared" si="11"/>
        <v/>
      </c>
      <c r="Y19" t="str">
        <f>IF(O19=0,"","opl: "&amp;M19&amp;" mL "&amp;INDEX(B$27:B$38,N19,1)&amp;" "&amp;IF(P19=0,"","("&amp;ROUND(ber_Med_disc!G19/ber_Med_disc!M19,2)&amp;" "&amp;ber_Med_disc!E19&amp;"/ml)"))</f>
        <v/>
      </c>
      <c r="Z19" t="str">
        <f t="shared" si="12"/>
        <v/>
      </c>
      <c r="AA19" t="str">
        <f>IF(ber_Opm!C33=0,"",ber_Opm!C33)</f>
        <v/>
      </c>
      <c r="AB19" t="str">
        <f t="shared" si="13"/>
        <v/>
      </c>
      <c r="AC19">
        <f t="shared" si="14"/>
        <v>2</v>
      </c>
      <c r="AD19">
        <f t="shared" si="8"/>
        <v>0</v>
      </c>
    </row>
    <row r="20" spans="1:30" x14ac:dyDescent="0.35">
      <c r="A20">
        <v>19</v>
      </c>
      <c r="B20">
        <v>1500</v>
      </c>
      <c r="D20" s="23"/>
      <c r="G20">
        <f t="shared" si="0"/>
        <v>0</v>
      </c>
      <c r="H20">
        <v>1</v>
      </c>
      <c r="I20">
        <f t="shared" si="1"/>
        <v>0</v>
      </c>
      <c r="J20">
        <f t="shared" si="2"/>
        <v>0</v>
      </c>
      <c r="L20">
        <f t="shared" si="3"/>
        <v>0</v>
      </c>
      <c r="O20">
        <f t="shared" si="9"/>
        <v>0</v>
      </c>
      <c r="Q20">
        <f t="shared" si="4"/>
        <v>0</v>
      </c>
      <c r="R20">
        <f t="shared" si="5"/>
        <v>0</v>
      </c>
      <c r="S20">
        <f t="shared" si="6"/>
        <v>0</v>
      </c>
      <c r="U20" t="str">
        <f t="shared" si="7"/>
        <v/>
      </c>
      <c r="V20" t="str">
        <f t="shared" si="10"/>
        <v/>
      </c>
      <c r="W20" t="str">
        <f>IF(T20=0,"",G20&amp;" "&amp;E20&amp;" ("&amp;ROUND(J20*10/Gewicht,AC20)&amp;" "&amp;E20&amp;"/kg/dag)")</f>
        <v/>
      </c>
      <c r="X20" t="str">
        <f t="shared" si="11"/>
        <v/>
      </c>
      <c r="Y20" t="str">
        <f>IF(O20=0,"","opl: "&amp;M20&amp;" mL "&amp;INDEX(B$27:B$38,N20,1)&amp;" "&amp;IF(P20=0,"","("&amp;ROUND(ber_Med_disc!G20/ber_Med_disc!M20,2)&amp;" "&amp;ber_Med_disc!E20&amp;"/ml)"))</f>
        <v/>
      </c>
      <c r="Z20" t="str">
        <f t="shared" si="12"/>
        <v/>
      </c>
      <c r="AA20" t="str">
        <f>IF(ber_Opm!C34=0,"",ber_Opm!C34)</f>
        <v/>
      </c>
      <c r="AB20" t="str">
        <f t="shared" si="13"/>
        <v/>
      </c>
      <c r="AC20">
        <f t="shared" si="14"/>
        <v>2</v>
      </c>
      <c r="AD20">
        <f t="shared" si="8"/>
        <v>0</v>
      </c>
    </row>
    <row r="21" spans="1:30" x14ac:dyDescent="0.35">
      <c r="A21">
        <v>20</v>
      </c>
      <c r="B21">
        <v>1500</v>
      </c>
      <c r="D21" s="23"/>
      <c r="G21">
        <f t="shared" si="0"/>
        <v>0</v>
      </c>
      <c r="H21">
        <v>1</v>
      </c>
      <c r="I21">
        <f t="shared" si="1"/>
        <v>0</v>
      </c>
      <c r="J21">
        <f t="shared" si="2"/>
        <v>0</v>
      </c>
      <c r="L21">
        <f t="shared" si="3"/>
        <v>0</v>
      </c>
      <c r="O21">
        <f t="shared" si="9"/>
        <v>0</v>
      </c>
      <c r="Q21">
        <f t="shared" si="4"/>
        <v>0</v>
      </c>
      <c r="R21">
        <f t="shared" si="5"/>
        <v>0</v>
      </c>
      <c r="S21">
        <f t="shared" si="6"/>
        <v>0</v>
      </c>
      <c r="U21" t="str">
        <f t="shared" si="7"/>
        <v/>
      </c>
      <c r="V21" t="str">
        <f t="shared" si="10"/>
        <v/>
      </c>
      <c r="W21" t="str">
        <f>IF(T21=0,"",G21&amp;" "&amp;E21&amp;" ("&amp;ROUND(J21*10/Gewicht,AC21)&amp;" "&amp;E21&amp;"/kg/dag)")</f>
        <v/>
      </c>
      <c r="X21" t="str">
        <f t="shared" si="11"/>
        <v/>
      </c>
      <c r="Y21" t="str">
        <f>IF(O21=0,"","opl: "&amp;M21&amp;" mL "&amp;INDEX(B$27:B$38,N21,1)&amp;" "&amp;IF(P21=0,"","("&amp;ROUND(ber_Med_disc!G21/ber_Med_disc!M21,2)&amp;" "&amp;ber_Med_disc!E21&amp;"/ml)"))</f>
        <v/>
      </c>
      <c r="Z21" t="str">
        <f t="shared" si="12"/>
        <v/>
      </c>
      <c r="AA21" t="str">
        <f>IF(ber_Opm!C35=0,"",ber_Opm!C35)</f>
        <v/>
      </c>
      <c r="AB21" t="str">
        <f t="shared" si="13"/>
        <v/>
      </c>
      <c r="AC21">
        <f t="shared" si="14"/>
        <v>2</v>
      </c>
      <c r="AD21">
        <f t="shared" si="8"/>
        <v>0</v>
      </c>
    </row>
    <row r="23" spans="1:30" x14ac:dyDescent="0.35">
      <c r="O23">
        <f>SUM(O2:O21)</f>
        <v>0</v>
      </c>
      <c r="Q23">
        <f>SUM(Q2:Q21)</f>
        <v>0</v>
      </c>
      <c r="S23">
        <f>SUM(R2:S21)</f>
        <v>0</v>
      </c>
    </row>
    <row r="25" spans="1:30" x14ac:dyDescent="0.35">
      <c r="A25" t="s">
        <v>367</v>
      </c>
      <c r="B25">
        <v>210</v>
      </c>
      <c r="C25" t="e">
        <f>INDEX(#REF!,ber_Med_disc!B25,1)</f>
        <v>#REF!</v>
      </c>
      <c r="D25" t="e">
        <f>VLOOKUP(ber_Med_disc!C25,#REF!,2,FALSE)+1</f>
        <v>#REF!</v>
      </c>
      <c r="E25" t="e">
        <f>INDEX(tblRecNo,MedKeuze_0,1)</f>
        <v>#REF!</v>
      </c>
    </row>
    <row r="26" spans="1:30" x14ac:dyDescent="0.35">
      <c r="A26" t="s">
        <v>1772</v>
      </c>
      <c r="B26" t="s">
        <v>1778</v>
      </c>
      <c r="D26" t="s">
        <v>1866</v>
      </c>
      <c r="E26" t="s">
        <v>1577</v>
      </c>
    </row>
    <row r="28" spans="1:30" x14ac:dyDescent="0.35">
      <c r="A28" t="s">
        <v>474</v>
      </c>
      <c r="B28" t="s">
        <v>1309</v>
      </c>
      <c r="C28">
        <v>0</v>
      </c>
      <c r="D28" t="s">
        <v>2141</v>
      </c>
      <c r="E28" t="s">
        <v>825</v>
      </c>
    </row>
    <row r="29" spans="1:30" x14ac:dyDescent="0.35">
      <c r="A29" t="s">
        <v>473</v>
      </c>
      <c r="B29" t="s">
        <v>1310</v>
      </c>
      <c r="C29">
        <v>1</v>
      </c>
      <c r="D29" t="s">
        <v>1865</v>
      </c>
      <c r="E29" t="s">
        <v>817</v>
      </c>
    </row>
    <row r="30" spans="1:30" x14ac:dyDescent="0.35">
      <c r="A30" t="s">
        <v>271</v>
      </c>
      <c r="B30" t="s">
        <v>1311</v>
      </c>
      <c r="C30">
        <v>1</v>
      </c>
      <c r="D30" t="s">
        <v>2010</v>
      </c>
      <c r="E30" t="s">
        <v>178</v>
      </c>
    </row>
    <row r="31" spans="1:30" x14ac:dyDescent="0.35">
      <c r="A31" t="s">
        <v>1448</v>
      </c>
      <c r="C31">
        <v>2</v>
      </c>
      <c r="D31" t="s">
        <v>2011</v>
      </c>
      <c r="E31" t="s">
        <v>385</v>
      </c>
    </row>
    <row r="32" spans="1:30" x14ac:dyDescent="0.35">
      <c r="A32" t="s">
        <v>272</v>
      </c>
      <c r="C32">
        <v>3</v>
      </c>
      <c r="D32" t="s">
        <v>2012</v>
      </c>
      <c r="E32" t="s">
        <v>818</v>
      </c>
    </row>
    <row r="33" spans="1:4" x14ac:dyDescent="0.35">
      <c r="A33" t="s">
        <v>957</v>
      </c>
      <c r="C33">
        <v>4</v>
      </c>
      <c r="D33" t="s">
        <v>2013</v>
      </c>
    </row>
    <row r="34" spans="1:4" x14ac:dyDescent="0.35">
      <c r="A34" t="s">
        <v>1773</v>
      </c>
      <c r="C34">
        <v>5</v>
      </c>
      <c r="D34" t="s">
        <v>2140</v>
      </c>
    </row>
    <row r="35" spans="1:4" x14ac:dyDescent="0.35">
      <c r="A35" t="s">
        <v>1774</v>
      </c>
      <c r="C35">
        <v>6</v>
      </c>
      <c r="D35" t="s">
        <v>876</v>
      </c>
    </row>
    <row r="36" spans="1:4" x14ac:dyDescent="0.35">
      <c r="A36" t="s">
        <v>1775</v>
      </c>
      <c r="C36">
        <v>8</v>
      </c>
      <c r="D36" t="s">
        <v>877</v>
      </c>
    </row>
    <row r="37" spans="1:4" x14ac:dyDescent="0.35">
      <c r="A37" t="s">
        <v>288</v>
      </c>
      <c r="C37">
        <v>12</v>
      </c>
      <c r="D37" t="s">
        <v>878</v>
      </c>
    </row>
    <row r="38" spans="1:4" x14ac:dyDescent="0.35">
      <c r="A38" t="s">
        <v>732</v>
      </c>
      <c r="C38">
        <v>24</v>
      </c>
      <c r="D38" t="s">
        <v>144</v>
      </c>
    </row>
  </sheetData>
  <phoneticPr fontId="26" type="noConversion"/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"/>
  <dimension ref="A1:X28"/>
  <sheetViews>
    <sheetView workbookViewId="0">
      <selection activeCell="A17" sqref="A17"/>
    </sheetView>
  </sheetViews>
  <sheetFormatPr defaultRowHeight="12.85" x14ac:dyDescent="0.35"/>
  <cols>
    <col min="2" max="24" width="4.73046875" customWidth="1"/>
  </cols>
  <sheetData>
    <row r="1" spans="1:24" x14ac:dyDescent="0.35">
      <c r="A1" t="s">
        <v>2009</v>
      </c>
    </row>
    <row r="2" spans="1:24" x14ac:dyDescent="0.35">
      <c r="A2" t="s">
        <v>1920</v>
      </c>
      <c r="B2">
        <v>20</v>
      </c>
    </row>
    <row r="3" spans="1:24" x14ac:dyDescent="0.35">
      <c r="A3" t="s">
        <v>2010</v>
      </c>
      <c r="B3">
        <v>10</v>
      </c>
    </row>
    <row r="4" spans="1:24" x14ac:dyDescent="0.35">
      <c r="A4" t="s">
        <v>2011</v>
      </c>
      <c r="B4">
        <v>10</v>
      </c>
      <c r="C4">
        <v>22</v>
      </c>
    </row>
    <row r="5" spans="1:24" x14ac:dyDescent="0.35">
      <c r="A5" t="s">
        <v>2012</v>
      </c>
      <c r="B5">
        <v>10</v>
      </c>
      <c r="C5">
        <v>18</v>
      </c>
      <c r="D5">
        <v>2</v>
      </c>
    </row>
    <row r="6" spans="1:24" x14ac:dyDescent="0.35">
      <c r="A6" t="s">
        <v>2013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876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877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878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144</v>
      </c>
    </row>
    <row r="12" spans="1:24" x14ac:dyDescent="0.35">
      <c r="A12">
        <v>10</v>
      </c>
      <c r="B12" t="s">
        <v>2010</v>
      </c>
      <c r="C12" t="s">
        <v>2011</v>
      </c>
      <c r="D12" t="s">
        <v>2012</v>
      </c>
      <c r="E12" t="s">
        <v>2013</v>
      </c>
      <c r="F12" t="s">
        <v>876</v>
      </c>
      <c r="G12" t="s">
        <v>878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6">
        <v>10</v>
      </c>
      <c r="C15" s="16">
        <v>11</v>
      </c>
      <c r="D15" s="16">
        <v>12</v>
      </c>
      <c r="E15" s="16">
        <v>13</v>
      </c>
      <c r="F15" s="16">
        <v>14</v>
      </c>
      <c r="G15" s="16">
        <v>15</v>
      </c>
      <c r="H15" s="16">
        <v>16</v>
      </c>
      <c r="I15" s="16">
        <v>17</v>
      </c>
      <c r="J15" s="16">
        <v>18</v>
      </c>
      <c r="K15" s="16">
        <v>19</v>
      </c>
      <c r="L15" s="16">
        <v>20</v>
      </c>
      <c r="M15" s="16">
        <v>21</v>
      </c>
      <c r="N15" s="16">
        <v>22</v>
      </c>
      <c r="O15" s="16">
        <v>23</v>
      </c>
      <c r="P15" s="16">
        <v>24</v>
      </c>
      <c r="Q15" s="16">
        <v>1</v>
      </c>
      <c r="R15" s="16">
        <v>2</v>
      </c>
      <c r="S15" s="16">
        <v>3</v>
      </c>
      <c r="T15" s="16">
        <v>4</v>
      </c>
      <c r="U15" s="16">
        <v>5</v>
      </c>
      <c r="V15" s="16">
        <v>6</v>
      </c>
      <c r="W15" s="16">
        <v>7</v>
      </c>
      <c r="X15" s="16">
        <v>8</v>
      </c>
    </row>
    <row r="16" spans="1:24" x14ac:dyDescent="0.35">
      <c r="A16" t="s">
        <v>1864</v>
      </c>
      <c r="B16" s="39"/>
      <c r="C16" s="39"/>
      <c r="D16" s="41" t="s">
        <v>879</v>
      </c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40"/>
      <c r="S16" s="40"/>
      <c r="T16" s="40"/>
      <c r="U16" s="40"/>
      <c r="V16" s="40"/>
      <c r="W16" s="40"/>
      <c r="X16" s="40"/>
    </row>
    <row r="17" spans="1:24" x14ac:dyDescent="0.35">
      <c r="A17" t="s">
        <v>1865</v>
      </c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41" t="s">
        <v>879</v>
      </c>
      <c r="M17" s="39"/>
      <c r="N17" s="41"/>
      <c r="O17" s="39"/>
      <c r="P17" s="39"/>
      <c r="Q17" s="39"/>
      <c r="R17" s="40"/>
      <c r="S17" s="40"/>
      <c r="T17" s="40"/>
      <c r="U17" s="40"/>
      <c r="V17" s="40"/>
      <c r="W17" s="40"/>
      <c r="X17" s="40"/>
    </row>
    <row r="18" spans="1:24" x14ac:dyDescent="0.35">
      <c r="A18" t="s">
        <v>2010</v>
      </c>
      <c r="B18" s="17" t="s">
        <v>879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</row>
    <row r="19" spans="1:24" x14ac:dyDescent="0.35">
      <c r="A19" t="s">
        <v>2011</v>
      </c>
      <c r="B19" s="17" t="s">
        <v>879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 t="s">
        <v>879</v>
      </c>
      <c r="O19" s="17"/>
      <c r="P19" s="17"/>
      <c r="Q19" s="17"/>
    </row>
    <row r="20" spans="1:24" x14ac:dyDescent="0.35">
      <c r="A20" t="s">
        <v>2012</v>
      </c>
      <c r="B20" s="17" t="s">
        <v>879</v>
      </c>
      <c r="C20" s="17"/>
      <c r="D20" s="17"/>
      <c r="E20" s="17"/>
      <c r="F20" s="17"/>
      <c r="G20" s="17"/>
      <c r="H20" s="17"/>
      <c r="I20" s="17"/>
      <c r="J20" s="17" t="s">
        <v>879</v>
      </c>
      <c r="K20" s="17"/>
      <c r="L20" s="17"/>
      <c r="M20" s="17"/>
      <c r="N20" s="17"/>
      <c r="O20" s="17"/>
      <c r="P20" s="17"/>
      <c r="Q20" s="17"/>
      <c r="R20" t="s">
        <v>879</v>
      </c>
    </row>
    <row r="21" spans="1:24" x14ac:dyDescent="0.35">
      <c r="A21" t="s">
        <v>2013</v>
      </c>
      <c r="B21" s="17"/>
      <c r="C21" s="17"/>
      <c r="D21" s="17" t="s">
        <v>879</v>
      </c>
      <c r="E21" s="17"/>
      <c r="F21" s="17"/>
      <c r="G21" s="17"/>
      <c r="H21" s="17"/>
      <c r="I21" s="17"/>
      <c r="J21" s="17" t="s">
        <v>879</v>
      </c>
      <c r="K21" s="17"/>
      <c r="L21" s="17"/>
      <c r="M21" s="17"/>
      <c r="N21" s="17"/>
      <c r="O21" s="17"/>
      <c r="P21" s="17" t="s">
        <v>879</v>
      </c>
      <c r="Q21" s="17"/>
      <c r="V21" t="s">
        <v>879</v>
      </c>
    </row>
    <row r="22" spans="1:24" x14ac:dyDescent="0.35">
      <c r="A22" t="s">
        <v>876</v>
      </c>
      <c r="B22" s="17" t="s">
        <v>879</v>
      </c>
      <c r="C22" s="17"/>
      <c r="D22" s="17"/>
      <c r="E22" s="17"/>
      <c r="F22" s="17" t="s">
        <v>879</v>
      </c>
      <c r="G22" s="17"/>
      <c r="H22" s="17"/>
      <c r="I22" s="17"/>
      <c r="J22" s="17" t="s">
        <v>879</v>
      </c>
      <c r="K22" s="17"/>
      <c r="L22" s="17"/>
      <c r="M22" s="17"/>
      <c r="N22" s="17" t="s">
        <v>879</v>
      </c>
      <c r="O22" s="17"/>
      <c r="P22" s="17"/>
      <c r="Q22" s="17"/>
      <c r="R22" t="s">
        <v>879</v>
      </c>
      <c r="V22" t="s">
        <v>879</v>
      </c>
    </row>
    <row r="23" spans="1:24" x14ac:dyDescent="0.35">
      <c r="A23" t="s">
        <v>877</v>
      </c>
      <c r="B23" s="17"/>
      <c r="C23" s="17" t="s">
        <v>879</v>
      </c>
      <c r="D23" s="17"/>
      <c r="E23" s="17"/>
      <c r="F23" s="17" t="s">
        <v>879</v>
      </c>
      <c r="G23" s="17"/>
      <c r="H23" s="17"/>
      <c r="I23" s="17" t="s">
        <v>879</v>
      </c>
      <c r="J23" s="17"/>
      <c r="K23" s="17"/>
      <c r="L23" s="17" t="s">
        <v>879</v>
      </c>
      <c r="M23" s="17"/>
      <c r="N23" s="17"/>
      <c r="O23" s="17" t="s">
        <v>879</v>
      </c>
      <c r="P23" s="17"/>
      <c r="Q23" s="17"/>
      <c r="R23" t="s">
        <v>879</v>
      </c>
      <c r="U23" t="s">
        <v>879</v>
      </c>
      <c r="X23" t="s">
        <v>879</v>
      </c>
    </row>
    <row r="24" spans="1:24" x14ac:dyDescent="0.35">
      <c r="A24" t="s">
        <v>878</v>
      </c>
      <c r="B24" s="17" t="s">
        <v>879</v>
      </c>
      <c r="C24" s="17"/>
      <c r="D24" s="17" t="s">
        <v>879</v>
      </c>
      <c r="E24" s="17"/>
      <c r="F24" s="17" t="s">
        <v>879</v>
      </c>
      <c r="G24" s="17"/>
      <c r="H24" s="17" t="s">
        <v>879</v>
      </c>
      <c r="I24" s="17"/>
      <c r="J24" s="17" t="s">
        <v>879</v>
      </c>
      <c r="K24" s="17"/>
      <c r="L24" s="17" t="s">
        <v>879</v>
      </c>
      <c r="M24" s="17"/>
      <c r="N24" s="17" t="s">
        <v>879</v>
      </c>
      <c r="O24" s="17"/>
      <c r="P24" s="17" t="s">
        <v>879</v>
      </c>
      <c r="Q24" s="17"/>
      <c r="R24" t="s">
        <v>879</v>
      </c>
      <c r="T24" t="s">
        <v>879</v>
      </c>
      <c r="V24" t="s">
        <v>879</v>
      </c>
      <c r="X24" t="s">
        <v>879</v>
      </c>
    </row>
    <row r="25" spans="1:24" x14ac:dyDescent="0.35">
      <c r="A25" t="s">
        <v>144</v>
      </c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1:24" x14ac:dyDescent="0.35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1:24" x14ac:dyDescent="0.35"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1:24" x14ac:dyDescent="0.35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</sheetData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Medicatie">
    <outlinePr showOutlineSymbols="0"/>
  </sheetPr>
  <dimension ref="B1:AG22"/>
  <sheetViews>
    <sheetView showGridLines="0" showRowColHeaders="0" showZeros="0" showOutlineSymbols="0" zoomScaleNormal="100" workbookViewId="0">
      <selection activeCell="C7" sqref="C7"/>
    </sheetView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8" customWidth="1"/>
    <col min="24" max="33" width="2.73046875" customWidth="1"/>
  </cols>
  <sheetData>
    <row r="1" spans="2:33" ht="19.55" customHeight="1" thickBot="1" x14ac:dyDescent="0.4">
      <c r="B1" t="str">
        <f>"Naam: "&amp;AchterNaam&amp;", "&amp;VoorNaam</f>
        <v>Naam: Achternaam, Voornaam</v>
      </c>
      <c r="D1" t="str">
        <f>"Geboortedatum: "</f>
        <v xml:space="preserve">Geboortedatum: </v>
      </c>
      <c r="F1" s="395">
        <f>GebDatum</f>
        <v>40909</v>
      </c>
      <c r="G1" s="395"/>
      <c r="I1" s="11" t="str">
        <f>"Gewicht: "&amp;ROUND(Gewicht/10,1)&amp;"kg"</f>
        <v>Gewicht: 10kg</v>
      </c>
      <c r="P1" s="11" t="s">
        <v>880</v>
      </c>
      <c r="R1" s="393"/>
      <c r="S1" s="393"/>
      <c r="T1" s="393"/>
      <c r="U1" s="393"/>
      <c r="V1" s="393"/>
      <c r="W1" s="393"/>
      <c r="Y1" t="s">
        <v>1441</v>
      </c>
      <c r="AB1" s="394">
        <f ca="1">TODAY()</f>
        <v>42191</v>
      </c>
      <c r="AC1" s="394"/>
      <c r="AD1" s="394"/>
      <c r="AE1" s="394"/>
      <c r="AF1" s="394"/>
    </row>
    <row r="2" spans="2:33" ht="26.1" customHeight="1" x14ac:dyDescent="0.35">
      <c r="B2" s="167" t="s">
        <v>2093</v>
      </c>
      <c r="C2" s="168" t="s">
        <v>1597</v>
      </c>
      <c r="D2" s="169" t="s">
        <v>1598</v>
      </c>
      <c r="E2" s="169"/>
      <c r="F2" s="169"/>
      <c r="G2" s="170" t="s">
        <v>1477</v>
      </c>
      <c r="H2" s="171">
        <v>10</v>
      </c>
      <c r="I2" s="171">
        <v>11</v>
      </c>
      <c r="J2" s="171">
        <v>12</v>
      </c>
      <c r="K2" s="171">
        <v>13</v>
      </c>
      <c r="L2" s="171">
        <v>14</v>
      </c>
      <c r="M2" s="171">
        <v>15</v>
      </c>
      <c r="N2" s="171">
        <v>16</v>
      </c>
      <c r="O2" s="171">
        <v>17</v>
      </c>
      <c r="P2" s="171">
        <v>18</v>
      </c>
      <c r="Q2" s="171">
        <v>19</v>
      </c>
      <c r="R2" s="172">
        <v>20</v>
      </c>
      <c r="S2" s="172">
        <v>21</v>
      </c>
      <c r="T2" s="172">
        <v>22</v>
      </c>
      <c r="U2" s="172">
        <v>23</v>
      </c>
      <c r="V2" s="172">
        <v>24</v>
      </c>
      <c r="W2" s="172">
        <v>1</v>
      </c>
      <c r="X2" s="171">
        <v>2</v>
      </c>
      <c r="Y2" s="171">
        <v>3</v>
      </c>
      <c r="Z2" s="171">
        <v>4</v>
      </c>
      <c r="AA2" s="171">
        <v>5</v>
      </c>
      <c r="AB2" s="171">
        <v>6</v>
      </c>
      <c r="AC2" s="171">
        <v>7</v>
      </c>
      <c r="AD2" s="171">
        <v>8</v>
      </c>
      <c r="AE2" s="173"/>
      <c r="AF2" s="173"/>
      <c r="AG2" s="173"/>
    </row>
    <row r="3" spans="2:33" ht="26.1" customHeight="1" x14ac:dyDescent="0.35">
      <c r="B3" s="175" t="str">
        <f>IF(C3&lt;&gt;" ",Med_disc!C6,"")</f>
        <v/>
      </c>
      <c r="C3" s="342" t="str">
        <f>IF(ber_Med_disc!C2&lt;&gt;"",IF(ber_Med_disc!C2&gt;1,TRIM(ber_Med_disc!C2)&amp;", "&amp;ber_Opm!C16&amp;" ("&amp;ber_Med_disc!L2&amp;" "&amp;ber_Med_disc!E2&amp;"/kg/dag)",TRIM(ber_Med_disc!C2)&amp;", "&amp;ber_Opm!C16),"")</f>
        <v/>
      </c>
      <c r="D3" s="343" t="str">
        <f>IF(Med_disc!H6&lt;&gt;"",Med_disc!H6,"")</f>
        <v/>
      </c>
      <c r="E3" s="344" t="str">
        <f>IF(AND(D3&lt;&gt;"",D3&lt;&gt;"STOP"),ber_Med_disc!G2&amp;" "&amp;ber_Med_disc!E2,"")</f>
        <v/>
      </c>
      <c r="F3" s="344" t="str">
        <f>IF(AND(D3&lt;&gt;"",D3&lt;&gt;"STOP"),ber_Med_disc!K2," ")</f>
        <v xml:space="preserve"> </v>
      </c>
      <c r="G3" s="344" t="str">
        <f>IF(Med_disc!L6&lt;&gt;"",Med_disc!L6&amp;" "&amp;Med_disc!M6&amp;" "&amp;INDEX(ber_Med_disc!$B$27:$B$30,ber_Med_disc!N2,1)&amp;" in "&amp;Med_disc!$O$6,"")</f>
        <v/>
      </c>
      <c r="H3" s="174" t="str">
        <f>IF(OR($D3="1 dd",$D3="2 dd",$D3="3 dd",$D3="4 dd",$D3="6 dd",$D3="8 dd",$D3="12 dd",$D3="an",$D3="1 X"),VLOOKUP($D3,ber_tijden!$A$16:$X$25,ber_tijden!B$14,FALSE),"")</f>
        <v/>
      </c>
      <c r="I3" s="17" t="str">
        <f>IF(OR($D3="1 dd",$D3="2 dd",$D3="3 dd",$D3="4 dd",$D3="6 dd",$D3="8 dd",$D3="12 dd",$D3="an",$D3="1 X"),VLOOKUP($D3,ber_tijden!$A$16:$X$25,ber_tijden!C$14,FALSE),"")</f>
        <v/>
      </c>
      <c r="J3" s="174" t="str">
        <f>IF(OR($D3="1 dd",$D3="2 dd",$D3="3 dd",$D3="4 dd",$D3="6 dd",$D3="8 dd",$D3="12 dd",$D3="an",$D3="1 X"),VLOOKUP($D3,ber_tijden!$A$16:$X$25,ber_tijden!D$14,FALSE),"")</f>
        <v/>
      </c>
      <c r="K3" s="17" t="str">
        <f>IF(OR($D3="1 dd",$D3="2 dd",$D3="3 dd",$D3="4 dd",$D3="6 dd",$D3="8 dd",$D3="12 dd",$D3="an",$D3="1 X"),VLOOKUP($D3,ber_tijden!$A$16:$X$25,ber_tijden!E$14,FALSE),"")</f>
        <v/>
      </c>
      <c r="L3" s="174" t="str">
        <f>IF(OR($D3="1 dd",$D3="2 dd",$D3="3 dd",$D3="4 dd",$D3="6 dd",$D3="8 dd",$D3="12 dd",$D3="an",$D3="1 X"),VLOOKUP($D3,ber_tijden!$A$16:$X$25,ber_tijden!F$14,FALSE),"")</f>
        <v/>
      </c>
      <c r="M3" s="17" t="str">
        <f>IF(OR($D3="1 dd",$D3="2 dd",$D3="3 dd",$D3="4 dd",$D3="6 dd",$D3="8 dd",$D3="12 dd",$D3="an",$D3="1 X"),VLOOKUP($D3,ber_tijden!$A$16:$X$25,ber_tijden!G$14,FALSE),"")</f>
        <v/>
      </c>
      <c r="N3" s="174" t="str">
        <f>IF(OR($D3="1 dd",$D3="2 dd",$D3="3 dd",$D3="4 dd",$D3="6 dd",$D3="8 dd",$D3="12 dd",$D3="an",$D3="1 X"),VLOOKUP($D3,ber_tijden!$A$16:$X$25,ber_tijden!H$14,FALSE),"")</f>
        <v/>
      </c>
      <c r="O3" s="17" t="str">
        <f>IF(OR($D3="1 dd",$D3="2 dd",$D3="3 dd",$D3="4 dd",$D3="6 dd",$D3="8 dd",$D3="12 dd",$D3="an",$D3="1 X"),VLOOKUP($D3,ber_tijden!$A$16:$X$25,ber_tijden!I$14,FALSE),"")</f>
        <v/>
      </c>
      <c r="P3" s="174" t="str">
        <f>IF(OR($D3="1 dd",$D3="2 dd",$D3="3 dd",$D3="4 dd",$D3="6 dd",$D3="8 dd",$D3="12 dd",$D3="an",$D3="1 X"),VLOOKUP($D3,ber_tijden!$A$16:$X$25,ber_tijden!J$14,FALSE),"")</f>
        <v/>
      </c>
      <c r="Q3" s="17" t="str">
        <f>IF(OR($D3="1 dd",$D3="2 dd",$D3="3 dd",$D3="4 dd",$D3="6 dd",$D3="8 dd",$D3="12 dd",$D3="an",$D3="1 X"),VLOOKUP($D3,ber_tijden!$A$16:$X$25,ber_tijden!K$14,FALSE),"")</f>
        <v/>
      </c>
      <c r="R3" s="174" t="str">
        <f>IF(OR($D3="1 dd",$D3="2 dd",$D3="3 dd",$D3="4 dd",$D3="6 dd",$D3="8 dd",$D3="12 dd",$D3="an",$D3="1 X"),VLOOKUP($D3,ber_tijden!$A$16:$X$25,ber_tijden!L$14,FALSE),"")</f>
        <v/>
      </c>
      <c r="S3" s="17" t="str">
        <f>IF(OR($D3="1 dd",$D3="2 dd",$D3="3 dd",$D3="4 dd",$D3="6 dd",$D3="8 dd",$D3="12 dd",$D3="an",$D3="1 X"),VLOOKUP($D3,ber_tijden!$A$16:$X$25,ber_tijden!M$14,FALSE),"")</f>
        <v/>
      </c>
      <c r="T3" s="174" t="str">
        <f>IF(OR($D3="1 dd",$D3="2 dd",$D3="3 dd",$D3="4 dd",$D3="6 dd",$D3="8 dd",$D3="12 dd",$D3="an",$D3="1 X"),VLOOKUP($D3,ber_tijden!$A$16:$X$25,ber_tijden!N$14,FALSE),"")</f>
        <v/>
      </c>
      <c r="U3" s="17" t="str">
        <f>IF(OR($D3="1 dd",$D3="2 dd",$D3="3 dd",$D3="4 dd",$D3="6 dd",$D3="8 dd",$D3="12 dd",$D3="an",$D3="1 X"),VLOOKUP($D3,ber_tijden!$A$16:$X$25,ber_tijden!O$14,FALSE),"")</f>
        <v/>
      </c>
      <c r="V3" s="174" t="str">
        <f>IF(OR($D3="1 dd",$D3="2 dd",$D3="3 dd",$D3="4 dd",$D3="6 dd",$D3="8 dd",$D3="12 dd",$D3="an",$D3="1 X"),VLOOKUP($D3,ber_tijden!$A$16:$X$25,ber_tijden!P$14,FALSE),"")</f>
        <v/>
      </c>
      <c r="W3" s="17" t="str">
        <f>IF(OR($D3="1 dd",$D3="2 dd",$D3="3 dd",$D3="4 dd",$D3="6 dd",$D3="8 dd",$D3="12 dd",$D3="an",$D3="1 X"),VLOOKUP($D3,ber_tijden!$A$16:$X$25,ber_tijden!Q$14,FALSE),"")</f>
        <v/>
      </c>
      <c r="X3" s="174" t="str">
        <f>IF(OR($D3="1 dd",$D3="2 dd",$D3="3 dd",$D3="4 dd",$D3="6 dd",$D3="8 dd",$D3="12 dd",$D3="an",$D3="1 X"),VLOOKUP($D3,ber_tijden!$A$16:$X$25,ber_tijden!R$14,FALSE),"")</f>
        <v/>
      </c>
      <c r="Y3" s="17" t="str">
        <f>IF(OR($D3="1 dd",$D3="2 dd",$D3="3 dd",$D3="4 dd",$D3="6 dd",$D3="8 dd",$D3="12 dd",$D3="an",$D3="1 X"),VLOOKUP($D3,ber_tijden!$A$16:$X$25,ber_tijden!S$14,FALSE),"")</f>
        <v/>
      </c>
      <c r="Z3" s="174" t="str">
        <f>IF(OR($D3="1 dd",$D3="2 dd",$D3="3 dd",$D3="4 dd",$D3="6 dd",$D3="8 dd",$D3="12 dd",$D3="an",$D3="1 X"),VLOOKUP($D3,ber_tijden!$A$16:$X$25,ber_tijden!T$14,FALSE),"")</f>
        <v/>
      </c>
      <c r="AA3" s="17" t="str">
        <f>IF(OR($D3="1 dd",$D3="2 dd",$D3="3 dd",$D3="4 dd",$D3="6 dd",$D3="8 dd",$D3="12 dd",$D3="an",$D3="1 X"),VLOOKUP($D3,ber_tijden!$A$16:$X$25,ber_tijden!U$14,FALSE),"")</f>
        <v/>
      </c>
      <c r="AB3" s="174" t="str">
        <f>IF(OR($D3="1 dd",$D3="2 dd",$D3="3 dd",$D3="4 dd",$D3="6 dd",$D3="8 dd",$D3="12 dd",$D3="an",$D3="1 X"),VLOOKUP($D3,ber_tijden!$A$16:$X$25,ber_tijden!V$14,FALSE),"")</f>
        <v/>
      </c>
      <c r="AC3" s="17" t="str">
        <f>IF(OR($D3="1 dd",$D3="2 dd",$D3="3 dd",$D3="4 dd",$D3="6 dd",$D3="8 dd",$D3="12 dd",$D3="an",$D3="1 X"),VLOOKUP($D3,ber_tijden!$A$16:$X$25,ber_tijden!W$14,FALSE),"")</f>
        <v/>
      </c>
      <c r="AD3" s="174" t="str">
        <f>IF(OR($D3="1 dd",$D3="2 dd",$D3="3 dd",$D3="4 dd",$D3="6 dd",$D3="8 dd",$D3="12 dd",$D3="an",$D3="1 X"),VLOOKUP($D3,ber_tijden!$A$16:$X$25,ber_tijden!X$14,FALSE),"")</f>
        <v/>
      </c>
      <c r="AE3" s="19"/>
      <c r="AF3" s="173"/>
      <c r="AG3" s="19"/>
    </row>
    <row r="4" spans="2:33" ht="26.1" customHeight="1" x14ac:dyDescent="0.35">
      <c r="B4" s="175" t="str">
        <f>IF(C4&lt;&gt;" ",Med_disc!C8,"")</f>
        <v/>
      </c>
      <c r="C4" s="342" t="str">
        <f>IF(ber_Med_disc!C3&lt;&gt;"",IF(ber_Med_disc!C3&gt;1,TRIM(ber_Med_disc!C3)&amp;", "&amp;ber_Opm!C17&amp;" ("&amp;ber_Med_disc!L3&amp;" "&amp;ber_Med_disc!E3&amp;"/kg/dag)",TRIM(ber_Med_disc!C3)&amp;", "&amp;ber_Opm!C17),"")</f>
        <v/>
      </c>
      <c r="D4" s="343" t="str">
        <f>IF(Med_disc!H8&lt;&gt;"",Med_disc!H8,"")</f>
        <v/>
      </c>
      <c r="E4" s="344" t="str">
        <f>IF(AND(D4&lt;&gt;"",D4&lt;&gt;"STOP"),ber_Med_disc!G3&amp;" "&amp;ber_Med_disc!E3,"")</f>
        <v/>
      </c>
      <c r="F4" s="344" t="str">
        <f>IF(AND(D4&lt;&gt;"",D4&lt;&gt;"STOP"),ber_Med_disc!K3," ")</f>
        <v xml:space="preserve"> </v>
      </c>
      <c r="G4" s="344" t="str">
        <f>IF(Med_disc!L8&lt;&gt;"",Med_disc!L8&amp;" "&amp;Med_disc!M8&amp;" "&amp;INDEX(ber_Med_disc!$B$27:$B$30,ber_Med_disc!N3,1)&amp;" in "&amp;Med_disc!$O$8,"")</f>
        <v/>
      </c>
      <c r="H4" s="174" t="str">
        <f>IF(OR($D4="1 dd",$D4="2 dd",$D4="3 dd",$D4="4 dd",$D4="6 dd",$D4="8 dd",$D4="12 dd",$D4="an",$D4="1 X"),VLOOKUP($D4,ber_tijden!$A$16:$X$25,ber_tijden!B$14,FALSE),"")</f>
        <v/>
      </c>
      <c r="I4" s="17" t="str">
        <f>IF(OR($D4="1 dd",$D4="2 dd",$D4="3 dd",$D4="4 dd",$D4="6 dd",$D4="8 dd",$D4="12 dd",$D4="an",$D4="1 X"),VLOOKUP($D4,ber_tijden!$A$16:$X$25,ber_tijden!C$14,FALSE),"")</f>
        <v/>
      </c>
      <c r="J4" s="174" t="str">
        <f>IF(OR($D4="1 dd",$D4="2 dd",$D4="3 dd",$D4="4 dd",$D4="6 dd",$D4="8 dd",$D4="12 dd",$D4="an",$D4="1 X"),VLOOKUP($D4,ber_tijden!$A$16:$X$25,ber_tijden!D$14,FALSE),"")</f>
        <v/>
      </c>
      <c r="K4" s="17" t="str">
        <f>IF(OR($D4="1 dd",$D4="2 dd",$D4="3 dd",$D4="4 dd",$D4="6 dd",$D4="8 dd",$D4="12 dd",$D4="an",$D4="1 X"),VLOOKUP($D4,ber_tijden!$A$16:$X$25,ber_tijden!E$14,FALSE),"")</f>
        <v/>
      </c>
      <c r="L4" s="174" t="str">
        <f>IF(OR($D4="1 dd",$D4="2 dd",$D4="3 dd",$D4="4 dd",$D4="6 dd",$D4="8 dd",$D4="12 dd",$D4="an",$D4="1 X"),VLOOKUP($D4,ber_tijden!$A$16:$X$25,ber_tijden!F$14,FALSE),"")</f>
        <v/>
      </c>
      <c r="M4" s="17" t="str">
        <f>IF(OR($D4="1 dd",$D4="2 dd",$D4="3 dd",$D4="4 dd",$D4="6 dd",$D4="8 dd",$D4="12 dd",$D4="an",$D4="1 X"),VLOOKUP($D4,ber_tijden!$A$16:$X$25,ber_tijden!G$14,FALSE),"")</f>
        <v/>
      </c>
      <c r="N4" s="174" t="str">
        <f>IF(OR($D4="1 dd",$D4="2 dd",$D4="3 dd",$D4="4 dd",$D4="6 dd",$D4="8 dd",$D4="12 dd",$D4="an",$D4="1 X"),VLOOKUP($D4,ber_tijden!$A$16:$X$25,ber_tijden!H$14,FALSE),"")</f>
        <v/>
      </c>
      <c r="O4" s="17" t="str">
        <f>IF(OR($D4="1 dd",$D4="2 dd",$D4="3 dd",$D4="4 dd",$D4="6 dd",$D4="8 dd",$D4="12 dd",$D4="an",$D4="1 X"),VLOOKUP($D4,ber_tijden!$A$16:$X$25,ber_tijden!I$14,FALSE),"")</f>
        <v/>
      </c>
      <c r="P4" s="174" t="str">
        <f>IF(OR($D4="1 dd",$D4="2 dd",$D4="3 dd",$D4="4 dd",$D4="6 dd",$D4="8 dd",$D4="12 dd",$D4="an",$D4="1 X"),VLOOKUP($D4,ber_tijden!$A$16:$X$25,ber_tijden!J$14,FALSE),"")</f>
        <v/>
      </c>
      <c r="Q4" s="17" t="str">
        <f>IF(OR($D4="1 dd",$D4="2 dd",$D4="3 dd",$D4="4 dd",$D4="6 dd",$D4="8 dd",$D4="12 dd",$D4="an",$D4="1 X"),VLOOKUP($D4,ber_tijden!$A$16:$X$25,ber_tijden!K$14,FALSE),"")</f>
        <v/>
      </c>
      <c r="R4" s="174" t="str">
        <f>IF(OR($D4="1 dd",$D4="2 dd",$D4="3 dd",$D4="4 dd",$D4="6 dd",$D4="8 dd",$D4="12 dd",$D4="an",$D4="1 X"),VLOOKUP($D4,ber_tijden!$A$16:$X$25,ber_tijden!L$14,FALSE),"")</f>
        <v/>
      </c>
      <c r="S4" s="17" t="str">
        <f>IF(OR($D4="1 dd",$D4="2 dd",$D4="3 dd",$D4="4 dd",$D4="6 dd",$D4="8 dd",$D4="12 dd",$D4="an",$D4="1 X"),VLOOKUP($D4,ber_tijden!$A$16:$X$25,ber_tijden!M$14,FALSE),"")</f>
        <v/>
      </c>
      <c r="T4" s="174" t="str">
        <f>IF(OR($D4="1 dd",$D4="2 dd",$D4="3 dd",$D4="4 dd",$D4="6 dd",$D4="8 dd",$D4="12 dd",$D4="an",$D4="1 X"),VLOOKUP($D4,ber_tijden!$A$16:$X$25,ber_tijden!N$14,FALSE),"")</f>
        <v/>
      </c>
      <c r="U4" s="17" t="str">
        <f>IF(OR($D4="1 dd",$D4="2 dd",$D4="3 dd",$D4="4 dd",$D4="6 dd",$D4="8 dd",$D4="12 dd",$D4="an",$D4="1 X"),VLOOKUP($D4,ber_tijden!$A$16:$X$25,ber_tijden!O$14,FALSE),"")</f>
        <v/>
      </c>
      <c r="V4" s="174" t="str">
        <f>IF(OR($D4="1 dd",$D4="2 dd",$D4="3 dd",$D4="4 dd",$D4="6 dd",$D4="8 dd",$D4="12 dd",$D4="an",$D4="1 X"),VLOOKUP($D4,ber_tijden!$A$16:$X$25,ber_tijden!P$14,FALSE),"")</f>
        <v/>
      </c>
      <c r="W4" s="17" t="str">
        <f>IF(OR($D4="1 dd",$D4="2 dd",$D4="3 dd",$D4="4 dd",$D4="6 dd",$D4="8 dd",$D4="12 dd",$D4="an",$D4="1 X"),VLOOKUP($D4,ber_tijden!$A$16:$X$25,ber_tijden!Q$14,FALSE),"")</f>
        <v/>
      </c>
      <c r="X4" s="174" t="str">
        <f>IF(OR($D4="1 dd",$D4="2 dd",$D4="3 dd",$D4="4 dd",$D4="6 dd",$D4="8 dd",$D4="12 dd",$D4="an",$D4="1 X"),VLOOKUP($D4,ber_tijden!$A$16:$X$25,ber_tijden!R$14,FALSE),"")</f>
        <v/>
      </c>
      <c r="Y4" s="17" t="str">
        <f>IF(OR($D4="1 dd",$D4="2 dd",$D4="3 dd",$D4="4 dd",$D4="6 dd",$D4="8 dd",$D4="12 dd",$D4="an",$D4="1 X"),VLOOKUP($D4,ber_tijden!$A$16:$X$25,ber_tijden!S$14,FALSE),"")</f>
        <v/>
      </c>
      <c r="Z4" s="174" t="str">
        <f>IF(OR($D4="1 dd",$D4="2 dd",$D4="3 dd",$D4="4 dd",$D4="6 dd",$D4="8 dd",$D4="12 dd",$D4="an",$D4="1 X"),VLOOKUP($D4,ber_tijden!$A$16:$X$25,ber_tijden!T$14,FALSE),"")</f>
        <v/>
      </c>
      <c r="AA4" s="17" t="str">
        <f>IF(OR($D4="1 dd",$D4="2 dd",$D4="3 dd",$D4="4 dd",$D4="6 dd",$D4="8 dd",$D4="12 dd",$D4="an",$D4="1 X"),VLOOKUP($D4,ber_tijden!$A$16:$X$25,ber_tijden!U$14,FALSE),"")</f>
        <v/>
      </c>
      <c r="AB4" s="174" t="str">
        <f>IF(OR($D4="1 dd",$D4="2 dd",$D4="3 dd",$D4="4 dd",$D4="6 dd",$D4="8 dd",$D4="12 dd",$D4="an",$D4="1 X"),VLOOKUP($D4,ber_tijden!$A$16:$X$25,ber_tijden!V$14,FALSE),"")</f>
        <v/>
      </c>
      <c r="AC4" s="17" t="str">
        <f>IF(OR($D4="1 dd",$D4="2 dd",$D4="3 dd",$D4="4 dd",$D4="6 dd",$D4="8 dd",$D4="12 dd",$D4="an",$D4="1 X"),VLOOKUP($D4,ber_tijden!$A$16:$X$25,ber_tijden!W$14,FALSE),"")</f>
        <v/>
      </c>
      <c r="AD4" s="174" t="str">
        <f>IF(OR($D4="1 dd",$D4="2 dd",$D4="3 dd",$D4="4 dd",$D4="6 dd",$D4="8 dd",$D4="12 dd",$D4="an",$D4="1 X"),VLOOKUP($D4,ber_tijden!$A$16:$X$25,ber_tijden!X$14,FALSE),"")</f>
        <v/>
      </c>
      <c r="AE4" s="19"/>
      <c r="AF4" s="173"/>
      <c r="AG4" s="19"/>
    </row>
    <row r="5" spans="2:33" ht="26.1" customHeight="1" x14ac:dyDescent="0.35">
      <c r="B5" s="175" t="str">
        <f>IF(C5&lt;&gt;" ",Med_disc!C10,"")</f>
        <v/>
      </c>
      <c r="C5" s="342" t="str">
        <f>IF(ber_Med_disc!C4&lt;&gt;"",IF(ber_Med_disc!C4&gt;1,TRIM(ber_Med_disc!C4)&amp;", "&amp;ber_Opm!C18&amp;" ("&amp;ber_Med_disc!L4&amp;" "&amp;ber_Med_disc!E4&amp;"/kg/dag)",TRIM(ber_Med_disc!C4)&amp;", "&amp;ber_Opm!C18),"")</f>
        <v/>
      </c>
      <c r="D5" s="343" t="str">
        <f>IF(Med_disc!H10&lt;&gt;"",Med_disc!H10,"")</f>
        <v/>
      </c>
      <c r="E5" s="344" t="str">
        <f>IF(AND(D5&lt;&gt;"",D5&lt;&gt;"STOP"),ber_Med_disc!G4&amp;" "&amp;ber_Med_disc!E4,"")</f>
        <v/>
      </c>
      <c r="F5" s="344" t="str">
        <f>IF(AND(D5&lt;&gt;"",D5&lt;&gt;"STOP"),ber_Med_disc!K4," ")</f>
        <v xml:space="preserve"> </v>
      </c>
      <c r="G5" s="344" t="str">
        <f>IF(Med_disc!L10&lt;&gt;"",Med_disc!L10&amp;" "&amp;Med_disc!M10&amp;" "&amp;INDEX(ber_Med_disc!$B$27:$B$30,ber_Med_disc!N4,1)&amp;" in "&amp;Med_disc!$O$10,"")</f>
        <v/>
      </c>
      <c r="H5" s="174" t="str">
        <f>IF(OR($D5="1 dd",$D5="2 dd",$D5="3 dd",$D5="4 dd",$D5="6 dd",$D5="8 dd",$D5="12 dd",$D5="an",$D5="1 X"),VLOOKUP($D5,ber_tijden!$A$16:$X$25,ber_tijden!B$14,FALSE),"")</f>
        <v/>
      </c>
      <c r="I5" s="17" t="str">
        <f>IF(OR($D5="1 dd",$D5="2 dd",$D5="3 dd",$D5="4 dd",$D5="6 dd",$D5="8 dd",$D5="12 dd",$D5="an",$D5="1 X"),VLOOKUP($D5,ber_tijden!$A$16:$X$25,ber_tijden!C$14,FALSE),"")</f>
        <v/>
      </c>
      <c r="J5" s="174" t="str">
        <f>IF(OR($D5="1 dd",$D5="2 dd",$D5="3 dd",$D5="4 dd",$D5="6 dd",$D5="8 dd",$D5="12 dd",$D5="an",$D5="1 X"),VLOOKUP($D5,ber_tijden!$A$16:$X$25,ber_tijden!D$14,FALSE),"")</f>
        <v/>
      </c>
      <c r="K5" s="17" t="str">
        <f>IF(OR($D5="1 dd",$D5="2 dd",$D5="3 dd",$D5="4 dd",$D5="6 dd",$D5="8 dd",$D5="12 dd",$D5="an",$D5="1 X"),VLOOKUP($D5,ber_tijden!$A$16:$X$25,ber_tijden!E$14,FALSE),"")</f>
        <v/>
      </c>
      <c r="L5" s="174" t="str">
        <f>IF(OR($D5="1 dd",$D5="2 dd",$D5="3 dd",$D5="4 dd",$D5="6 dd",$D5="8 dd",$D5="12 dd",$D5="an",$D5="1 X"),VLOOKUP($D5,ber_tijden!$A$16:$X$25,ber_tijden!F$14,FALSE),"")</f>
        <v/>
      </c>
      <c r="M5" s="17" t="str">
        <f>IF(OR($D5="1 dd",$D5="2 dd",$D5="3 dd",$D5="4 dd",$D5="6 dd",$D5="8 dd",$D5="12 dd",$D5="an",$D5="1 X"),VLOOKUP($D5,ber_tijden!$A$16:$X$25,ber_tijden!G$14,FALSE),"")</f>
        <v/>
      </c>
      <c r="N5" s="174" t="str">
        <f>IF(OR($D5="1 dd",$D5="2 dd",$D5="3 dd",$D5="4 dd",$D5="6 dd",$D5="8 dd",$D5="12 dd",$D5="an",$D5="1 X"),VLOOKUP($D5,ber_tijden!$A$16:$X$25,ber_tijden!H$14,FALSE),"")</f>
        <v/>
      </c>
      <c r="O5" s="17" t="str">
        <f>IF(OR($D5="1 dd",$D5="2 dd",$D5="3 dd",$D5="4 dd",$D5="6 dd",$D5="8 dd",$D5="12 dd",$D5="an",$D5="1 X"),VLOOKUP($D5,ber_tijden!$A$16:$X$25,ber_tijden!I$14,FALSE),"")</f>
        <v/>
      </c>
      <c r="P5" s="174" t="str">
        <f>IF(OR($D5="1 dd",$D5="2 dd",$D5="3 dd",$D5="4 dd",$D5="6 dd",$D5="8 dd",$D5="12 dd",$D5="an",$D5="1 X"),VLOOKUP($D5,ber_tijden!$A$16:$X$25,ber_tijden!J$14,FALSE),"")</f>
        <v/>
      </c>
      <c r="Q5" s="17" t="str">
        <f>IF(OR($D5="1 dd",$D5="2 dd",$D5="3 dd",$D5="4 dd",$D5="6 dd",$D5="8 dd",$D5="12 dd",$D5="an",$D5="1 X"),VLOOKUP($D5,ber_tijden!$A$16:$X$25,ber_tijden!K$14,FALSE),"")</f>
        <v/>
      </c>
      <c r="R5" s="174" t="str">
        <f>IF(OR($D5="1 dd",$D5="2 dd",$D5="3 dd",$D5="4 dd",$D5="6 dd",$D5="8 dd",$D5="12 dd",$D5="an",$D5="1 X"),VLOOKUP($D5,ber_tijden!$A$16:$X$25,ber_tijden!L$14,FALSE),"")</f>
        <v/>
      </c>
      <c r="S5" s="17" t="str">
        <f>IF(OR($D5="1 dd",$D5="2 dd",$D5="3 dd",$D5="4 dd",$D5="6 dd",$D5="8 dd",$D5="12 dd",$D5="an",$D5="1 X"),VLOOKUP($D5,ber_tijden!$A$16:$X$25,ber_tijden!M$14,FALSE),"")</f>
        <v/>
      </c>
      <c r="T5" s="174" t="str">
        <f>IF(OR($D5="1 dd",$D5="2 dd",$D5="3 dd",$D5="4 dd",$D5="6 dd",$D5="8 dd",$D5="12 dd",$D5="an",$D5="1 X"),VLOOKUP($D5,ber_tijden!$A$16:$X$25,ber_tijden!N$14,FALSE),"")</f>
        <v/>
      </c>
      <c r="U5" s="17" t="str">
        <f>IF(OR($D5="1 dd",$D5="2 dd",$D5="3 dd",$D5="4 dd",$D5="6 dd",$D5="8 dd",$D5="12 dd",$D5="an",$D5="1 X"),VLOOKUP($D5,ber_tijden!$A$16:$X$25,ber_tijden!O$14,FALSE),"")</f>
        <v/>
      </c>
      <c r="V5" s="174" t="str">
        <f>IF(OR($D5="1 dd",$D5="2 dd",$D5="3 dd",$D5="4 dd",$D5="6 dd",$D5="8 dd",$D5="12 dd",$D5="an",$D5="1 X"),VLOOKUP($D5,ber_tijden!$A$16:$X$25,ber_tijden!P$14,FALSE),"")</f>
        <v/>
      </c>
      <c r="W5" s="17" t="str">
        <f>IF(OR($D5="1 dd",$D5="2 dd",$D5="3 dd",$D5="4 dd",$D5="6 dd",$D5="8 dd",$D5="12 dd",$D5="an",$D5="1 X"),VLOOKUP($D5,ber_tijden!$A$16:$X$25,ber_tijden!Q$14,FALSE),"")</f>
        <v/>
      </c>
      <c r="X5" s="174" t="str">
        <f>IF(OR($D5="1 dd",$D5="2 dd",$D5="3 dd",$D5="4 dd",$D5="6 dd",$D5="8 dd",$D5="12 dd",$D5="an",$D5="1 X"),VLOOKUP($D5,ber_tijden!$A$16:$X$25,ber_tijden!R$14,FALSE),"")</f>
        <v/>
      </c>
      <c r="Y5" s="17" t="str">
        <f>IF(OR($D5="1 dd",$D5="2 dd",$D5="3 dd",$D5="4 dd",$D5="6 dd",$D5="8 dd",$D5="12 dd",$D5="an",$D5="1 X"),VLOOKUP($D5,ber_tijden!$A$16:$X$25,ber_tijden!S$14,FALSE),"")</f>
        <v/>
      </c>
      <c r="Z5" s="174" t="str">
        <f>IF(OR($D5="1 dd",$D5="2 dd",$D5="3 dd",$D5="4 dd",$D5="6 dd",$D5="8 dd",$D5="12 dd",$D5="an",$D5="1 X"),VLOOKUP($D5,ber_tijden!$A$16:$X$25,ber_tijden!T$14,FALSE),"")</f>
        <v/>
      </c>
      <c r="AA5" s="17" t="str">
        <f>IF(OR($D5="1 dd",$D5="2 dd",$D5="3 dd",$D5="4 dd",$D5="6 dd",$D5="8 dd",$D5="12 dd",$D5="an",$D5="1 X"),VLOOKUP($D5,ber_tijden!$A$16:$X$25,ber_tijden!U$14,FALSE),"")</f>
        <v/>
      </c>
      <c r="AB5" s="174" t="str">
        <f>IF(OR($D5="1 dd",$D5="2 dd",$D5="3 dd",$D5="4 dd",$D5="6 dd",$D5="8 dd",$D5="12 dd",$D5="an",$D5="1 X"),VLOOKUP($D5,ber_tijden!$A$16:$X$25,ber_tijden!V$14,FALSE),"")</f>
        <v/>
      </c>
      <c r="AC5" s="17" t="str">
        <f>IF(OR($D5="1 dd",$D5="2 dd",$D5="3 dd",$D5="4 dd",$D5="6 dd",$D5="8 dd",$D5="12 dd",$D5="an",$D5="1 X"),VLOOKUP($D5,ber_tijden!$A$16:$X$25,ber_tijden!W$14,FALSE),"")</f>
        <v/>
      </c>
      <c r="AD5" s="174" t="str">
        <f>IF(OR($D5="1 dd",$D5="2 dd",$D5="3 dd",$D5="4 dd",$D5="6 dd",$D5="8 dd",$D5="12 dd",$D5="an",$D5="1 X"),VLOOKUP($D5,ber_tijden!$A$16:$X$25,ber_tijden!X$14,FALSE),"")</f>
        <v/>
      </c>
      <c r="AE5" s="19"/>
      <c r="AF5" s="173"/>
      <c r="AG5" s="19"/>
    </row>
    <row r="6" spans="2:33" ht="26.1" customHeight="1" x14ac:dyDescent="0.35">
      <c r="B6" s="175" t="str">
        <f>IF(C6&lt;&gt;" ",Med_disc!C12,"")</f>
        <v/>
      </c>
      <c r="C6" s="342" t="str">
        <f>IF(ber_Med_disc!C5&lt;&gt;"",IF(ber_Med_disc!C5&gt;1,TRIM(ber_Med_disc!C5)&amp;", "&amp;ber_Opm!C19&amp;" ("&amp;ber_Med_disc!L5&amp;" "&amp;ber_Med_disc!E5&amp;"/kg/dag)",TRIM(ber_Med_disc!C5)&amp;", "&amp;ber_Opm!C19),"")</f>
        <v/>
      </c>
      <c r="D6" s="343" t="str">
        <f>IF(Med_disc!H12&lt;&gt;"",Med_disc!H12,"")</f>
        <v/>
      </c>
      <c r="E6" s="344" t="str">
        <f>IF(AND(D6&lt;&gt;"",D6&lt;&gt;"STOP"),ber_Med_disc!G5&amp;" "&amp;ber_Med_disc!E5,"")</f>
        <v/>
      </c>
      <c r="F6" s="344" t="str">
        <f>IF(AND(D6&lt;&gt;"",D6&lt;&gt;"STOP"),ber_Med_disc!K5," ")</f>
        <v xml:space="preserve"> </v>
      </c>
      <c r="G6" s="344" t="str">
        <f>IF(Med_disc!L12&lt;&gt;"",Med_disc!L12&amp;" "&amp;Med_disc!M12&amp;" "&amp;INDEX(ber_Med_disc!$B$27:$B$30,ber_Med_disc!N5,1)&amp;" in "&amp;Med_disc!$O$12,"")</f>
        <v/>
      </c>
      <c r="H6" s="174" t="str">
        <f>IF(OR($D6="1 dd",$D6="2 dd",$D6="3 dd",$D6="4 dd",$D6="6 dd",$D6="8 dd",$D6="12 dd",$D6="an",$D6="1 X"),VLOOKUP($D6,ber_tijden!$A$16:$X$25,ber_tijden!B$14,FALSE),"")</f>
        <v/>
      </c>
      <c r="I6" s="17" t="str">
        <f>IF(OR($D6="1 dd",$D6="2 dd",$D6="3 dd",$D6="4 dd",$D6="6 dd",$D6="8 dd",$D6="12 dd",$D6="an",$D6="1 X"),VLOOKUP($D6,ber_tijden!$A$16:$X$25,ber_tijden!C$14,FALSE),"")</f>
        <v/>
      </c>
      <c r="J6" s="174" t="str">
        <f>IF(OR($D6="1 dd",$D6="2 dd",$D6="3 dd",$D6="4 dd",$D6="6 dd",$D6="8 dd",$D6="12 dd",$D6="an",$D6="1 X"),VLOOKUP($D6,ber_tijden!$A$16:$X$25,ber_tijden!D$14,FALSE),"")</f>
        <v/>
      </c>
      <c r="K6" s="17" t="str">
        <f>IF(OR($D6="1 dd",$D6="2 dd",$D6="3 dd",$D6="4 dd",$D6="6 dd",$D6="8 dd",$D6="12 dd",$D6="an",$D6="1 X"),VLOOKUP($D6,ber_tijden!$A$16:$X$25,ber_tijden!E$14,FALSE),"")</f>
        <v/>
      </c>
      <c r="L6" s="174" t="str">
        <f>IF(OR($D6="1 dd",$D6="2 dd",$D6="3 dd",$D6="4 dd",$D6="6 dd",$D6="8 dd",$D6="12 dd",$D6="an",$D6="1 X"),VLOOKUP($D6,ber_tijden!$A$16:$X$25,ber_tijden!F$14,FALSE),"")</f>
        <v/>
      </c>
      <c r="M6" s="17" t="str">
        <f>IF(OR($D6="1 dd",$D6="2 dd",$D6="3 dd",$D6="4 dd",$D6="6 dd",$D6="8 dd",$D6="12 dd",$D6="an",$D6="1 X"),VLOOKUP($D6,ber_tijden!$A$16:$X$25,ber_tijden!G$14,FALSE),"")</f>
        <v/>
      </c>
      <c r="N6" s="174" t="str">
        <f>IF(OR($D6="1 dd",$D6="2 dd",$D6="3 dd",$D6="4 dd",$D6="6 dd",$D6="8 dd",$D6="12 dd",$D6="an",$D6="1 X"),VLOOKUP($D6,ber_tijden!$A$16:$X$25,ber_tijden!H$14,FALSE),"")</f>
        <v/>
      </c>
      <c r="O6" s="17" t="str">
        <f>IF(OR($D6="1 dd",$D6="2 dd",$D6="3 dd",$D6="4 dd",$D6="6 dd",$D6="8 dd",$D6="12 dd",$D6="an",$D6="1 X"),VLOOKUP($D6,ber_tijden!$A$16:$X$25,ber_tijden!I$14,FALSE),"")</f>
        <v/>
      </c>
      <c r="P6" s="174" t="str">
        <f>IF(OR($D6="1 dd",$D6="2 dd",$D6="3 dd",$D6="4 dd",$D6="6 dd",$D6="8 dd",$D6="12 dd",$D6="an",$D6="1 X"),VLOOKUP($D6,ber_tijden!$A$16:$X$25,ber_tijden!J$14,FALSE),"")</f>
        <v/>
      </c>
      <c r="Q6" s="17" t="str">
        <f>IF(OR($D6="1 dd",$D6="2 dd",$D6="3 dd",$D6="4 dd",$D6="6 dd",$D6="8 dd",$D6="12 dd",$D6="an",$D6="1 X"),VLOOKUP($D6,ber_tijden!$A$16:$X$25,ber_tijden!K$14,FALSE),"")</f>
        <v/>
      </c>
      <c r="R6" s="174" t="str">
        <f>IF(OR($D6="1 dd",$D6="2 dd",$D6="3 dd",$D6="4 dd",$D6="6 dd",$D6="8 dd",$D6="12 dd",$D6="an",$D6="1 X"),VLOOKUP($D6,ber_tijden!$A$16:$X$25,ber_tijden!L$14,FALSE),"")</f>
        <v/>
      </c>
      <c r="S6" s="17" t="str">
        <f>IF(OR($D6="1 dd",$D6="2 dd",$D6="3 dd",$D6="4 dd",$D6="6 dd",$D6="8 dd",$D6="12 dd",$D6="an",$D6="1 X"),VLOOKUP($D6,ber_tijden!$A$16:$X$25,ber_tijden!M$14,FALSE),"")</f>
        <v/>
      </c>
      <c r="T6" s="174" t="str">
        <f>IF(OR($D6="1 dd",$D6="2 dd",$D6="3 dd",$D6="4 dd",$D6="6 dd",$D6="8 dd",$D6="12 dd",$D6="an",$D6="1 X"),VLOOKUP($D6,ber_tijden!$A$16:$X$25,ber_tijden!N$14,FALSE),"")</f>
        <v/>
      </c>
      <c r="U6" s="17" t="str">
        <f>IF(OR($D6="1 dd",$D6="2 dd",$D6="3 dd",$D6="4 dd",$D6="6 dd",$D6="8 dd",$D6="12 dd",$D6="an",$D6="1 X"),VLOOKUP($D6,ber_tijden!$A$16:$X$25,ber_tijden!O$14,FALSE),"")</f>
        <v/>
      </c>
      <c r="V6" s="174" t="str">
        <f>IF(OR($D6="1 dd",$D6="2 dd",$D6="3 dd",$D6="4 dd",$D6="6 dd",$D6="8 dd",$D6="12 dd",$D6="an",$D6="1 X"),VLOOKUP($D6,ber_tijden!$A$16:$X$25,ber_tijden!P$14,FALSE),"")</f>
        <v/>
      </c>
      <c r="W6" s="17" t="str">
        <f>IF(OR($D6="1 dd",$D6="2 dd",$D6="3 dd",$D6="4 dd",$D6="6 dd",$D6="8 dd",$D6="12 dd",$D6="an",$D6="1 X"),VLOOKUP($D6,ber_tijden!$A$16:$X$25,ber_tijden!Q$14,FALSE),"")</f>
        <v/>
      </c>
      <c r="X6" s="174" t="str">
        <f>IF(OR($D6="1 dd",$D6="2 dd",$D6="3 dd",$D6="4 dd",$D6="6 dd",$D6="8 dd",$D6="12 dd",$D6="an",$D6="1 X"),VLOOKUP($D6,ber_tijden!$A$16:$X$25,ber_tijden!R$14,FALSE),"")</f>
        <v/>
      </c>
      <c r="Y6" s="17" t="str">
        <f>IF(OR($D6="1 dd",$D6="2 dd",$D6="3 dd",$D6="4 dd",$D6="6 dd",$D6="8 dd",$D6="12 dd",$D6="an",$D6="1 X"),VLOOKUP($D6,ber_tijden!$A$16:$X$25,ber_tijden!S$14,FALSE),"")</f>
        <v/>
      </c>
      <c r="Z6" s="174" t="str">
        <f>IF(OR($D6="1 dd",$D6="2 dd",$D6="3 dd",$D6="4 dd",$D6="6 dd",$D6="8 dd",$D6="12 dd",$D6="an",$D6="1 X"),VLOOKUP($D6,ber_tijden!$A$16:$X$25,ber_tijden!T$14,FALSE),"")</f>
        <v/>
      </c>
      <c r="AA6" s="17" t="str">
        <f>IF(OR($D6="1 dd",$D6="2 dd",$D6="3 dd",$D6="4 dd",$D6="6 dd",$D6="8 dd",$D6="12 dd",$D6="an",$D6="1 X"),VLOOKUP($D6,ber_tijden!$A$16:$X$25,ber_tijden!U$14,FALSE),"")</f>
        <v/>
      </c>
      <c r="AB6" s="174" t="str">
        <f>IF(OR($D6="1 dd",$D6="2 dd",$D6="3 dd",$D6="4 dd",$D6="6 dd",$D6="8 dd",$D6="12 dd",$D6="an",$D6="1 X"),VLOOKUP($D6,ber_tijden!$A$16:$X$25,ber_tijden!V$14,FALSE),"")</f>
        <v/>
      </c>
      <c r="AC6" s="17" t="str">
        <f>IF(OR($D6="1 dd",$D6="2 dd",$D6="3 dd",$D6="4 dd",$D6="6 dd",$D6="8 dd",$D6="12 dd",$D6="an",$D6="1 X"),VLOOKUP($D6,ber_tijden!$A$16:$X$25,ber_tijden!W$14,FALSE),"")</f>
        <v/>
      </c>
      <c r="AD6" s="174" t="str">
        <f>IF(OR($D6="1 dd",$D6="2 dd",$D6="3 dd",$D6="4 dd",$D6="6 dd",$D6="8 dd",$D6="12 dd",$D6="an",$D6="1 X"),VLOOKUP($D6,ber_tijden!$A$16:$X$25,ber_tijden!X$14,FALSE),"")</f>
        <v/>
      </c>
      <c r="AE6" s="19"/>
      <c r="AF6" s="173"/>
      <c r="AG6" s="19"/>
    </row>
    <row r="7" spans="2:33" ht="26.1" customHeight="1" x14ac:dyDescent="0.35">
      <c r="B7" s="175" t="str">
        <f>IF(C7&lt;&gt;" ",Med_disc!C14,"")</f>
        <v/>
      </c>
      <c r="C7" s="342" t="str">
        <f>IF(ber_Med_disc!C6&lt;&gt;"",IF(ber_Med_disc!C6&gt;1,TRIM(ber_Med_disc!C6)&amp;", "&amp;ber_Opm!C20&amp;" ("&amp;ber_Med_disc!L6&amp;" "&amp;ber_Med_disc!E6&amp;"/kg/dag)",TRIM(ber_Med_disc!C6)&amp;", "&amp;ber_Opm!C20),"")</f>
        <v/>
      </c>
      <c r="D7" s="343" t="str">
        <f>IF(Med_disc!H14&lt;&gt;"",Med_disc!H14,"")</f>
        <v/>
      </c>
      <c r="E7" s="344" t="str">
        <f>IF(AND(D7&lt;&gt;"",D7&lt;&gt;"STOP"),ber_Med_disc!G6&amp;" "&amp;ber_Med_disc!E6,"")</f>
        <v/>
      </c>
      <c r="F7" s="344" t="str">
        <f>IF(AND(D7&lt;&gt;"",D7&lt;&gt;"STOP"),ber_Med_disc!K6," ")</f>
        <v xml:space="preserve"> </v>
      </c>
      <c r="G7" s="344" t="str">
        <f>IF(Med_disc!L14&lt;&gt;"",Med_disc!L14&amp;" "&amp;Med_disc!M14&amp;" "&amp;INDEX(ber_Med_disc!$B$27:$B$30,ber_Med_disc!N6,1)&amp;" in "&amp;Med_disc!$O$14,"")</f>
        <v/>
      </c>
      <c r="H7" s="174" t="str">
        <f>IF(OR($D7="1 dd",$D7="2 dd",$D7="3 dd",$D7="4 dd",$D7="6 dd",$D7="8 dd",$D7="12 dd",$D7="an",$D7="1 X"),VLOOKUP($D7,ber_tijden!$A$16:$X$25,ber_tijden!B$14,FALSE),"")</f>
        <v/>
      </c>
      <c r="I7" s="17" t="str">
        <f>IF(OR($D7="1 dd",$D7="2 dd",$D7="3 dd",$D7="4 dd",$D7="6 dd",$D7="8 dd",$D7="12 dd",$D7="an",$D7="1 X"),VLOOKUP($D7,ber_tijden!$A$16:$X$25,ber_tijden!C$14,FALSE),"")</f>
        <v/>
      </c>
      <c r="J7" s="174" t="str">
        <f>IF(OR($D7="1 dd",$D7="2 dd",$D7="3 dd",$D7="4 dd",$D7="6 dd",$D7="8 dd",$D7="12 dd",$D7="an",$D7="1 X"),VLOOKUP($D7,ber_tijden!$A$16:$X$25,ber_tijden!D$14,FALSE),"")</f>
        <v/>
      </c>
      <c r="K7" s="17" t="str">
        <f>IF(OR($D7="1 dd",$D7="2 dd",$D7="3 dd",$D7="4 dd",$D7="6 dd",$D7="8 dd",$D7="12 dd",$D7="an",$D7="1 X"),VLOOKUP($D7,ber_tijden!$A$16:$X$25,ber_tijden!E$14,FALSE),"")</f>
        <v/>
      </c>
      <c r="L7" s="174" t="str">
        <f>IF(OR($D7="1 dd",$D7="2 dd",$D7="3 dd",$D7="4 dd",$D7="6 dd",$D7="8 dd",$D7="12 dd",$D7="an",$D7="1 X"),VLOOKUP($D7,ber_tijden!$A$16:$X$25,ber_tijden!F$14,FALSE),"")</f>
        <v/>
      </c>
      <c r="M7" s="17" t="str">
        <f>IF(OR($D7="1 dd",$D7="2 dd",$D7="3 dd",$D7="4 dd",$D7="6 dd",$D7="8 dd",$D7="12 dd",$D7="an",$D7="1 X"),VLOOKUP($D7,ber_tijden!$A$16:$X$25,ber_tijden!G$14,FALSE),"")</f>
        <v/>
      </c>
      <c r="N7" s="174" t="str">
        <f>IF(OR($D7="1 dd",$D7="2 dd",$D7="3 dd",$D7="4 dd",$D7="6 dd",$D7="8 dd",$D7="12 dd",$D7="an",$D7="1 X"),VLOOKUP($D7,ber_tijden!$A$16:$X$25,ber_tijden!H$14,FALSE),"")</f>
        <v/>
      </c>
      <c r="O7" s="17" t="str">
        <f>IF(OR($D7="1 dd",$D7="2 dd",$D7="3 dd",$D7="4 dd",$D7="6 dd",$D7="8 dd",$D7="12 dd",$D7="an",$D7="1 X"),VLOOKUP($D7,ber_tijden!$A$16:$X$25,ber_tijden!I$14,FALSE),"")</f>
        <v/>
      </c>
      <c r="P7" s="174" t="str">
        <f>IF(OR($D7="1 dd",$D7="2 dd",$D7="3 dd",$D7="4 dd",$D7="6 dd",$D7="8 dd",$D7="12 dd",$D7="an",$D7="1 X"),VLOOKUP($D7,ber_tijden!$A$16:$X$25,ber_tijden!J$14,FALSE),"")</f>
        <v/>
      </c>
      <c r="Q7" s="17" t="str">
        <f>IF(OR($D7="1 dd",$D7="2 dd",$D7="3 dd",$D7="4 dd",$D7="6 dd",$D7="8 dd",$D7="12 dd",$D7="an",$D7="1 X"),VLOOKUP($D7,ber_tijden!$A$16:$X$25,ber_tijden!K$14,FALSE),"")</f>
        <v/>
      </c>
      <c r="R7" s="174" t="str">
        <f>IF(OR($D7="1 dd",$D7="2 dd",$D7="3 dd",$D7="4 dd",$D7="6 dd",$D7="8 dd",$D7="12 dd",$D7="an",$D7="1 X"),VLOOKUP($D7,ber_tijden!$A$16:$X$25,ber_tijden!L$14,FALSE),"")</f>
        <v/>
      </c>
      <c r="S7" s="17" t="str">
        <f>IF(OR($D7="1 dd",$D7="2 dd",$D7="3 dd",$D7="4 dd",$D7="6 dd",$D7="8 dd",$D7="12 dd",$D7="an",$D7="1 X"),VLOOKUP($D7,ber_tijden!$A$16:$X$25,ber_tijden!M$14,FALSE),"")</f>
        <v/>
      </c>
      <c r="T7" s="174" t="str">
        <f>IF(OR($D7="1 dd",$D7="2 dd",$D7="3 dd",$D7="4 dd",$D7="6 dd",$D7="8 dd",$D7="12 dd",$D7="an",$D7="1 X"),VLOOKUP($D7,ber_tijden!$A$16:$X$25,ber_tijden!N$14,FALSE),"")</f>
        <v/>
      </c>
      <c r="U7" s="17" t="str">
        <f>IF(OR($D7="1 dd",$D7="2 dd",$D7="3 dd",$D7="4 dd",$D7="6 dd",$D7="8 dd",$D7="12 dd",$D7="an",$D7="1 X"),VLOOKUP($D7,ber_tijden!$A$16:$X$25,ber_tijden!O$14,FALSE),"")</f>
        <v/>
      </c>
      <c r="V7" s="174" t="str">
        <f>IF(OR($D7="1 dd",$D7="2 dd",$D7="3 dd",$D7="4 dd",$D7="6 dd",$D7="8 dd",$D7="12 dd",$D7="an",$D7="1 X"),VLOOKUP($D7,ber_tijden!$A$16:$X$25,ber_tijden!P$14,FALSE),"")</f>
        <v/>
      </c>
      <c r="W7" s="17" t="str">
        <f>IF(OR($D7="1 dd",$D7="2 dd",$D7="3 dd",$D7="4 dd",$D7="6 dd",$D7="8 dd",$D7="12 dd",$D7="an",$D7="1 X"),VLOOKUP($D7,ber_tijden!$A$16:$X$25,ber_tijden!Q$14,FALSE),"")</f>
        <v/>
      </c>
      <c r="X7" s="174" t="str">
        <f>IF(OR($D7="1 dd",$D7="2 dd",$D7="3 dd",$D7="4 dd",$D7="6 dd",$D7="8 dd",$D7="12 dd",$D7="an",$D7="1 X"),VLOOKUP($D7,ber_tijden!$A$16:$X$25,ber_tijden!R$14,FALSE),"")</f>
        <v/>
      </c>
      <c r="Y7" s="17" t="str">
        <f>IF(OR($D7="1 dd",$D7="2 dd",$D7="3 dd",$D7="4 dd",$D7="6 dd",$D7="8 dd",$D7="12 dd",$D7="an",$D7="1 X"),VLOOKUP($D7,ber_tijden!$A$16:$X$25,ber_tijden!S$14,FALSE),"")</f>
        <v/>
      </c>
      <c r="Z7" s="174" t="str">
        <f>IF(OR($D7="1 dd",$D7="2 dd",$D7="3 dd",$D7="4 dd",$D7="6 dd",$D7="8 dd",$D7="12 dd",$D7="an",$D7="1 X"),VLOOKUP($D7,ber_tijden!$A$16:$X$25,ber_tijden!T$14,FALSE),"")</f>
        <v/>
      </c>
      <c r="AA7" s="17" t="str">
        <f>IF(OR($D7="1 dd",$D7="2 dd",$D7="3 dd",$D7="4 dd",$D7="6 dd",$D7="8 dd",$D7="12 dd",$D7="an",$D7="1 X"),VLOOKUP($D7,ber_tijden!$A$16:$X$25,ber_tijden!U$14,FALSE),"")</f>
        <v/>
      </c>
      <c r="AB7" s="174" t="str">
        <f>IF(OR($D7="1 dd",$D7="2 dd",$D7="3 dd",$D7="4 dd",$D7="6 dd",$D7="8 dd",$D7="12 dd",$D7="an",$D7="1 X"),VLOOKUP($D7,ber_tijden!$A$16:$X$25,ber_tijden!V$14,FALSE),"")</f>
        <v/>
      </c>
      <c r="AC7" s="17" t="str">
        <f>IF(OR($D7="1 dd",$D7="2 dd",$D7="3 dd",$D7="4 dd",$D7="6 dd",$D7="8 dd",$D7="12 dd",$D7="an",$D7="1 X"),VLOOKUP($D7,ber_tijden!$A$16:$X$25,ber_tijden!W$14,FALSE),"")</f>
        <v/>
      </c>
      <c r="AD7" s="174" t="str">
        <f>IF(OR($D7="1 dd",$D7="2 dd",$D7="3 dd",$D7="4 dd",$D7="6 dd",$D7="8 dd",$D7="12 dd",$D7="an",$D7="1 X"),VLOOKUP($D7,ber_tijden!$A$16:$X$25,ber_tijden!X$14,FALSE),"")</f>
        <v/>
      </c>
      <c r="AE7" s="19"/>
      <c r="AF7" s="173"/>
      <c r="AG7" s="19"/>
    </row>
    <row r="8" spans="2:33" ht="26.1" customHeight="1" x14ac:dyDescent="0.35">
      <c r="B8" s="175" t="str">
        <f>IF(C8&lt;&gt;" ",Med_disc!C16,"")</f>
        <v/>
      </c>
      <c r="C8" s="342" t="str">
        <f>IF(ber_Med_disc!C7&lt;&gt;"",IF(ber_Med_disc!C7&gt;1,TRIM(ber_Med_disc!C7)&amp;", "&amp;ber_Opm!C21&amp;" ("&amp;ber_Med_disc!L7&amp;" "&amp;ber_Med_disc!E7&amp;"/kg/dag)",TRIM(ber_Med_disc!C7)&amp;", "&amp;ber_Opm!C21),"")</f>
        <v/>
      </c>
      <c r="D8" s="343" t="str">
        <f>IF(Med_disc!H16&lt;&gt;"",Med_disc!H16,"")</f>
        <v/>
      </c>
      <c r="E8" s="344" t="str">
        <f>IF(AND(D8&lt;&gt;"",D8&lt;&gt;"STOP"),ber_Med_disc!G7&amp;" "&amp;ber_Med_disc!E7,"")</f>
        <v/>
      </c>
      <c r="F8" s="344" t="str">
        <f>IF(AND(D8&lt;&gt;"",D8&lt;&gt;"STOP"),ber_Med_disc!K7," ")</f>
        <v xml:space="preserve"> </v>
      </c>
      <c r="G8" s="344" t="str">
        <f>IF(Med_disc!L16&lt;&gt;"",Med_disc!L16&amp;" "&amp;Med_disc!M16&amp;" "&amp;INDEX(ber_Med_disc!$B$27:$B$30,ber_Med_disc!N7,1)&amp;" in "&amp;Med_disc!$O$16,"")</f>
        <v/>
      </c>
      <c r="H8" s="174" t="str">
        <f>IF(OR($D8="1 dd",$D8="2 dd",$D8="3 dd",$D8="4 dd",$D8="6 dd",$D8="8 dd",$D8="12 dd",$D8="an",$D8="1 X"),VLOOKUP($D8,ber_tijden!$A$16:$X$25,ber_tijden!B$14,FALSE),"")</f>
        <v/>
      </c>
      <c r="I8" s="17" t="str">
        <f>IF(OR($D8="1 dd",$D8="2 dd",$D8="3 dd",$D8="4 dd",$D8="6 dd",$D8="8 dd",$D8="12 dd",$D8="an",$D8="1 X"),VLOOKUP($D8,ber_tijden!$A$16:$X$25,ber_tijden!C$14,FALSE),"")</f>
        <v/>
      </c>
      <c r="J8" s="174" t="str">
        <f>IF(OR($D8="1 dd",$D8="2 dd",$D8="3 dd",$D8="4 dd",$D8="6 dd",$D8="8 dd",$D8="12 dd",$D8="an",$D8="1 X"),VLOOKUP($D8,ber_tijden!$A$16:$X$25,ber_tijden!D$14,FALSE),"")</f>
        <v/>
      </c>
      <c r="K8" s="17" t="str">
        <f>IF(OR($D8="1 dd",$D8="2 dd",$D8="3 dd",$D8="4 dd",$D8="6 dd",$D8="8 dd",$D8="12 dd",$D8="an",$D8="1 X"),VLOOKUP($D8,ber_tijden!$A$16:$X$25,ber_tijden!E$14,FALSE),"")</f>
        <v/>
      </c>
      <c r="L8" s="174" t="str">
        <f>IF(OR($D8="1 dd",$D8="2 dd",$D8="3 dd",$D8="4 dd",$D8="6 dd",$D8="8 dd",$D8="12 dd",$D8="an",$D8="1 X"),VLOOKUP($D8,ber_tijden!$A$16:$X$25,ber_tijden!F$14,FALSE),"")</f>
        <v/>
      </c>
      <c r="M8" s="17" t="str">
        <f>IF(OR($D8="1 dd",$D8="2 dd",$D8="3 dd",$D8="4 dd",$D8="6 dd",$D8="8 dd",$D8="12 dd",$D8="an",$D8="1 X"),VLOOKUP($D8,ber_tijden!$A$16:$X$25,ber_tijden!G$14,FALSE),"")</f>
        <v/>
      </c>
      <c r="N8" s="174" t="str">
        <f>IF(OR($D8="1 dd",$D8="2 dd",$D8="3 dd",$D8="4 dd",$D8="6 dd",$D8="8 dd",$D8="12 dd",$D8="an",$D8="1 X"),VLOOKUP($D8,ber_tijden!$A$16:$X$25,ber_tijden!H$14,FALSE),"")</f>
        <v/>
      </c>
      <c r="O8" s="17" t="str">
        <f>IF(OR($D8="1 dd",$D8="2 dd",$D8="3 dd",$D8="4 dd",$D8="6 dd",$D8="8 dd",$D8="12 dd",$D8="an",$D8="1 X"),VLOOKUP($D8,ber_tijden!$A$16:$X$25,ber_tijden!I$14,FALSE),"")</f>
        <v/>
      </c>
      <c r="P8" s="174" t="str">
        <f>IF(OR($D8="1 dd",$D8="2 dd",$D8="3 dd",$D8="4 dd",$D8="6 dd",$D8="8 dd",$D8="12 dd",$D8="an",$D8="1 X"),VLOOKUP($D8,ber_tijden!$A$16:$X$25,ber_tijden!J$14,FALSE),"")</f>
        <v/>
      </c>
      <c r="Q8" s="17" t="str">
        <f>IF(OR($D8="1 dd",$D8="2 dd",$D8="3 dd",$D8="4 dd",$D8="6 dd",$D8="8 dd",$D8="12 dd",$D8="an",$D8="1 X"),VLOOKUP($D8,ber_tijden!$A$16:$X$25,ber_tijden!K$14,FALSE),"")</f>
        <v/>
      </c>
      <c r="R8" s="174" t="str">
        <f>IF(OR($D8="1 dd",$D8="2 dd",$D8="3 dd",$D8="4 dd",$D8="6 dd",$D8="8 dd",$D8="12 dd",$D8="an",$D8="1 X"),VLOOKUP($D8,ber_tijden!$A$16:$X$25,ber_tijden!L$14,FALSE),"")</f>
        <v/>
      </c>
      <c r="S8" s="17" t="str">
        <f>IF(OR($D8="1 dd",$D8="2 dd",$D8="3 dd",$D8="4 dd",$D8="6 dd",$D8="8 dd",$D8="12 dd",$D8="an",$D8="1 X"),VLOOKUP($D8,ber_tijden!$A$16:$X$25,ber_tijden!M$14,FALSE),"")</f>
        <v/>
      </c>
      <c r="T8" s="174" t="str">
        <f>IF(OR($D8="1 dd",$D8="2 dd",$D8="3 dd",$D8="4 dd",$D8="6 dd",$D8="8 dd",$D8="12 dd",$D8="an",$D8="1 X"),VLOOKUP($D8,ber_tijden!$A$16:$X$25,ber_tijden!N$14,FALSE),"")</f>
        <v/>
      </c>
      <c r="U8" s="17" t="str">
        <f>IF(OR($D8="1 dd",$D8="2 dd",$D8="3 dd",$D8="4 dd",$D8="6 dd",$D8="8 dd",$D8="12 dd",$D8="an",$D8="1 X"),VLOOKUP($D8,ber_tijden!$A$16:$X$25,ber_tijden!O$14,FALSE),"")</f>
        <v/>
      </c>
      <c r="V8" s="174" t="str">
        <f>IF(OR($D8="1 dd",$D8="2 dd",$D8="3 dd",$D8="4 dd",$D8="6 dd",$D8="8 dd",$D8="12 dd",$D8="an",$D8="1 X"),VLOOKUP($D8,ber_tijden!$A$16:$X$25,ber_tijden!P$14,FALSE),"")</f>
        <v/>
      </c>
      <c r="W8" s="17" t="str">
        <f>IF(OR($D8="1 dd",$D8="2 dd",$D8="3 dd",$D8="4 dd",$D8="6 dd",$D8="8 dd",$D8="12 dd",$D8="an",$D8="1 X"),VLOOKUP($D8,ber_tijden!$A$16:$X$25,ber_tijden!Q$14,FALSE),"")</f>
        <v/>
      </c>
      <c r="X8" s="174" t="str">
        <f>IF(OR($D8="1 dd",$D8="2 dd",$D8="3 dd",$D8="4 dd",$D8="6 dd",$D8="8 dd",$D8="12 dd",$D8="an",$D8="1 X"),VLOOKUP($D8,ber_tijden!$A$16:$X$25,ber_tijden!R$14,FALSE),"")</f>
        <v/>
      </c>
      <c r="Y8" s="17" t="str">
        <f>IF(OR($D8="1 dd",$D8="2 dd",$D8="3 dd",$D8="4 dd",$D8="6 dd",$D8="8 dd",$D8="12 dd",$D8="an",$D8="1 X"),VLOOKUP($D8,ber_tijden!$A$16:$X$25,ber_tijden!S$14,FALSE),"")</f>
        <v/>
      </c>
      <c r="Z8" s="174" t="str">
        <f>IF(OR($D8="1 dd",$D8="2 dd",$D8="3 dd",$D8="4 dd",$D8="6 dd",$D8="8 dd",$D8="12 dd",$D8="an",$D8="1 X"),VLOOKUP($D8,ber_tijden!$A$16:$X$25,ber_tijden!T$14,FALSE),"")</f>
        <v/>
      </c>
      <c r="AA8" s="17" t="str">
        <f>IF(OR($D8="1 dd",$D8="2 dd",$D8="3 dd",$D8="4 dd",$D8="6 dd",$D8="8 dd",$D8="12 dd",$D8="an",$D8="1 X"),VLOOKUP($D8,ber_tijden!$A$16:$X$25,ber_tijden!U$14,FALSE),"")</f>
        <v/>
      </c>
      <c r="AB8" s="174" t="str">
        <f>IF(OR($D8="1 dd",$D8="2 dd",$D8="3 dd",$D8="4 dd",$D8="6 dd",$D8="8 dd",$D8="12 dd",$D8="an",$D8="1 X"),VLOOKUP($D8,ber_tijden!$A$16:$X$25,ber_tijden!V$14,FALSE),"")</f>
        <v/>
      </c>
      <c r="AC8" s="17" t="str">
        <f>IF(OR($D8="1 dd",$D8="2 dd",$D8="3 dd",$D8="4 dd",$D8="6 dd",$D8="8 dd",$D8="12 dd",$D8="an",$D8="1 X"),VLOOKUP($D8,ber_tijden!$A$16:$X$25,ber_tijden!W$14,FALSE),"")</f>
        <v/>
      </c>
      <c r="AD8" s="174" t="str">
        <f>IF(OR($D8="1 dd",$D8="2 dd",$D8="3 dd",$D8="4 dd",$D8="6 dd",$D8="8 dd",$D8="12 dd",$D8="an",$D8="1 X"),VLOOKUP($D8,ber_tijden!$A$16:$X$25,ber_tijden!X$14,FALSE),"")</f>
        <v/>
      </c>
      <c r="AE8" s="19"/>
      <c r="AF8" s="173"/>
      <c r="AG8" s="19"/>
    </row>
    <row r="9" spans="2:33" ht="26.1" customHeight="1" x14ac:dyDescent="0.35">
      <c r="B9" s="175" t="str">
        <f>IF(C9&lt;&gt;" ",Med_disc!C18,"")</f>
        <v/>
      </c>
      <c r="C9" s="342" t="str">
        <f>IF(ber_Med_disc!C8&lt;&gt;"",IF(ber_Med_disc!C8&gt;1,TRIM(ber_Med_disc!C8)&amp;", "&amp;ber_Opm!C22&amp;" ("&amp;ber_Med_disc!L8&amp;" "&amp;ber_Med_disc!E8&amp;"/kg/dag)",TRIM(ber_Med_disc!C8)&amp;", "&amp;ber_Opm!C22),"")</f>
        <v/>
      </c>
      <c r="D9" s="343" t="str">
        <f>IF(Med_disc!H18&lt;&gt;"",Med_disc!H18,"")</f>
        <v/>
      </c>
      <c r="E9" s="344" t="str">
        <f>IF(AND(D9&lt;&gt;"",D9&lt;&gt;"STOP"),ber_Med_disc!G8&amp;" "&amp;ber_Med_disc!E8,"")</f>
        <v/>
      </c>
      <c r="F9" s="344" t="str">
        <f>IF(AND(D9&lt;&gt;"",D9&lt;&gt;"STOP"),ber_Med_disc!K8," ")</f>
        <v xml:space="preserve"> </v>
      </c>
      <c r="G9" s="344" t="str">
        <f>IF(Med_disc!L18&lt;&gt;"",Med_disc!L18&amp;" "&amp;Med_disc!M18&amp;" "&amp;INDEX(ber_Med_disc!$B$27:$B$30,ber_Med_disc!N8,1)&amp;" in "&amp;Med_disc!$O$18,"")</f>
        <v/>
      </c>
      <c r="H9" s="174" t="str">
        <f>IF(OR($D9="1 dd",$D9="2 dd",$D9="3 dd",$D9="4 dd",$D9="6 dd",$D9="8 dd",$D9="12 dd",$D9="an",$D9="1 X"),VLOOKUP($D9,ber_tijden!$A$16:$X$25,ber_tijden!B$14,FALSE),"")</f>
        <v/>
      </c>
      <c r="I9" s="17" t="str">
        <f>IF(OR($D9="1 dd",$D9="2 dd",$D9="3 dd",$D9="4 dd",$D9="6 dd",$D9="8 dd",$D9="12 dd",$D9="an",$D9="1 X"),VLOOKUP($D9,ber_tijden!$A$16:$X$25,ber_tijden!C$14,FALSE),"")</f>
        <v/>
      </c>
      <c r="J9" s="174" t="str">
        <f>IF(OR($D9="1 dd",$D9="2 dd",$D9="3 dd",$D9="4 dd",$D9="6 dd",$D9="8 dd",$D9="12 dd",$D9="an",$D9="1 X"),VLOOKUP($D9,ber_tijden!$A$16:$X$25,ber_tijden!D$14,FALSE),"")</f>
        <v/>
      </c>
      <c r="K9" s="17" t="str">
        <f>IF(OR($D9="1 dd",$D9="2 dd",$D9="3 dd",$D9="4 dd",$D9="6 dd",$D9="8 dd",$D9="12 dd",$D9="an",$D9="1 X"),VLOOKUP($D9,ber_tijden!$A$16:$X$25,ber_tijden!E$14,FALSE),"")</f>
        <v/>
      </c>
      <c r="L9" s="174" t="str">
        <f>IF(OR($D9="1 dd",$D9="2 dd",$D9="3 dd",$D9="4 dd",$D9="6 dd",$D9="8 dd",$D9="12 dd",$D9="an",$D9="1 X"),VLOOKUP($D9,ber_tijden!$A$16:$X$25,ber_tijden!F$14,FALSE),"")</f>
        <v/>
      </c>
      <c r="M9" s="17" t="str">
        <f>IF(OR($D9="1 dd",$D9="2 dd",$D9="3 dd",$D9="4 dd",$D9="6 dd",$D9="8 dd",$D9="12 dd",$D9="an",$D9="1 X"),VLOOKUP($D9,ber_tijden!$A$16:$X$25,ber_tijden!G$14,FALSE),"")</f>
        <v/>
      </c>
      <c r="N9" s="174" t="str">
        <f>IF(OR($D9="1 dd",$D9="2 dd",$D9="3 dd",$D9="4 dd",$D9="6 dd",$D9="8 dd",$D9="12 dd",$D9="an",$D9="1 X"),VLOOKUP($D9,ber_tijden!$A$16:$X$25,ber_tijden!H$14,FALSE),"")</f>
        <v/>
      </c>
      <c r="O9" s="17" t="str">
        <f>IF(OR($D9="1 dd",$D9="2 dd",$D9="3 dd",$D9="4 dd",$D9="6 dd",$D9="8 dd",$D9="12 dd",$D9="an",$D9="1 X"),VLOOKUP($D9,ber_tijden!$A$16:$X$25,ber_tijden!I$14,FALSE),"")</f>
        <v/>
      </c>
      <c r="P9" s="174" t="str">
        <f>IF(OR($D9="1 dd",$D9="2 dd",$D9="3 dd",$D9="4 dd",$D9="6 dd",$D9="8 dd",$D9="12 dd",$D9="an",$D9="1 X"),VLOOKUP($D9,ber_tijden!$A$16:$X$25,ber_tijden!J$14,FALSE),"")</f>
        <v/>
      </c>
      <c r="Q9" s="17" t="str">
        <f>IF(OR($D9="1 dd",$D9="2 dd",$D9="3 dd",$D9="4 dd",$D9="6 dd",$D9="8 dd",$D9="12 dd",$D9="an",$D9="1 X"),VLOOKUP($D9,ber_tijden!$A$16:$X$25,ber_tijden!K$14,FALSE),"")</f>
        <v/>
      </c>
      <c r="R9" s="174" t="str">
        <f>IF(OR($D9="1 dd",$D9="2 dd",$D9="3 dd",$D9="4 dd",$D9="6 dd",$D9="8 dd",$D9="12 dd",$D9="an",$D9="1 X"),VLOOKUP($D9,ber_tijden!$A$16:$X$25,ber_tijden!L$14,FALSE),"")</f>
        <v/>
      </c>
      <c r="S9" s="17" t="str">
        <f>IF(OR($D9="1 dd",$D9="2 dd",$D9="3 dd",$D9="4 dd",$D9="6 dd",$D9="8 dd",$D9="12 dd",$D9="an",$D9="1 X"),VLOOKUP($D9,ber_tijden!$A$16:$X$25,ber_tijden!M$14,FALSE),"")</f>
        <v/>
      </c>
      <c r="T9" s="174" t="str">
        <f>IF(OR($D9="1 dd",$D9="2 dd",$D9="3 dd",$D9="4 dd",$D9="6 dd",$D9="8 dd",$D9="12 dd",$D9="an",$D9="1 X"),VLOOKUP($D9,ber_tijden!$A$16:$X$25,ber_tijden!N$14,FALSE),"")</f>
        <v/>
      </c>
      <c r="U9" s="17" t="str">
        <f>IF(OR($D9="1 dd",$D9="2 dd",$D9="3 dd",$D9="4 dd",$D9="6 dd",$D9="8 dd",$D9="12 dd",$D9="an",$D9="1 X"),VLOOKUP($D9,ber_tijden!$A$16:$X$25,ber_tijden!O$14,FALSE),"")</f>
        <v/>
      </c>
      <c r="V9" s="174" t="str">
        <f>IF(OR($D9="1 dd",$D9="2 dd",$D9="3 dd",$D9="4 dd",$D9="6 dd",$D9="8 dd",$D9="12 dd",$D9="an",$D9="1 X"),VLOOKUP($D9,ber_tijden!$A$16:$X$25,ber_tijden!P$14,FALSE),"")</f>
        <v/>
      </c>
      <c r="W9" s="17" t="str">
        <f>IF(OR($D9="1 dd",$D9="2 dd",$D9="3 dd",$D9="4 dd",$D9="6 dd",$D9="8 dd",$D9="12 dd",$D9="an",$D9="1 X"),VLOOKUP($D9,ber_tijden!$A$16:$X$25,ber_tijden!Q$14,FALSE),"")</f>
        <v/>
      </c>
      <c r="X9" s="174" t="str">
        <f>IF(OR($D9="1 dd",$D9="2 dd",$D9="3 dd",$D9="4 dd",$D9="6 dd",$D9="8 dd",$D9="12 dd",$D9="an",$D9="1 X"),VLOOKUP($D9,ber_tijden!$A$16:$X$25,ber_tijden!R$14,FALSE),"")</f>
        <v/>
      </c>
      <c r="Y9" s="17" t="str">
        <f>IF(OR($D9="1 dd",$D9="2 dd",$D9="3 dd",$D9="4 dd",$D9="6 dd",$D9="8 dd",$D9="12 dd",$D9="an",$D9="1 X"),VLOOKUP($D9,ber_tijden!$A$16:$X$25,ber_tijden!S$14,FALSE),"")</f>
        <v/>
      </c>
      <c r="Z9" s="174" t="str">
        <f>IF(OR($D9="1 dd",$D9="2 dd",$D9="3 dd",$D9="4 dd",$D9="6 dd",$D9="8 dd",$D9="12 dd",$D9="an",$D9="1 X"),VLOOKUP($D9,ber_tijden!$A$16:$X$25,ber_tijden!T$14,FALSE),"")</f>
        <v/>
      </c>
      <c r="AA9" s="17" t="str">
        <f>IF(OR($D9="1 dd",$D9="2 dd",$D9="3 dd",$D9="4 dd",$D9="6 dd",$D9="8 dd",$D9="12 dd",$D9="an",$D9="1 X"),VLOOKUP($D9,ber_tijden!$A$16:$X$25,ber_tijden!U$14,FALSE),"")</f>
        <v/>
      </c>
      <c r="AB9" s="174" t="str">
        <f>IF(OR($D9="1 dd",$D9="2 dd",$D9="3 dd",$D9="4 dd",$D9="6 dd",$D9="8 dd",$D9="12 dd",$D9="an",$D9="1 X"),VLOOKUP($D9,ber_tijden!$A$16:$X$25,ber_tijden!V$14,FALSE),"")</f>
        <v/>
      </c>
      <c r="AC9" s="17" t="str">
        <f>IF(OR($D9="1 dd",$D9="2 dd",$D9="3 dd",$D9="4 dd",$D9="6 dd",$D9="8 dd",$D9="12 dd",$D9="an",$D9="1 X"),VLOOKUP($D9,ber_tijden!$A$16:$X$25,ber_tijden!W$14,FALSE),"")</f>
        <v/>
      </c>
      <c r="AD9" s="174" t="str">
        <f>IF(OR($D9="1 dd",$D9="2 dd",$D9="3 dd",$D9="4 dd",$D9="6 dd",$D9="8 dd",$D9="12 dd",$D9="an",$D9="1 X"),VLOOKUP($D9,ber_tijden!$A$16:$X$25,ber_tijden!X$14,FALSE),"")</f>
        <v/>
      </c>
      <c r="AE9" s="19"/>
      <c r="AF9" s="173"/>
      <c r="AG9" s="19"/>
    </row>
    <row r="10" spans="2:33" ht="26.1" customHeight="1" x14ac:dyDescent="0.35">
      <c r="B10" s="175" t="str">
        <f>IF(C10&lt;&gt;" ",Med_disc!C20,"")</f>
        <v/>
      </c>
      <c r="C10" s="342" t="str">
        <f>IF(ber_Med_disc!C9&lt;&gt;"",IF(ber_Med_disc!C9&gt;1,TRIM(ber_Med_disc!C9)&amp;", "&amp;ber_Opm!C23&amp;" ("&amp;ber_Med_disc!L9&amp;" "&amp;ber_Med_disc!E9&amp;"/kg/dag)",TRIM(ber_Med_disc!C9)&amp;", "&amp;ber_Opm!C23),"")</f>
        <v/>
      </c>
      <c r="D10" s="343" t="str">
        <f>IF(Med_disc!H20&lt;&gt;"",Med_disc!H20,"")</f>
        <v/>
      </c>
      <c r="E10" s="344" t="str">
        <f>IF(AND(D10&lt;&gt;"",D10&lt;&gt;"STOP"),ber_Med_disc!G9&amp;" "&amp;ber_Med_disc!E9,"")</f>
        <v/>
      </c>
      <c r="F10" s="344" t="str">
        <f>IF(AND(D10&lt;&gt;"",D10&lt;&gt;"STOP"),ber_Med_disc!K9," ")</f>
        <v xml:space="preserve"> </v>
      </c>
      <c r="G10" s="344" t="str">
        <f>IF(Med_disc!L20&lt;&gt;"",Med_disc!L20&amp;" "&amp;Med_disc!M20&amp;" "&amp;INDEX(ber_Med_disc!$B$27:$B$30,ber_Med_disc!N9,1)&amp;" in "&amp;Med_disc!$O$20,"")</f>
        <v/>
      </c>
      <c r="H10" s="174" t="str">
        <f>IF(OR($D10="1 dd",$D10="2 dd",$D10="3 dd",$D10="4 dd",$D10="6 dd",$D10="8 dd",$D10="12 dd",$D10="an",$D10="1 X"),VLOOKUP($D10,ber_tijden!$A$16:$X$25,ber_tijden!B$14,FALSE),"")</f>
        <v/>
      </c>
      <c r="I10" s="17" t="str">
        <f>IF(OR($D10="1 dd",$D10="2 dd",$D10="3 dd",$D10="4 dd",$D10="6 dd",$D10="8 dd",$D10="12 dd",$D10="an",$D10="1 X"),VLOOKUP($D10,ber_tijden!$A$16:$X$25,ber_tijden!C$14,FALSE),"")</f>
        <v/>
      </c>
      <c r="J10" s="174" t="str">
        <f>IF(OR($D10="1 dd",$D10="2 dd",$D10="3 dd",$D10="4 dd",$D10="6 dd",$D10="8 dd",$D10="12 dd",$D10="an",$D10="1 X"),VLOOKUP($D10,ber_tijden!$A$16:$X$25,ber_tijden!D$14,FALSE),"")</f>
        <v/>
      </c>
      <c r="K10" s="17" t="str">
        <f>IF(OR($D10="1 dd",$D10="2 dd",$D10="3 dd",$D10="4 dd",$D10="6 dd",$D10="8 dd",$D10="12 dd",$D10="an",$D10="1 X"),VLOOKUP($D10,ber_tijden!$A$16:$X$25,ber_tijden!E$14,FALSE),"")</f>
        <v/>
      </c>
      <c r="L10" s="174" t="str">
        <f>IF(OR($D10="1 dd",$D10="2 dd",$D10="3 dd",$D10="4 dd",$D10="6 dd",$D10="8 dd",$D10="12 dd",$D10="an",$D10="1 X"),VLOOKUP($D10,ber_tijden!$A$16:$X$25,ber_tijden!F$14,FALSE),"")</f>
        <v/>
      </c>
      <c r="M10" s="17" t="str">
        <f>IF(OR($D10="1 dd",$D10="2 dd",$D10="3 dd",$D10="4 dd",$D10="6 dd",$D10="8 dd",$D10="12 dd",$D10="an",$D10="1 X"),VLOOKUP($D10,ber_tijden!$A$16:$X$25,ber_tijden!G$14,FALSE),"")</f>
        <v/>
      </c>
      <c r="N10" s="174" t="str">
        <f>IF(OR($D10="1 dd",$D10="2 dd",$D10="3 dd",$D10="4 dd",$D10="6 dd",$D10="8 dd",$D10="12 dd",$D10="an",$D10="1 X"),VLOOKUP($D10,ber_tijden!$A$16:$X$25,ber_tijden!H$14,FALSE),"")</f>
        <v/>
      </c>
      <c r="O10" s="17" t="str">
        <f>IF(OR($D10="1 dd",$D10="2 dd",$D10="3 dd",$D10="4 dd",$D10="6 dd",$D10="8 dd",$D10="12 dd",$D10="an",$D10="1 X"),VLOOKUP($D10,ber_tijden!$A$16:$X$25,ber_tijden!I$14,FALSE),"")</f>
        <v/>
      </c>
      <c r="P10" s="174" t="str">
        <f>IF(OR($D10="1 dd",$D10="2 dd",$D10="3 dd",$D10="4 dd",$D10="6 dd",$D10="8 dd",$D10="12 dd",$D10="an",$D10="1 X"),VLOOKUP($D10,ber_tijden!$A$16:$X$25,ber_tijden!J$14,FALSE),"")</f>
        <v/>
      </c>
      <c r="Q10" s="17" t="str">
        <f>IF(OR($D10="1 dd",$D10="2 dd",$D10="3 dd",$D10="4 dd",$D10="6 dd",$D10="8 dd",$D10="12 dd",$D10="an",$D10="1 X"),VLOOKUP($D10,ber_tijden!$A$16:$X$25,ber_tijden!K$14,FALSE),"")</f>
        <v/>
      </c>
      <c r="R10" s="174" t="str">
        <f>IF(OR($D10="1 dd",$D10="2 dd",$D10="3 dd",$D10="4 dd",$D10="6 dd",$D10="8 dd",$D10="12 dd",$D10="an",$D10="1 X"),VLOOKUP($D10,ber_tijden!$A$16:$X$25,ber_tijden!L$14,FALSE),"")</f>
        <v/>
      </c>
      <c r="S10" s="17" t="str">
        <f>IF(OR($D10="1 dd",$D10="2 dd",$D10="3 dd",$D10="4 dd",$D10="6 dd",$D10="8 dd",$D10="12 dd",$D10="an",$D10="1 X"),VLOOKUP($D10,ber_tijden!$A$16:$X$25,ber_tijden!M$14,FALSE),"")</f>
        <v/>
      </c>
      <c r="T10" s="174" t="str">
        <f>IF(OR($D10="1 dd",$D10="2 dd",$D10="3 dd",$D10="4 dd",$D10="6 dd",$D10="8 dd",$D10="12 dd",$D10="an",$D10="1 X"),VLOOKUP($D10,ber_tijden!$A$16:$X$25,ber_tijden!N$14,FALSE),"")</f>
        <v/>
      </c>
      <c r="U10" s="17" t="str">
        <f>IF(OR($D10="1 dd",$D10="2 dd",$D10="3 dd",$D10="4 dd",$D10="6 dd",$D10="8 dd",$D10="12 dd",$D10="an",$D10="1 X"),VLOOKUP($D10,ber_tijden!$A$16:$X$25,ber_tijden!O$14,FALSE),"")</f>
        <v/>
      </c>
      <c r="V10" s="174" t="str">
        <f>IF(OR($D10="1 dd",$D10="2 dd",$D10="3 dd",$D10="4 dd",$D10="6 dd",$D10="8 dd",$D10="12 dd",$D10="an",$D10="1 X"),VLOOKUP($D10,ber_tijden!$A$16:$X$25,ber_tijden!P$14,FALSE),"")</f>
        <v/>
      </c>
      <c r="W10" s="17" t="str">
        <f>IF(OR($D10="1 dd",$D10="2 dd",$D10="3 dd",$D10="4 dd",$D10="6 dd",$D10="8 dd",$D10="12 dd",$D10="an",$D10="1 X"),VLOOKUP($D10,ber_tijden!$A$16:$X$25,ber_tijden!Q$14,FALSE),"")</f>
        <v/>
      </c>
      <c r="X10" s="174" t="str">
        <f>IF(OR($D10="1 dd",$D10="2 dd",$D10="3 dd",$D10="4 dd",$D10="6 dd",$D10="8 dd",$D10="12 dd",$D10="an",$D10="1 X"),VLOOKUP($D10,ber_tijden!$A$16:$X$25,ber_tijden!R$14,FALSE),"")</f>
        <v/>
      </c>
      <c r="Y10" s="17" t="str">
        <f>IF(OR($D10="1 dd",$D10="2 dd",$D10="3 dd",$D10="4 dd",$D10="6 dd",$D10="8 dd",$D10="12 dd",$D10="an",$D10="1 X"),VLOOKUP($D10,ber_tijden!$A$16:$X$25,ber_tijden!S$14,FALSE),"")</f>
        <v/>
      </c>
      <c r="Z10" s="174" t="str">
        <f>IF(OR($D10="1 dd",$D10="2 dd",$D10="3 dd",$D10="4 dd",$D10="6 dd",$D10="8 dd",$D10="12 dd",$D10="an",$D10="1 X"),VLOOKUP($D10,ber_tijden!$A$16:$X$25,ber_tijden!T$14,FALSE),"")</f>
        <v/>
      </c>
      <c r="AA10" s="17" t="str">
        <f>IF(OR($D10="1 dd",$D10="2 dd",$D10="3 dd",$D10="4 dd",$D10="6 dd",$D10="8 dd",$D10="12 dd",$D10="an",$D10="1 X"),VLOOKUP($D10,ber_tijden!$A$16:$X$25,ber_tijden!U$14,FALSE),"")</f>
        <v/>
      </c>
      <c r="AB10" s="174" t="str">
        <f>IF(OR($D10="1 dd",$D10="2 dd",$D10="3 dd",$D10="4 dd",$D10="6 dd",$D10="8 dd",$D10="12 dd",$D10="an",$D10="1 X"),VLOOKUP($D10,ber_tijden!$A$16:$X$25,ber_tijden!V$14,FALSE),"")</f>
        <v/>
      </c>
      <c r="AC10" s="17" t="str">
        <f>IF(OR($D10="1 dd",$D10="2 dd",$D10="3 dd",$D10="4 dd",$D10="6 dd",$D10="8 dd",$D10="12 dd",$D10="an",$D10="1 X"),VLOOKUP($D10,ber_tijden!$A$16:$X$25,ber_tijden!W$14,FALSE),"")</f>
        <v/>
      </c>
      <c r="AD10" s="174" t="str">
        <f>IF(OR($D10="1 dd",$D10="2 dd",$D10="3 dd",$D10="4 dd",$D10="6 dd",$D10="8 dd",$D10="12 dd",$D10="an",$D10="1 X"),VLOOKUP($D10,ber_tijden!$A$16:$X$25,ber_tijden!X$14,FALSE),"")</f>
        <v/>
      </c>
      <c r="AE10" s="19"/>
      <c r="AF10" s="173"/>
      <c r="AG10" s="19"/>
    </row>
    <row r="11" spans="2:33" ht="26.1" customHeight="1" x14ac:dyDescent="0.35">
      <c r="B11" s="175" t="str">
        <f>IF(C11&lt;&gt;" ",Med_disc!C22,"")</f>
        <v/>
      </c>
      <c r="C11" s="342" t="str">
        <f>IF(ber_Med_disc!C10&lt;&gt;"",IF(ber_Med_disc!C10&gt;1,TRIM(ber_Med_disc!C10)&amp;", "&amp;ber_Opm!C24&amp;" ("&amp;ber_Med_disc!L10&amp;" "&amp;ber_Med_disc!E10&amp;"/kg/dag)",TRIM(ber_Med_disc!C10)&amp;", "&amp;ber_Opm!C24),"")</f>
        <v/>
      </c>
      <c r="D11" s="343" t="str">
        <f>IF(Med_disc!H22&lt;&gt;"",Med_disc!H22,"")</f>
        <v/>
      </c>
      <c r="E11" s="344" t="str">
        <f>IF(AND(D11&lt;&gt;"",D11&lt;&gt;"STOP"),ber_Med_disc!G10&amp;" "&amp;ber_Med_disc!E10,"")</f>
        <v/>
      </c>
      <c r="F11" s="344" t="str">
        <f>IF(AND(D11&lt;&gt;"",D11&lt;&gt;"STOP"),ber_Med_disc!K10," ")</f>
        <v xml:space="preserve"> </v>
      </c>
      <c r="G11" s="344" t="str">
        <f>IF(Med_disc!L22&lt;&gt;"",Med_disc!L22&amp;" "&amp;Med_disc!M22&amp;" "&amp;INDEX(ber_Med_disc!$B$27:$B$30,ber_Med_disc!N10,1)&amp;" in "&amp;Med_disc!$O$22,"")</f>
        <v/>
      </c>
      <c r="H11" s="174" t="str">
        <f>IF(OR($D11="1 dd",$D11="2 dd",$D11="3 dd",$D11="4 dd",$D11="6 dd",$D11="8 dd",$D11="12 dd",$D11="an",$D11="1 X"),VLOOKUP($D11,ber_tijden!$A$16:$X$25,ber_tijden!B$14,FALSE),"")</f>
        <v/>
      </c>
      <c r="I11" s="17" t="str">
        <f>IF(OR($D11="1 dd",$D11="2 dd",$D11="3 dd",$D11="4 dd",$D11="6 dd",$D11="8 dd",$D11="12 dd",$D11="an",$D11="1 X"),VLOOKUP($D11,ber_tijden!$A$16:$X$25,ber_tijden!C$14,FALSE),"")</f>
        <v/>
      </c>
      <c r="J11" s="174" t="str">
        <f>IF(OR($D11="1 dd",$D11="2 dd",$D11="3 dd",$D11="4 dd",$D11="6 dd",$D11="8 dd",$D11="12 dd",$D11="an",$D11="1 X"),VLOOKUP($D11,ber_tijden!$A$16:$X$25,ber_tijden!D$14,FALSE),"")</f>
        <v/>
      </c>
      <c r="K11" s="17" t="str">
        <f>IF(OR($D11="1 dd",$D11="2 dd",$D11="3 dd",$D11="4 dd",$D11="6 dd",$D11="8 dd",$D11="12 dd",$D11="an",$D11="1 X"),VLOOKUP($D11,ber_tijden!$A$16:$X$25,ber_tijden!E$14,FALSE),"")</f>
        <v/>
      </c>
      <c r="L11" s="174" t="str">
        <f>IF(OR($D11="1 dd",$D11="2 dd",$D11="3 dd",$D11="4 dd",$D11="6 dd",$D11="8 dd",$D11="12 dd",$D11="an",$D11="1 X"),VLOOKUP($D11,ber_tijden!$A$16:$X$25,ber_tijden!F$14,FALSE),"")</f>
        <v/>
      </c>
      <c r="M11" s="17" t="str">
        <f>IF(OR($D11="1 dd",$D11="2 dd",$D11="3 dd",$D11="4 dd",$D11="6 dd",$D11="8 dd",$D11="12 dd",$D11="an",$D11="1 X"),VLOOKUP($D11,ber_tijden!$A$16:$X$25,ber_tijden!G$14,FALSE),"")</f>
        <v/>
      </c>
      <c r="N11" s="174" t="str">
        <f>IF(OR($D11="1 dd",$D11="2 dd",$D11="3 dd",$D11="4 dd",$D11="6 dd",$D11="8 dd",$D11="12 dd",$D11="an",$D11="1 X"),VLOOKUP($D11,ber_tijden!$A$16:$X$25,ber_tijden!H$14,FALSE),"")</f>
        <v/>
      </c>
      <c r="O11" s="17" t="str">
        <f>IF(OR($D11="1 dd",$D11="2 dd",$D11="3 dd",$D11="4 dd",$D11="6 dd",$D11="8 dd",$D11="12 dd",$D11="an",$D11="1 X"),VLOOKUP($D11,ber_tijden!$A$16:$X$25,ber_tijden!I$14,FALSE),"")</f>
        <v/>
      </c>
      <c r="P11" s="174" t="str">
        <f>IF(OR($D11="1 dd",$D11="2 dd",$D11="3 dd",$D11="4 dd",$D11="6 dd",$D11="8 dd",$D11="12 dd",$D11="an",$D11="1 X"),VLOOKUP($D11,ber_tijden!$A$16:$X$25,ber_tijden!J$14,FALSE),"")</f>
        <v/>
      </c>
      <c r="Q11" s="17" t="str">
        <f>IF(OR($D11="1 dd",$D11="2 dd",$D11="3 dd",$D11="4 dd",$D11="6 dd",$D11="8 dd",$D11="12 dd",$D11="an",$D11="1 X"),VLOOKUP($D11,ber_tijden!$A$16:$X$25,ber_tijden!K$14,FALSE),"")</f>
        <v/>
      </c>
      <c r="R11" s="174" t="str">
        <f>IF(OR($D11="1 dd",$D11="2 dd",$D11="3 dd",$D11="4 dd",$D11="6 dd",$D11="8 dd",$D11="12 dd",$D11="an",$D11="1 X"),VLOOKUP($D11,ber_tijden!$A$16:$X$25,ber_tijden!L$14,FALSE),"")</f>
        <v/>
      </c>
      <c r="S11" s="17" t="str">
        <f>IF(OR($D11="1 dd",$D11="2 dd",$D11="3 dd",$D11="4 dd",$D11="6 dd",$D11="8 dd",$D11="12 dd",$D11="an",$D11="1 X"),VLOOKUP($D11,ber_tijden!$A$16:$X$25,ber_tijden!M$14,FALSE),"")</f>
        <v/>
      </c>
      <c r="T11" s="174" t="str">
        <f>IF(OR($D11="1 dd",$D11="2 dd",$D11="3 dd",$D11="4 dd",$D11="6 dd",$D11="8 dd",$D11="12 dd",$D11="an",$D11="1 X"),VLOOKUP($D11,ber_tijden!$A$16:$X$25,ber_tijden!N$14,FALSE),"")</f>
        <v/>
      </c>
      <c r="U11" s="17" t="str">
        <f>IF(OR($D11="1 dd",$D11="2 dd",$D11="3 dd",$D11="4 dd",$D11="6 dd",$D11="8 dd",$D11="12 dd",$D11="an",$D11="1 X"),VLOOKUP($D11,ber_tijden!$A$16:$X$25,ber_tijden!O$14,FALSE),"")</f>
        <v/>
      </c>
      <c r="V11" s="174" t="str">
        <f>IF(OR($D11="1 dd",$D11="2 dd",$D11="3 dd",$D11="4 dd",$D11="6 dd",$D11="8 dd",$D11="12 dd",$D11="an",$D11="1 X"),VLOOKUP($D11,ber_tijden!$A$16:$X$25,ber_tijden!P$14,FALSE),"")</f>
        <v/>
      </c>
      <c r="W11" s="17" t="str">
        <f>IF(OR($D11="1 dd",$D11="2 dd",$D11="3 dd",$D11="4 dd",$D11="6 dd",$D11="8 dd",$D11="12 dd",$D11="an",$D11="1 X"),VLOOKUP($D11,ber_tijden!$A$16:$X$25,ber_tijden!Q$14,FALSE),"")</f>
        <v/>
      </c>
      <c r="X11" s="174" t="str">
        <f>IF(OR($D11="1 dd",$D11="2 dd",$D11="3 dd",$D11="4 dd",$D11="6 dd",$D11="8 dd",$D11="12 dd",$D11="an",$D11="1 X"),VLOOKUP($D11,ber_tijden!$A$16:$X$25,ber_tijden!R$14,FALSE),"")</f>
        <v/>
      </c>
      <c r="Y11" s="17" t="str">
        <f>IF(OR($D11="1 dd",$D11="2 dd",$D11="3 dd",$D11="4 dd",$D11="6 dd",$D11="8 dd",$D11="12 dd",$D11="an",$D11="1 X"),VLOOKUP($D11,ber_tijden!$A$16:$X$25,ber_tijden!S$14,FALSE),"")</f>
        <v/>
      </c>
      <c r="Z11" s="174" t="str">
        <f>IF(OR($D11="1 dd",$D11="2 dd",$D11="3 dd",$D11="4 dd",$D11="6 dd",$D11="8 dd",$D11="12 dd",$D11="an",$D11="1 X"),VLOOKUP($D11,ber_tijden!$A$16:$X$25,ber_tijden!T$14,FALSE),"")</f>
        <v/>
      </c>
      <c r="AA11" s="17" t="str">
        <f>IF(OR($D11="1 dd",$D11="2 dd",$D11="3 dd",$D11="4 dd",$D11="6 dd",$D11="8 dd",$D11="12 dd",$D11="an",$D11="1 X"),VLOOKUP($D11,ber_tijden!$A$16:$X$25,ber_tijden!U$14,FALSE),"")</f>
        <v/>
      </c>
      <c r="AB11" s="174" t="str">
        <f>IF(OR($D11="1 dd",$D11="2 dd",$D11="3 dd",$D11="4 dd",$D11="6 dd",$D11="8 dd",$D11="12 dd",$D11="an",$D11="1 X"),VLOOKUP($D11,ber_tijden!$A$16:$X$25,ber_tijden!V$14,FALSE),"")</f>
        <v/>
      </c>
      <c r="AC11" s="17" t="str">
        <f>IF(OR($D11="1 dd",$D11="2 dd",$D11="3 dd",$D11="4 dd",$D11="6 dd",$D11="8 dd",$D11="12 dd",$D11="an",$D11="1 X"),VLOOKUP($D11,ber_tijden!$A$16:$X$25,ber_tijden!W$14,FALSE),"")</f>
        <v/>
      </c>
      <c r="AD11" s="174" t="str">
        <f>IF(OR($D11="1 dd",$D11="2 dd",$D11="3 dd",$D11="4 dd",$D11="6 dd",$D11="8 dd",$D11="12 dd",$D11="an",$D11="1 X"),VLOOKUP($D11,ber_tijden!$A$16:$X$25,ber_tijden!X$14,FALSE),"")</f>
        <v/>
      </c>
      <c r="AE11" s="19"/>
      <c r="AF11" s="173"/>
      <c r="AG11" s="19"/>
    </row>
    <row r="12" spans="2:33" ht="26.1" customHeight="1" x14ac:dyDescent="0.35">
      <c r="B12" s="175" t="str">
        <f>IF(C12&lt;&gt;" ",Med_disc!C24,"")</f>
        <v/>
      </c>
      <c r="C12" s="342" t="str">
        <f>IF(ber_Med_disc!C11&lt;&gt;"",IF(ber_Med_disc!C11&gt;1,TRIM(ber_Med_disc!C11)&amp;", "&amp;ber_Opm!C25&amp;" ("&amp;ber_Med_disc!L11&amp;" "&amp;ber_Med_disc!E11&amp;"/kg/dag)",TRIM(ber_Med_disc!C11)&amp;", "&amp;ber_Opm!C25),"")</f>
        <v/>
      </c>
      <c r="D12" s="343" t="str">
        <f>IF(Med_disc!H24&lt;&gt;"",Med_disc!H24,"")</f>
        <v/>
      </c>
      <c r="E12" s="344" t="str">
        <f>IF(AND(D12&lt;&gt;"",D12&lt;&gt;"STOP"),ber_Med_disc!G11&amp;" "&amp;ber_Med_disc!E11,"")</f>
        <v/>
      </c>
      <c r="F12" s="344" t="str">
        <f>IF(AND(D12&lt;&gt;"",D12&lt;&gt;"STOP"),ber_Med_disc!K11," ")</f>
        <v xml:space="preserve"> </v>
      </c>
      <c r="G12" s="344" t="str">
        <f>IF(Med_disc!L24&lt;&gt;"",Med_disc!L24&amp;" "&amp;Med_disc!M24&amp;" "&amp;INDEX(ber_Med_disc!$B$27:$B$30,ber_Med_disc!N11,1)&amp;" in "&amp;Med_disc!$O$1424,"")</f>
        <v/>
      </c>
      <c r="H12" s="174" t="str">
        <f>IF(OR($D12="1 dd",$D12="2 dd",$D12="3 dd",$D12="4 dd",$D12="6 dd",$D12="8 dd",$D12="12 dd",$D12="an",$D12="1 X"),VLOOKUP($D12,ber_tijden!$A$16:$X$25,ber_tijden!B$14,FALSE),"")</f>
        <v/>
      </c>
      <c r="I12" s="17" t="str">
        <f>IF(OR($D12="1 dd",$D12="2 dd",$D12="3 dd",$D12="4 dd",$D12="6 dd",$D12="8 dd",$D12="12 dd",$D12="an",$D12="1 X"),VLOOKUP($D12,ber_tijden!$A$16:$X$25,ber_tijden!C$14,FALSE),"")</f>
        <v/>
      </c>
      <c r="J12" s="174" t="str">
        <f>IF(OR($D12="1 dd",$D12="2 dd",$D12="3 dd",$D12="4 dd",$D12="6 dd",$D12="8 dd",$D12="12 dd",$D12="an",$D12="1 X"),VLOOKUP($D12,ber_tijden!$A$16:$X$25,ber_tijden!D$14,FALSE),"")</f>
        <v/>
      </c>
      <c r="K12" s="17" t="str">
        <f>IF(OR($D12="1 dd",$D12="2 dd",$D12="3 dd",$D12="4 dd",$D12="6 dd",$D12="8 dd",$D12="12 dd",$D12="an",$D12="1 X"),VLOOKUP($D12,ber_tijden!$A$16:$X$25,ber_tijden!E$14,FALSE),"")</f>
        <v/>
      </c>
      <c r="L12" s="174" t="str">
        <f>IF(OR($D12="1 dd",$D12="2 dd",$D12="3 dd",$D12="4 dd",$D12="6 dd",$D12="8 dd",$D12="12 dd",$D12="an",$D12="1 X"),VLOOKUP($D12,ber_tijden!$A$16:$X$25,ber_tijden!F$14,FALSE),"")</f>
        <v/>
      </c>
      <c r="M12" s="17" t="str">
        <f>IF(OR($D12="1 dd",$D12="2 dd",$D12="3 dd",$D12="4 dd",$D12="6 dd",$D12="8 dd",$D12="12 dd",$D12="an",$D12="1 X"),VLOOKUP($D12,ber_tijden!$A$16:$X$25,ber_tijden!G$14,FALSE),"")</f>
        <v/>
      </c>
      <c r="N12" s="174" t="str">
        <f>IF(OR($D12="1 dd",$D12="2 dd",$D12="3 dd",$D12="4 dd",$D12="6 dd",$D12="8 dd",$D12="12 dd",$D12="an",$D12="1 X"),VLOOKUP($D12,ber_tijden!$A$16:$X$25,ber_tijden!H$14,FALSE),"")</f>
        <v/>
      </c>
      <c r="O12" s="17" t="str">
        <f>IF(OR($D12="1 dd",$D12="2 dd",$D12="3 dd",$D12="4 dd",$D12="6 dd",$D12="8 dd",$D12="12 dd",$D12="an",$D12="1 X"),VLOOKUP($D12,ber_tijden!$A$16:$X$25,ber_tijden!I$14,FALSE),"")</f>
        <v/>
      </c>
      <c r="P12" s="174" t="str">
        <f>IF(OR($D12="1 dd",$D12="2 dd",$D12="3 dd",$D12="4 dd",$D12="6 dd",$D12="8 dd",$D12="12 dd",$D12="an",$D12="1 X"),VLOOKUP($D12,ber_tijden!$A$16:$X$25,ber_tijden!J$14,FALSE),"")</f>
        <v/>
      </c>
      <c r="Q12" s="17" t="str">
        <f>IF(OR($D12="1 dd",$D12="2 dd",$D12="3 dd",$D12="4 dd",$D12="6 dd",$D12="8 dd",$D12="12 dd",$D12="an",$D12="1 X"),VLOOKUP($D12,ber_tijden!$A$16:$X$25,ber_tijden!K$14,FALSE),"")</f>
        <v/>
      </c>
      <c r="R12" s="174" t="str">
        <f>IF(OR($D12="1 dd",$D12="2 dd",$D12="3 dd",$D12="4 dd",$D12="6 dd",$D12="8 dd",$D12="12 dd",$D12="an",$D12="1 X"),VLOOKUP($D12,ber_tijden!$A$16:$X$25,ber_tijden!L$14,FALSE),"")</f>
        <v/>
      </c>
      <c r="S12" s="17" t="str">
        <f>IF(OR($D12="1 dd",$D12="2 dd",$D12="3 dd",$D12="4 dd",$D12="6 dd",$D12="8 dd",$D12="12 dd",$D12="an",$D12="1 X"),VLOOKUP($D12,ber_tijden!$A$16:$X$25,ber_tijden!M$14,FALSE),"")</f>
        <v/>
      </c>
      <c r="T12" s="174" t="str">
        <f>IF(OR($D12="1 dd",$D12="2 dd",$D12="3 dd",$D12="4 dd",$D12="6 dd",$D12="8 dd",$D12="12 dd",$D12="an",$D12="1 X"),VLOOKUP($D12,ber_tijden!$A$16:$X$25,ber_tijden!N$14,FALSE),"")</f>
        <v/>
      </c>
      <c r="U12" s="17" t="str">
        <f>IF(OR($D12="1 dd",$D12="2 dd",$D12="3 dd",$D12="4 dd",$D12="6 dd",$D12="8 dd",$D12="12 dd",$D12="an",$D12="1 X"),VLOOKUP($D12,ber_tijden!$A$16:$X$25,ber_tijden!O$14,FALSE),"")</f>
        <v/>
      </c>
      <c r="V12" s="174" t="str">
        <f>IF(OR($D12="1 dd",$D12="2 dd",$D12="3 dd",$D12="4 dd",$D12="6 dd",$D12="8 dd",$D12="12 dd",$D12="an",$D12="1 X"),VLOOKUP($D12,ber_tijden!$A$16:$X$25,ber_tijden!P$14,FALSE),"")</f>
        <v/>
      </c>
      <c r="W12" s="17" t="str">
        <f>IF(OR($D12="1 dd",$D12="2 dd",$D12="3 dd",$D12="4 dd",$D12="6 dd",$D12="8 dd",$D12="12 dd",$D12="an",$D12="1 X"),VLOOKUP($D12,ber_tijden!$A$16:$X$25,ber_tijden!Q$14,FALSE),"")</f>
        <v/>
      </c>
      <c r="X12" s="174" t="str">
        <f>IF(OR($D12="1 dd",$D12="2 dd",$D12="3 dd",$D12="4 dd",$D12="6 dd",$D12="8 dd",$D12="12 dd",$D12="an",$D12="1 X"),VLOOKUP($D12,ber_tijden!$A$16:$X$25,ber_tijden!R$14,FALSE),"")</f>
        <v/>
      </c>
      <c r="Y12" s="17" t="str">
        <f>IF(OR($D12="1 dd",$D12="2 dd",$D12="3 dd",$D12="4 dd",$D12="6 dd",$D12="8 dd",$D12="12 dd",$D12="an",$D12="1 X"),VLOOKUP($D12,ber_tijden!$A$16:$X$25,ber_tijden!S$14,FALSE),"")</f>
        <v/>
      </c>
      <c r="Z12" s="174" t="str">
        <f>IF(OR($D12="1 dd",$D12="2 dd",$D12="3 dd",$D12="4 dd",$D12="6 dd",$D12="8 dd",$D12="12 dd",$D12="an",$D12="1 X"),VLOOKUP($D12,ber_tijden!$A$16:$X$25,ber_tijden!T$14,FALSE),"")</f>
        <v/>
      </c>
      <c r="AA12" s="17" t="str">
        <f>IF(OR($D12="1 dd",$D12="2 dd",$D12="3 dd",$D12="4 dd",$D12="6 dd",$D12="8 dd",$D12="12 dd",$D12="an",$D12="1 X"),VLOOKUP($D12,ber_tijden!$A$16:$X$25,ber_tijden!U$14,FALSE),"")</f>
        <v/>
      </c>
      <c r="AB12" s="174" t="str">
        <f>IF(OR($D12="1 dd",$D12="2 dd",$D12="3 dd",$D12="4 dd",$D12="6 dd",$D12="8 dd",$D12="12 dd",$D12="an",$D12="1 X"),VLOOKUP($D12,ber_tijden!$A$16:$X$25,ber_tijden!V$14,FALSE),"")</f>
        <v/>
      </c>
      <c r="AC12" s="17" t="str">
        <f>IF(OR($D12="1 dd",$D12="2 dd",$D12="3 dd",$D12="4 dd",$D12="6 dd",$D12="8 dd",$D12="12 dd",$D12="an",$D12="1 X"),VLOOKUP($D12,ber_tijden!$A$16:$X$25,ber_tijden!W$14,FALSE),"")</f>
        <v/>
      </c>
      <c r="AD12" s="174" t="str">
        <f>IF(OR($D12="1 dd",$D12="2 dd",$D12="3 dd",$D12="4 dd",$D12="6 dd",$D12="8 dd",$D12="12 dd",$D12="an",$D12="1 X"),VLOOKUP($D12,ber_tijden!$A$16:$X$25,ber_tijden!X$14,FALSE),"")</f>
        <v/>
      </c>
      <c r="AE12" s="19"/>
      <c r="AF12" s="173"/>
      <c r="AG12" s="19"/>
    </row>
    <row r="13" spans="2:33" ht="26.1" customHeight="1" x14ac:dyDescent="0.35">
      <c r="B13" s="175" t="str">
        <f>IF(C13&lt;&gt;" ",Med_disc!C26,"")</f>
        <v/>
      </c>
      <c r="C13" s="342" t="str">
        <f>IF(ber_Med_disc!C12&lt;&gt;"",IF(ber_Med_disc!C12&gt;1,TRIM(ber_Med_disc!C12)&amp;", "&amp;ber_Opm!C26&amp;" ("&amp;ber_Med_disc!L12&amp;" "&amp;ber_Med_disc!E12&amp;"/kg/dag)",TRIM(ber_Med_disc!C12)&amp;", "&amp;ber_Opm!C26),"")</f>
        <v/>
      </c>
      <c r="D13" s="343" t="str">
        <f>IF(Med_disc!H26&lt;&gt;"",Med_disc!H26,"")</f>
        <v/>
      </c>
      <c r="E13" s="344" t="str">
        <f>IF(AND(D13&lt;&gt;"",D13&lt;&gt;"STOP"),ber_Med_disc!G12&amp;" "&amp;ber_Med_disc!E12,"")</f>
        <v/>
      </c>
      <c r="F13" s="344" t="str">
        <f>IF(AND(D13&lt;&gt;"",D13&lt;&gt;"STOP"),ber_Med_disc!K12," ")</f>
        <v xml:space="preserve"> </v>
      </c>
      <c r="G13" s="344" t="str">
        <f>IF(Med_disc!L26&lt;&gt;"",Med_disc!L26&amp;" "&amp;Med_disc!M26&amp;" "&amp;INDEX(ber_Med_disc!$B$27:$B$30,ber_Med_disc!N12,1)&amp;" in "&amp;Med_disc!$O$26,"")</f>
        <v/>
      </c>
      <c r="H13" s="174" t="str">
        <f>IF(OR($D13="1 dd",$D13="2 dd",$D13="3 dd",$D13="4 dd",$D13="6 dd",$D13="8 dd",$D13="12 dd",$D13="an",$D13="1 X"),VLOOKUP($D13,ber_tijden!$A$16:$X$25,ber_tijden!B$14,FALSE),"")</f>
        <v/>
      </c>
      <c r="I13" s="17" t="str">
        <f>IF(OR($D13="1 dd",$D13="2 dd",$D13="3 dd",$D13="4 dd",$D13="6 dd",$D13="8 dd",$D13="12 dd",$D13="an",$D13="1 X"),VLOOKUP($D13,ber_tijden!$A$16:$X$25,ber_tijden!C$14,FALSE),"")</f>
        <v/>
      </c>
      <c r="J13" s="174" t="str">
        <f>IF(OR($D13="1 dd",$D13="2 dd",$D13="3 dd",$D13="4 dd",$D13="6 dd",$D13="8 dd",$D13="12 dd",$D13="an",$D13="1 X"),VLOOKUP($D13,ber_tijden!$A$16:$X$25,ber_tijden!D$14,FALSE),"")</f>
        <v/>
      </c>
      <c r="K13" s="17" t="str">
        <f>IF(OR($D13="1 dd",$D13="2 dd",$D13="3 dd",$D13="4 dd",$D13="6 dd",$D13="8 dd",$D13="12 dd",$D13="an",$D13="1 X"),VLOOKUP($D13,ber_tijden!$A$16:$X$25,ber_tijden!E$14,FALSE),"")</f>
        <v/>
      </c>
      <c r="L13" s="174" t="str">
        <f>IF(OR($D13="1 dd",$D13="2 dd",$D13="3 dd",$D13="4 dd",$D13="6 dd",$D13="8 dd",$D13="12 dd",$D13="an",$D13="1 X"),VLOOKUP($D13,ber_tijden!$A$16:$X$25,ber_tijden!F$14,FALSE),"")</f>
        <v/>
      </c>
      <c r="M13" s="17" t="str">
        <f>IF(OR($D13="1 dd",$D13="2 dd",$D13="3 dd",$D13="4 dd",$D13="6 dd",$D13="8 dd",$D13="12 dd",$D13="an",$D13="1 X"),VLOOKUP($D13,ber_tijden!$A$16:$X$25,ber_tijden!G$14,FALSE),"")</f>
        <v/>
      </c>
      <c r="N13" s="174" t="str">
        <f>IF(OR($D13="1 dd",$D13="2 dd",$D13="3 dd",$D13="4 dd",$D13="6 dd",$D13="8 dd",$D13="12 dd",$D13="an",$D13="1 X"),VLOOKUP($D13,ber_tijden!$A$16:$X$25,ber_tijden!H$14,FALSE),"")</f>
        <v/>
      </c>
      <c r="O13" s="17" t="str">
        <f>IF(OR($D13="1 dd",$D13="2 dd",$D13="3 dd",$D13="4 dd",$D13="6 dd",$D13="8 dd",$D13="12 dd",$D13="an",$D13="1 X"),VLOOKUP($D13,ber_tijden!$A$16:$X$25,ber_tijden!I$14,FALSE),"")</f>
        <v/>
      </c>
      <c r="P13" s="174" t="str">
        <f>IF(OR($D13="1 dd",$D13="2 dd",$D13="3 dd",$D13="4 dd",$D13="6 dd",$D13="8 dd",$D13="12 dd",$D13="an",$D13="1 X"),VLOOKUP($D13,ber_tijden!$A$16:$X$25,ber_tijden!J$14,FALSE),"")</f>
        <v/>
      </c>
      <c r="Q13" s="17" t="str">
        <f>IF(OR($D13="1 dd",$D13="2 dd",$D13="3 dd",$D13="4 dd",$D13="6 dd",$D13="8 dd",$D13="12 dd",$D13="an",$D13="1 X"),VLOOKUP($D13,ber_tijden!$A$16:$X$25,ber_tijden!K$14,FALSE),"")</f>
        <v/>
      </c>
      <c r="R13" s="174" t="str">
        <f>IF(OR($D13="1 dd",$D13="2 dd",$D13="3 dd",$D13="4 dd",$D13="6 dd",$D13="8 dd",$D13="12 dd",$D13="an",$D13="1 X"),VLOOKUP($D13,ber_tijden!$A$16:$X$25,ber_tijden!L$14,FALSE),"")</f>
        <v/>
      </c>
      <c r="S13" s="17" t="str">
        <f>IF(OR($D13="1 dd",$D13="2 dd",$D13="3 dd",$D13="4 dd",$D13="6 dd",$D13="8 dd",$D13="12 dd",$D13="an",$D13="1 X"),VLOOKUP($D13,ber_tijden!$A$16:$X$25,ber_tijden!M$14,FALSE),"")</f>
        <v/>
      </c>
      <c r="T13" s="174" t="str">
        <f>IF(OR($D13="1 dd",$D13="2 dd",$D13="3 dd",$D13="4 dd",$D13="6 dd",$D13="8 dd",$D13="12 dd",$D13="an",$D13="1 X"),VLOOKUP($D13,ber_tijden!$A$16:$X$25,ber_tijden!N$14,FALSE),"")</f>
        <v/>
      </c>
      <c r="U13" s="17" t="str">
        <f>IF(OR($D13="1 dd",$D13="2 dd",$D13="3 dd",$D13="4 dd",$D13="6 dd",$D13="8 dd",$D13="12 dd",$D13="an",$D13="1 X"),VLOOKUP($D13,ber_tijden!$A$16:$X$25,ber_tijden!O$14,FALSE),"")</f>
        <v/>
      </c>
      <c r="V13" s="174" t="str">
        <f>IF(OR($D13="1 dd",$D13="2 dd",$D13="3 dd",$D13="4 dd",$D13="6 dd",$D13="8 dd",$D13="12 dd",$D13="an",$D13="1 X"),VLOOKUP($D13,ber_tijden!$A$16:$X$25,ber_tijden!P$14,FALSE),"")</f>
        <v/>
      </c>
      <c r="W13" s="17" t="str">
        <f>IF(OR($D13="1 dd",$D13="2 dd",$D13="3 dd",$D13="4 dd",$D13="6 dd",$D13="8 dd",$D13="12 dd",$D13="an",$D13="1 X"),VLOOKUP($D13,ber_tijden!$A$16:$X$25,ber_tijden!Q$14,FALSE),"")</f>
        <v/>
      </c>
      <c r="X13" s="174" t="str">
        <f>IF(OR($D13="1 dd",$D13="2 dd",$D13="3 dd",$D13="4 dd",$D13="6 dd",$D13="8 dd",$D13="12 dd",$D13="an",$D13="1 X"),VLOOKUP($D13,ber_tijden!$A$16:$X$25,ber_tijden!R$14,FALSE),"")</f>
        <v/>
      </c>
      <c r="Y13" s="17" t="str">
        <f>IF(OR($D13="1 dd",$D13="2 dd",$D13="3 dd",$D13="4 dd",$D13="6 dd",$D13="8 dd",$D13="12 dd",$D13="an",$D13="1 X"),VLOOKUP($D13,ber_tijden!$A$16:$X$25,ber_tijden!S$14,FALSE),"")</f>
        <v/>
      </c>
      <c r="Z13" s="174" t="str">
        <f>IF(OR($D13="1 dd",$D13="2 dd",$D13="3 dd",$D13="4 dd",$D13="6 dd",$D13="8 dd",$D13="12 dd",$D13="an",$D13="1 X"),VLOOKUP($D13,ber_tijden!$A$16:$X$25,ber_tijden!T$14,FALSE),"")</f>
        <v/>
      </c>
      <c r="AA13" s="17" t="str">
        <f>IF(OR($D13="1 dd",$D13="2 dd",$D13="3 dd",$D13="4 dd",$D13="6 dd",$D13="8 dd",$D13="12 dd",$D13="an",$D13="1 X"),VLOOKUP($D13,ber_tijden!$A$16:$X$25,ber_tijden!U$14,FALSE),"")</f>
        <v/>
      </c>
      <c r="AB13" s="174" t="str">
        <f>IF(OR($D13="1 dd",$D13="2 dd",$D13="3 dd",$D13="4 dd",$D13="6 dd",$D13="8 dd",$D13="12 dd",$D13="an",$D13="1 X"),VLOOKUP($D13,ber_tijden!$A$16:$X$25,ber_tijden!V$14,FALSE),"")</f>
        <v/>
      </c>
      <c r="AC13" s="17" t="str">
        <f>IF(OR($D13="1 dd",$D13="2 dd",$D13="3 dd",$D13="4 dd",$D13="6 dd",$D13="8 dd",$D13="12 dd",$D13="an",$D13="1 X"),VLOOKUP($D13,ber_tijden!$A$16:$X$25,ber_tijden!W$14,FALSE),"")</f>
        <v/>
      </c>
      <c r="AD13" s="174" t="str">
        <f>IF(OR($D13="1 dd",$D13="2 dd",$D13="3 dd",$D13="4 dd",$D13="6 dd",$D13="8 dd",$D13="12 dd",$D13="an",$D13="1 X"),VLOOKUP($D13,ber_tijden!$A$16:$X$25,ber_tijden!X$14,FALSE),"")</f>
        <v/>
      </c>
      <c r="AE13" s="19"/>
      <c r="AF13" s="173"/>
      <c r="AG13" s="19"/>
    </row>
    <row r="14" spans="2:33" ht="26.1" customHeight="1" x14ac:dyDescent="0.35">
      <c r="B14" s="175" t="str">
        <f>IF(C14&lt;&gt;" ",Med_disc!C28,"")</f>
        <v/>
      </c>
      <c r="C14" s="342" t="str">
        <f>IF(ber_Med_disc!C13&lt;&gt;"",IF(ber_Med_disc!C13&gt;1,TRIM(ber_Med_disc!C13)&amp;", "&amp;ber_Opm!C27&amp;" ("&amp;ber_Med_disc!L13&amp;" "&amp;ber_Med_disc!E13&amp;"/kg/dag)",TRIM(ber_Med_disc!C13)&amp;", "&amp;ber_Opm!C27),"")</f>
        <v/>
      </c>
      <c r="D14" s="343" t="str">
        <f>IF(Med_disc!H28&lt;&gt;"",Med_disc!H28,"")</f>
        <v/>
      </c>
      <c r="E14" s="344" t="str">
        <f>IF(AND(D14&lt;&gt;"",D14&lt;&gt;"STOP"),ber_Med_disc!G13&amp;" "&amp;ber_Med_disc!E13,"")</f>
        <v/>
      </c>
      <c r="F14" s="344" t="str">
        <f>IF(AND(D14&lt;&gt;"",D14&lt;&gt;"STOP"),ber_Med_disc!K13," ")</f>
        <v xml:space="preserve"> </v>
      </c>
      <c r="G14" s="344" t="str">
        <f>IF(Med_disc!L28&lt;&gt;"",Med_disc!L28&amp;" "&amp;Med_disc!M28&amp;" "&amp;INDEX(ber_Med_disc!$B$27:$B$30,ber_Med_disc!N13,1)&amp;" in "&amp;Med_disc!$O$28,"")</f>
        <v/>
      </c>
      <c r="H14" s="174" t="str">
        <f>IF(OR($D14="1 dd",$D14="2 dd",$D14="3 dd",$D14="4 dd",$D14="6 dd",$D14="8 dd",$D14="12 dd",$D14="an",$D14="1 X"),VLOOKUP($D14,ber_tijden!$A$16:$X$25,ber_tijden!B$14,FALSE),"")</f>
        <v/>
      </c>
      <c r="I14" s="17" t="str">
        <f>IF(OR($D14="1 dd",$D14="2 dd",$D14="3 dd",$D14="4 dd",$D14="6 dd",$D14="8 dd",$D14="12 dd",$D14="an",$D14="1 X"),VLOOKUP($D14,ber_tijden!$A$16:$X$25,ber_tijden!C$14,FALSE),"")</f>
        <v/>
      </c>
      <c r="J14" s="174" t="str">
        <f>IF(OR($D14="1 dd",$D14="2 dd",$D14="3 dd",$D14="4 dd",$D14="6 dd",$D14="8 dd",$D14="12 dd",$D14="an",$D14="1 X"),VLOOKUP($D14,ber_tijden!$A$16:$X$25,ber_tijden!D$14,FALSE),"")</f>
        <v/>
      </c>
      <c r="K14" s="17" t="str">
        <f>IF(OR($D14="1 dd",$D14="2 dd",$D14="3 dd",$D14="4 dd",$D14="6 dd",$D14="8 dd",$D14="12 dd",$D14="an",$D14="1 X"),VLOOKUP($D14,ber_tijden!$A$16:$X$25,ber_tijden!E$14,FALSE),"")</f>
        <v/>
      </c>
      <c r="L14" s="174" t="str">
        <f>IF(OR($D14="1 dd",$D14="2 dd",$D14="3 dd",$D14="4 dd",$D14="6 dd",$D14="8 dd",$D14="12 dd",$D14="an",$D14="1 X"),VLOOKUP($D14,ber_tijden!$A$16:$X$25,ber_tijden!F$14,FALSE),"")</f>
        <v/>
      </c>
      <c r="M14" s="17" t="str">
        <f>IF(OR($D14="1 dd",$D14="2 dd",$D14="3 dd",$D14="4 dd",$D14="6 dd",$D14="8 dd",$D14="12 dd",$D14="an",$D14="1 X"),VLOOKUP($D14,ber_tijden!$A$16:$X$25,ber_tijden!G$14,FALSE),"")</f>
        <v/>
      </c>
      <c r="N14" s="174" t="str">
        <f>IF(OR($D14="1 dd",$D14="2 dd",$D14="3 dd",$D14="4 dd",$D14="6 dd",$D14="8 dd",$D14="12 dd",$D14="an",$D14="1 X"),VLOOKUP($D14,ber_tijden!$A$16:$X$25,ber_tijden!H$14,FALSE),"")</f>
        <v/>
      </c>
      <c r="O14" s="17" t="str">
        <f>IF(OR($D14="1 dd",$D14="2 dd",$D14="3 dd",$D14="4 dd",$D14="6 dd",$D14="8 dd",$D14="12 dd",$D14="an",$D14="1 X"),VLOOKUP($D14,ber_tijden!$A$16:$X$25,ber_tijden!I$14,FALSE),"")</f>
        <v/>
      </c>
      <c r="P14" s="174" t="str">
        <f>IF(OR($D14="1 dd",$D14="2 dd",$D14="3 dd",$D14="4 dd",$D14="6 dd",$D14="8 dd",$D14="12 dd",$D14="an",$D14="1 X"),VLOOKUP($D14,ber_tijden!$A$16:$X$25,ber_tijden!J$14,FALSE),"")</f>
        <v/>
      </c>
      <c r="Q14" s="17" t="str">
        <f>IF(OR($D14="1 dd",$D14="2 dd",$D14="3 dd",$D14="4 dd",$D14="6 dd",$D14="8 dd",$D14="12 dd",$D14="an",$D14="1 X"),VLOOKUP($D14,ber_tijden!$A$16:$X$25,ber_tijden!K$14,FALSE),"")</f>
        <v/>
      </c>
      <c r="R14" s="174" t="str">
        <f>IF(OR($D14="1 dd",$D14="2 dd",$D14="3 dd",$D14="4 dd",$D14="6 dd",$D14="8 dd",$D14="12 dd",$D14="an",$D14="1 X"),VLOOKUP($D14,ber_tijden!$A$16:$X$25,ber_tijden!L$14,FALSE),"")</f>
        <v/>
      </c>
      <c r="S14" s="17" t="str">
        <f>IF(OR($D14="1 dd",$D14="2 dd",$D14="3 dd",$D14="4 dd",$D14="6 dd",$D14="8 dd",$D14="12 dd",$D14="an",$D14="1 X"),VLOOKUP($D14,ber_tijden!$A$16:$X$25,ber_tijden!M$14,FALSE),"")</f>
        <v/>
      </c>
      <c r="T14" s="174" t="str">
        <f>IF(OR($D14="1 dd",$D14="2 dd",$D14="3 dd",$D14="4 dd",$D14="6 dd",$D14="8 dd",$D14="12 dd",$D14="an",$D14="1 X"),VLOOKUP($D14,ber_tijden!$A$16:$X$25,ber_tijden!N$14,FALSE),"")</f>
        <v/>
      </c>
      <c r="U14" s="17" t="str">
        <f>IF(OR($D14="1 dd",$D14="2 dd",$D14="3 dd",$D14="4 dd",$D14="6 dd",$D14="8 dd",$D14="12 dd",$D14="an",$D14="1 X"),VLOOKUP($D14,ber_tijden!$A$16:$X$25,ber_tijden!O$14,FALSE),"")</f>
        <v/>
      </c>
      <c r="V14" s="174" t="str">
        <f>IF(OR($D14="1 dd",$D14="2 dd",$D14="3 dd",$D14="4 dd",$D14="6 dd",$D14="8 dd",$D14="12 dd",$D14="an",$D14="1 X"),VLOOKUP($D14,ber_tijden!$A$16:$X$25,ber_tijden!P$14,FALSE),"")</f>
        <v/>
      </c>
      <c r="W14" s="17" t="str">
        <f>IF(OR($D14="1 dd",$D14="2 dd",$D14="3 dd",$D14="4 dd",$D14="6 dd",$D14="8 dd",$D14="12 dd",$D14="an",$D14="1 X"),VLOOKUP($D14,ber_tijden!$A$16:$X$25,ber_tijden!Q$14,FALSE),"")</f>
        <v/>
      </c>
      <c r="X14" s="174" t="str">
        <f>IF(OR($D14="1 dd",$D14="2 dd",$D14="3 dd",$D14="4 dd",$D14="6 dd",$D14="8 dd",$D14="12 dd",$D14="an",$D14="1 X"),VLOOKUP($D14,ber_tijden!$A$16:$X$25,ber_tijden!R$14,FALSE),"")</f>
        <v/>
      </c>
      <c r="Y14" s="17" t="str">
        <f>IF(OR($D14="1 dd",$D14="2 dd",$D14="3 dd",$D14="4 dd",$D14="6 dd",$D14="8 dd",$D14="12 dd",$D14="an",$D14="1 X"),VLOOKUP($D14,ber_tijden!$A$16:$X$25,ber_tijden!S$14,FALSE),"")</f>
        <v/>
      </c>
      <c r="Z14" s="174" t="str">
        <f>IF(OR($D14="1 dd",$D14="2 dd",$D14="3 dd",$D14="4 dd",$D14="6 dd",$D14="8 dd",$D14="12 dd",$D14="an",$D14="1 X"),VLOOKUP($D14,ber_tijden!$A$16:$X$25,ber_tijden!T$14,FALSE),"")</f>
        <v/>
      </c>
      <c r="AA14" s="17" t="str">
        <f>IF(OR($D14="1 dd",$D14="2 dd",$D14="3 dd",$D14="4 dd",$D14="6 dd",$D14="8 dd",$D14="12 dd",$D14="an",$D14="1 X"),VLOOKUP($D14,ber_tijden!$A$16:$X$25,ber_tijden!U$14,FALSE),"")</f>
        <v/>
      </c>
      <c r="AB14" s="174" t="str">
        <f>IF(OR($D14="1 dd",$D14="2 dd",$D14="3 dd",$D14="4 dd",$D14="6 dd",$D14="8 dd",$D14="12 dd",$D14="an",$D14="1 X"),VLOOKUP($D14,ber_tijden!$A$16:$X$25,ber_tijden!V$14,FALSE),"")</f>
        <v/>
      </c>
      <c r="AC14" s="17" t="str">
        <f>IF(OR($D14="1 dd",$D14="2 dd",$D14="3 dd",$D14="4 dd",$D14="6 dd",$D14="8 dd",$D14="12 dd",$D14="an",$D14="1 X"),VLOOKUP($D14,ber_tijden!$A$16:$X$25,ber_tijden!W$14,FALSE),"")</f>
        <v/>
      </c>
      <c r="AD14" s="174" t="str">
        <f>IF(OR($D14="1 dd",$D14="2 dd",$D14="3 dd",$D14="4 dd",$D14="6 dd",$D14="8 dd",$D14="12 dd",$D14="an",$D14="1 X"),VLOOKUP($D14,ber_tijden!$A$16:$X$25,ber_tijden!X$14,FALSE),"")</f>
        <v/>
      </c>
      <c r="AE14" s="19"/>
      <c r="AF14" s="173"/>
      <c r="AG14" s="19"/>
    </row>
    <row r="15" spans="2:33" ht="26.1" customHeight="1" x14ac:dyDescent="0.35">
      <c r="B15" s="175" t="str">
        <f>IF(C15&lt;&gt;" ",Med_disc!C30,"")</f>
        <v/>
      </c>
      <c r="C15" s="342" t="str">
        <f>IF(ber_Med_disc!C14&lt;&gt;"",IF(ber_Med_disc!C14&gt;1,TRIM(ber_Med_disc!C14)&amp;", "&amp;ber_Opm!C28&amp;" ("&amp;ber_Med_disc!L14&amp;" "&amp;ber_Med_disc!E14&amp;"/kg/dag)",TRIM(ber_Med_disc!C14)&amp;", "&amp;ber_Opm!C28),"")</f>
        <v/>
      </c>
      <c r="D15" s="343" t="str">
        <f>IF(Med_disc!H30&lt;&gt;"",Med_disc!H30,"")</f>
        <v/>
      </c>
      <c r="E15" s="344" t="str">
        <f>IF(AND(D15&lt;&gt;"",D15&lt;&gt;"STOP"),ber_Med_disc!G14&amp;" "&amp;ber_Med_disc!E14,"")</f>
        <v/>
      </c>
      <c r="F15" s="344" t="str">
        <f>IF(AND(D15&lt;&gt;"",D15&lt;&gt;"STOP"),ber_Med_disc!K14," ")</f>
        <v xml:space="preserve"> </v>
      </c>
      <c r="G15" s="344" t="str">
        <f>IF(Med_disc!L30&lt;&gt;"",Med_disc!L30&amp;" "&amp;Med_disc!M30&amp;" "&amp;INDEX(ber_Med_disc!$B$27:$B$30,ber_Med_disc!N14,1)&amp;" in "&amp;Med_disc!$O$30,"")</f>
        <v/>
      </c>
      <c r="H15" s="174" t="str">
        <f>IF(OR($D15="1 dd",$D15="2 dd",$D15="3 dd",$D15="4 dd",$D15="6 dd",$D15="8 dd",$D15="12 dd",$D15="an",$D15="1 X"),VLOOKUP($D15,ber_tijden!$A$16:$X$25,ber_tijden!B$14,FALSE),"")</f>
        <v/>
      </c>
      <c r="I15" s="17" t="str">
        <f>IF(OR($D15="1 dd",$D15="2 dd",$D15="3 dd",$D15="4 dd",$D15="6 dd",$D15="8 dd",$D15="12 dd",$D15="an",$D15="1 X"),VLOOKUP($D15,ber_tijden!$A$16:$X$25,ber_tijden!C$14,FALSE),"")</f>
        <v/>
      </c>
      <c r="J15" s="174" t="str">
        <f>IF(OR($D15="1 dd",$D15="2 dd",$D15="3 dd",$D15="4 dd",$D15="6 dd",$D15="8 dd",$D15="12 dd",$D15="an",$D15="1 X"),VLOOKUP($D15,ber_tijden!$A$16:$X$25,ber_tijden!D$14,FALSE),"")</f>
        <v/>
      </c>
      <c r="K15" s="17" t="str">
        <f>IF(OR($D15="1 dd",$D15="2 dd",$D15="3 dd",$D15="4 dd",$D15="6 dd",$D15="8 dd",$D15="12 dd",$D15="an",$D15="1 X"),VLOOKUP($D15,ber_tijden!$A$16:$X$25,ber_tijden!E$14,FALSE),"")</f>
        <v/>
      </c>
      <c r="L15" s="174" t="str">
        <f>IF(OR($D15="1 dd",$D15="2 dd",$D15="3 dd",$D15="4 dd",$D15="6 dd",$D15="8 dd",$D15="12 dd",$D15="an",$D15="1 X"),VLOOKUP($D15,ber_tijden!$A$16:$X$25,ber_tijden!F$14,FALSE),"")</f>
        <v/>
      </c>
      <c r="M15" s="17" t="str">
        <f>IF(OR($D15="1 dd",$D15="2 dd",$D15="3 dd",$D15="4 dd",$D15="6 dd",$D15="8 dd",$D15="12 dd",$D15="an",$D15="1 X"),VLOOKUP($D15,ber_tijden!$A$16:$X$25,ber_tijden!G$14,FALSE),"")</f>
        <v/>
      </c>
      <c r="N15" s="174" t="str">
        <f>IF(OR($D15="1 dd",$D15="2 dd",$D15="3 dd",$D15="4 dd",$D15="6 dd",$D15="8 dd",$D15="12 dd",$D15="an",$D15="1 X"),VLOOKUP($D15,ber_tijden!$A$16:$X$25,ber_tijden!H$14,FALSE),"")</f>
        <v/>
      </c>
      <c r="O15" s="17" t="str">
        <f>IF(OR($D15="1 dd",$D15="2 dd",$D15="3 dd",$D15="4 dd",$D15="6 dd",$D15="8 dd",$D15="12 dd",$D15="an",$D15="1 X"),VLOOKUP($D15,ber_tijden!$A$16:$X$25,ber_tijden!I$14,FALSE),"")</f>
        <v/>
      </c>
      <c r="P15" s="174" t="str">
        <f>IF(OR($D15="1 dd",$D15="2 dd",$D15="3 dd",$D15="4 dd",$D15="6 dd",$D15="8 dd",$D15="12 dd",$D15="an",$D15="1 X"),VLOOKUP($D15,ber_tijden!$A$16:$X$25,ber_tijden!J$14,FALSE),"")</f>
        <v/>
      </c>
      <c r="Q15" s="17" t="str">
        <f>IF(OR($D15="1 dd",$D15="2 dd",$D15="3 dd",$D15="4 dd",$D15="6 dd",$D15="8 dd",$D15="12 dd",$D15="an",$D15="1 X"),VLOOKUP($D15,ber_tijden!$A$16:$X$25,ber_tijden!K$14,FALSE),"")</f>
        <v/>
      </c>
      <c r="R15" s="174" t="str">
        <f>IF(OR($D15="1 dd",$D15="2 dd",$D15="3 dd",$D15="4 dd",$D15="6 dd",$D15="8 dd",$D15="12 dd",$D15="an",$D15="1 X"),VLOOKUP($D15,ber_tijden!$A$16:$X$25,ber_tijden!L$14,FALSE),"")</f>
        <v/>
      </c>
      <c r="S15" s="17" t="str">
        <f>IF(OR($D15="1 dd",$D15="2 dd",$D15="3 dd",$D15="4 dd",$D15="6 dd",$D15="8 dd",$D15="12 dd",$D15="an",$D15="1 X"),VLOOKUP($D15,ber_tijden!$A$16:$X$25,ber_tijden!M$14,FALSE),"")</f>
        <v/>
      </c>
      <c r="T15" s="174" t="str">
        <f>IF(OR($D15="1 dd",$D15="2 dd",$D15="3 dd",$D15="4 dd",$D15="6 dd",$D15="8 dd",$D15="12 dd",$D15="an",$D15="1 X"),VLOOKUP($D15,ber_tijden!$A$16:$X$25,ber_tijden!N$14,FALSE),"")</f>
        <v/>
      </c>
      <c r="U15" s="17" t="str">
        <f>IF(OR($D15="1 dd",$D15="2 dd",$D15="3 dd",$D15="4 dd",$D15="6 dd",$D15="8 dd",$D15="12 dd",$D15="an",$D15="1 X"),VLOOKUP($D15,ber_tijden!$A$16:$X$25,ber_tijden!O$14,FALSE),"")</f>
        <v/>
      </c>
      <c r="V15" s="174" t="str">
        <f>IF(OR($D15="1 dd",$D15="2 dd",$D15="3 dd",$D15="4 dd",$D15="6 dd",$D15="8 dd",$D15="12 dd",$D15="an",$D15="1 X"),VLOOKUP($D15,ber_tijden!$A$16:$X$25,ber_tijden!P$14,FALSE),"")</f>
        <v/>
      </c>
      <c r="W15" s="17" t="str">
        <f>IF(OR($D15="1 dd",$D15="2 dd",$D15="3 dd",$D15="4 dd",$D15="6 dd",$D15="8 dd",$D15="12 dd",$D15="an",$D15="1 X"),VLOOKUP($D15,ber_tijden!$A$16:$X$25,ber_tijden!Q$14,FALSE),"")</f>
        <v/>
      </c>
      <c r="X15" s="174" t="str">
        <f>IF(OR($D15="1 dd",$D15="2 dd",$D15="3 dd",$D15="4 dd",$D15="6 dd",$D15="8 dd",$D15="12 dd",$D15="an",$D15="1 X"),VLOOKUP($D15,ber_tijden!$A$16:$X$25,ber_tijden!R$14,FALSE),"")</f>
        <v/>
      </c>
      <c r="Y15" s="17" t="str">
        <f>IF(OR($D15="1 dd",$D15="2 dd",$D15="3 dd",$D15="4 dd",$D15="6 dd",$D15="8 dd",$D15="12 dd",$D15="an",$D15="1 X"),VLOOKUP($D15,ber_tijden!$A$16:$X$25,ber_tijden!S$14,FALSE),"")</f>
        <v/>
      </c>
      <c r="Z15" s="174" t="str">
        <f>IF(OR($D15="1 dd",$D15="2 dd",$D15="3 dd",$D15="4 dd",$D15="6 dd",$D15="8 dd",$D15="12 dd",$D15="an",$D15="1 X"),VLOOKUP($D15,ber_tijden!$A$16:$X$25,ber_tijden!T$14,FALSE),"")</f>
        <v/>
      </c>
      <c r="AA15" s="17" t="str">
        <f>IF(OR($D15="1 dd",$D15="2 dd",$D15="3 dd",$D15="4 dd",$D15="6 dd",$D15="8 dd",$D15="12 dd",$D15="an",$D15="1 X"),VLOOKUP($D15,ber_tijden!$A$16:$X$25,ber_tijden!U$14,FALSE),"")</f>
        <v/>
      </c>
      <c r="AB15" s="174" t="str">
        <f>IF(OR($D15="1 dd",$D15="2 dd",$D15="3 dd",$D15="4 dd",$D15="6 dd",$D15="8 dd",$D15="12 dd",$D15="an",$D15="1 X"),VLOOKUP($D15,ber_tijden!$A$16:$X$25,ber_tijden!V$14,FALSE),"")</f>
        <v/>
      </c>
      <c r="AC15" s="17" t="str">
        <f>IF(OR($D15="1 dd",$D15="2 dd",$D15="3 dd",$D15="4 dd",$D15="6 dd",$D15="8 dd",$D15="12 dd",$D15="an",$D15="1 X"),VLOOKUP($D15,ber_tijden!$A$16:$X$25,ber_tijden!W$14,FALSE),"")</f>
        <v/>
      </c>
      <c r="AD15" s="174" t="str">
        <f>IF(OR($D15="1 dd",$D15="2 dd",$D15="3 dd",$D15="4 dd",$D15="6 dd",$D15="8 dd",$D15="12 dd",$D15="an",$D15="1 X"),VLOOKUP($D15,ber_tijden!$A$16:$X$25,ber_tijden!X$14,FALSE),"")</f>
        <v/>
      </c>
      <c r="AE15" s="19"/>
      <c r="AF15" s="173"/>
      <c r="AG15" s="19"/>
    </row>
    <row r="16" spans="2:33" ht="26.1" customHeight="1" x14ac:dyDescent="0.35">
      <c r="B16" s="175" t="str">
        <f>IF(C16&lt;&gt;" ",Med_disc!C32,"")</f>
        <v/>
      </c>
      <c r="C16" s="342" t="str">
        <f>IF(ber_Med_disc!C15&lt;&gt;"",IF(ber_Med_disc!C15&gt;1,TRIM(ber_Med_disc!C15)&amp;", "&amp;ber_Opm!C29&amp;" ("&amp;ber_Med_disc!L15&amp;" "&amp;ber_Med_disc!E15&amp;"/kg/dag)",TRIM(ber_Med_disc!C15)&amp;", "&amp;ber_Opm!C29),"")</f>
        <v/>
      </c>
      <c r="D16" s="343" t="str">
        <f>IF(Med_disc!H32&lt;&gt;"",Med_disc!H32,"")</f>
        <v/>
      </c>
      <c r="E16" s="344" t="str">
        <f>IF(AND(D16&lt;&gt;"",D16&lt;&gt;"STOP"),ber_Med_disc!G15&amp;" "&amp;ber_Med_disc!E15,"")</f>
        <v/>
      </c>
      <c r="F16" s="344" t="str">
        <f>IF(AND(D16&lt;&gt;"",D16&lt;&gt;"STOP"),ber_Med_disc!K15," ")</f>
        <v xml:space="preserve"> </v>
      </c>
      <c r="G16" s="344" t="str">
        <f>IF(Med_disc!L32&lt;&gt;"",Med_disc!L32&amp;" "&amp;Med_disc!M32&amp;" "&amp;INDEX(ber_Med_disc!$B$27:$B$30,ber_Med_disc!N15,1)&amp;" in "&amp;Med_disc!$O$32,"")</f>
        <v/>
      </c>
      <c r="H16" s="174" t="str">
        <f>IF(OR($D16="1 dd",$D16="2 dd",$D16="3 dd",$D16="4 dd",$D16="6 dd",$D16="8 dd",$D16="12 dd",$D16="an",$D16="1 X"),VLOOKUP($D16,ber_tijden!$A$16:$X$25,ber_tijden!B$14,FALSE),"")</f>
        <v/>
      </c>
      <c r="I16" s="17" t="str">
        <f>IF(OR($D16="1 dd",$D16="2 dd",$D16="3 dd",$D16="4 dd",$D16="6 dd",$D16="8 dd",$D16="12 dd",$D16="an",$D16="1 X"),VLOOKUP($D16,ber_tijden!$A$16:$X$25,ber_tijden!C$14,FALSE),"")</f>
        <v/>
      </c>
      <c r="J16" s="174" t="str">
        <f>IF(OR($D16="1 dd",$D16="2 dd",$D16="3 dd",$D16="4 dd",$D16="6 dd",$D16="8 dd",$D16="12 dd",$D16="an",$D16="1 X"),VLOOKUP($D16,ber_tijden!$A$16:$X$25,ber_tijden!D$14,FALSE),"")</f>
        <v/>
      </c>
      <c r="K16" s="17" t="str">
        <f>IF(OR($D16="1 dd",$D16="2 dd",$D16="3 dd",$D16="4 dd",$D16="6 dd",$D16="8 dd",$D16="12 dd",$D16="an",$D16="1 X"),VLOOKUP($D16,ber_tijden!$A$16:$X$25,ber_tijden!E$14,FALSE),"")</f>
        <v/>
      </c>
      <c r="L16" s="174" t="str">
        <f>IF(OR($D16="1 dd",$D16="2 dd",$D16="3 dd",$D16="4 dd",$D16="6 dd",$D16="8 dd",$D16="12 dd",$D16="an",$D16="1 X"),VLOOKUP($D16,ber_tijden!$A$16:$X$25,ber_tijden!F$14,FALSE),"")</f>
        <v/>
      </c>
      <c r="M16" s="17" t="str">
        <f>IF(OR($D16="1 dd",$D16="2 dd",$D16="3 dd",$D16="4 dd",$D16="6 dd",$D16="8 dd",$D16="12 dd",$D16="an",$D16="1 X"),VLOOKUP($D16,ber_tijden!$A$16:$X$25,ber_tijden!G$14,FALSE),"")</f>
        <v/>
      </c>
      <c r="N16" s="174" t="str">
        <f>IF(OR($D16="1 dd",$D16="2 dd",$D16="3 dd",$D16="4 dd",$D16="6 dd",$D16="8 dd",$D16="12 dd",$D16="an",$D16="1 X"),VLOOKUP($D16,ber_tijden!$A$16:$X$25,ber_tijden!H$14,FALSE),"")</f>
        <v/>
      </c>
      <c r="O16" s="17" t="str">
        <f>IF(OR($D16="1 dd",$D16="2 dd",$D16="3 dd",$D16="4 dd",$D16="6 dd",$D16="8 dd",$D16="12 dd",$D16="an",$D16="1 X"),VLOOKUP($D16,ber_tijden!$A$16:$X$25,ber_tijden!I$14,FALSE),"")</f>
        <v/>
      </c>
      <c r="P16" s="174" t="str">
        <f>IF(OR($D16="1 dd",$D16="2 dd",$D16="3 dd",$D16="4 dd",$D16="6 dd",$D16="8 dd",$D16="12 dd",$D16="an",$D16="1 X"),VLOOKUP($D16,ber_tijden!$A$16:$X$25,ber_tijden!J$14,FALSE),"")</f>
        <v/>
      </c>
      <c r="Q16" s="17" t="str">
        <f>IF(OR($D16="1 dd",$D16="2 dd",$D16="3 dd",$D16="4 dd",$D16="6 dd",$D16="8 dd",$D16="12 dd",$D16="an",$D16="1 X"),VLOOKUP($D16,ber_tijden!$A$16:$X$25,ber_tijden!K$14,FALSE),"")</f>
        <v/>
      </c>
      <c r="R16" s="174" t="str">
        <f>IF(OR($D16="1 dd",$D16="2 dd",$D16="3 dd",$D16="4 dd",$D16="6 dd",$D16="8 dd",$D16="12 dd",$D16="an",$D16="1 X"),VLOOKUP($D16,ber_tijden!$A$16:$X$25,ber_tijden!L$14,FALSE),"")</f>
        <v/>
      </c>
      <c r="S16" s="17" t="str">
        <f>IF(OR($D16="1 dd",$D16="2 dd",$D16="3 dd",$D16="4 dd",$D16="6 dd",$D16="8 dd",$D16="12 dd",$D16="an",$D16="1 X"),VLOOKUP($D16,ber_tijden!$A$16:$X$25,ber_tijden!M$14,FALSE),"")</f>
        <v/>
      </c>
      <c r="T16" s="174" t="str">
        <f>IF(OR($D16="1 dd",$D16="2 dd",$D16="3 dd",$D16="4 dd",$D16="6 dd",$D16="8 dd",$D16="12 dd",$D16="an",$D16="1 X"),VLOOKUP($D16,ber_tijden!$A$16:$X$25,ber_tijden!N$14,FALSE),"")</f>
        <v/>
      </c>
      <c r="U16" s="17" t="str">
        <f>IF(OR($D16="1 dd",$D16="2 dd",$D16="3 dd",$D16="4 dd",$D16="6 dd",$D16="8 dd",$D16="12 dd",$D16="an",$D16="1 X"),VLOOKUP($D16,ber_tijden!$A$16:$X$25,ber_tijden!O$14,FALSE),"")</f>
        <v/>
      </c>
      <c r="V16" s="174" t="str">
        <f>IF(OR($D16="1 dd",$D16="2 dd",$D16="3 dd",$D16="4 dd",$D16="6 dd",$D16="8 dd",$D16="12 dd",$D16="an",$D16="1 X"),VLOOKUP($D16,ber_tijden!$A$16:$X$25,ber_tijden!P$14,FALSE),"")</f>
        <v/>
      </c>
      <c r="W16" s="17" t="str">
        <f>IF(OR($D16="1 dd",$D16="2 dd",$D16="3 dd",$D16="4 dd",$D16="6 dd",$D16="8 dd",$D16="12 dd",$D16="an",$D16="1 X"),VLOOKUP($D16,ber_tijden!$A$16:$X$25,ber_tijden!Q$14,FALSE),"")</f>
        <v/>
      </c>
      <c r="X16" s="174" t="str">
        <f>IF(OR($D16="1 dd",$D16="2 dd",$D16="3 dd",$D16="4 dd",$D16="6 dd",$D16="8 dd",$D16="12 dd",$D16="an",$D16="1 X"),VLOOKUP($D16,ber_tijden!$A$16:$X$25,ber_tijden!R$14,FALSE),"")</f>
        <v/>
      </c>
      <c r="Y16" s="17" t="str">
        <f>IF(OR($D16="1 dd",$D16="2 dd",$D16="3 dd",$D16="4 dd",$D16="6 dd",$D16="8 dd",$D16="12 dd",$D16="an",$D16="1 X"),VLOOKUP($D16,ber_tijden!$A$16:$X$25,ber_tijden!S$14,FALSE),"")</f>
        <v/>
      </c>
      <c r="Z16" s="174" t="str">
        <f>IF(OR($D16="1 dd",$D16="2 dd",$D16="3 dd",$D16="4 dd",$D16="6 dd",$D16="8 dd",$D16="12 dd",$D16="an",$D16="1 X"),VLOOKUP($D16,ber_tijden!$A$16:$X$25,ber_tijden!T$14,FALSE),"")</f>
        <v/>
      </c>
      <c r="AA16" s="17" t="str">
        <f>IF(OR($D16="1 dd",$D16="2 dd",$D16="3 dd",$D16="4 dd",$D16="6 dd",$D16="8 dd",$D16="12 dd",$D16="an",$D16="1 X"),VLOOKUP($D16,ber_tijden!$A$16:$X$25,ber_tijden!U$14,FALSE),"")</f>
        <v/>
      </c>
      <c r="AB16" s="174" t="str">
        <f>IF(OR($D16="1 dd",$D16="2 dd",$D16="3 dd",$D16="4 dd",$D16="6 dd",$D16="8 dd",$D16="12 dd",$D16="an",$D16="1 X"),VLOOKUP($D16,ber_tijden!$A$16:$X$25,ber_tijden!V$14,FALSE),"")</f>
        <v/>
      </c>
      <c r="AC16" s="17" t="str">
        <f>IF(OR($D16="1 dd",$D16="2 dd",$D16="3 dd",$D16="4 dd",$D16="6 dd",$D16="8 dd",$D16="12 dd",$D16="an",$D16="1 X"),VLOOKUP($D16,ber_tijden!$A$16:$X$25,ber_tijden!W$14,FALSE),"")</f>
        <v/>
      </c>
      <c r="AD16" s="174" t="str">
        <f>IF(OR($D16="1 dd",$D16="2 dd",$D16="3 dd",$D16="4 dd",$D16="6 dd",$D16="8 dd",$D16="12 dd",$D16="an",$D16="1 X"),VLOOKUP($D16,ber_tijden!$A$16:$X$25,ber_tijden!X$14,FALSE),"")</f>
        <v/>
      </c>
      <c r="AE16" s="19"/>
      <c r="AF16" s="173"/>
      <c r="AG16" s="19"/>
    </row>
    <row r="17" spans="2:33" ht="26.1" customHeight="1" x14ac:dyDescent="0.35">
      <c r="B17" s="175" t="str">
        <f>IF(C17&lt;&gt;" ",Med_disc!C34,"")</f>
        <v/>
      </c>
      <c r="C17" s="342" t="str">
        <f>IF(ber_Med_disc!C16&lt;&gt;"",IF(ber_Med_disc!C16&gt;1,TRIM(ber_Med_disc!C16)&amp;", "&amp;ber_Opm!C30&amp;" ("&amp;ber_Med_disc!L16&amp;" "&amp;ber_Med_disc!E16&amp;"/kg/dag)",TRIM(ber_Med_disc!C16)&amp;", "&amp;ber_Opm!C30),"")</f>
        <v/>
      </c>
      <c r="D17" s="343" t="str">
        <f>IF(Med_disc!H34&lt;&gt;"",Med_disc!H34,"")</f>
        <v/>
      </c>
      <c r="E17" s="344" t="str">
        <f>IF(AND(D17&lt;&gt;"",D17&lt;&gt;"STOP"),ber_Med_disc!G16&amp;" "&amp;ber_Med_disc!E16,"")</f>
        <v/>
      </c>
      <c r="F17" s="344" t="str">
        <f>IF(AND(D17&lt;&gt;"",D17&lt;&gt;"STOP"),ber_Med_disc!K16," ")</f>
        <v xml:space="preserve"> </v>
      </c>
      <c r="G17" s="344" t="str">
        <f>IF(Med_disc!L34&lt;&gt;"",Med_disc!L34&amp;" "&amp;Med_disc!M34&amp;" "&amp;INDEX(ber_Med_disc!$B$27:$B$30,ber_Med_disc!N16,1)&amp;" in "&amp;Med_disc!$O$34,"")</f>
        <v/>
      </c>
      <c r="H17" s="174" t="str">
        <f>IF(OR($D17="1 dd",$D17="2 dd",$D17="3 dd",$D17="4 dd",$D17="6 dd",$D17="8 dd",$D17="12 dd",$D17="an",$D17="1 X"),VLOOKUP($D17,ber_tijden!$A$16:$X$25,ber_tijden!B$14,FALSE),"")</f>
        <v/>
      </c>
      <c r="I17" s="17" t="str">
        <f>IF(OR($D17="1 dd",$D17="2 dd",$D17="3 dd",$D17="4 dd",$D17="6 dd",$D17="8 dd",$D17="12 dd",$D17="an",$D17="1 X"),VLOOKUP($D17,ber_tijden!$A$16:$X$25,ber_tijden!C$14,FALSE),"")</f>
        <v/>
      </c>
      <c r="J17" s="174" t="str">
        <f>IF(OR($D17="1 dd",$D17="2 dd",$D17="3 dd",$D17="4 dd",$D17="6 dd",$D17="8 dd",$D17="12 dd",$D17="an",$D17="1 X"),VLOOKUP($D17,ber_tijden!$A$16:$X$25,ber_tijden!D$14,FALSE),"")</f>
        <v/>
      </c>
      <c r="K17" s="17" t="str">
        <f>IF(OR($D17="1 dd",$D17="2 dd",$D17="3 dd",$D17="4 dd",$D17="6 dd",$D17="8 dd",$D17="12 dd",$D17="an",$D17="1 X"),VLOOKUP($D17,ber_tijden!$A$16:$X$25,ber_tijden!E$14,FALSE),"")</f>
        <v/>
      </c>
      <c r="L17" s="174" t="str">
        <f>IF(OR($D17="1 dd",$D17="2 dd",$D17="3 dd",$D17="4 dd",$D17="6 dd",$D17="8 dd",$D17="12 dd",$D17="an",$D17="1 X"),VLOOKUP($D17,ber_tijden!$A$16:$X$25,ber_tijden!F$14,FALSE),"")</f>
        <v/>
      </c>
      <c r="M17" s="17" t="str">
        <f>IF(OR($D17="1 dd",$D17="2 dd",$D17="3 dd",$D17="4 dd",$D17="6 dd",$D17="8 dd",$D17="12 dd",$D17="an",$D17="1 X"),VLOOKUP($D17,ber_tijden!$A$16:$X$25,ber_tijden!G$14,FALSE),"")</f>
        <v/>
      </c>
      <c r="N17" s="174" t="str">
        <f>IF(OR($D17="1 dd",$D17="2 dd",$D17="3 dd",$D17="4 dd",$D17="6 dd",$D17="8 dd",$D17="12 dd",$D17="an",$D17="1 X"),VLOOKUP($D17,ber_tijden!$A$16:$X$25,ber_tijden!H$14,FALSE),"")</f>
        <v/>
      </c>
      <c r="O17" s="17" t="str">
        <f>IF(OR($D17="1 dd",$D17="2 dd",$D17="3 dd",$D17="4 dd",$D17="6 dd",$D17="8 dd",$D17="12 dd",$D17="an",$D17="1 X"),VLOOKUP($D17,ber_tijden!$A$16:$X$25,ber_tijden!I$14,FALSE),"")</f>
        <v/>
      </c>
      <c r="P17" s="174" t="str">
        <f>IF(OR($D17="1 dd",$D17="2 dd",$D17="3 dd",$D17="4 dd",$D17="6 dd",$D17="8 dd",$D17="12 dd",$D17="an",$D17="1 X"),VLOOKUP($D17,ber_tijden!$A$16:$X$25,ber_tijden!J$14,FALSE),"")</f>
        <v/>
      </c>
      <c r="Q17" s="17" t="str">
        <f>IF(OR($D17="1 dd",$D17="2 dd",$D17="3 dd",$D17="4 dd",$D17="6 dd",$D17="8 dd",$D17="12 dd",$D17="an",$D17="1 X"),VLOOKUP($D17,ber_tijden!$A$16:$X$25,ber_tijden!K$14,FALSE),"")</f>
        <v/>
      </c>
      <c r="R17" s="174" t="str">
        <f>IF(OR($D17="1 dd",$D17="2 dd",$D17="3 dd",$D17="4 dd",$D17="6 dd",$D17="8 dd",$D17="12 dd",$D17="an",$D17="1 X"),VLOOKUP($D17,ber_tijden!$A$16:$X$25,ber_tijden!L$14,FALSE),"")</f>
        <v/>
      </c>
      <c r="S17" s="17" t="str">
        <f>IF(OR($D17="1 dd",$D17="2 dd",$D17="3 dd",$D17="4 dd",$D17="6 dd",$D17="8 dd",$D17="12 dd",$D17="an",$D17="1 X"),VLOOKUP($D17,ber_tijden!$A$16:$X$25,ber_tijden!M$14,FALSE),"")</f>
        <v/>
      </c>
      <c r="T17" s="174" t="str">
        <f>IF(OR($D17="1 dd",$D17="2 dd",$D17="3 dd",$D17="4 dd",$D17="6 dd",$D17="8 dd",$D17="12 dd",$D17="an",$D17="1 X"),VLOOKUP($D17,ber_tijden!$A$16:$X$25,ber_tijden!N$14,FALSE),"")</f>
        <v/>
      </c>
      <c r="U17" s="17" t="str">
        <f>IF(OR($D17="1 dd",$D17="2 dd",$D17="3 dd",$D17="4 dd",$D17="6 dd",$D17="8 dd",$D17="12 dd",$D17="an",$D17="1 X"),VLOOKUP($D17,ber_tijden!$A$16:$X$25,ber_tijden!O$14,FALSE),"")</f>
        <v/>
      </c>
      <c r="V17" s="174" t="str">
        <f>IF(OR($D17="1 dd",$D17="2 dd",$D17="3 dd",$D17="4 dd",$D17="6 dd",$D17="8 dd",$D17="12 dd",$D17="an",$D17="1 X"),VLOOKUP($D17,ber_tijden!$A$16:$X$25,ber_tijden!P$14,FALSE),"")</f>
        <v/>
      </c>
      <c r="W17" s="17" t="str">
        <f>IF(OR($D17="1 dd",$D17="2 dd",$D17="3 dd",$D17="4 dd",$D17="6 dd",$D17="8 dd",$D17="12 dd",$D17="an",$D17="1 X"),VLOOKUP($D17,ber_tijden!$A$16:$X$25,ber_tijden!Q$14,FALSE),"")</f>
        <v/>
      </c>
      <c r="X17" s="174" t="str">
        <f>IF(OR($D17="1 dd",$D17="2 dd",$D17="3 dd",$D17="4 dd",$D17="6 dd",$D17="8 dd",$D17="12 dd",$D17="an",$D17="1 X"),VLOOKUP($D17,ber_tijden!$A$16:$X$25,ber_tijden!R$14,FALSE),"")</f>
        <v/>
      </c>
      <c r="Y17" s="17" t="str">
        <f>IF(OR($D17="1 dd",$D17="2 dd",$D17="3 dd",$D17="4 dd",$D17="6 dd",$D17="8 dd",$D17="12 dd",$D17="an",$D17="1 X"),VLOOKUP($D17,ber_tijden!$A$16:$X$25,ber_tijden!S$14,FALSE),"")</f>
        <v/>
      </c>
      <c r="Z17" s="174" t="str">
        <f>IF(OR($D17="1 dd",$D17="2 dd",$D17="3 dd",$D17="4 dd",$D17="6 dd",$D17="8 dd",$D17="12 dd",$D17="an",$D17="1 X"),VLOOKUP($D17,ber_tijden!$A$16:$X$25,ber_tijden!T$14,FALSE),"")</f>
        <v/>
      </c>
      <c r="AA17" s="17" t="str">
        <f>IF(OR($D17="1 dd",$D17="2 dd",$D17="3 dd",$D17="4 dd",$D17="6 dd",$D17="8 dd",$D17="12 dd",$D17="an",$D17="1 X"),VLOOKUP($D17,ber_tijden!$A$16:$X$25,ber_tijden!U$14,FALSE),"")</f>
        <v/>
      </c>
      <c r="AB17" s="174" t="str">
        <f>IF(OR($D17="1 dd",$D17="2 dd",$D17="3 dd",$D17="4 dd",$D17="6 dd",$D17="8 dd",$D17="12 dd",$D17="an",$D17="1 X"),VLOOKUP($D17,ber_tijden!$A$16:$X$25,ber_tijden!V$14,FALSE),"")</f>
        <v/>
      </c>
      <c r="AC17" s="17" t="str">
        <f>IF(OR($D17="1 dd",$D17="2 dd",$D17="3 dd",$D17="4 dd",$D17="6 dd",$D17="8 dd",$D17="12 dd",$D17="an",$D17="1 X"),VLOOKUP($D17,ber_tijden!$A$16:$X$25,ber_tijden!W$14,FALSE),"")</f>
        <v/>
      </c>
      <c r="AD17" s="174" t="str">
        <f>IF(OR($D17="1 dd",$D17="2 dd",$D17="3 dd",$D17="4 dd",$D17="6 dd",$D17="8 dd",$D17="12 dd",$D17="an",$D17="1 X"),VLOOKUP($D17,ber_tijden!$A$16:$X$25,ber_tijden!X$14,FALSE),"")</f>
        <v/>
      </c>
      <c r="AE17" s="19"/>
      <c r="AF17" s="173"/>
      <c r="AG17" s="19"/>
    </row>
    <row r="18" spans="2:33" ht="26.1" customHeight="1" x14ac:dyDescent="0.35">
      <c r="B18" s="175" t="str">
        <f>IF(C18&lt;&gt;" ",Med_disc!C36,"")</f>
        <v/>
      </c>
      <c r="C18" s="342" t="str">
        <f>IF(ber_Med_disc!C17&lt;&gt;"",IF(ber_Med_disc!C17&gt;1,TRIM(ber_Med_disc!C17)&amp;", "&amp;ber_Opm!C31&amp;" ("&amp;ber_Med_disc!L17&amp;" "&amp;ber_Med_disc!E17&amp;"/kg/dag)",TRIM(ber_Med_disc!C17)&amp;", "&amp;ber_Opm!C31),"")</f>
        <v/>
      </c>
      <c r="D18" s="343" t="str">
        <f>IF(Med_disc!H36&lt;&gt;"",Med_disc!H36,"")</f>
        <v/>
      </c>
      <c r="E18" s="344" t="str">
        <f>IF(AND(D18&lt;&gt;"",D18&lt;&gt;"STOP"),ber_Med_disc!G17&amp;" "&amp;ber_Med_disc!E17,"")</f>
        <v/>
      </c>
      <c r="F18" s="344" t="str">
        <f>IF(AND(D18&lt;&gt;"",D18&lt;&gt;"STOP"),ber_Med_disc!K17," ")</f>
        <v xml:space="preserve"> </v>
      </c>
      <c r="G18" s="344" t="str">
        <f>IF(Med_disc!L36&lt;&gt;"",Med_disc!L36&amp;" "&amp;Med_disc!M36&amp;" "&amp;INDEX(ber_Med_disc!$B$27:$B$30,ber_Med_disc!N17,1)&amp;" in "&amp;Med_disc!$O$36,"")</f>
        <v/>
      </c>
      <c r="H18" s="174" t="str">
        <f>IF(OR($D18="1 dd",$D18="2 dd",$D18="3 dd",$D18="4 dd",$D18="6 dd",$D18="8 dd",$D18="12 dd",$D18="an",$D18="1 X"),VLOOKUP($D18,ber_tijden!$A$16:$X$25,ber_tijden!B$14,FALSE),"")</f>
        <v/>
      </c>
      <c r="I18" s="17" t="str">
        <f>IF(OR($D18="1 dd",$D18="2 dd",$D18="3 dd",$D18="4 dd",$D18="6 dd",$D18="8 dd",$D18="12 dd",$D18="an",$D18="1 X"),VLOOKUP($D18,ber_tijden!$A$16:$X$25,ber_tijden!C$14,FALSE),"")</f>
        <v/>
      </c>
      <c r="J18" s="174" t="str">
        <f>IF(OR($D18="1 dd",$D18="2 dd",$D18="3 dd",$D18="4 dd",$D18="6 dd",$D18="8 dd",$D18="12 dd",$D18="an",$D18="1 X"),VLOOKUP($D18,ber_tijden!$A$16:$X$25,ber_tijden!D$14,FALSE),"")</f>
        <v/>
      </c>
      <c r="K18" s="17" t="str">
        <f>IF(OR($D18="1 dd",$D18="2 dd",$D18="3 dd",$D18="4 dd",$D18="6 dd",$D18="8 dd",$D18="12 dd",$D18="an",$D18="1 X"),VLOOKUP($D18,ber_tijden!$A$16:$X$25,ber_tijden!E$14,FALSE),"")</f>
        <v/>
      </c>
      <c r="L18" s="174" t="str">
        <f>IF(OR($D18="1 dd",$D18="2 dd",$D18="3 dd",$D18="4 dd",$D18="6 dd",$D18="8 dd",$D18="12 dd",$D18="an",$D18="1 X"),VLOOKUP($D18,ber_tijden!$A$16:$X$25,ber_tijden!F$14,FALSE),"")</f>
        <v/>
      </c>
      <c r="M18" s="17" t="str">
        <f>IF(OR($D18="1 dd",$D18="2 dd",$D18="3 dd",$D18="4 dd",$D18="6 dd",$D18="8 dd",$D18="12 dd",$D18="an",$D18="1 X"),VLOOKUP($D18,ber_tijden!$A$16:$X$25,ber_tijden!G$14,FALSE),"")</f>
        <v/>
      </c>
      <c r="N18" s="174" t="str">
        <f>IF(OR($D18="1 dd",$D18="2 dd",$D18="3 dd",$D18="4 dd",$D18="6 dd",$D18="8 dd",$D18="12 dd",$D18="an",$D18="1 X"),VLOOKUP($D18,ber_tijden!$A$16:$X$25,ber_tijden!H$14,FALSE),"")</f>
        <v/>
      </c>
      <c r="O18" s="17" t="str">
        <f>IF(OR($D18="1 dd",$D18="2 dd",$D18="3 dd",$D18="4 dd",$D18="6 dd",$D18="8 dd",$D18="12 dd",$D18="an",$D18="1 X"),VLOOKUP($D18,ber_tijden!$A$16:$X$25,ber_tijden!I$14,FALSE),"")</f>
        <v/>
      </c>
      <c r="P18" s="174" t="str">
        <f>IF(OR($D18="1 dd",$D18="2 dd",$D18="3 dd",$D18="4 dd",$D18="6 dd",$D18="8 dd",$D18="12 dd",$D18="an",$D18="1 X"),VLOOKUP($D18,ber_tijden!$A$16:$X$25,ber_tijden!J$14,FALSE),"")</f>
        <v/>
      </c>
      <c r="Q18" s="17" t="str">
        <f>IF(OR($D18="1 dd",$D18="2 dd",$D18="3 dd",$D18="4 dd",$D18="6 dd",$D18="8 dd",$D18="12 dd",$D18="an",$D18="1 X"),VLOOKUP($D18,ber_tijden!$A$16:$X$25,ber_tijden!K$14,FALSE),"")</f>
        <v/>
      </c>
      <c r="R18" s="174" t="str">
        <f>IF(OR($D18="1 dd",$D18="2 dd",$D18="3 dd",$D18="4 dd",$D18="6 dd",$D18="8 dd",$D18="12 dd",$D18="an",$D18="1 X"),VLOOKUP($D18,ber_tijden!$A$16:$X$25,ber_tijden!L$14,FALSE),"")</f>
        <v/>
      </c>
      <c r="S18" s="17" t="str">
        <f>IF(OR($D18="1 dd",$D18="2 dd",$D18="3 dd",$D18="4 dd",$D18="6 dd",$D18="8 dd",$D18="12 dd",$D18="an",$D18="1 X"),VLOOKUP($D18,ber_tijden!$A$16:$X$25,ber_tijden!M$14,FALSE),"")</f>
        <v/>
      </c>
      <c r="T18" s="174" t="str">
        <f>IF(OR($D18="1 dd",$D18="2 dd",$D18="3 dd",$D18="4 dd",$D18="6 dd",$D18="8 dd",$D18="12 dd",$D18="an",$D18="1 X"),VLOOKUP($D18,ber_tijden!$A$16:$X$25,ber_tijden!N$14,FALSE),"")</f>
        <v/>
      </c>
      <c r="U18" s="17" t="str">
        <f>IF(OR($D18="1 dd",$D18="2 dd",$D18="3 dd",$D18="4 dd",$D18="6 dd",$D18="8 dd",$D18="12 dd",$D18="an",$D18="1 X"),VLOOKUP($D18,ber_tijden!$A$16:$X$25,ber_tijden!O$14,FALSE),"")</f>
        <v/>
      </c>
      <c r="V18" s="174" t="str">
        <f>IF(OR($D18="1 dd",$D18="2 dd",$D18="3 dd",$D18="4 dd",$D18="6 dd",$D18="8 dd",$D18="12 dd",$D18="an",$D18="1 X"),VLOOKUP($D18,ber_tijden!$A$16:$X$25,ber_tijden!P$14,FALSE),"")</f>
        <v/>
      </c>
      <c r="W18" s="17" t="str">
        <f>IF(OR($D18="1 dd",$D18="2 dd",$D18="3 dd",$D18="4 dd",$D18="6 dd",$D18="8 dd",$D18="12 dd",$D18="an",$D18="1 X"),VLOOKUP($D18,ber_tijden!$A$16:$X$25,ber_tijden!Q$14,FALSE),"")</f>
        <v/>
      </c>
      <c r="X18" s="174" t="str">
        <f>IF(OR($D18="1 dd",$D18="2 dd",$D18="3 dd",$D18="4 dd",$D18="6 dd",$D18="8 dd",$D18="12 dd",$D18="an",$D18="1 X"),VLOOKUP($D18,ber_tijden!$A$16:$X$25,ber_tijden!R$14,FALSE),"")</f>
        <v/>
      </c>
      <c r="Y18" s="17" t="str">
        <f>IF(OR($D18="1 dd",$D18="2 dd",$D18="3 dd",$D18="4 dd",$D18="6 dd",$D18="8 dd",$D18="12 dd",$D18="an",$D18="1 X"),VLOOKUP($D18,ber_tijden!$A$16:$X$25,ber_tijden!S$14,FALSE),"")</f>
        <v/>
      </c>
      <c r="Z18" s="174" t="str">
        <f>IF(OR($D18="1 dd",$D18="2 dd",$D18="3 dd",$D18="4 dd",$D18="6 dd",$D18="8 dd",$D18="12 dd",$D18="an",$D18="1 X"),VLOOKUP($D18,ber_tijden!$A$16:$X$25,ber_tijden!T$14,FALSE),"")</f>
        <v/>
      </c>
      <c r="AA18" s="17" t="str">
        <f>IF(OR($D18="1 dd",$D18="2 dd",$D18="3 dd",$D18="4 dd",$D18="6 dd",$D18="8 dd",$D18="12 dd",$D18="an",$D18="1 X"),VLOOKUP($D18,ber_tijden!$A$16:$X$25,ber_tijden!U$14,FALSE),"")</f>
        <v/>
      </c>
      <c r="AB18" s="174" t="str">
        <f>IF(OR($D18="1 dd",$D18="2 dd",$D18="3 dd",$D18="4 dd",$D18="6 dd",$D18="8 dd",$D18="12 dd",$D18="an",$D18="1 X"),VLOOKUP($D18,ber_tijden!$A$16:$X$25,ber_tijden!V$14,FALSE),"")</f>
        <v/>
      </c>
      <c r="AC18" s="17" t="str">
        <f>IF(OR($D18="1 dd",$D18="2 dd",$D18="3 dd",$D18="4 dd",$D18="6 dd",$D18="8 dd",$D18="12 dd",$D18="an",$D18="1 X"),VLOOKUP($D18,ber_tijden!$A$16:$X$25,ber_tijden!W$14,FALSE),"")</f>
        <v/>
      </c>
      <c r="AD18" s="174" t="str">
        <f>IF(OR($D18="1 dd",$D18="2 dd",$D18="3 dd",$D18="4 dd",$D18="6 dd",$D18="8 dd",$D18="12 dd",$D18="an",$D18="1 X"),VLOOKUP($D18,ber_tijden!$A$16:$X$25,ber_tijden!X$14,FALSE),"")</f>
        <v/>
      </c>
      <c r="AE18" s="19"/>
      <c r="AF18" s="173"/>
      <c r="AG18" s="19"/>
    </row>
    <row r="19" spans="2:33" ht="26.1" customHeight="1" x14ac:dyDescent="0.35">
      <c r="B19" s="175" t="str">
        <f>IF(C19&lt;&gt;" ",Med_disc!C38,"")</f>
        <v/>
      </c>
      <c r="C19" s="342" t="str">
        <f>IF(ber_Med_disc!C18&lt;&gt;"",IF(ber_Med_disc!C18&gt;1,TRIM(ber_Med_disc!C18)&amp;", "&amp;ber_Opm!C32&amp;" ("&amp;ber_Med_disc!L18&amp;" "&amp;ber_Med_disc!E18&amp;"/kg/dag)",TRIM(ber_Med_disc!C18)&amp;", "&amp;ber_Opm!C32),"")</f>
        <v/>
      </c>
      <c r="D19" s="343" t="str">
        <f>IF(Med_disc!H38&lt;&gt;"",Med_disc!H38,"")</f>
        <v/>
      </c>
      <c r="E19" s="344" t="str">
        <f>IF(AND(D19&lt;&gt;"",D19&lt;&gt;"STOP"),ber_Med_disc!G18&amp;" "&amp;ber_Med_disc!E18,"")</f>
        <v/>
      </c>
      <c r="F19" s="344" t="str">
        <f>IF(AND(D19&lt;&gt;"",D19&lt;&gt;"STOP"),ber_Med_disc!K18," ")</f>
        <v xml:space="preserve"> </v>
      </c>
      <c r="G19" s="344" t="str">
        <f>IF(Med_disc!L38&lt;&gt;"",Med_disc!L38&amp;" "&amp;Med_disc!M38&amp;" "&amp;INDEX(ber_Med_disc!$B$27:$B$30,ber_Med_disc!N18,1)&amp;" in "&amp;Med_disc!$O$38,"")</f>
        <v/>
      </c>
      <c r="H19" s="174" t="str">
        <f>IF(OR($D19="1 dd",$D19="2 dd",$D19="3 dd",$D19="4 dd",$D19="6 dd",$D19="8 dd",$D19="12 dd",$D19="an",$D19="1 X"),VLOOKUP($D19,ber_tijden!$A$16:$X$25,ber_tijden!B$14,FALSE),"")</f>
        <v/>
      </c>
      <c r="I19" s="17" t="str">
        <f>IF(OR($D19="1 dd",$D19="2 dd",$D19="3 dd",$D19="4 dd",$D19="6 dd",$D19="8 dd",$D19="12 dd",$D19="an",$D19="1 X"),VLOOKUP($D19,ber_tijden!$A$16:$X$25,ber_tijden!C$14,FALSE),"")</f>
        <v/>
      </c>
      <c r="J19" s="174" t="str">
        <f>IF(OR($D19="1 dd",$D19="2 dd",$D19="3 dd",$D19="4 dd",$D19="6 dd",$D19="8 dd",$D19="12 dd",$D19="an",$D19="1 X"),VLOOKUP($D19,ber_tijden!$A$16:$X$25,ber_tijden!D$14,FALSE),"")</f>
        <v/>
      </c>
      <c r="K19" s="17" t="str">
        <f>IF(OR($D19="1 dd",$D19="2 dd",$D19="3 dd",$D19="4 dd",$D19="6 dd",$D19="8 dd",$D19="12 dd",$D19="an",$D19="1 X"),VLOOKUP($D19,ber_tijden!$A$16:$X$25,ber_tijden!E$14,FALSE),"")</f>
        <v/>
      </c>
      <c r="L19" s="174" t="str">
        <f>IF(OR($D19="1 dd",$D19="2 dd",$D19="3 dd",$D19="4 dd",$D19="6 dd",$D19="8 dd",$D19="12 dd",$D19="an",$D19="1 X"),VLOOKUP($D19,ber_tijden!$A$16:$X$25,ber_tijden!F$14,FALSE),"")</f>
        <v/>
      </c>
      <c r="M19" s="17" t="str">
        <f>IF(OR($D19="1 dd",$D19="2 dd",$D19="3 dd",$D19="4 dd",$D19="6 dd",$D19="8 dd",$D19="12 dd",$D19="an",$D19="1 X"),VLOOKUP($D19,ber_tijden!$A$16:$X$25,ber_tijden!G$14,FALSE),"")</f>
        <v/>
      </c>
      <c r="N19" s="174" t="str">
        <f>IF(OR($D19="1 dd",$D19="2 dd",$D19="3 dd",$D19="4 dd",$D19="6 dd",$D19="8 dd",$D19="12 dd",$D19="an",$D19="1 X"),VLOOKUP($D19,ber_tijden!$A$16:$X$25,ber_tijden!H$14,FALSE),"")</f>
        <v/>
      </c>
      <c r="O19" s="17" t="str">
        <f>IF(OR($D19="1 dd",$D19="2 dd",$D19="3 dd",$D19="4 dd",$D19="6 dd",$D19="8 dd",$D19="12 dd",$D19="an",$D19="1 X"),VLOOKUP($D19,ber_tijden!$A$16:$X$25,ber_tijden!I$14,FALSE),"")</f>
        <v/>
      </c>
      <c r="P19" s="174" t="str">
        <f>IF(OR($D19="1 dd",$D19="2 dd",$D19="3 dd",$D19="4 dd",$D19="6 dd",$D19="8 dd",$D19="12 dd",$D19="an",$D19="1 X"),VLOOKUP($D19,ber_tijden!$A$16:$X$25,ber_tijden!J$14,FALSE),"")</f>
        <v/>
      </c>
      <c r="Q19" s="17" t="str">
        <f>IF(OR($D19="1 dd",$D19="2 dd",$D19="3 dd",$D19="4 dd",$D19="6 dd",$D19="8 dd",$D19="12 dd",$D19="an",$D19="1 X"),VLOOKUP($D19,ber_tijden!$A$16:$X$25,ber_tijden!K$14,FALSE),"")</f>
        <v/>
      </c>
      <c r="R19" s="174" t="str">
        <f>IF(OR($D19="1 dd",$D19="2 dd",$D19="3 dd",$D19="4 dd",$D19="6 dd",$D19="8 dd",$D19="12 dd",$D19="an",$D19="1 X"),VLOOKUP($D19,ber_tijden!$A$16:$X$25,ber_tijden!L$14,FALSE),"")</f>
        <v/>
      </c>
      <c r="S19" s="17" t="str">
        <f>IF(OR($D19="1 dd",$D19="2 dd",$D19="3 dd",$D19="4 dd",$D19="6 dd",$D19="8 dd",$D19="12 dd",$D19="an",$D19="1 X"),VLOOKUP($D19,ber_tijden!$A$16:$X$25,ber_tijden!M$14,FALSE),"")</f>
        <v/>
      </c>
      <c r="T19" s="174" t="str">
        <f>IF(OR($D19="1 dd",$D19="2 dd",$D19="3 dd",$D19="4 dd",$D19="6 dd",$D19="8 dd",$D19="12 dd",$D19="an",$D19="1 X"),VLOOKUP($D19,ber_tijden!$A$16:$X$25,ber_tijden!N$14,FALSE),"")</f>
        <v/>
      </c>
      <c r="U19" s="17" t="str">
        <f>IF(OR($D19="1 dd",$D19="2 dd",$D19="3 dd",$D19="4 dd",$D19="6 dd",$D19="8 dd",$D19="12 dd",$D19="an",$D19="1 X"),VLOOKUP($D19,ber_tijden!$A$16:$X$25,ber_tijden!O$14,FALSE),"")</f>
        <v/>
      </c>
      <c r="V19" s="174" t="str">
        <f>IF(OR($D19="1 dd",$D19="2 dd",$D19="3 dd",$D19="4 dd",$D19="6 dd",$D19="8 dd",$D19="12 dd",$D19="an",$D19="1 X"),VLOOKUP($D19,ber_tijden!$A$16:$X$25,ber_tijden!P$14,FALSE),"")</f>
        <v/>
      </c>
      <c r="W19" s="17" t="str">
        <f>IF(OR($D19="1 dd",$D19="2 dd",$D19="3 dd",$D19="4 dd",$D19="6 dd",$D19="8 dd",$D19="12 dd",$D19="an",$D19="1 X"),VLOOKUP($D19,ber_tijden!$A$16:$X$25,ber_tijden!Q$14,FALSE),"")</f>
        <v/>
      </c>
      <c r="X19" s="174" t="str">
        <f>IF(OR($D19="1 dd",$D19="2 dd",$D19="3 dd",$D19="4 dd",$D19="6 dd",$D19="8 dd",$D19="12 dd",$D19="an",$D19="1 X"),VLOOKUP($D19,ber_tijden!$A$16:$X$25,ber_tijden!R$14,FALSE),"")</f>
        <v/>
      </c>
      <c r="Y19" s="17" t="str">
        <f>IF(OR($D19="1 dd",$D19="2 dd",$D19="3 dd",$D19="4 dd",$D19="6 dd",$D19="8 dd",$D19="12 dd",$D19="an",$D19="1 X"),VLOOKUP($D19,ber_tijden!$A$16:$X$25,ber_tijden!S$14,FALSE),"")</f>
        <v/>
      </c>
      <c r="Z19" s="174" t="str">
        <f>IF(OR($D19="1 dd",$D19="2 dd",$D19="3 dd",$D19="4 dd",$D19="6 dd",$D19="8 dd",$D19="12 dd",$D19="an",$D19="1 X"),VLOOKUP($D19,ber_tijden!$A$16:$X$25,ber_tijden!T$14,FALSE),"")</f>
        <v/>
      </c>
      <c r="AA19" s="17" t="str">
        <f>IF(OR($D19="1 dd",$D19="2 dd",$D19="3 dd",$D19="4 dd",$D19="6 dd",$D19="8 dd",$D19="12 dd",$D19="an",$D19="1 X"),VLOOKUP($D19,ber_tijden!$A$16:$X$25,ber_tijden!U$14,FALSE),"")</f>
        <v/>
      </c>
      <c r="AB19" s="174" t="str">
        <f>IF(OR($D19="1 dd",$D19="2 dd",$D19="3 dd",$D19="4 dd",$D19="6 dd",$D19="8 dd",$D19="12 dd",$D19="an",$D19="1 X"),VLOOKUP($D19,ber_tijden!$A$16:$X$25,ber_tijden!V$14,FALSE),"")</f>
        <v/>
      </c>
      <c r="AC19" s="17" t="str">
        <f>IF(OR($D19="1 dd",$D19="2 dd",$D19="3 dd",$D19="4 dd",$D19="6 dd",$D19="8 dd",$D19="12 dd",$D19="an",$D19="1 X"),VLOOKUP($D19,ber_tijden!$A$16:$X$25,ber_tijden!W$14,FALSE),"")</f>
        <v/>
      </c>
      <c r="AD19" s="174" t="str">
        <f>IF(OR($D19="1 dd",$D19="2 dd",$D19="3 dd",$D19="4 dd",$D19="6 dd",$D19="8 dd",$D19="12 dd",$D19="an",$D19="1 X"),VLOOKUP($D19,ber_tijden!$A$16:$X$25,ber_tijden!X$14,FALSE),"")</f>
        <v/>
      </c>
      <c r="AE19" s="19"/>
      <c r="AF19" s="173"/>
      <c r="AG19" s="19"/>
    </row>
    <row r="20" spans="2:33" ht="26.1" customHeight="1" x14ac:dyDescent="0.35">
      <c r="B20" s="175" t="str">
        <f>IF(C20&lt;&gt;" ",Med_disc!C40,"")</f>
        <v/>
      </c>
      <c r="C20" s="342" t="str">
        <f>IF(ber_Med_disc!C19&lt;&gt;"",IF(ber_Med_disc!C19&gt;1,TRIM(ber_Med_disc!C19)&amp;", "&amp;ber_Opm!C33&amp;" ("&amp;ber_Med_disc!L19&amp;" "&amp;ber_Med_disc!E19&amp;"/kg/dag)",TRIM(ber_Med_disc!C19)&amp;", "&amp;ber_Opm!C33),"")</f>
        <v/>
      </c>
      <c r="D20" s="343" t="str">
        <f>IF(Med_disc!H40&lt;&gt;"",Med_disc!H40,"")</f>
        <v/>
      </c>
      <c r="E20" s="344" t="str">
        <f>IF(AND(D20&lt;&gt;"",D20&lt;&gt;"STOP"),ber_Med_disc!G19&amp;" "&amp;ber_Med_disc!E19,"")</f>
        <v/>
      </c>
      <c r="F20" s="344" t="str">
        <f>IF(AND(D20&lt;&gt;"",D20&lt;&gt;"STOP"),ber_Med_disc!K19," ")</f>
        <v xml:space="preserve"> </v>
      </c>
      <c r="G20" s="344" t="str">
        <f>IF(Med_disc!L40&lt;&gt;"",Med_disc!L40&amp;" "&amp;Med_disc!M40&amp;" "&amp;INDEX(ber_Med_disc!$B$27:$B$30,ber_Med_disc!N19,1)&amp;" in "&amp;Med_disc!$O$40,"")</f>
        <v/>
      </c>
      <c r="H20" s="174" t="str">
        <f>IF(OR($D20="1 dd",$D20="2 dd",$D20="3 dd",$D20="4 dd",$D20="6 dd",$D20="8 dd",$D20="12 dd",$D20="an",$D20="1 X"),VLOOKUP($D20,ber_tijden!$A$16:$X$25,ber_tijden!B$14,FALSE),"")</f>
        <v/>
      </c>
      <c r="I20" s="17" t="str">
        <f>IF(OR($D20="1 dd",$D20="2 dd",$D20="3 dd",$D20="4 dd",$D20="6 dd",$D20="8 dd",$D20="12 dd",$D20="an",$D20="1 X"),VLOOKUP($D20,ber_tijden!$A$16:$X$25,ber_tijden!C$14,FALSE),"")</f>
        <v/>
      </c>
      <c r="J20" s="174" t="str">
        <f>IF(OR($D20="1 dd",$D20="2 dd",$D20="3 dd",$D20="4 dd",$D20="6 dd",$D20="8 dd",$D20="12 dd",$D20="an",$D20="1 X"),VLOOKUP($D20,ber_tijden!$A$16:$X$25,ber_tijden!D$14,FALSE),"")</f>
        <v/>
      </c>
      <c r="K20" s="17" t="str">
        <f>IF(OR($D20="1 dd",$D20="2 dd",$D20="3 dd",$D20="4 dd",$D20="6 dd",$D20="8 dd",$D20="12 dd",$D20="an",$D20="1 X"),VLOOKUP($D20,ber_tijden!$A$16:$X$25,ber_tijden!E$14,FALSE),"")</f>
        <v/>
      </c>
      <c r="L20" s="174" t="str">
        <f>IF(OR($D20="1 dd",$D20="2 dd",$D20="3 dd",$D20="4 dd",$D20="6 dd",$D20="8 dd",$D20="12 dd",$D20="an",$D20="1 X"),VLOOKUP($D20,ber_tijden!$A$16:$X$25,ber_tijden!F$14,FALSE),"")</f>
        <v/>
      </c>
      <c r="M20" s="17" t="str">
        <f>IF(OR($D20="1 dd",$D20="2 dd",$D20="3 dd",$D20="4 dd",$D20="6 dd",$D20="8 dd",$D20="12 dd",$D20="an",$D20="1 X"),VLOOKUP($D20,ber_tijden!$A$16:$X$25,ber_tijden!G$14,FALSE),"")</f>
        <v/>
      </c>
      <c r="N20" s="174" t="str">
        <f>IF(OR($D20="1 dd",$D20="2 dd",$D20="3 dd",$D20="4 dd",$D20="6 dd",$D20="8 dd",$D20="12 dd",$D20="an",$D20="1 X"),VLOOKUP($D20,ber_tijden!$A$16:$X$25,ber_tijden!H$14,FALSE),"")</f>
        <v/>
      </c>
      <c r="O20" s="17" t="str">
        <f>IF(OR($D20="1 dd",$D20="2 dd",$D20="3 dd",$D20="4 dd",$D20="6 dd",$D20="8 dd",$D20="12 dd",$D20="an",$D20="1 X"),VLOOKUP($D20,ber_tijden!$A$16:$X$25,ber_tijden!I$14,FALSE),"")</f>
        <v/>
      </c>
      <c r="P20" s="174" t="str">
        <f>IF(OR($D20="1 dd",$D20="2 dd",$D20="3 dd",$D20="4 dd",$D20="6 dd",$D20="8 dd",$D20="12 dd",$D20="an",$D20="1 X"),VLOOKUP($D20,ber_tijden!$A$16:$X$25,ber_tijden!J$14,FALSE),"")</f>
        <v/>
      </c>
      <c r="Q20" s="17" t="str">
        <f>IF(OR($D20="1 dd",$D20="2 dd",$D20="3 dd",$D20="4 dd",$D20="6 dd",$D20="8 dd",$D20="12 dd",$D20="an",$D20="1 X"),VLOOKUP($D20,ber_tijden!$A$16:$X$25,ber_tijden!K$14,FALSE),"")</f>
        <v/>
      </c>
      <c r="R20" s="174" t="str">
        <f>IF(OR($D20="1 dd",$D20="2 dd",$D20="3 dd",$D20="4 dd",$D20="6 dd",$D20="8 dd",$D20="12 dd",$D20="an",$D20="1 X"),VLOOKUP($D20,ber_tijden!$A$16:$X$25,ber_tijden!L$14,FALSE),"")</f>
        <v/>
      </c>
      <c r="S20" s="17" t="str">
        <f>IF(OR($D20="1 dd",$D20="2 dd",$D20="3 dd",$D20="4 dd",$D20="6 dd",$D20="8 dd",$D20="12 dd",$D20="an",$D20="1 X"),VLOOKUP($D20,ber_tijden!$A$16:$X$25,ber_tijden!M$14,FALSE),"")</f>
        <v/>
      </c>
      <c r="T20" s="174" t="str">
        <f>IF(OR($D20="1 dd",$D20="2 dd",$D20="3 dd",$D20="4 dd",$D20="6 dd",$D20="8 dd",$D20="12 dd",$D20="an",$D20="1 X"),VLOOKUP($D20,ber_tijden!$A$16:$X$25,ber_tijden!N$14,FALSE),"")</f>
        <v/>
      </c>
      <c r="U20" s="17" t="str">
        <f>IF(OR($D20="1 dd",$D20="2 dd",$D20="3 dd",$D20="4 dd",$D20="6 dd",$D20="8 dd",$D20="12 dd",$D20="an",$D20="1 X"),VLOOKUP($D20,ber_tijden!$A$16:$X$25,ber_tijden!O$14,FALSE),"")</f>
        <v/>
      </c>
      <c r="V20" s="174" t="str">
        <f>IF(OR($D20="1 dd",$D20="2 dd",$D20="3 dd",$D20="4 dd",$D20="6 dd",$D20="8 dd",$D20="12 dd",$D20="an",$D20="1 X"),VLOOKUP($D20,ber_tijden!$A$16:$X$25,ber_tijden!P$14,FALSE),"")</f>
        <v/>
      </c>
      <c r="W20" s="17" t="str">
        <f>IF(OR($D20="1 dd",$D20="2 dd",$D20="3 dd",$D20="4 dd",$D20="6 dd",$D20="8 dd",$D20="12 dd",$D20="an",$D20="1 X"),VLOOKUP($D20,ber_tijden!$A$16:$X$25,ber_tijden!Q$14,FALSE),"")</f>
        <v/>
      </c>
      <c r="X20" s="174" t="str">
        <f>IF(OR($D20="1 dd",$D20="2 dd",$D20="3 dd",$D20="4 dd",$D20="6 dd",$D20="8 dd",$D20="12 dd",$D20="an",$D20="1 X"),VLOOKUP($D20,ber_tijden!$A$16:$X$25,ber_tijden!R$14,FALSE),"")</f>
        <v/>
      </c>
      <c r="Y20" s="17" t="str">
        <f>IF(OR($D20="1 dd",$D20="2 dd",$D20="3 dd",$D20="4 dd",$D20="6 dd",$D20="8 dd",$D20="12 dd",$D20="an",$D20="1 X"),VLOOKUP($D20,ber_tijden!$A$16:$X$25,ber_tijden!S$14,FALSE),"")</f>
        <v/>
      </c>
      <c r="Z20" s="174" t="str">
        <f>IF(OR($D20="1 dd",$D20="2 dd",$D20="3 dd",$D20="4 dd",$D20="6 dd",$D20="8 dd",$D20="12 dd",$D20="an",$D20="1 X"),VLOOKUP($D20,ber_tijden!$A$16:$X$25,ber_tijden!T$14,FALSE),"")</f>
        <v/>
      </c>
      <c r="AA20" s="17" t="str">
        <f>IF(OR($D20="1 dd",$D20="2 dd",$D20="3 dd",$D20="4 dd",$D20="6 dd",$D20="8 dd",$D20="12 dd",$D20="an",$D20="1 X"),VLOOKUP($D20,ber_tijden!$A$16:$X$25,ber_tijden!U$14,FALSE),"")</f>
        <v/>
      </c>
      <c r="AB20" s="174" t="str">
        <f>IF(OR($D20="1 dd",$D20="2 dd",$D20="3 dd",$D20="4 dd",$D20="6 dd",$D20="8 dd",$D20="12 dd",$D20="an",$D20="1 X"),VLOOKUP($D20,ber_tijden!$A$16:$X$25,ber_tijden!V$14,FALSE),"")</f>
        <v/>
      </c>
      <c r="AC20" s="17" t="str">
        <f>IF(OR($D20="1 dd",$D20="2 dd",$D20="3 dd",$D20="4 dd",$D20="6 dd",$D20="8 dd",$D20="12 dd",$D20="an",$D20="1 X"),VLOOKUP($D20,ber_tijden!$A$16:$X$25,ber_tijden!W$14,FALSE),"")</f>
        <v/>
      </c>
      <c r="AD20" s="174" t="str">
        <f>IF(OR($D20="1 dd",$D20="2 dd",$D20="3 dd",$D20="4 dd",$D20="6 dd",$D20="8 dd",$D20="12 dd",$D20="an",$D20="1 X"),VLOOKUP($D20,ber_tijden!$A$16:$X$25,ber_tijden!X$14,FALSE),"")</f>
        <v/>
      </c>
      <c r="AE20" s="19"/>
      <c r="AF20" s="173"/>
      <c r="AG20" s="19"/>
    </row>
    <row r="21" spans="2:33" ht="26.1" customHeight="1" x14ac:dyDescent="0.35">
      <c r="B21" s="175" t="str">
        <f>IF(C21&lt;&gt;" ",Med_disc!C42,"")</f>
        <v/>
      </c>
      <c r="C21" s="342" t="str">
        <f>IF(ber_Med_disc!C20&lt;&gt;"",IF(ber_Med_disc!C20&gt;1,TRIM(ber_Med_disc!C20)&amp;", "&amp;ber_Opm!C34&amp;" ("&amp;ber_Med_disc!L20&amp;" "&amp;ber_Med_disc!E20&amp;"/kg/dag)",TRIM(ber_Med_disc!C20)&amp;", "&amp;ber_Opm!C34),"")</f>
        <v/>
      </c>
      <c r="D21" s="343" t="str">
        <f>IF(Med_disc!H42&lt;&gt;"",Med_disc!H42,"")</f>
        <v/>
      </c>
      <c r="E21" s="344" t="str">
        <f>IF(AND(D21&lt;&gt;"",D21&lt;&gt;"STOP"),ber_Med_disc!G20&amp;" "&amp;ber_Med_disc!E20,"")</f>
        <v/>
      </c>
      <c r="F21" s="344" t="str">
        <f>IF(AND(D21&lt;&gt;"",D21&lt;&gt;"STOP"),ber_Med_disc!K20," ")</f>
        <v xml:space="preserve"> </v>
      </c>
      <c r="G21" s="344" t="str">
        <f>IF(Med_disc!L42&lt;&gt;"",Med_disc!L42&amp;" "&amp;Med_disc!M42&amp;" "&amp;INDEX(ber_Med_disc!$B$27:$B$30,ber_Med_disc!N20,1)&amp;" in "&amp;Med_disc!$O$42,"")</f>
        <v/>
      </c>
      <c r="H21" s="174" t="str">
        <f>IF(OR($D21="1 dd",$D21="2 dd",$D21="3 dd",$D21="4 dd",$D21="6 dd",$D21="8 dd",$D21="12 dd",$D21="an",$D21="1 X"),VLOOKUP($D21,ber_tijden!$A$16:$X$25,ber_tijden!B$14,FALSE),"")</f>
        <v/>
      </c>
      <c r="I21" s="17" t="str">
        <f>IF(OR($D21="1 dd",$D21="2 dd",$D21="3 dd",$D21="4 dd",$D21="6 dd",$D21="8 dd",$D21="12 dd",$D21="an",$D21="1 X"),VLOOKUP($D21,ber_tijden!$A$16:$X$25,ber_tijden!C$14,FALSE),"")</f>
        <v/>
      </c>
      <c r="J21" s="174" t="str">
        <f>IF(OR($D21="1 dd",$D21="2 dd",$D21="3 dd",$D21="4 dd",$D21="6 dd",$D21="8 dd",$D21="12 dd",$D21="an",$D21="1 X"),VLOOKUP($D21,ber_tijden!$A$16:$X$25,ber_tijden!D$14,FALSE),"")</f>
        <v/>
      </c>
      <c r="K21" s="17" t="str">
        <f>IF(OR($D21="1 dd",$D21="2 dd",$D21="3 dd",$D21="4 dd",$D21="6 dd",$D21="8 dd",$D21="12 dd",$D21="an",$D21="1 X"),VLOOKUP($D21,ber_tijden!$A$16:$X$25,ber_tijden!E$14,FALSE),"")</f>
        <v/>
      </c>
      <c r="L21" s="174" t="str">
        <f>IF(OR($D21="1 dd",$D21="2 dd",$D21="3 dd",$D21="4 dd",$D21="6 dd",$D21="8 dd",$D21="12 dd",$D21="an",$D21="1 X"),VLOOKUP($D21,ber_tijden!$A$16:$X$25,ber_tijden!F$14,FALSE),"")</f>
        <v/>
      </c>
      <c r="M21" s="17" t="str">
        <f>IF(OR($D21="1 dd",$D21="2 dd",$D21="3 dd",$D21="4 dd",$D21="6 dd",$D21="8 dd",$D21="12 dd",$D21="an",$D21="1 X"),VLOOKUP($D21,ber_tijden!$A$16:$X$25,ber_tijden!G$14,FALSE),"")</f>
        <v/>
      </c>
      <c r="N21" s="174" t="str">
        <f>IF(OR($D21="1 dd",$D21="2 dd",$D21="3 dd",$D21="4 dd",$D21="6 dd",$D21="8 dd",$D21="12 dd",$D21="an",$D21="1 X"),VLOOKUP($D21,ber_tijden!$A$16:$X$25,ber_tijden!H$14,FALSE),"")</f>
        <v/>
      </c>
      <c r="O21" s="17" t="str">
        <f>IF(OR($D21="1 dd",$D21="2 dd",$D21="3 dd",$D21="4 dd",$D21="6 dd",$D21="8 dd",$D21="12 dd",$D21="an",$D21="1 X"),VLOOKUP($D21,ber_tijden!$A$16:$X$25,ber_tijden!I$14,FALSE),"")</f>
        <v/>
      </c>
      <c r="P21" s="174" t="str">
        <f>IF(OR($D21="1 dd",$D21="2 dd",$D21="3 dd",$D21="4 dd",$D21="6 dd",$D21="8 dd",$D21="12 dd",$D21="an",$D21="1 X"),VLOOKUP($D21,ber_tijden!$A$16:$X$25,ber_tijden!J$14,FALSE),"")</f>
        <v/>
      </c>
      <c r="Q21" s="17" t="str">
        <f>IF(OR($D21="1 dd",$D21="2 dd",$D21="3 dd",$D21="4 dd",$D21="6 dd",$D21="8 dd",$D21="12 dd",$D21="an",$D21="1 X"),VLOOKUP($D21,ber_tijden!$A$16:$X$25,ber_tijden!K$14,FALSE),"")</f>
        <v/>
      </c>
      <c r="R21" s="174" t="str">
        <f>IF(OR($D21="1 dd",$D21="2 dd",$D21="3 dd",$D21="4 dd",$D21="6 dd",$D21="8 dd",$D21="12 dd",$D21="an",$D21="1 X"),VLOOKUP($D21,ber_tijden!$A$16:$X$25,ber_tijden!L$14,FALSE),"")</f>
        <v/>
      </c>
      <c r="S21" s="17" t="str">
        <f>IF(OR($D21="1 dd",$D21="2 dd",$D21="3 dd",$D21="4 dd",$D21="6 dd",$D21="8 dd",$D21="12 dd",$D21="an",$D21="1 X"),VLOOKUP($D21,ber_tijden!$A$16:$X$25,ber_tijden!M$14,FALSE),"")</f>
        <v/>
      </c>
      <c r="T21" s="174" t="str">
        <f>IF(OR($D21="1 dd",$D21="2 dd",$D21="3 dd",$D21="4 dd",$D21="6 dd",$D21="8 dd",$D21="12 dd",$D21="an",$D21="1 X"),VLOOKUP($D21,ber_tijden!$A$16:$X$25,ber_tijden!N$14,FALSE),"")</f>
        <v/>
      </c>
      <c r="U21" s="17" t="str">
        <f>IF(OR($D21="1 dd",$D21="2 dd",$D21="3 dd",$D21="4 dd",$D21="6 dd",$D21="8 dd",$D21="12 dd",$D21="an",$D21="1 X"),VLOOKUP($D21,ber_tijden!$A$16:$X$25,ber_tijden!O$14,FALSE),"")</f>
        <v/>
      </c>
      <c r="V21" s="174" t="str">
        <f>IF(OR($D21="1 dd",$D21="2 dd",$D21="3 dd",$D21="4 dd",$D21="6 dd",$D21="8 dd",$D21="12 dd",$D21="an",$D21="1 X"),VLOOKUP($D21,ber_tijden!$A$16:$X$25,ber_tijden!P$14,FALSE),"")</f>
        <v/>
      </c>
      <c r="W21" s="17" t="str">
        <f>IF(OR($D21="1 dd",$D21="2 dd",$D21="3 dd",$D21="4 dd",$D21="6 dd",$D21="8 dd",$D21="12 dd",$D21="an",$D21="1 X"),VLOOKUP($D21,ber_tijden!$A$16:$X$25,ber_tijden!Q$14,FALSE),"")</f>
        <v/>
      </c>
      <c r="X21" s="174" t="str">
        <f>IF(OR($D21="1 dd",$D21="2 dd",$D21="3 dd",$D21="4 dd",$D21="6 dd",$D21="8 dd",$D21="12 dd",$D21="an",$D21="1 X"),VLOOKUP($D21,ber_tijden!$A$16:$X$25,ber_tijden!R$14,FALSE),"")</f>
        <v/>
      </c>
      <c r="Y21" s="17" t="str">
        <f>IF(OR($D21="1 dd",$D21="2 dd",$D21="3 dd",$D21="4 dd",$D21="6 dd",$D21="8 dd",$D21="12 dd",$D21="an",$D21="1 X"),VLOOKUP($D21,ber_tijden!$A$16:$X$25,ber_tijden!S$14,FALSE),"")</f>
        <v/>
      </c>
      <c r="Z21" s="174" t="str">
        <f>IF(OR($D21="1 dd",$D21="2 dd",$D21="3 dd",$D21="4 dd",$D21="6 dd",$D21="8 dd",$D21="12 dd",$D21="an",$D21="1 X"),VLOOKUP($D21,ber_tijden!$A$16:$X$25,ber_tijden!T$14,FALSE),"")</f>
        <v/>
      </c>
      <c r="AA21" s="17" t="str">
        <f>IF(OR($D21="1 dd",$D21="2 dd",$D21="3 dd",$D21="4 dd",$D21="6 dd",$D21="8 dd",$D21="12 dd",$D21="an",$D21="1 X"),VLOOKUP($D21,ber_tijden!$A$16:$X$25,ber_tijden!U$14,FALSE),"")</f>
        <v/>
      </c>
      <c r="AB21" s="174" t="str">
        <f>IF(OR($D21="1 dd",$D21="2 dd",$D21="3 dd",$D21="4 dd",$D21="6 dd",$D21="8 dd",$D21="12 dd",$D21="an",$D21="1 X"),VLOOKUP($D21,ber_tijden!$A$16:$X$25,ber_tijden!V$14,FALSE),"")</f>
        <v/>
      </c>
      <c r="AC21" s="17" t="str">
        <f>IF(OR($D21="1 dd",$D21="2 dd",$D21="3 dd",$D21="4 dd",$D21="6 dd",$D21="8 dd",$D21="12 dd",$D21="an",$D21="1 X"),VLOOKUP($D21,ber_tijden!$A$16:$X$25,ber_tijden!W$14,FALSE),"")</f>
        <v/>
      </c>
      <c r="AD21" s="174" t="str">
        <f>IF(OR($D21="1 dd",$D21="2 dd",$D21="3 dd",$D21="4 dd",$D21="6 dd",$D21="8 dd",$D21="12 dd",$D21="an",$D21="1 X"),VLOOKUP($D21,ber_tijden!$A$16:$X$25,ber_tijden!X$14,FALSE),"")</f>
        <v/>
      </c>
      <c r="AE21" s="19"/>
      <c r="AF21" s="173"/>
      <c r="AG21" s="19"/>
    </row>
    <row r="22" spans="2:33" ht="26.1" customHeight="1" x14ac:dyDescent="0.35">
      <c r="B22" s="175" t="str">
        <f>IF(C22&lt;&gt;" ",Med_disc!C44,"")</f>
        <v/>
      </c>
      <c r="C22" s="342" t="str">
        <f>IF(ber_Med_disc!C21&lt;&gt;"",IF(ber_Med_disc!C21&gt;1,TRIM(ber_Med_disc!C21)&amp;", "&amp;ber_Opm!C35&amp;" ("&amp;ber_Med_disc!L21&amp;" "&amp;ber_Med_disc!E21&amp;"/kg/dag)",TRIM(ber_Med_disc!C21)&amp;", "&amp;ber_Opm!C35),"")</f>
        <v/>
      </c>
      <c r="D22" s="343" t="str">
        <f>IF(Med_disc!H44&lt;&gt;"",Med_disc!H44,"")</f>
        <v/>
      </c>
      <c r="E22" s="344" t="str">
        <f>IF(AND(D22&lt;&gt;"",D22&lt;&gt;"STOP"),ber_Med_disc!G21&amp;" "&amp;ber_Med_disc!E21,"")</f>
        <v/>
      </c>
      <c r="F22" s="344" t="str">
        <f>IF(AND(D22&lt;&gt;"",D22&lt;&gt;"STOP"),ber_Med_disc!K21," ")</f>
        <v xml:space="preserve"> </v>
      </c>
      <c r="G22" s="344" t="str">
        <f>IF(Med_disc!L44&lt;&gt;"",Med_disc!L44&amp;" "&amp;Med_disc!M44&amp;" "&amp;INDEX(ber_Med_disc!$B$27:$B$30,ber_Med_disc!N21,1)&amp;" in "&amp;Med_disc!$O$44,"")</f>
        <v/>
      </c>
      <c r="H22" s="174" t="str">
        <f>IF(OR($D22="1 dd",$D22="2 dd",$D22="3 dd",$D22="4 dd",$D22="6 dd",$D22="8 dd",$D22="12 dd",$D22="an",$D22="1 X"),VLOOKUP($D22,ber_tijden!$A$16:$X$25,ber_tijden!B$14,FALSE),"")</f>
        <v/>
      </c>
      <c r="I22" s="17" t="str">
        <f>IF(OR($D22="1 dd",$D22="2 dd",$D22="3 dd",$D22="4 dd",$D22="6 dd",$D22="8 dd",$D22="12 dd",$D22="an",$D22="1 X"),VLOOKUP($D22,ber_tijden!$A$16:$X$25,ber_tijden!C$14,FALSE),"")</f>
        <v/>
      </c>
      <c r="J22" s="174" t="str">
        <f>IF(OR($D22="1 dd",$D22="2 dd",$D22="3 dd",$D22="4 dd",$D22="6 dd",$D22="8 dd",$D22="12 dd",$D22="an",$D22="1 X"),VLOOKUP($D22,ber_tijden!$A$16:$X$25,ber_tijden!D$14,FALSE),"")</f>
        <v/>
      </c>
      <c r="K22" s="17" t="str">
        <f>IF(OR($D22="1 dd",$D22="2 dd",$D22="3 dd",$D22="4 dd",$D22="6 dd",$D22="8 dd",$D22="12 dd",$D22="an",$D22="1 X"),VLOOKUP($D22,ber_tijden!$A$16:$X$25,ber_tijden!E$14,FALSE),"")</f>
        <v/>
      </c>
      <c r="L22" s="174" t="str">
        <f>IF(OR($D22="1 dd",$D22="2 dd",$D22="3 dd",$D22="4 dd",$D22="6 dd",$D22="8 dd",$D22="12 dd",$D22="an",$D22="1 X"),VLOOKUP($D22,ber_tijden!$A$16:$X$25,ber_tijden!F$14,FALSE),"")</f>
        <v/>
      </c>
      <c r="M22" s="17" t="str">
        <f>IF(OR($D22="1 dd",$D22="2 dd",$D22="3 dd",$D22="4 dd",$D22="6 dd",$D22="8 dd",$D22="12 dd",$D22="an",$D22="1 X"),VLOOKUP($D22,ber_tijden!$A$16:$X$25,ber_tijden!G$14,FALSE),"")</f>
        <v/>
      </c>
      <c r="N22" s="174" t="str">
        <f>IF(OR($D22="1 dd",$D22="2 dd",$D22="3 dd",$D22="4 dd",$D22="6 dd",$D22="8 dd",$D22="12 dd",$D22="an",$D22="1 X"),VLOOKUP($D22,ber_tijden!$A$16:$X$25,ber_tijden!H$14,FALSE),"")</f>
        <v/>
      </c>
      <c r="O22" s="17" t="str">
        <f>IF(OR($D22="1 dd",$D22="2 dd",$D22="3 dd",$D22="4 dd",$D22="6 dd",$D22="8 dd",$D22="12 dd",$D22="an",$D22="1 X"),VLOOKUP($D22,ber_tijden!$A$16:$X$25,ber_tijden!I$14,FALSE),"")</f>
        <v/>
      </c>
      <c r="P22" s="174" t="str">
        <f>IF(OR($D22="1 dd",$D22="2 dd",$D22="3 dd",$D22="4 dd",$D22="6 dd",$D22="8 dd",$D22="12 dd",$D22="an",$D22="1 X"),VLOOKUP($D22,ber_tijden!$A$16:$X$25,ber_tijden!J$14,FALSE),"")</f>
        <v/>
      </c>
      <c r="Q22" s="17" t="str">
        <f>IF(OR($D22="1 dd",$D22="2 dd",$D22="3 dd",$D22="4 dd",$D22="6 dd",$D22="8 dd",$D22="12 dd",$D22="an",$D22="1 X"),VLOOKUP($D22,ber_tijden!$A$16:$X$25,ber_tijden!K$14,FALSE),"")</f>
        <v/>
      </c>
      <c r="R22" s="174" t="str">
        <f>IF(OR($D22="1 dd",$D22="2 dd",$D22="3 dd",$D22="4 dd",$D22="6 dd",$D22="8 dd",$D22="12 dd",$D22="an",$D22="1 X"),VLOOKUP($D22,ber_tijden!$A$16:$X$25,ber_tijden!L$14,FALSE),"")</f>
        <v/>
      </c>
      <c r="S22" s="17" t="str">
        <f>IF(OR($D22="1 dd",$D22="2 dd",$D22="3 dd",$D22="4 dd",$D22="6 dd",$D22="8 dd",$D22="12 dd",$D22="an",$D22="1 X"),VLOOKUP($D22,ber_tijden!$A$16:$X$25,ber_tijden!M$14,FALSE),"")</f>
        <v/>
      </c>
      <c r="T22" s="174" t="str">
        <f>IF(OR($D22="1 dd",$D22="2 dd",$D22="3 dd",$D22="4 dd",$D22="6 dd",$D22="8 dd",$D22="12 dd",$D22="an",$D22="1 X"),VLOOKUP($D22,ber_tijden!$A$16:$X$25,ber_tijden!N$14,FALSE),"")</f>
        <v/>
      </c>
      <c r="U22" s="17" t="str">
        <f>IF(OR($D22="1 dd",$D22="2 dd",$D22="3 dd",$D22="4 dd",$D22="6 dd",$D22="8 dd",$D22="12 dd",$D22="an",$D22="1 X"),VLOOKUP($D22,ber_tijden!$A$16:$X$25,ber_tijden!O$14,FALSE),"")</f>
        <v/>
      </c>
      <c r="V22" s="174" t="str">
        <f>IF(OR($D22="1 dd",$D22="2 dd",$D22="3 dd",$D22="4 dd",$D22="6 dd",$D22="8 dd",$D22="12 dd",$D22="an",$D22="1 X"),VLOOKUP($D22,ber_tijden!$A$16:$X$25,ber_tijden!P$14,FALSE),"")</f>
        <v/>
      </c>
      <c r="W22" s="17" t="str">
        <f>IF(OR($D22="1 dd",$D22="2 dd",$D22="3 dd",$D22="4 dd",$D22="6 dd",$D22="8 dd",$D22="12 dd",$D22="an",$D22="1 X"),VLOOKUP($D22,ber_tijden!$A$16:$X$25,ber_tijden!Q$14,FALSE),"")</f>
        <v/>
      </c>
      <c r="X22" s="174" t="str">
        <f>IF(OR($D22="1 dd",$D22="2 dd",$D22="3 dd",$D22="4 dd",$D22="6 dd",$D22="8 dd",$D22="12 dd",$D22="an",$D22="1 X"),VLOOKUP($D22,ber_tijden!$A$16:$X$25,ber_tijden!R$14,FALSE),"")</f>
        <v/>
      </c>
      <c r="Y22" s="17" t="str">
        <f>IF(OR($D22="1 dd",$D22="2 dd",$D22="3 dd",$D22="4 dd",$D22="6 dd",$D22="8 dd",$D22="12 dd",$D22="an",$D22="1 X"),VLOOKUP($D22,ber_tijden!$A$16:$X$25,ber_tijden!S$14,FALSE),"")</f>
        <v/>
      </c>
      <c r="Z22" s="174" t="str">
        <f>IF(OR($D22="1 dd",$D22="2 dd",$D22="3 dd",$D22="4 dd",$D22="6 dd",$D22="8 dd",$D22="12 dd",$D22="an",$D22="1 X"),VLOOKUP($D22,ber_tijden!$A$16:$X$25,ber_tijden!T$14,FALSE),"")</f>
        <v/>
      </c>
      <c r="AA22" s="17" t="str">
        <f>IF(OR($D22="1 dd",$D22="2 dd",$D22="3 dd",$D22="4 dd",$D22="6 dd",$D22="8 dd",$D22="12 dd",$D22="an",$D22="1 X"),VLOOKUP($D22,ber_tijden!$A$16:$X$25,ber_tijden!U$14,FALSE),"")</f>
        <v/>
      </c>
      <c r="AB22" s="174" t="str">
        <f>IF(OR($D22="1 dd",$D22="2 dd",$D22="3 dd",$D22="4 dd",$D22="6 dd",$D22="8 dd",$D22="12 dd",$D22="an",$D22="1 X"),VLOOKUP($D22,ber_tijden!$A$16:$X$25,ber_tijden!V$14,FALSE),"")</f>
        <v/>
      </c>
      <c r="AC22" s="17" t="str">
        <f>IF(OR($D22="1 dd",$D22="2 dd",$D22="3 dd",$D22="4 dd",$D22="6 dd",$D22="8 dd",$D22="12 dd",$D22="an",$D22="1 X"),VLOOKUP($D22,ber_tijden!$A$16:$X$25,ber_tijden!W$14,FALSE),"")</f>
        <v/>
      </c>
      <c r="AD22" s="174" t="str">
        <f>IF(OR($D22="1 dd",$D22="2 dd",$D22="3 dd",$D22="4 dd",$D22="6 dd",$D22="8 dd",$D22="12 dd",$D22="an",$D22="1 X"),VLOOKUP($D22,ber_tijden!$A$16:$X$25,ber_tijden!X$14,FALSE),"")</f>
        <v/>
      </c>
      <c r="AE22" s="19"/>
      <c r="AF22" s="173"/>
      <c r="AG22" s="19"/>
    </row>
  </sheetData>
  <sheetProtection password="CC20" sheet="1" objects="1" scenarios="1" selectLockedCells="1" selectUnlockedCells="1"/>
  <mergeCells count="3">
    <mergeCell ref="R1:W1"/>
    <mergeCell ref="AB1:AF1"/>
    <mergeCell ref="F1:G1"/>
  </mergeCells>
  <phoneticPr fontId="26" type="noConversion"/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nfusen">
    <outlinePr showOutlineSymbols="0"/>
    <pageSetUpPr autoPageBreaks="0"/>
  </sheetPr>
  <dimension ref="A1:J42"/>
  <sheetViews>
    <sheetView showGridLines="0" showRowColHeaders="0" showZeros="0" showOutlineSymbols="0" workbookViewId="0">
      <pane ySplit="4" topLeftCell="A5" activePane="bottomLeft" state="frozen"/>
      <selection pane="bottomLeft" activeCell="B25" sqref="B25:F27"/>
    </sheetView>
  </sheetViews>
  <sheetFormatPr defaultColWidth="9.1328125" defaultRowHeight="12.85" x14ac:dyDescent="0.35"/>
  <cols>
    <col min="1" max="1" width="5.59765625" style="26" customWidth="1"/>
    <col min="2" max="2" width="16.59765625" style="26" customWidth="1"/>
    <col min="3" max="3" width="17.265625" style="26" customWidth="1"/>
    <col min="4" max="4" width="17.59765625" style="26" customWidth="1"/>
    <col min="5" max="5" width="18.59765625" style="26" customWidth="1"/>
    <col min="6" max="6" width="18.265625" style="26" customWidth="1"/>
    <col min="7" max="7" width="14.73046875" style="26" customWidth="1"/>
    <col min="8" max="8" width="9.1328125" style="26"/>
    <col min="9" max="9" width="9.3984375" style="26" bestFit="1" customWidth="1"/>
    <col min="10" max="10" width="9.265625" style="26" bestFit="1" customWidth="1"/>
    <col min="11" max="16384" width="9.1328125" style="26"/>
  </cols>
  <sheetData>
    <row r="1" spans="1:10" s="215" customFormat="1" x14ac:dyDescent="0.35"/>
    <row r="2" spans="1:10" s="215" customFormat="1" ht="17.25" customHeight="1" x14ac:dyDescent="0.4">
      <c r="B2" s="216" t="s">
        <v>1441</v>
      </c>
      <c r="C2" s="217">
        <f ca="1">AfspraakDatum</f>
        <v>42191</v>
      </c>
      <c r="D2" s="218"/>
      <c r="E2" s="216" t="s">
        <v>1442</v>
      </c>
      <c r="F2" s="219">
        <f>OpnDatum</f>
        <v>41363</v>
      </c>
      <c r="G2" s="216" t="str">
        <f ca="1">"ICU-dag: "&amp;AfspraakDatum-OpnDatum+1</f>
        <v>ICU-dag: 829</v>
      </c>
      <c r="H2" s="216"/>
      <c r="I2" s="216"/>
      <c r="J2" s="216"/>
    </row>
    <row r="3" spans="1:10" s="215" customFormat="1" ht="17.25" customHeight="1" x14ac:dyDescent="0.4">
      <c r="B3" s="216" t="s">
        <v>151</v>
      </c>
      <c r="C3" s="220" t="str">
        <f>AchterNaam&amp;", "&amp;VoorNaam</f>
        <v>Achternaam, Voornaam</v>
      </c>
      <c r="D3" s="220"/>
      <c r="E3" s="216" t="s">
        <v>1484</v>
      </c>
      <c r="F3" s="219">
        <f>GebDatum</f>
        <v>40909</v>
      </c>
      <c r="G3" s="221" t="str">
        <f>"Gewicht: "&amp;Gewicht/10&amp;" kg"</f>
        <v>Gewicht: 10 kg</v>
      </c>
      <c r="H3" s="216"/>
      <c r="I3" s="221" t="str">
        <f>"Lengte: "&amp;Lengte&amp;" cm"</f>
        <v>Lengte: 80 cm</v>
      </c>
      <c r="J3" s="216"/>
    </row>
    <row r="4" spans="1:10" s="215" customFormat="1" ht="17.25" customHeight="1" x14ac:dyDescent="0.4">
      <c r="A4" s="251"/>
      <c r="B4" s="216" t="s">
        <v>1666</v>
      </c>
      <c r="C4" s="221">
        <f>PatNummer</f>
        <v>0</v>
      </c>
      <c r="D4" s="218"/>
      <c r="E4" s="216" t="s">
        <v>1304</v>
      </c>
      <c r="F4" s="223" t="str">
        <f ca="1">TRUNC((AfspraakDatum-GebDatum)/365,0)&amp;" jaar en "&amp;TRUNC(((AfspraakDatum-GebDatum)-365*TRUNC((AfspraakDatum-GebDatum)/365,0))/30,0)&amp;" maand(-en)"</f>
        <v>3 jaar en 6 maand(-en)</v>
      </c>
      <c r="G4" s="216"/>
      <c r="H4" s="216" t="str">
        <f>"Lichamelijk oppervlak: "&amp;ROUND(POWER(Gewicht/10,0.425)*POWER(((Lengte/100)*100),0.725)*0.007184,2)&amp;" m2"</f>
        <v>Lichamelijk oppervlak: 0.46 m2</v>
      </c>
      <c r="I4" s="216"/>
      <c r="J4" s="216"/>
    </row>
    <row r="5" spans="1:10" ht="12.75" customHeight="1" x14ac:dyDescent="0.35"/>
    <row r="6" spans="1:10" ht="17.25" customHeight="1" x14ac:dyDescent="0.4">
      <c r="B6" s="291" t="s">
        <v>112</v>
      </c>
    </row>
    <row r="7" spans="1:10" ht="9.0500000000000007" customHeight="1" x14ac:dyDescent="0.35">
      <c r="I7" s="123" t="s">
        <v>612</v>
      </c>
      <c r="J7" s="123" t="s">
        <v>1603</v>
      </c>
    </row>
    <row r="8" spans="1:10" ht="17.25" customHeight="1" x14ac:dyDescent="0.35">
      <c r="A8" s="26">
        <v>1</v>
      </c>
      <c r="C8" s="284"/>
      <c r="E8" s="29"/>
      <c r="F8" s="285" t="str">
        <f>IF(INDEX(ber_Infusen!A1:C34,ber_Infusen!E2,2)&lt;&gt;0,INDEX(ber_Infusen!$A$1:$C$34,ber_Infusen!E2,2)&amp;" ml","")</f>
        <v/>
      </c>
      <c r="I8" s="123" t="b">
        <f>IF(INDEX(ber_Infusen!$A$1:$C$34,ber_Infusen!E2,2)&lt;&gt;0,INDEX(ber_Infusen!$A$1:$C$34,ber_Infusen!E2,3))</f>
        <v>0</v>
      </c>
      <c r="J8" s="123">
        <f>IF(INDEX(ber_Infusen!$A$1:$C$34,ber_Infusen!E2,2)&lt;&gt;0,INDEX(ber_Infusen!$A$1:$C$34,ber_Infusen!E2,2),0)</f>
        <v>0</v>
      </c>
    </row>
    <row r="9" spans="1:10" ht="17.25" customHeight="1" x14ac:dyDescent="0.35">
      <c r="A9" s="26">
        <v>2</v>
      </c>
      <c r="E9" s="29"/>
      <c r="F9" s="286" t="str">
        <f>IF(INDEX(ber_Infusen!$A$1:$C$34,ber_Infusen!E3,2)&lt;&gt;0,INDEX(ber_Infusen!$A$1:$C$34,ber_Infusen!E3,2)&amp;" ml","")</f>
        <v/>
      </c>
      <c r="I9" s="123" t="b">
        <f>IF(INDEX(ber_Infusen!$A$1:$C$34,ber_Infusen!E3,2)&lt;&gt;0,INDEX(ber_Infusen!$A$1:$C$34,ber_Infusen!E3,3))</f>
        <v>0</v>
      </c>
      <c r="J9" s="123">
        <f>IF(INDEX(ber_Infusen!$A$1:$C$34,ber_Infusen!E3,2)&lt;&gt;0,INDEX(ber_Infusen!$A$1:$C$34,ber_Infusen!E3,2),0)</f>
        <v>0</v>
      </c>
    </row>
    <row r="10" spans="1:10" ht="17.25" customHeight="1" x14ac:dyDescent="0.35">
      <c r="A10" s="26">
        <v>3</v>
      </c>
      <c r="E10" s="29"/>
      <c r="F10" s="286" t="str">
        <f>IF(INDEX(ber_Infusen!$A$1:$C$34,ber_Infusen!E4,2)&lt;&gt;0,INDEX(ber_Infusen!$A$1:$C$34,ber_Infusen!E4,2)&amp;" ml","")</f>
        <v/>
      </c>
      <c r="I10" s="123" t="b">
        <f>IF(INDEX(ber_Infusen!$A$1:$C$34,ber_Infusen!E4,2)&lt;&gt;0,INDEX(ber_Infusen!$A$1:$C$34,ber_Infusen!E4,3))</f>
        <v>0</v>
      </c>
      <c r="J10" s="123">
        <f>IF(INDEX(ber_Infusen!$A$1:$C$34,ber_Infusen!E4,2)&lt;&gt;0,INDEX(ber_Infusen!$A$1:$C$34,ber_Infusen!E4,2),0)</f>
        <v>0</v>
      </c>
    </row>
    <row r="11" spans="1:10" ht="17.25" customHeight="1" x14ac:dyDescent="0.35">
      <c r="A11" s="26">
        <v>4</v>
      </c>
      <c r="E11" s="29"/>
      <c r="F11" s="286" t="str">
        <f>IF(INDEX(ber_Infusen!$A$1:$C$34,ber_Infusen!E5,2)&lt;&gt;0,INDEX(ber_Infusen!$A$1:$C$34,ber_Infusen!E5,2)&amp;" ml","")</f>
        <v/>
      </c>
      <c r="I11" s="123" t="b">
        <f>IF(INDEX(ber_Infusen!$A$1:$C$34,ber_Infusen!E5,2)&lt;&gt;0,INDEX(ber_Infusen!$A$1:$C$34,ber_Infusen!E5,3))</f>
        <v>0</v>
      </c>
      <c r="J11" s="123">
        <f>IF(INDEX(ber_Infusen!$A$1:$C$34,ber_Infusen!E5,2)&lt;&gt;0,INDEX(ber_Infusen!$A$1:$C$34,ber_Infusen!E5,2),0)</f>
        <v>0</v>
      </c>
    </row>
    <row r="12" spans="1:10" ht="17.25" customHeight="1" x14ac:dyDescent="0.35">
      <c r="A12" s="26">
        <v>5</v>
      </c>
      <c r="E12" s="29"/>
      <c r="F12" s="286" t="str">
        <f>IF(INDEX(ber_Infusen!$A$1:$C$34,ber_Infusen!E6,2)&lt;&gt;0,INDEX(ber_Infusen!$A$1:$C$34,ber_Infusen!E6,2)&amp;" ml","")</f>
        <v/>
      </c>
      <c r="I12" s="123" t="b">
        <f>IF(INDEX(ber_Infusen!$A$1:$C$34,ber_Infusen!E6,2)&lt;&gt;0,INDEX(ber_Infusen!$A$1:$C$34,ber_Infusen!E6,3))</f>
        <v>0</v>
      </c>
      <c r="J12" s="123">
        <f>IF(INDEX(ber_Infusen!$A$1:$C$34,ber_Infusen!E6,2)&lt;&gt;0,INDEX(ber_Infusen!$A$1:$C$34,ber_Infusen!E6,2),0)</f>
        <v>0</v>
      </c>
    </row>
    <row r="13" spans="1:10" ht="17.25" customHeight="1" x14ac:dyDescent="0.35">
      <c r="A13" s="26">
        <v>6</v>
      </c>
      <c r="E13" s="29"/>
      <c r="F13" s="286" t="str">
        <f>IF(INDEX(ber_Infusen!$A$1:$C$34,ber_Infusen!E7,2)&lt;&gt;0,INDEX(ber_Infusen!$A$1:$C$34,ber_Infusen!E7,2)&amp;" ml","")</f>
        <v/>
      </c>
      <c r="I13" s="123" t="b">
        <f>IF(INDEX(ber_Infusen!$A$1:$C$34,ber_Infusen!E7,2)&lt;&gt;0,INDEX(ber_Infusen!$A$1:$C$34,ber_Infusen!E7,3))</f>
        <v>0</v>
      </c>
      <c r="J13" s="123">
        <f>IF(INDEX(ber_Infusen!$A$1:$C$34,ber_Infusen!E7,2)&lt;&gt;0,INDEX(ber_Infusen!$A$1:$C$34,ber_Infusen!E7,2),0)</f>
        <v>0</v>
      </c>
    </row>
    <row r="14" spans="1:10" ht="17.25" customHeight="1" x14ac:dyDescent="0.35">
      <c r="I14" s="123" t="b">
        <f>IF(INDEX(ber_Infusen!$A$1:$C$34,ber_Infusen!E8,2)&lt;&gt;0,INDEX(ber_Infusen!$A$1:$C$34,ber_Infusen!E8,3))</f>
        <v>0</v>
      </c>
      <c r="J14" s="123">
        <f>IF(INDEX(ber_Infusen!$A$1:$C$34,ber_Infusen!E8,2)&lt;&gt;0,INDEX(ber_Infusen!$A$1:$C$34,ber_Infusen!E8,2),0)</f>
        <v>0</v>
      </c>
    </row>
    <row r="15" spans="1:10" ht="17.25" customHeight="1" x14ac:dyDescent="0.35">
      <c r="B15" s="313" t="s">
        <v>1377</v>
      </c>
      <c r="C15" s="322">
        <f>ber_Opm!C3</f>
        <v>0</v>
      </c>
      <c r="D15" s="323"/>
      <c r="E15" s="323"/>
      <c r="F15" s="323"/>
      <c r="G15" s="323"/>
      <c r="H15" s="323"/>
      <c r="I15" s="324">
        <f>SUM(I8:I14)</f>
        <v>0</v>
      </c>
      <c r="J15" s="324">
        <f>SUM(J8:J14)</f>
        <v>0</v>
      </c>
    </row>
    <row r="16" spans="1:10" ht="17.25" customHeight="1" x14ac:dyDescent="0.35"/>
    <row r="17" spans="1:10" ht="17.25" customHeight="1" x14ac:dyDescent="0.4">
      <c r="A17" s="29"/>
      <c r="B17" s="291" t="s">
        <v>387</v>
      </c>
    </row>
    <row r="18" spans="1:10" ht="8.3000000000000007" customHeight="1" x14ac:dyDescent="0.35">
      <c r="A18" s="29"/>
    </row>
    <row r="19" spans="1:10" ht="17.25" customHeight="1" x14ac:dyDescent="0.4">
      <c r="A19" s="26">
        <v>1</v>
      </c>
      <c r="C19" s="284"/>
      <c r="E19" s="29"/>
      <c r="H19" s="247" t="s">
        <v>171</v>
      </c>
      <c r="I19" s="215"/>
      <c r="J19" s="215"/>
    </row>
    <row r="20" spans="1:10" ht="17.25" customHeight="1" x14ac:dyDescent="0.35">
      <c r="A20" s="26">
        <v>2</v>
      </c>
      <c r="E20" s="29"/>
      <c r="H20" s="251" t="s">
        <v>1284</v>
      </c>
      <c r="I20" s="215"/>
      <c r="J20" s="215"/>
    </row>
    <row r="21" spans="1:10" ht="17.25" customHeight="1" x14ac:dyDescent="0.4">
      <c r="A21" s="26">
        <v>3</v>
      </c>
      <c r="E21" s="29"/>
      <c r="H21" s="290" t="str">
        <f>IF(Comfort,"Ja","Nee")</f>
        <v>Ja</v>
      </c>
    </row>
    <row r="22" spans="1:10" ht="17.25" customHeight="1" x14ac:dyDescent="0.35">
      <c r="A22" s="26">
        <v>4</v>
      </c>
      <c r="E22" s="29"/>
    </row>
    <row r="23" spans="1:10" ht="17.25" customHeight="1" x14ac:dyDescent="0.35">
      <c r="B23" s="215" t="s">
        <v>2029</v>
      </c>
      <c r="C23" s="26" t="str">
        <f>IF(Controle_3&gt;0,"om de "&amp;Controle_3&amp;" uur","")</f>
        <v/>
      </c>
      <c r="E23" s="251" t="s">
        <v>2031</v>
      </c>
      <c r="F23" s="26" t="str">
        <f>IF(Controle_2&gt;0,"om de "&amp;Controle_2&amp;" uur","")</f>
        <v/>
      </c>
    </row>
    <row r="24" spans="1:10" ht="17.25" customHeight="1" x14ac:dyDescent="0.35">
      <c r="B24" s="215" t="s">
        <v>2032</v>
      </c>
      <c r="C24" s="26" t="str">
        <f>IF(Controle_6&gt;0,"om de "&amp;Controle_6&amp;" uur","")</f>
        <v/>
      </c>
      <c r="E24" s="251" t="s">
        <v>2030</v>
      </c>
      <c r="F24" s="26" t="str">
        <f>IF(Controle_8&gt;0,"om de "&amp;Controle_8&amp;" uur","")</f>
        <v/>
      </c>
    </row>
    <row r="25" spans="1:10" ht="18" customHeight="1" x14ac:dyDescent="0.35">
      <c r="A25" s="281">
        <v>6</v>
      </c>
      <c r="B25" s="396">
        <f>ber_Opm!C11</f>
        <v>0</v>
      </c>
      <c r="C25" s="391"/>
      <c r="D25" s="391"/>
      <c r="E25" s="391"/>
      <c r="F25" s="391"/>
      <c r="G25" s="283"/>
      <c r="H25" s="29"/>
    </row>
    <row r="26" spans="1:10" ht="17.25" customHeight="1" x14ac:dyDescent="0.35">
      <c r="B26" s="391"/>
      <c r="C26" s="391"/>
      <c r="D26" s="391"/>
      <c r="E26" s="391"/>
      <c r="F26" s="391"/>
      <c r="G26" s="283"/>
      <c r="H26" s="283"/>
      <c r="I26" s="283"/>
      <c r="J26" s="287"/>
    </row>
    <row r="27" spans="1:10" ht="17.25" customHeight="1" x14ac:dyDescent="0.35">
      <c r="B27" s="391"/>
      <c r="C27" s="391"/>
      <c r="D27" s="391"/>
      <c r="E27" s="391"/>
      <c r="F27" s="391"/>
      <c r="G27" s="283"/>
      <c r="H27" s="283"/>
      <c r="I27" s="283"/>
      <c r="J27" s="288"/>
    </row>
    <row r="28" spans="1:10" ht="20.100000000000001" customHeight="1" x14ac:dyDescent="0.35">
      <c r="B28" s="319"/>
      <c r="C28" s="320"/>
      <c r="D28" s="320"/>
      <c r="E28" s="320"/>
      <c r="F28" s="320"/>
      <c r="G28" s="320"/>
      <c r="H28" s="321"/>
      <c r="I28" s="321"/>
      <c r="J28" s="320"/>
    </row>
    <row r="29" spans="1:10" ht="20.100000000000001" customHeight="1" x14ac:dyDescent="0.4">
      <c r="B29" s="291" t="s">
        <v>74</v>
      </c>
      <c r="H29" s="287"/>
      <c r="I29" s="287"/>
      <c r="J29" s="287"/>
    </row>
    <row r="30" spans="1:10" ht="20.100000000000001" customHeight="1" x14ac:dyDescent="0.35"/>
    <row r="31" spans="1:10" ht="20.100000000000001" customHeight="1" x14ac:dyDescent="0.35">
      <c r="B31" s="215" t="s">
        <v>1178</v>
      </c>
      <c r="E31" s="215" t="s">
        <v>336</v>
      </c>
    </row>
    <row r="32" spans="1:10" ht="20.100000000000001" customHeight="1" x14ac:dyDescent="0.35"/>
    <row r="33" spans="2:3" ht="13.2" x14ac:dyDescent="0.4">
      <c r="B33" s="215" t="s">
        <v>1386</v>
      </c>
      <c r="C33" s="289" t="str">
        <f>IF(ber_Infusen!O1&gt;1,ber_Infusen!R1&amp;" /min","")</f>
        <v/>
      </c>
    </row>
    <row r="34" spans="2:3" ht="17.25" customHeight="1" x14ac:dyDescent="0.4">
      <c r="C34" s="289"/>
    </row>
    <row r="35" spans="2:3" ht="17.25" customHeight="1" x14ac:dyDescent="0.4">
      <c r="B35" s="215" t="s">
        <v>337</v>
      </c>
      <c r="C35" s="289" t="str">
        <f>IF(ber_Infusen!O1&gt;1,ber_Infusen!R2&amp;" mA","")</f>
        <v/>
      </c>
    </row>
    <row r="36" spans="2:3" ht="17.25" customHeight="1" x14ac:dyDescent="0.4">
      <c r="B36" s="215" t="s">
        <v>338</v>
      </c>
      <c r="C36" s="289" t="str">
        <f>IF(ber_Infusen!O1&gt;1,ber_Infusen!R3&amp;" mA","")</f>
        <v/>
      </c>
    </row>
    <row r="37" spans="2:3" ht="17.25" customHeight="1" x14ac:dyDescent="0.4">
      <c r="C37" s="289"/>
    </row>
    <row r="38" spans="2:3" ht="17.25" customHeight="1" x14ac:dyDescent="0.4">
      <c r="B38" s="215" t="s">
        <v>339</v>
      </c>
      <c r="C38" s="289" t="str">
        <f>IF(ber_Infusen!O1&gt;1,ber_Infusen!R4&amp;" msec","")</f>
        <v/>
      </c>
    </row>
    <row r="39" spans="2:3" ht="17.25" customHeight="1" x14ac:dyDescent="0.4">
      <c r="C39" s="289"/>
    </row>
    <row r="40" spans="2:3" ht="17.25" customHeight="1" x14ac:dyDescent="0.4">
      <c r="B40" s="215" t="s">
        <v>340</v>
      </c>
      <c r="C40" s="289" t="str">
        <f>IF(ber_Infusen!O1&gt;1,ber_Infusen!R5/10&amp;" mV","")</f>
        <v/>
      </c>
    </row>
    <row r="41" spans="2:3" ht="17.25" customHeight="1" x14ac:dyDescent="0.4">
      <c r="B41" s="215" t="s">
        <v>341</v>
      </c>
      <c r="C41" s="289" t="str">
        <f>IF(ber_Infusen!O1&gt;1,ber_Infusen!R6/10&amp;" mV","")</f>
        <v/>
      </c>
    </row>
    <row r="42" spans="2:3" ht="17.25" customHeight="1" x14ac:dyDescent="0.35"/>
  </sheetData>
  <sheetProtection password="CC20" sheet="1" objects="1" scenarios="1" selectLockedCells="1" selectUnlockedCells="1"/>
  <mergeCells count="1">
    <mergeCell ref="B25:F27"/>
  </mergeCells>
  <phoneticPr fontId="26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10" name="Drop Down 39">
              <controlPr defaultSize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5</xdr:col>
                    <xdr:colOff>1201646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11" name="Drop Down 40">
              <controlPr defaultSize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5</xdr:col>
                    <xdr:colOff>1201646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12" name="Drop Down 41">
              <controlPr defaultSize="0" autoLine="0" autoPict="0">
                <anchor moveWithCells="1">
                  <from>
                    <xdr:col>1</xdr:col>
                    <xdr:colOff>9575</xdr:colOff>
                    <xdr:row>20</xdr:row>
                    <xdr:rowOff>19150</xdr:rowOff>
                  </from>
                  <to>
                    <xdr:col>5</xdr:col>
                    <xdr:colOff>1201646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13" name="Drop Down 42">
              <controlPr defaultSize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5</xdr:col>
                    <xdr:colOff>1201646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14" name="Spinner 45">
              <controlPr defaultSize="0" autoPict="0">
                <anchor moveWithCells="1" sizeWithCells="1">
                  <from>
                    <xdr:col>7</xdr:col>
                    <xdr:colOff>124473</xdr:colOff>
                    <xdr:row>2</xdr:row>
                    <xdr:rowOff>9575</xdr:rowOff>
                  </from>
                  <to>
                    <xdr:col>7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5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6" name="Drop Down 56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19150</xdr:rowOff>
                  </from>
                  <to>
                    <xdr:col>3</xdr:col>
                    <xdr:colOff>473956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7" name="Drop Down 57">
              <controlPr defaultSize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6</xdr:col>
                    <xdr:colOff>411719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8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32</xdr:row>
                    <xdr:rowOff>28725</xdr:rowOff>
                  </from>
                  <to>
                    <xdr:col>3</xdr:col>
                    <xdr:colOff>0</xdr:colOff>
                    <xdr:row>33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9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34</xdr:row>
                    <xdr:rowOff>28725</xdr:rowOff>
                  </from>
                  <to>
                    <xdr:col>3</xdr:col>
                    <xdr:colOff>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20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35</xdr:row>
                    <xdr:rowOff>28725</xdr:rowOff>
                  </from>
                  <to>
                    <xdr:col>3</xdr:col>
                    <xdr:colOff>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21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37</xdr:row>
                    <xdr:rowOff>28725</xdr:rowOff>
                  </from>
                  <to>
                    <xdr:col>3</xdr:col>
                    <xdr:colOff>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22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39</xdr:row>
                    <xdr:rowOff>28725</xdr:rowOff>
                  </from>
                  <to>
                    <xdr:col>3</xdr:col>
                    <xdr:colOff>0</xdr:colOff>
                    <xdr:row>39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23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40</xdr:row>
                    <xdr:rowOff>28725</xdr:rowOff>
                  </from>
                  <to>
                    <xdr:col>3</xdr:col>
                    <xdr:colOff>0</xdr:colOff>
                    <xdr:row>40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4" r:id="rId24" name="Button 70">
              <controlPr defaultSize="0" print="0" autoFill="0" autoPict="0" macro="[0]!PaceMaker">
                <anchor moveWithCells="1" sizeWithCells="1">
                  <from>
                    <xdr:col>2</xdr:col>
                    <xdr:colOff>67024</xdr:colOff>
                    <xdr:row>28</xdr:row>
                    <xdr:rowOff>105324</xdr:rowOff>
                  </from>
                  <to>
                    <xdr:col>2</xdr:col>
                    <xdr:colOff>742052</xdr:colOff>
                    <xdr:row>29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5" r:id="rId25" name="Spinner 71">
              <controlPr defaultSize="0" autoPict="0">
                <anchor moveWithCells="1" sizeWithCells="1">
                  <from>
                    <xdr:col>2</xdr:col>
                    <xdr:colOff>990999</xdr:colOff>
                    <xdr:row>22</xdr:row>
                    <xdr:rowOff>28725</xdr:rowOff>
                  </from>
                  <to>
                    <xdr:col>3</xdr:col>
                    <xdr:colOff>0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26" name="Spinner 72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8" r:id="rId27" name="Spinner 74">
              <controlPr defaultSize="0" autoPict="0">
                <anchor moveWithCells="1" sizeWithCells="1">
                  <from>
                    <xdr:col>5</xdr:col>
                    <xdr:colOff>990999</xdr:colOff>
                    <xdr:row>22</xdr:row>
                    <xdr:rowOff>28725</xdr:rowOff>
                  </from>
                  <to>
                    <xdr:col>5</xdr:col>
                    <xdr:colOff>1153772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28" name="Spinner 75">
              <controlPr defaultSize="0" autoPict="0">
                <anchor moveWithCells="1" sizeWithCells="1">
                  <from>
                    <xdr:col>5</xdr:col>
                    <xdr:colOff>990999</xdr:colOff>
                    <xdr:row>23</xdr:row>
                    <xdr:rowOff>28725</xdr:rowOff>
                  </from>
                  <to>
                    <xdr:col>5</xdr:col>
                    <xdr:colOff>1153772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0" r:id="rId29" name="Check Box 76">
              <controlPr defaultSize="0" autoFill="0" autoLine="0" autoPict="0">
                <anchor>
                  <from>
                    <xdr:col>7</xdr:col>
                    <xdr:colOff>382995</xdr:colOff>
                    <xdr:row>20</xdr:row>
                    <xdr:rowOff>28725</xdr:rowOff>
                  </from>
                  <to>
                    <xdr:col>8</xdr:col>
                    <xdr:colOff>76599</xdr:colOff>
                    <xdr:row>21</xdr:row>
                    <xdr:rowOff>28725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nfusen"/>
  <dimension ref="A1:S34"/>
  <sheetViews>
    <sheetView workbookViewId="0">
      <selection activeCell="B17" sqref="B17"/>
    </sheetView>
  </sheetViews>
  <sheetFormatPr defaultRowHeight="12.85" x14ac:dyDescent="0.35"/>
  <cols>
    <col min="1" max="1" width="76.1328125" customWidth="1"/>
    <col min="7" max="7" width="20" customWidth="1"/>
  </cols>
  <sheetData>
    <row r="1" spans="1:19" ht="13.2" x14ac:dyDescent="0.4">
      <c r="A1" s="3"/>
      <c r="G1" s="8" t="s">
        <v>613</v>
      </c>
      <c r="L1">
        <v>1</v>
      </c>
      <c r="M1">
        <v>1</v>
      </c>
      <c r="Q1" t="s">
        <v>1177</v>
      </c>
      <c r="S1">
        <v>70</v>
      </c>
    </row>
    <row r="2" spans="1:19" x14ac:dyDescent="0.35">
      <c r="A2" s="11" t="s">
        <v>790</v>
      </c>
      <c r="D2">
        <v>1</v>
      </c>
      <c r="E2">
        <v>1</v>
      </c>
      <c r="G2" s="8" t="s">
        <v>614</v>
      </c>
      <c r="J2" t="s">
        <v>2035</v>
      </c>
      <c r="L2">
        <v>2</v>
      </c>
      <c r="M2">
        <v>1</v>
      </c>
      <c r="Q2" t="s">
        <v>1173</v>
      </c>
      <c r="S2">
        <v>10</v>
      </c>
    </row>
    <row r="3" spans="1:19" x14ac:dyDescent="0.35">
      <c r="A3" s="11" t="s">
        <v>940</v>
      </c>
      <c r="B3">
        <v>12</v>
      </c>
      <c r="C3">
        <f>B3*0.155</f>
        <v>1.8599999999999999</v>
      </c>
      <c r="D3">
        <v>2</v>
      </c>
      <c r="E3">
        <v>1</v>
      </c>
      <c r="G3" s="9" t="s">
        <v>1355</v>
      </c>
      <c r="J3" t="s">
        <v>2036</v>
      </c>
      <c r="L3">
        <v>3</v>
      </c>
      <c r="M3">
        <v>1</v>
      </c>
      <c r="O3" t="s">
        <v>1762</v>
      </c>
      <c r="P3" t="s">
        <v>1170</v>
      </c>
      <c r="Q3" t="s">
        <v>1174</v>
      </c>
      <c r="S3">
        <v>10</v>
      </c>
    </row>
    <row r="4" spans="1:19" x14ac:dyDescent="0.35">
      <c r="A4" s="11" t="s">
        <v>1714</v>
      </c>
      <c r="B4">
        <v>72</v>
      </c>
      <c r="C4">
        <f>B4*0.155</f>
        <v>11.16</v>
      </c>
      <c r="D4">
        <v>3</v>
      </c>
      <c r="E4">
        <v>1</v>
      </c>
      <c r="G4" s="8" t="s">
        <v>1356</v>
      </c>
      <c r="J4" t="s">
        <v>2022</v>
      </c>
      <c r="L4">
        <v>4</v>
      </c>
      <c r="M4">
        <v>1</v>
      </c>
      <c r="O4" t="s">
        <v>1168</v>
      </c>
      <c r="P4" t="s">
        <v>1171</v>
      </c>
      <c r="Q4" t="s">
        <v>1175</v>
      </c>
      <c r="S4">
        <v>170</v>
      </c>
    </row>
    <row r="5" spans="1:19" x14ac:dyDescent="0.35">
      <c r="A5" s="11" t="s">
        <v>1715</v>
      </c>
      <c r="B5">
        <v>12</v>
      </c>
      <c r="C5">
        <f>B5*0.155</f>
        <v>1.8599999999999999</v>
      </c>
      <c r="D5">
        <v>4</v>
      </c>
      <c r="E5">
        <v>1</v>
      </c>
      <c r="G5" s="8" t="s">
        <v>1357</v>
      </c>
      <c r="J5" t="s">
        <v>2019</v>
      </c>
      <c r="L5">
        <v>5</v>
      </c>
      <c r="M5">
        <v>1</v>
      </c>
      <c r="O5" t="s">
        <v>1169</v>
      </c>
      <c r="P5" t="s">
        <v>1172</v>
      </c>
      <c r="Q5" t="s">
        <v>1176</v>
      </c>
      <c r="S5">
        <v>20</v>
      </c>
    </row>
    <row r="6" spans="1:19" x14ac:dyDescent="0.35">
      <c r="A6" s="11" t="s">
        <v>609</v>
      </c>
      <c r="B6">
        <v>72</v>
      </c>
      <c r="C6">
        <f>B6*0.155</f>
        <v>11.16</v>
      </c>
      <c r="D6">
        <v>5</v>
      </c>
      <c r="E6">
        <v>1</v>
      </c>
      <c r="G6" s="9" t="s">
        <v>1358</v>
      </c>
      <c r="J6" t="s">
        <v>180</v>
      </c>
      <c r="L6">
        <v>6</v>
      </c>
      <c r="M6">
        <v>1</v>
      </c>
      <c r="Q6" t="s">
        <v>1426</v>
      </c>
      <c r="S6">
        <v>20</v>
      </c>
    </row>
    <row r="7" spans="1:19" x14ac:dyDescent="0.35">
      <c r="A7" s="11" t="s">
        <v>610</v>
      </c>
      <c r="D7">
        <v>6</v>
      </c>
      <c r="E7">
        <v>1</v>
      </c>
      <c r="G7" s="8" t="s">
        <v>1359</v>
      </c>
      <c r="J7" t="s">
        <v>2015</v>
      </c>
    </row>
    <row r="8" spans="1:19" x14ac:dyDescent="0.35">
      <c r="A8" s="11" t="s">
        <v>208</v>
      </c>
      <c r="B8">
        <v>12</v>
      </c>
      <c r="C8">
        <f>B8*0.155</f>
        <v>1.8599999999999999</v>
      </c>
      <c r="G8" s="9" t="s">
        <v>1360</v>
      </c>
      <c r="J8" t="s">
        <v>2016</v>
      </c>
      <c r="O8" t="s">
        <v>1285</v>
      </c>
      <c r="P8" t="b">
        <v>1</v>
      </c>
    </row>
    <row r="9" spans="1:19" x14ac:dyDescent="0.35">
      <c r="A9" s="11" t="s">
        <v>209</v>
      </c>
      <c r="B9">
        <v>72</v>
      </c>
      <c r="C9">
        <f>B9*0.155</f>
        <v>11.16</v>
      </c>
      <c r="G9" s="9" t="s">
        <v>1361</v>
      </c>
      <c r="J9" t="s">
        <v>1519</v>
      </c>
    </row>
    <row r="10" spans="1:19" x14ac:dyDescent="0.35">
      <c r="A10" s="11" t="s">
        <v>460</v>
      </c>
      <c r="G10" s="9" t="s">
        <v>680</v>
      </c>
      <c r="J10" t="s">
        <v>2025</v>
      </c>
    </row>
    <row r="11" spans="1:19" x14ac:dyDescent="0.35">
      <c r="A11" s="11" t="s">
        <v>2063</v>
      </c>
      <c r="J11" t="s">
        <v>2024</v>
      </c>
    </row>
    <row r="12" spans="1:19" x14ac:dyDescent="0.35">
      <c r="A12" s="11" t="s">
        <v>2064</v>
      </c>
      <c r="J12" t="s">
        <v>2014</v>
      </c>
    </row>
    <row r="13" spans="1:19" x14ac:dyDescent="0.35">
      <c r="A13" s="11" t="s">
        <v>1612</v>
      </c>
      <c r="G13" s="9"/>
      <c r="J13" t="s">
        <v>2026</v>
      </c>
    </row>
    <row r="14" spans="1:19" x14ac:dyDescent="0.35">
      <c r="A14" s="11" t="s">
        <v>1613</v>
      </c>
      <c r="G14" s="9"/>
      <c r="J14" t="s">
        <v>2034</v>
      </c>
    </row>
    <row r="15" spans="1:19" x14ac:dyDescent="0.35">
      <c r="A15" s="11" t="s">
        <v>611</v>
      </c>
      <c r="G15" s="9" t="s">
        <v>681</v>
      </c>
      <c r="H15">
        <v>8</v>
      </c>
      <c r="J15" t="s">
        <v>2023</v>
      </c>
    </row>
    <row r="16" spans="1:19" x14ac:dyDescent="0.35">
      <c r="A16" s="11" t="s">
        <v>210</v>
      </c>
      <c r="B16">
        <v>12</v>
      </c>
      <c r="C16">
        <f>B16*0.155</f>
        <v>1.8599999999999999</v>
      </c>
      <c r="G16" s="9" t="s">
        <v>682</v>
      </c>
      <c r="H16">
        <v>3</v>
      </c>
      <c r="J16" t="s">
        <v>2017</v>
      </c>
    </row>
    <row r="17" spans="1:10" x14ac:dyDescent="0.35">
      <c r="A17" s="11" t="s">
        <v>211</v>
      </c>
      <c r="B17">
        <v>72</v>
      </c>
      <c r="C17">
        <f>B17*0.155</f>
        <v>11.16</v>
      </c>
      <c r="J17" t="s">
        <v>2021</v>
      </c>
    </row>
    <row r="18" spans="1:10" x14ac:dyDescent="0.35">
      <c r="A18" s="11" t="s">
        <v>926</v>
      </c>
      <c r="J18" t="s">
        <v>2020</v>
      </c>
    </row>
    <row r="19" spans="1:10" x14ac:dyDescent="0.35">
      <c r="A19" s="11" t="s">
        <v>2063</v>
      </c>
      <c r="J19" t="s">
        <v>2033</v>
      </c>
    </row>
    <row r="20" spans="1:10" x14ac:dyDescent="0.35">
      <c r="A20" s="11" t="s">
        <v>2064</v>
      </c>
      <c r="J20" t="s">
        <v>2018</v>
      </c>
    </row>
    <row r="21" spans="1:10" x14ac:dyDescent="0.35">
      <c r="A21" s="11" t="s">
        <v>1614</v>
      </c>
      <c r="J21" t="s">
        <v>2037</v>
      </c>
    </row>
    <row r="22" spans="1:10" x14ac:dyDescent="0.35">
      <c r="A22" s="11" t="s">
        <v>1497</v>
      </c>
      <c r="J22" t="s">
        <v>1678</v>
      </c>
    </row>
    <row r="23" spans="1:10" x14ac:dyDescent="0.35">
      <c r="A23" s="11" t="s">
        <v>789</v>
      </c>
      <c r="J23" t="s">
        <v>2027</v>
      </c>
    </row>
    <row r="24" spans="1:10" x14ac:dyDescent="0.35">
      <c r="A24" s="11" t="s">
        <v>1498</v>
      </c>
      <c r="J24" t="s">
        <v>1679</v>
      </c>
    </row>
    <row r="25" spans="1:10" x14ac:dyDescent="0.35">
      <c r="A25" s="11" t="s">
        <v>1446</v>
      </c>
      <c r="J25" t="s">
        <v>2028</v>
      </c>
    </row>
    <row r="26" spans="1:10" x14ac:dyDescent="0.35">
      <c r="A26" s="11" t="s">
        <v>2134</v>
      </c>
      <c r="J26" t="s">
        <v>1680</v>
      </c>
    </row>
    <row r="27" spans="1:10" x14ac:dyDescent="0.35">
      <c r="A27" s="11" t="s">
        <v>1913</v>
      </c>
      <c r="J27" t="s">
        <v>1681</v>
      </c>
    </row>
    <row r="28" spans="1:10" x14ac:dyDescent="0.35">
      <c r="A28" s="11" t="s">
        <v>1911</v>
      </c>
      <c r="J28" t="s">
        <v>1682</v>
      </c>
    </row>
    <row r="29" spans="1:10" x14ac:dyDescent="0.35">
      <c r="A29" s="11" t="s">
        <v>1912</v>
      </c>
      <c r="J29" t="s">
        <v>459</v>
      </c>
    </row>
    <row r="30" spans="1:10" x14ac:dyDescent="0.35">
      <c r="A30" s="11" t="s">
        <v>2135</v>
      </c>
      <c r="J30" t="s">
        <v>179</v>
      </c>
    </row>
    <row r="31" spans="1:10" x14ac:dyDescent="0.35">
      <c r="A31" s="11" t="s">
        <v>2097</v>
      </c>
      <c r="J31" t="s">
        <v>73</v>
      </c>
    </row>
    <row r="32" spans="1:10" x14ac:dyDescent="0.35">
      <c r="A32" s="11" t="s">
        <v>2098</v>
      </c>
    </row>
    <row r="33" spans="1:1" x14ac:dyDescent="0.35">
      <c r="A33" s="11" t="s">
        <v>2099</v>
      </c>
    </row>
    <row r="34" spans="1:1" x14ac:dyDescent="0.35">
      <c r="A34" s="11" t="s">
        <v>1520</v>
      </c>
    </row>
  </sheetData>
  <phoneticPr fontId="26" type="noConversion"/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Normaal"/>
  <dimension ref="A1:F21"/>
  <sheetViews>
    <sheetView workbookViewId="0">
      <selection activeCell="A21" sqref="A21"/>
    </sheetView>
  </sheetViews>
  <sheetFormatPr defaultRowHeight="12.85" x14ac:dyDescent="0.35"/>
  <sheetData>
    <row r="1" spans="1:2" x14ac:dyDescent="0.35">
      <c r="A1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1685</v>
      </c>
      <c r="E17" t="s">
        <v>1686</v>
      </c>
      <c r="F17" s="23">
        <f ca="1">TODAY()-GebDatum+1</f>
        <v>1283</v>
      </c>
    </row>
    <row r="18" spans="1:6" x14ac:dyDescent="0.35">
      <c r="A18" s="24">
        <f ca="1">IF(F17&lt;6,VLOOKUP(F17,A1:B5,2),IF(F18&lt;6,150,IF(F18&lt;8,125,IF(F18&lt;10,100,IF(F18&lt;20,(1000+(F18-10)*50)/F18,IF(F18&lt;30,(1500+(F18-20)*20)/F18,(1700+(F18-30)*10)/F18))))))</f>
        <v>100</v>
      </c>
      <c r="E18" t="s">
        <v>1687</v>
      </c>
      <c r="F18">
        <f>Gewicht/10</f>
        <v>10</v>
      </c>
    </row>
    <row r="20" spans="1:6" x14ac:dyDescent="0.35">
      <c r="A20" t="s">
        <v>598</v>
      </c>
    </row>
    <row r="21" spans="1:6" x14ac:dyDescent="0.35">
      <c r="A21">
        <f ca="1">ROUND((100-F17/365*(60/17))/5,0)*5</f>
        <v>90</v>
      </c>
    </row>
  </sheetData>
  <phoneticPr fontId="26" type="noConversion"/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4"/>
  <dimension ref="A1:H649"/>
  <sheetViews>
    <sheetView workbookViewId="0">
      <selection activeCell="G505" sqref="G505:G510"/>
    </sheetView>
  </sheetViews>
  <sheetFormatPr defaultColWidth="9.1328125" defaultRowHeight="12.85" x14ac:dyDescent="0.35"/>
  <cols>
    <col min="1" max="1" width="36.73046875" style="37" customWidth="1"/>
    <col min="2" max="3" width="9.1328125" style="37"/>
    <col min="4" max="4" width="18.3984375" style="37" customWidth="1"/>
    <col min="5" max="6" width="9.1328125" style="37"/>
    <col min="7" max="7" width="30.1328125" style="37" customWidth="1"/>
    <col min="8" max="16384" width="9.1328125" style="37"/>
  </cols>
  <sheetData>
    <row r="1" spans="1:8" ht="25.65" x14ac:dyDescent="0.35">
      <c r="A1" s="37" t="s">
        <v>1450</v>
      </c>
      <c r="B1" s="37" t="s">
        <v>1116</v>
      </c>
      <c r="C1" s="37" t="s">
        <v>1117</v>
      </c>
      <c r="D1" s="37" t="s">
        <v>463</v>
      </c>
      <c r="E1" s="37" t="s">
        <v>1118</v>
      </c>
      <c r="G1" s="106" t="s">
        <v>971</v>
      </c>
      <c r="H1" s="106" t="s">
        <v>588</v>
      </c>
    </row>
    <row r="2" spans="1:8" ht="25.65" x14ac:dyDescent="0.35">
      <c r="G2" s="106" t="s">
        <v>95</v>
      </c>
      <c r="H2" s="106" t="s">
        <v>303</v>
      </c>
    </row>
    <row r="3" spans="1:8" ht="25.65" x14ac:dyDescent="0.35">
      <c r="G3" s="106" t="s">
        <v>96</v>
      </c>
      <c r="H3" s="106" t="s">
        <v>304</v>
      </c>
    </row>
    <row r="4" spans="1:8" ht="25.65" x14ac:dyDescent="0.35">
      <c r="G4" s="106" t="s">
        <v>97</v>
      </c>
      <c r="H4" s="106" t="s">
        <v>305</v>
      </c>
    </row>
    <row r="5" spans="1:8" ht="25.65" x14ac:dyDescent="0.35">
      <c r="G5" s="106" t="s">
        <v>546</v>
      </c>
      <c r="H5" s="106" t="s">
        <v>306</v>
      </c>
    </row>
    <row r="6" spans="1:8" ht="25.65" x14ac:dyDescent="0.35">
      <c r="G6" s="106" t="s">
        <v>547</v>
      </c>
      <c r="H6" s="106" t="s">
        <v>307</v>
      </c>
    </row>
    <row r="7" spans="1:8" ht="25.65" x14ac:dyDescent="0.35">
      <c r="G7" s="106" t="s">
        <v>548</v>
      </c>
      <c r="H7" s="106" t="s">
        <v>308</v>
      </c>
    </row>
    <row r="8" spans="1:8" ht="25.65" x14ac:dyDescent="0.35">
      <c r="G8" s="106" t="s">
        <v>1874</v>
      </c>
      <c r="H8" s="106" t="s">
        <v>309</v>
      </c>
    </row>
    <row r="9" spans="1:8" ht="25.65" x14ac:dyDescent="0.35">
      <c r="G9" s="106" t="s">
        <v>1875</v>
      </c>
      <c r="H9" s="106" t="s">
        <v>310</v>
      </c>
    </row>
    <row r="10" spans="1:8" ht="25.65" x14ac:dyDescent="0.35">
      <c r="G10" s="106" t="s">
        <v>1876</v>
      </c>
      <c r="H10" s="106" t="s">
        <v>311</v>
      </c>
    </row>
    <row r="11" spans="1:8" ht="25.65" x14ac:dyDescent="0.35">
      <c r="G11" s="106" t="s">
        <v>1877</v>
      </c>
      <c r="H11" s="106" t="s">
        <v>312</v>
      </c>
    </row>
    <row r="12" spans="1:8" ht="25.65" x14ac:dyDescent="0.35">
      <c r="G12" s="106" t="s">
        <v>1878</v>
      </c>
      <c r="H12" s="106" t="s">
        <v>313</v>
      </c>
    </row>
    <row r="13" spans="1:8" ht="25.65" x14ac:dyDescent="0.35">
      <c r="G13" s="106" t="s">
        <v>1879</v>
      </c>
      <c r="H13" s="106" t="s">
        <v>314</v>
      </c>
    </row>
    <row r="14" spans="1:8" ht="25.65" x14ac:dyDescent="0.35">
      <c r="G14" s="106" t="s">
        <v>1880</v>
      </c>
      <c r="H14" s="106" t="s">
        <v>1943</v>
      </c>
    </row>
    <row r="15" spans="1:8" ht="25.65" x14ac:dyDescent="0.35">
      <c r="G15" s="106" t="s">
        <v>1881</v>
      </c>
      <c r="H15" s="106" t="s">
        <v>1944</v>
      </c>
    </row>
    <row r="16" spans="1:8" ht="25.65" x14ac:dyDescent="0.35">
      <c r="G16" s="106" t="s">
        <v>1882</v>
      </c>
      <c r="H16" s="106" t="s">
        <v>1945</v>
      </c>
    </row>
    <row r="17" spans="7:8" ht="25.65" x14ac:dyDescent="0.35">
      <c r="G17" s="106" t="s">
        <v>969</v>
      </c>
      <c r="H17" s="106" t="s">
        <v>1946</v>
      </c>
    </row>
    <row r="18" spans="7:8" ht="25.65" x14ac:dyDescent="0.35">
      <c r="G18" s="106" t="s">
        <v>1279</v>
      </c>
      <c r="H18" s="106" t="s">
        <v>289</v>
      </c>
    </row>
    <row r="19" spans="7:8" ht="25.65" x14ac:dyDescent="0.35">
      <c r="G19" s="106" t="s">
        <v>525</v>
      </c>
      <c r="H19" s="106" t="s">
        <v>1372</v>
      </c>
    </row>
    <row r="20" spans="7:8" ht="25.65" x14ac:dyDescent="0.35">
      <c r="G20" s="106" t="s">
        <v>1373</v>
      </c>
      <c r="H20" s="106" t="s">
        <v>1374</v>
      </c>
    </row>
    <row r="21" spans="7:8" ht="25.65" x14ac:dyDescent="0.35">
      <c r="G21" s="106" t="s">
        <v>1807</v>
      </c>
      <c r="H21" s="106" t="s">
        <v>1375</v>
      </c>
    </row>
    <row r="22" spans="7:8" ht="25.65" x14ac:dyDescent="0.35">
      <c r="G22" s="106" t="s">
        <v>1808</v>
      </c>
      <c r="H22" s="106" t="s">
        <v>1921</v>
      </c>
    </row>
    <row r="23" spans="7:8" ht="25.65" x14ac:dyDescent="0.35">
      <c r="G23" s="106" t="s">
        <v>962</v>
      </c>
      <c r="H23" s="106" t="s">
        <v>1922</v>
      </c>
    </row>
    <row r="24" spans="7:8" ht="25.65" x14ac:dyDescent="0.35">
      <c r="G24" s="106" t="s">
        <v>1923</v>
      </c>
      <c r="H24" s="106" t="s">
        <v>1924</v>
      </c>
    </row>
    <row r="25" spans="7:8" ht="38.450000000000003" x14ac:dyDescent="0.35">
      <c r="G25" s="106" t="s">
        <v>1700</v>
      </c>
      <c r="H25" s="106" t="s">
        <v>1701</v>
      </c>
    </row>
    <row r="26" spans="7:8" ht="25.65" x14ac:dyDescent="0.35">
      <c r="G26" s="106" t="s">
        <v>1702</v>
      </c>
      <c r="H26" s="106" t="s">
        <v>1703</v>
      </c>
    </row>
    <row r="27" spans="7:8" ht="25.65" x14ac:dyDescent="0.35">
      <c r="G27" s="106" t="s">
        <v>1704</v>
      </c>
      <c r="H27" s="106" t="s">
        <v>1705</v>
      </c>
    </row>
    <row r="28" spans="7:8" ht="25.65" x14ac:dyDescent="0.35">
      <c r="G28" s="106" t="s">
        <v>1706</v>
      </c>
      <c r="H28" s="106" t="s">
        <v>1745</v>
      </c>
    </row>
    <row r="29" spans="7:8" ht="25.65" x14ac:dyDescent="0.35">
      <c r="G29" s="106" t="s">
        <v>1746</v>
      </c>
      <c r="H29" s="106" t="s">
        <v>1747</v>
      </c>
    </row>
    <row r="30" spans="7:8" ht="25.65" x14ac:dyDescent="0.35">
      <c r="G30" s="106" t="s">
        <v>1748</v>
      </c>
      <c r="H30" s="106" t="s">
        <v>1749</v>
      </c>
    </row>
    <row r="31" spans="7:8" ht="25.65" x14ac:dyDescent="0.35">
      <c r="G31" s="106" t="s">
        <v>1780</v>
      </c>
      <c r="H31" s="106" t="s">
        <v>1781</v>
      </c>
    </row>
    <row r="32" spans="7:8" ht="25.65" x14ac:dyDescent="0.35">
      <c r="G32" s="106" t="s">
        <v>1782</v>
      </c>
      <c r="H32" s="106" t="s">
        <v>1783</v>
      </c>
    </row>
    <row r="33" spans="7:8" ht="25.65" x14ac:dyDescent="0.35">
      <c r="G33" s="106" t="s">
        <v>1784</v>
      </c>
      <c r="H33" s="106" t="s">
        <v>1785</v>
      </c>
    </row>
    <row r="34" spans="7:8" ht="38.450000000000003" x14ac:dyDescent="0.35">
      <c r="G34" s="106" t="s">
        <v>1786</v>
      </c>
      <c r="H34" s="106" t="s">
        <v>1787</v>
      </c>
    </row>
    <row r="35" spans="7:8" ht="25.65" x14ac:dyDescent="0.35">
      <c r="G35" s="106" t="s">
        <v>1753</v>
      </c>
      <c r="H35" s="106" t="s">
        <v>1788</v>
      </c>
    </row>
    <row r="36" spans="7:8" ht="25.65" x14ac:dyDescent="0.35">
      <c r="G36" s="106" t="s">
        <v>1758</v>
      </c>
      <c r="H36" s="106" t="s">
        <v>773</v>
      </c>
    </row>
    <row r="37" spans="7:8" ht="38.450000000000003" x14ac:dyDescent="0.35">
      <c r="G37" s="106" t="s">
        <v>221</v>
      </c>
      <c r="H37" s="106" t="s">
        <v>774</v>
      </c>
    </row>
    <row r="38" spans="7:8" ht="38.450000000000003" x14ac:dyDescent="0.35">
      <c r="G38" s="106" t="s">
        <v>222</v>
      </c>
      <c r="H38" s="106" t="s">
        <v>775</v>
      </c>
    </row>
    <row r="39" spans="7:8" ht="38.450000000000003" x14ac:dyDescent="0.35">
      <c r="G39" s="106" t="s">
        <v>223</v>
      </c>
      <c r="H39" s="106" t="s">
        <v>1281</v>
      </c>
    </row>
    <row r="40" spans="7:8" ht="38.450000000000003" x14ac:dyDescent="0.35">
      <c r="G40" s="106" t="s">
        <v>224</v>
      </c>
      <c r="H40" s="106" t="s">
        <v>1282</v>
      </c>
    </row>
    <row r="41" spans="7:8" ht="38.450000000000003" x14ac:dyDescent="0.35">
      <c r="G41" s="106" t="s">
        <v>40</v>
      </c>
      <c r="H41" s="106" t="s">
        <v>1283</v>
      </c>
    </row>
    <row r="42" spans="7:8" ht="38.450000000000003" x14ac:dyDescent="0.35">
      <c r="G42" s="106" t="s">
        <v>41</v>
      </c>
      <c r="H42" s="106" t="s">
        <v>353</v>
      </c>
    </row>
    <row r="43" spans="7:8" ht="38.450000000000003" x14ac:dyDescent="0.35">
      <c r="G43" s="106" t="s">
        <v>1635</v>
      </c>
      <c r="H43" s="106" t="s">
        <v>830</v>
      </c>
    </row>
    <row r="44" spans="7:8" ht="38.450000000000003" x14ac:dyDescent="0.35">
      <c r="G44" s="106" t="s">
        <v>1636</v>
      </c>
      <c r="H44" s="106" t="s">
        <v>831</v>
      </c>
    </row>
    <row r="45" spans="7:8" ht="38.450000000000003" x14ac:dyDescent="0.35">
      <c r="G45" s="106" t="s">
        <v>1637</v>
      </c>
      <c r="H45" s="106" t="s">
        <v>794</v>
      </c>
    </row>
    <row r="46" spans="7:8" ht="38.450000000000003" x14ac:dyDescent="0.35">
      <c r="G46" s="106" t="s">
        <v>1638</v>
      </c>
      <c r="H46" s="106" t="s">
        <v>795</v>
      </c>
    </row>
    <row r="47" spans="7:8" ht="38.450000000000003" x14ac:dyDescent="0.35">
      <c r="G47" s="106" t="s">
        <v>987</v>
      </c>
      <c r="H47" s="106" t="s">
        <v>796</v>
      </c>
    </row>
    <row r="48" spans="7:8" ht="38.450000000000003" x14ac:dyDescent="0.35">
      <c r="G48" s="106" t="s">
        <v>988</v>
      </c>
      <c r="H48" s="106" t="s">
        <v>797</v>
      </c>
    </row>
    <row r="49" spans="7:8" ht="38.450000000000003" x14ac:dyDescent="0.35">
      <c r="G49" s="106" t="s">
        <v>989</v>
      </c>
      <c r="H49" s="106" t="s">
        <v>798</v>
      </c>
    </row>
    <row r="50" spans="7:8" ht="38.450000000000003" x14ac:dyDescent="0.35">
      <c r="G50" s="106" t="s">
        <v>990</v>
      </c>
      <c r="H50" s="106" t="s">
        <v>799</v>
      </c>
    </row>
    <row r="51" spans="7:8" ht="38.450000000000003" x14ac:dyDescent="0.35">
      <c r="G51" s="106" t="s">
        <v>173</v>
      </c>
      <c r="H51" s="106" t="s">
        <v>2060</v>
      </c>
    </row>
    <row r="52" spans="7:8" ht="38.450000000000003" x14ac:dyDescent="0.35">
      <c r="G52" s="106" t="s">
        <v>174</v>
      </c>
      <c r="H52" s="106" t="s">
        <v>2061</v>
      </c>
    </row>
    <row r="53" spans="7:8" ht="38.450000000000003" x14ac:dyDescent="0.35">
      <c r="G53" s="106" t="s">
        <v>175</v>
      </c>
      <c r="H53" s="106" t="s">
        <v>2062</v>
      </c>
    </row>
    <row r="54" spans="7:8" ht="38.450000000000003" x14ac:dyDescent="0.35">
      <c r="G54" s="106" t="s">
        <v>176</v>
      </c>
      <c r="H54" s="106" t="s">
        <v>881</v>
      </c>
    </row>
    <row r="55" spans="7:8" ht="38.450000000000003" x14ac:dyDescent="0.35">
      <c r="G55" s="106" t="s">
        <v>177</v>
      </c>
      <c r="H55" s="106" t="s">
        <v>882</v>
      </c>
    </row>
    <row r="56" spans="7:8" ht="38.450000000000003" x14ac:dyDescent="0.35">
      <c r="G56" s="106" t="s">
        <v>392</v>
      </c>
      <c r="H56" s="106" t="s">
        <v>883</v>
      </c>
    </row>
    <row r="57" spans="7:8" ht="25.65" x14ac:dyDescent="0.35">
      <c r="G57" s="106" t="s">
        <v>1750</v>
      </c>
      <c r="H57" s="106" t="s">
        <v>884</v>
      </c>
    </row>
    <row r="58" spans="7:8" ht="25.65" x14ac:dyDescent="0.35">
      <c r="G58" s="106" t="s">
        <v>1757</v>
      </c>
      <c r="H58" s="106" t="s">
        <v>885</v>
      </c>
    </row>
    <row r="59" spans="7:8" ht="25.65" x14ac:dyDescent="0.35">
      <c r="G59" s="106" t="s">
        <v>633</v>
      </c>
      <c r="H59" s="106" t="s">
        <v>886</v>
      </c>
    </row>
    <row r="60" spans="7:8" ht="38.450000000000003" x14ac:dyDescent="0.35">
      <c r="G60" s="106" t="s">
        <v>393</v>
      </c>
      <c r="H60" s="106" t="s">
        <v>887</v>
      </c>
    </row>
    <row r="61" spans="7:8" ht="38.450000000000003" x14ac:dyDescent="0.35">
      <c r="G61" s="106" t="s">
        <v>394</v>
      </c>
      <c r="H61" s="106" t="s">
        <v>888</v>
      </c>
    </row>
    <row r="62" spans="7:8" ht="38.450000000000003" x14ac:dyDescent="0.35">
      <c r="G62" s="106" t="s">
        <v>395</v>
      </c>
      <c r="H62" s="106" t="s">
        <v>889</v>
      </c>
    </row>
    <row r="63" spans="7:8" ht="38.450000000000003" x14ac:dyDescent="0.35">
      <c r="G63" s="106" t="s">
        <v>396</v>
      </c>
      <c r="H63" s="106" t="s">
        <v>890</v>
      </c>
    </row>
    <row r="64" spans="7:8" ht="38.450000000000003" x14ac:dyDescent="0.35">
      <c r="G64" s="106" t="s">
        <v>397</v>
      </c>
      <c r="H64" s="106" t="s">
        <v>891</v>
      </c>
    </row>
    <row r="65" spans="7:8" ht="38.450000000000003" x14ac:dyDescent="0.35">
      <c r="G65" s="106" t="s">
        <v>398</v>
      </c>
      <c r="H65" s="106" t="s">
        <v>892</v>
      </c>
    </row>
    <row r="66" spans="7:8" ht="38.450000000000003" x14ac:dyDescent="0.35">
      <c r="G66" s="106" t="s">
        <v>399</v>
      </c>
      <c r="H66" s="106" t="s">
        <v>1661</v>
      </c>
    </row>
    <row r="67" spans="7:8" ht="38.450000000000003" x14ac:dyDescent="0.35">
      <c r="G67" s="106" t="s">
        <v>400</v>
      </c>
      <c r="H67" s="106" t="s">
        <v>1662</v>
      </c>
    </row>
    <row r="68" spans="7:8" ht="38.450000000000003" x14ac:dyDescent="0.35">
      <c r="G68" s="106" t="s">
        <v>401</v>
      </c>
      <c r="H68" s="106" t="s">
        <v>1663</v>
      </c>
    </row>
    <row r="69" spans="7:8" ht="38.450000000000003" x14ac:dyDescent="0.35">
      <c r="G69" s="106" t="s">
        <v>402</v>
      </c>
      <c r="H69" s="106" t="s">
        <v>1664</v>
      </c>
    </row>
    <row r="70" spans="7:8" ht="38.450000000000003" x14ac:dyDescent="0.35">
      <c r="G70" s="106" t="s">
        <v>403</v>
      </c>
      <c r="H70" s="106" t="s">
        <v>1665</v>
      </c>
    </row>
    <row r="71" spans="7:8" ht="38.450000000000003" x14ac:dyDescent="0.35">
      <c r="G71" s="106" t="s">
        <v>404</v>
      </c>
      <c r="H71" s="106" t="s">
        <v>2052</v>
      </c>
    </row>
    <row r="72" spans="7:8" ht="38.450000000000003" x14ac:dyDescent="0.35">
      <c r="G72" s="106" t="s">
        <v>405</v>
      </c>
      <c r="H72" s="106" t="s">
        <v>2053</v>
      </c>
    </row>
    <row r="73" spans="7:8" ht="38.450000000000003" x14ac:dyDescent="0.35">
      <c r="G73" s="106" t="s">
        <v>406</v>
      </c>
      <c r="H73" s="106" t="s">
        <v>2054</v>
      </c>
    </row>
    <row r="74" spans="7:8" ht="38.450000000000003" x14ac:dyDescent="0.35">
      <c r="G74" s="106" t="s">
        <v>407</v>
      </c>
      <c r="H74" s="106" t="s">
        <v>2055</v>
      </c>
    </row>
    <row r="75" spans="7:8" ht="38.450000000000003" x14ac:dyDescent="0.35">
      <c r="G75" s="106" t="s">
        <v>408</v>
      </c>
      <c r="H75" s="106" t="s">
        <v>2056</v>
      </c>
    </row>
    <row r="76" spans="7:8" ht="38.450000000000003" x14ac:dyDescent="0.35">
      <c r="G76" s="106" t="s">
        <v>409</v>
      </c>
      <c r="H76" s="106" t="s">
        <v>2057</v>
      </c>
    </row>
    <row r="77" spans="7:8" ht="38.450000000000003" x14ac:dyDescent="0.35">
      <c r="G77" s="106" t="s">
        <v>1034</v>
      </c>
      <c r="H77" s="106" t="s">
        <v>2058</v>
      </c>
    </row>
    <row r="78" spans="7:8" ht="38.450000000000003" x14ac:dyDescent="0.35">
      <c r="G78" s="106" t="s">
        <v>1035</v>
      </c>
      <c r="H78" s="106" t="s">
        <v>2059</v>
      </c>
    </row>
    <row r="79" spans="7:8" ht="38.450000000000003" x14ac:dyDescent="0.35">
      <c r="G79" s="106" t="s">
        <v>1071</v>
      </c>
      <c r="H79" s="106" t="s">
        <v>834</v>
      </c>
    </row>
    <row r="80" spans="7:8" ht="25.65" x14ac:dyDescent="0.35">
      <c r="G80" s="106" t="s">
        <v>1074</v>
      </c>
      <c r="H80" s="106" t="s">
        <v>835</v>
      </c>
    </row>
    <row r="81" spans="7:8" ht="25.65" x14ac:dyDescent="0.35">
      <c r="G81" s="106" t="s">
        <v>1763</v>
      </c>
      <c r="H81" s="106" t="s">
        <v>836</v>
      </c>
    </row>
    <row r="82" spans="7:8" ht="25.65" x14ac:dyDescent="0.35">
      <c r="G82" s="106" t="s">
        <v>1751</v>
      </c>
      <c r="H82" s="106" t="s">
        <v>837</v>
      </c>
    </row>
    <row r="83" spans="7:8" ht="25.65" x14ac:dyDescent="0.35">
      <c r="G83" s="106" t="s">
        <v>1755</v>
      </c>
      <c r="H83" s="106" t="s">
        <v>838</v>
      </c>
    </row>
    <row r="84" spans="7:8" ht="25.65" x14ac:dyDescent="0.35">
      <c r="G84" s="106" t="s">
        <v>702</v>
      </c>
      <c r="H84" s="106" t="s">
        <v>839</v>
      </c>
    </row>
    <row r="85" spans="7:8" ht="25.65" x14ac:dyDescent="0.35">
      <c r="G85" s="106" t="s">
        <v>703</v>
      </c>
      <c r="H85" s="106" t="s">
        <v>840</v>
      </c>
    </row>
    <row r="86" spans="7:8" ht="25.65" x14ac:dyDescent="0.35">
      <c r="G86" s="106" t="s">
        <v>704</v>
      </c>
      <c r="H86" s="106" t="s">
        <v>841</v>
      </c>
    </row>
    <row r="87" spans="7:8" ht="25.65" x14ac:dyDescent="0.35">
      <c r="G87" s="106" t="s">
        <v>705</v>
      </c>
      <c r="H87" s="106" t="s">
        <v>842</v>
      </c>
    </row>
    <row r="88" spans="7:8" ht="25.65" x14ac:dyDescent="0.35">
      <c r="G88" s="106" t="s">
        <v>973</v>
      </c>
      <c r="H88" s="106" t="s">
        <v>843</v>
      </c>
    </row>
    <row r="89" spans="7:8" ht="25.65" x14ac:dyDescent="0.35">
      <c r="G89" s="106" t="s">
        <v>1303</v>
      </c>
      <c r="H89" s="106" t="s">
        <v>844</v>
      </c>
    </row>
    <row r="90" spans="7:8" ht="25.65" x14ac:dyDescent="0.35">
      <c r="G90" s="106" t="s">
        <v>1278</v>
      </c>
      <c r="H90" s="106" t="s">
        <v>845</v>
      </c>
    </row>
    <row r="91" spans="7:8" ht="25.65" x14ac:dyDescent="0.35">
      <c r="G91" s="106" t="s">
        <v>692</v>
      </c>
      <c r="H91" s="106" t="s">
        <v>846</v>
      </c>
    </row>
    <row r="92" spans="7:8" ht="25.65" x14ac:dyDescent="0.35">
      <c r="G92" s="106" t="s">
        <v>693</v>
      </c>
      <c r="H92" s="106" t="s">
        <v>1016</v>
      </c>
    </row>
    <row r="93" spans="7:8" ht="25.65" x14ac:dyDescent="0.35">
      <c r="G93" s="106" t="s">
        <v>694</v>
      </c>
      <c r="H93" s="106" t="s">
        <v>1017</v>
      </c>
    </row>
    <row r="94" spans="7:8" ht="25.65" x14ac:dyDescent="0.35">
      <c r="G94" s="106" t="s">
        <v>695</v>
      </c>
      <c r="H94" s="106" t="s">
        <v>1018</v>
      </c>
    </row>
    <row r="95" spans="7:8" ht="25.65" x14ac:dyDescent="0.35">
      <c r="G95" s="106" t="s">
        <v>696</v>
      </c>
      <c r="H95" s="106" t="s">
        <v>1019</v>
      </c>
    </row>
    <row r="96" spans="7:8" ht="25.65" x14ac:dyDescent="0.35">
      <c r="G96" s="106" t="s">
        <v>1849</v>
      </c>
      <c r="H96" s="106" t="s">
        <v>1020</v>
      </c>
    </row>
    <row r="97" spans="7:8" ht="25.65" x14ac:dyDescent="0.35">
      <c r="G97" s="106" t="s">
        <v>1756</v>
      </c>
      <c r="H97" s="106" t="s">
        <v>1021</v>
      </c>
    </row>
    <row r="98" spans="7:8" ht="25.65" x14ac:dyDescent="0.35">
      <c r="G98" s="106" t="s">
        <v>1850</v>
      </c>
      <c r="H98" s="106" t="s">
        <v>1162</v>
      </c>
    </row>
    <row r="99" spans="7:8" ht="25.65" x14ac:dyDescent="0.35">
      <c r="G99" s="106" t="s">
        <v>1851</v>
      </c>
      <c r="H99" s="106" t="s">
        <v>1163</v>
      </c>
    </row>
    <row r="100" spans="7:8" ht="25.65" x14ac:dyDescent="0.35">
      <c r="G100" s="106" t="s">
        <v>1852</v>
      </c>
      <c r="H100" s="106" t="s">
        <v>1515</v>
      </c>
    </row>
    <row r="101" spans="7:8" ht="25.65" x14ac:dyDescent="0.35">
      <c r="G101" s="106" t="s">
        <v>1853</v>
      </c>
      <c r="H101" s="106" t="s">
        <v>1516</v>
      </c>
    </row>
    <row r="102" spans="7:8" ht="25.65" x14ac:dyDescent="0.35">
      <c r="G102" s="106" t="s">
        <v>1854</v>
      </c>
      <c r="H102" s="106" t="s">
        <v>374</v>
      </c>
    </row>
    <row r="103" spans="7:8" ht="25.65" x14ac:dyDescent="0.35">
      <c r="G103" s="106" t="s">
        <v>1855</v>
      </c>
      <c r="H103" s="106" t="s">
        <v>113</v>
      </c>
    </row>
    <row r="104" spans="7:8" ht="25.65" x14ac:dyDescent="0.35">
      <c r="G104" s="106" t="s">
        <v>1856</v>
      </c>
      <c r="H104" s="106" t="s">
        <v>666</v>
      </c>
    </row>
    <row r="105" spans="7:8" ht="25.65" x14ac:dyDescent="0.35">
      <c r="G105" s="106" t="s">
        <v>1857</v>
      </c>
      <c r="H105" s="106" t="s">
        <v>1722</v>
      </c>
    </row>
    <row r="106" spans="7:8" ht="25.65" x14ac:dyDescent="0.35">
      <c r="G106" s="106" t="s">
        <v>1858</v>
      </c>
      <c r="H106" s="106" t="s">
        <v>1723</v>
      </c>
    </row>
    <row r="107" spans="7:8" ht="25.65" x14ac:dyDescent="0.35">
      <c r="G107" s="106" t="s">
        <v>1859</v>
      </c>
      <c r="H107" s="106" t="s">
        <v>1724</v>
      </c>
    </row>
    <row r="108" spans="7:8" ht="25.65" x14ac:dyDescent="0.35">
      <c r="G108" s="106" t="s">
        <v>1860</v>
      </c>
      <c r="H108" s="106" t="s">
        <v>1725</v>
      </c>
    </row>
    <row r="109" spans="7:8" ht="25.65" x14ac:dyDescent="0.35">
      <c r="G109" s="106" t="s">
        <v>1861</v>
      </c>
      <c r="H109" s="106" t="s">
        <v>1726</v>
      </c>
    </row>
    <row r="110" spans="7:8" ht="25.65" x14ac:dyDescent="0.35">
      <c r="G110" s="106" t="s">
        <v>979</v>
      </c>
      <c r="H110" s="106" t="s">
        <v>354</v>
      </c>
    </row>
    <row r="111" spans="7:8" ht="25.65" x14ac:dyDescent="0.35">
      <c r="G111" s="106" t="s">
        <v>2002</v>
      </c>
      <c r="H111" s="106" t="s">
        <v>355</v>
      </c>
    </row>
    <row r="112" spans="7:8" ht="25.65" x14ac:dyDescent="0.35">
      <c r="G112" s="106" t="s">
        <v>2003</v>
      </c>
      <c r="H112" s="106" t="s">
        <v>356</v>
      </c>
    </row>
    <row r="113" spans="7:8" ht="25.65" x14ac:dyDescent="0.35">
      <c r="G113" s="106" t="s">
        <v>2004</v>
      </c>
      <c r="H113" s="106" t="s">
        <v>1339</v>
      </c>
    </row>
    <row r="114" spans="7:8" ht="25.65" x14ac:dyDescent="0.35">
      <c r="G114" s="106" t="s">
        <v>2005</v>
      </c>
      <c r="H114" s="106" t="s">
        <v>1340</v>
      </c>
    </row>
    <row r="115" spans="7:8" ht="25.65" x14ac:dyDescent="0.35">
      <c r="G115" s="106" t="s">
        <v>2006</v>
      </c>
      <c r="H115" s="106" t="s">
        <v>1341</v>
      </c>
    </row>
    <row r="116" spans="7:8" ht="25.65" x14ac:dyDescent="0.35">
      <c r="G116" s="106" t="s">
        <v>2007</v>
      </c>
      <c r="H116" s="106" t="s">
        <v>1342</v>
      </c>
    </row>
    <row r="117" spans="7:8" ht="25.65" x14ac:dyDescent="0.35">
      <c r="G117" s="106" t="s">
        <v>2008</v>
      </c>
      <c r="H117" s="106" t="s">
        <v>1343</v>
      </c>
    </row>
    <row r="118" spans="7:8" ht="25.65" x14ac:dyDescent="0.35">
      <c r="G118" s="106" t="s">
        <v>733</v>
      </c>
      <c r="H118" s="106" t="s">
        <v>1344</v>
      </c>
    </row>
    <row r="119" spans="7:8" ht="25.65" x14ac:dyDescent="0.35">
      <c r="G119" s="106" t="s">
        <v>996</v>
      </c>
      <c r="H119" s="106" t="s">
        <v>1345</v>
      </c>
    </row>
    <row r="120" spans="7:8" ht="25.65" x14ac:dyDescent="0.35">
      <c r="G120" s="106" t="s">
        <v>1546</v>
      </c>
      <c r="H120" s="106" t="s">
        <v>1346</v>
      </c>
    </row>
    <row r="121" spans="7:8" ht="25.65" x14ac:dyDescent="0.35">
      <c r="G121" s="106" t="s">
        <v>1547</v>
      </c>
      <c r="H121" s="106" t="s">
        <v>1347</v>
      </c>
    </row>
    <row r="122" spans="7:8" ht="25.65" x14ac:dyDescent="0.35">
      <c r="G122" s="106" t="s">
        <v>225</v>
      </c>
      <c r="H122" s="106" t="s">
        <v>1348</v>
      </c>
    </row>
    <row r="123" spans="7:8" ht="25.65" x14ac:dyDescent="0.35">
      <c r="G123" s="106" t="s">
        <v>226</v>
      </c>
      <c r="H123" s="106" t="s">
        <v>1349</v>
      </c>
    </row>
    <row r="124" spans="7:8" ht="25.65" x14ac:dyDescent="0.35">
      <c r="G124" s="106" t="s">
        <v>647</v>
      </c>
      <c r="H124" s="106" t="s">
        <v>1350</v>
      </c>
    </row>
    <row r="125" spans="7:8" ht="25.65" x14ac:dyDescent="0.35">
      <c r="G125" s="106" t="s">
        <v>1728</v>
      </c>
      <c r="H125" s="106" t="s">
        <v>1351</v>
      </c>
    </row>
    <row r="126" spans="7:8" ht="25.65" x14ac:dyDescent="0.35">
      <c r="G126" s="106" t="s">
        <v>648</v>
      </c>
      <c r="H126" s="106" t="s">
        <v>1352</v>
      </c>
    </row>
    <row r="127" spans="7:8" ht="25.65" x14ac:dyDescent="0.35">
      <c r="G127" s="106" t="s">
        <v>1729</v>
      </c>
      <c r="H127" s="106" t="s">
        <v>1353</v>
      </c>
    </row>
    <row r="128" spans="7:8" ht="25.65" x14ac:dyDescent="0.35">
      <c r="G128" s="106" t="s">
        <v>706</v>
      </c>
      <c r="H128" s="106" t="s">
        <v>1354</v>
      </c>
    </row>
    <row r="129" spans="7:8" ht="25.65" x14ac:dyDescent="0.35">
      <c r="G129" s="106" t="s">
        <v>707</v>
      </c>
      <c r="H129" s="106" t="s">
        <v>1694</v>
      </c>
    </row>
    <row r="130" spans="7:8" ht="25.65" x14ac:dyDescent="0.35">
      <c r="G130" s="106" t="s">
        <v>708</v>
      </c>
      <c r="H130" s="106" t="s">
        <v>1986</v>
      </c>
    </row>
    <row r="131" spans="7:8" ht="25.65" x14ac:dyDescent="0.35">
      <c r="G131" s="106" t="s">
        <v>709</v>
      </c>
      <c r="H131" s="106" t="s">
        <v>1987</v>
      </c>
    </row>
    <row r="132" spans="7:8" ht="25.65" x14ac:dyDescent="0.35">
      <c r="G132" s="106" t="s">
        <v>1493</v>
      </c>
      <c r="H132" s="106" t="s">
        <v>1988</v>
      </c>
    </row>
    <row r="133" spans="7:8" ht="25.65" x14ac:dyDescent="0.35">
      <c r="G133" s="106" t="s">
        <v>181</v>
      </c>
      <c r="H133" s="106" t="s">
        <v>1989</v>
      </c>
    </row>
    <row r="134" spans="7:8" ht="25.65" x14ac:dyDescent="0.35">
      <c r="G134" s="106" t="s">
        <v>1418</v>
      </c>
      <c r="H134" s="106" t="s">
        <v>1990</v>
      </c>
    </row>
    <row r="135" spans="7:8" ht="25.65" x14ac:dyDescent="0.35">
      <c r="G135" s="106" t="s">
        <v>766</v>
      </c>
      <c r="H135" s="106" t="s">
        <v>1991</v>
      </c>
    </row>
    <row r="136" spans="7:8" ht="25.65" x14ac:dyDescent="0.35">
      <c r="G136" s="106" t="s">
        <v>767</v>
      </c>
      <c r="H136" s="106" t="s">
        <v>1992</v>
      </c>
    </row>
    <row r="137" spans="7:8" ht="25.65" x14ac:dyDescent="0.35">
      <c r="G137" s="106" t="s">
        <v>1735</v>
      </c>
      <c r="H137" s="106" t="s">
        <v>1993</v>
      </c>
    </row>
    <row r="138" spans="7:8" ht="25.65" x14ac:dyDescent="0.35">
      <c r="G138" s="106" t="s">
        <v>1736</v>
      </c>
      <c r="H138" s="106" t="s">
        <v>1994</v>
      </c>
    </row>
    <row r="139" spans="7:8" ht="25.65" x14ac:dyDescent="0.35">
      <c r="G139" s="106" t="s">
        <v>1435</v>
      </c>
      <c r="H139" s="106" t="s">
        <v>1995</v>
      </c>
    </row>
    <row r="140" spans="7:8" ht="25.65" x14ac:dyDescent="0.35">
      <c r="G140" s="106" t="s">
        <v>1730</v>
      </c>
      <c r="H140" s="106" t="s">
        <v>770</v>
      </c>
    </row>
    <row r="141" spans="7:8" ht="25.65" x14ac:dyDescent="0.35">
      <c r="G141" s="106" t="s">
        <v>1731</v>
      </c>
      <c r="H141" s="106" t="s">
        <v>771</v>
      </c>
    </row>
    <row r="142" spans="7:8" ht="25.65" x14ac:dyDescent="0.35">
      <c r="G142" s="106" t="s">
        <v>1436</v>
      </c>
      <c r="H142" s="106" t="s">
        <v>772</v>
      </c>
    </row>
    <row r="143" spans="7:8" ht="25.65" x14ac:dyDescent="0.35">
      <c r="G143" s="106" t="s">
        <v>1437</v>
      </c>
      <c r="H143" s="106" t="s">
        <v>826</v>
      </c>
    </row>
    <row r="144" spans="7:8" ht="25.65" x14ac:dyDescent="0.35">
      <c r="G144" s="106" t="s">
        <v>1438</v>
      </c>
      <c r="H144" s="106" t="s">
        <v>827</v>
      </c>
    </row>
    <row r="145" spans="7:8" ht="25.65" x14ac:dyDescent="0.35">
      <c r="G145" s="106" t="s">
        <v>1439</v>
      </c>
      <c r="H145" s="106" t="s">
        <v>828</v>
      </c>
    </row>
    <row r="146" spans="7:8" ht="25.65" x14ac:dyDescent="0.35">
      <c r="G146" s="106" t="s">
        <v>1440</v>
      </c>
      <c r="H146" s="106" t="s">
        <v>829</v>
      </c>
    </row>
    <row r="147" spans="7:8" ht="25.65" x14ac:dyDescent="0.35">
      <c r="G147" s="106" t="s">
        <v>1499</v>
      </c>
      <c r="H147" s="106" t="s">
        <v>1737</v>
      </c>
    </row>
    <row r="148" spans="7:8" ht="25.65" x14ac:dyDescent="0.35">
      <c r="G148" s="106" t="s">
        <v>1500</v>
      </c>
      <c r="H148" s="106" t="s">
        <v>1738</v>
      </c>
    </row>
    <row r="149" spans="7:8" ht="25.65" x14ac:dyDescent="0.35">
      <c r="G149" s="106" t="s">
        <v>1501</v>
      </c>
      <c r="H149" s="106" t="s">
        <v>847</v>
      </c>
    </row>
    <row r="150" spans="7:8" ht="25.65" x14ac:dyDescent="0.35">
      <c r="G150" s="106" t="s">
        <v>1502</v>
      </c>
      <c r="H150" s="106" t="s">
        <v>848</v>
      </c>
    </row>
    <row r="151" spans="7:8" ht="25.65" x14ac:dyDescent="0.35">
      <c r="G151" s="106" t="s">
        <v>1503</v>
      </c>
      <c r="H151" s="106" t="s">
        <v>849</v>
      </c>
    </row>
    <row r="152" spans="7:8" ht="25.65" x14ac:dyDescent="0.35">
      <c r="G152" s="106" t="s">
        <v>1504</v>
      </c>
      <c r="H152" s="106" t="s">
        <v>850</v>
      </c>
    </row>
    <row r="153" spans="7:8" ht="25.65" x14ac:dyDescent="0.35">
      <c r="G153" s="106" t="s">
        <v>1505</v>
      </c>
      <c r="H153" s="106" t="s">
        <v>851</v>
      </c>
    </row>
    <row r="154" spans="7:8" ht="25.65" x14ac:dyDescent="0.35">
      <c r="G154" s="106" t="s">
        <v>1506</v>
      </c>
      <c r="H154" s="106" t="s">
        <v>852</v>
      </c>
    </row>
    <row r="155" spans="7:8" ht="25.65" x14ac:dyDescent="0.35">
      <c r="G155" s="106" t="s">
        <v>1507</v>
      </c>
      <c r="H155" s="106" t="s">
        <v>853</v>
      </c>
    </row>
    <row r="156" spans="7:8" ht="25.65" x14ac:dyDescent="0.35">
      <c r="G156" s="106" t="s">
        <v>1732</v>
      </c>
      <c r="H156" s="106" t="s">
        <v>854</v>
      </c>
    </row>
    <row r="157" spans="7:8" ht="25.65" x14ac:dyDescent="0.35">
      <c r="G157" s="106" t="s">
        <v>1733</v>
      </c>
      <c r="H157" s="106" t="s">
        <v>75</v>
      </c>
    </row>
    <row r="158" spans="7:8" ht="25.65" x14ac:dyDescent="0.35">
      <c r="G158" s="106" t="s">
        <v>1508</v>
      </c>
      <c r="H158" s="106" t="s">
        <v>76</v>
      </c>
    </row>
    <row r="159" spans="7:8" ht="25.65" x14ac:dyDescent="0.35">
      <c r="G159" s="106" t="s">
        <v>1509</v>
      </c>
      <c r="H159" s="106" t="s">
        <v>77</v>
      </c>
    </row>
    <row r="160" spans="7:8" ht="25.65" x14ac:dyDescent="0.35">
      <c r="G160" s="106" t="s">
        <v>1510</v>
      </c>
      <c r="H160" s="106" t="s">
        <v>78</v>
      </c>
    </row>
    <row r="161" spans="7:8" ht="25.65" x14ac:dyDescent="0.35">
      <c r="G161" s="106" t="s">
        <v>1511</v>
      </c>
      <c r="H161" s="106" t="s">
        <v>467</v>
      </c>
    </row>
    <row r="162" spans="7:8" ht="25.65" x14ac:dyDescent="0.35">
      <c r="G162" s="106" t="s">
        <v>1512</v>
      </c>
      <c r="H162" s="106" t="s">
        <v>1376</v>
      </c>
    </row>
    <row r="163" spans="7:8" ht="25.65" x14ac:dyDescent="0.35">
      <c r="G163" s="106" t="s">
        <v>1513</v>
      </c>
      <c r="H163" s="106" t="s">
        <v>1581</v>
      </c>
    </row>
    <row r="164" spans="7:8" ht="25.65" x14ac:dyDescent="0.35">
      <c r="G164" s="106" t="s">
        <v>1514</v>
      </c>
      <c r="H164" s="106" t="s">
        <v>1582</v>
      </c>
    </row>
    <row r="165" spans="7:8" ht="25.65" x14ac:dyDescent="0.35">
      <c r="G165" s="106" t="s">
        <v>1449</v>
      </c>
      <c r="H165" s="106" t="s">
        <v>1568</v>
      </c>
    </row>
    <row r="166" spans="7:8" ht="25.65" x14ac:dyDescent="0.35">
      <c r="G166" s="106" t="s">
        <v>1113</v>
      </c>
      <c r="H166" s="106" t="s">
        <v>1569</v>
      </c>
    </row>
    <row r="167" spans="7:8" ht="25.65" x14ac:dyDescent="0.35">
      <c r="G167" s="106" t="s">
        <v>1114</v>
      </c>
      <c r="H167" s="106" t="s">
        <v>1570</v>
      </c>
    </row>
    <row r="168" spans="7:8" ht="25.65" x14ac:dyDescent="0.35">
      <c r="G168" s="106" t="s">
        <v>1115</v>
      </c>
      <c r="H168" s="106" t="s">
        <v>1571</v>
      </c>
    </row>
    <row r="169" spans="7:8" ht="25.65" x14ac:dyDescent="0.35">
      <c r="G169" s="106" t="s">
        <v>518</v>
      </c>
      <c r="H169" s="106" t="s">
        <v>1572</v>
      </c>
    </row>
    <row r="170" spans="7:8" ht="25.65" x14ac:dyDescent="0.35">
      <c r="G170" s="106" t="s">
        <v>519</v>
      </c>
      <c r="H170" s="106" t="s">
        <v>549</v>
      </c>
    </row>
    <row r="171" spans="7:8" ht="25.65" x14ac:dyDescent="0.35">
      <c r="G171" s="106" t="s">
        <v>1370</v>
      </c>
      <c r="H171" s="106" t="s">
        <v>550</v>
      </c>
    </row>
    <row r="172" spans="7:8" ht="25.65" x14ac:dyDescent="0.35">
      <c r="G172" s="106" t="s">
        <v>714</v>
      </c>
      <c r="H172" s="106" t="s">
        <v>551</v>
      </c>
    </row>
    <row r="173" spans="7:8" ht="25.65" x14ac:dyDescent="0.35">
      <c r="G173" s="106" t="s">
        <v>715</v>
      </c>
      <c r="H173" s="106" t="s">
        <v>552</v>
      </c>
    </row>
    <row r="174" spans="7:8" ht="25.65" x14ac:dyDescent="0.35">
      <c r="G174" s="106" t="s">
        <v>1371</v>
      </c>
      <c r="H174" s="106" t="s">
        <v>553</v>
      </c>
    </row>
    <row r="175" spans="7:8" ht="25.65" x14ac:dyDescent="0.35">
      <c r="G175" s="106" t="s">
        <v>1266</v>
      </c>
      <c r="H175" s="106" t="s">
        <v>554</v>
      </c>
    </row>
    <row r="176" spans="7:8" ht="25.65" x14ac:dyDescent="0.35">
      <c r="G176" s="106" t="s">
        <v>1544</v>
      </c>
      <c r="H176" s="106" t="s">
        <v>555</v>
      </c>
    </row>
    <row r="177" spans="7:8" ht="25.65" x14ac:dyDescent="0.35">
      <c r="G177" s="106" t="s">
        <v>1545</v>
      </c>
      <c r="H177" s="106" t="s">
        <v>556</v>
      </c>
    </row>
    <row r="178" spans="7:8" ht="25.65" x14ac:dyDescent="0.35">
      <c r="G178" s="106" t="s">
        <v>478</v>
      </c>
      <c r="H178" s="106" t="s">
        <v>557</v>
      </c>
    </row>
    <row r="179" spans="7:8" ht="25.65" x14ac:dyDescent="0.35">
      <c r="G179" s="106" t="s">
        <v>79</v>
      </c>
      <c r="H179" s="106" t="s">
        <v>558</v>
      </c>
    </row>
    <row r="180" spans="7:8" ht="25.65" x14ac:dyDescent="0.35">
      <c r="G180" s="106" t="s">
        <v>80</v>
      </c>
      <c r="H180" s="106" t="s">
        <v>559</v>
      </c>
    </row>
    <row r="181" spans="7:8" ht="25.65" x14ac:dyDescent="0.35">
      <c r="G181" s="106" t="s">
        <v>81</v>
      </c>
      <c r="H181" s="106" t="s">
        <v>560</v>
      </c>
    </row>
    <row r="182" spans="7:8" ht="25.65" x14ac:dyDescent="0.35">
      <c r="G182" s="106" t="s">
        <v>82</v>
      </c>
      <c r="H182" s="106" t="s">
        <v>561</v>
      </c>
    </row>
    <row r="183" spans="7:8" ht="25.65" x14ac:dyDescent="0.35">
      <c r="G183" s="106" t="s">
        <v>1971</v>
      </c>
      <c r="H183" s="106" t="s">
        <v>1847</v>
      </c>
    </row>
    <row r="184" spans="7:8" ht="25.65" x14ac:dyDescent="0.35">
      <c r="G184" s="106" t="s">
        <v>476</v>
      </c>
      <c r="H184" s="106" t="s">
        <v>1848</v>
      </c>
    </row>
    <row r="185" spans="7:8" ht="25.65" x14ac:dyDescent="0.35">
      <c r="G185" s="106" t="s">
        <v>199</v>
      </c>
      <c r="H185" s="106" t="s">
        <v>670</v>
      </c>
    </row>
    <row r="186" spans="7:8" ht="25.65" x14ac:dyDescent="0.35">
      <c r="G186" s="106" t="s">
        <v>200</v>
      </c>
      <c r="H186" s="106" t="s">
        <v>671</v>
      </c>
    </row>
    <row r="187" spans="7:8" ht="25.65" x14ac:dyDescent="0.35">
      <c r="G187" s="106" t="s">
        <v>441</v>
      </c>
      <c r="H187" s="106" t="s">
        <v>672</v>
      </c>
    </row>
    <row r="188" spans="7:8" ht="25.65" x14ac:dyDescent="0.35">
      <c r="G188" s="106" t="s">
        <v>716</v>
      </c>
      <c r="H188" s="106" t="s">
        <v>673</v>
      </c>
    </row>
    <row r="189" spans="7:8" ht="25.65" x14ac:dyDescent="0.35">
      <c r="G189" s="106" t="s">
        <v>717</v>
      </c>
      <c r="H189" s="106" t="s">
        <v>674</v>
      </c>
    </row>
    <row r="190" spans="7:8" ht="25.65" x14ac:dyDescent="0.35">
      <c r="G190" s="106" t="s">
        <v>442</v>
      </c>
      <c r="H190" s="106" t="s">
        <v>675</v>
      </c>
    </row>
    <row r="191" spans="7:8" ht="25.65" x14ac:dyDescent="0.35">
      <c r="G191" s="106" t="s">
        <v>443</v>
      </c>
      <c r="H191" s="106" t="s">
        <v>676</v>
      </c>
    </row>
    <row r="192" spans="7:8" ht="25.65" x14ac:dyDescent="0.35">
      <c r="G192" s="106" t="s">
        <v>444</v>
      </c>
      <c r="H192" s="106" t="s">
        <v>677</v>
      </c>
    </row>
    <row r="193" spans="7:8" ht="25.65" x14ac:dyDescent="0.35">
      <c r="G193" s="106" t="s">
        <v>445</v>
      </c>
      <c r="H193" s="106" t="s">
        <v>678</v>
      </c>
    </row>
    <row r="194" spans="7:8" ht="25.65" x14ac:dyDescent="0.35">
      <c r="G194" s="106" t="s">
        <v>446</v>
      </c>
      <c r="H194" s="106" t="s">
        <v>679</v>
      </c>
    </row>
    <row r="195" spans="7:8" ht="25.65" x14ac:dyDescent="0.35">
      <c r="G195" s="106" t="s">
        <v>205</v>
      </c>
      <c r="H195" s="106" t="s">
        <v>1801</v>
      </c>
    </row>
    <row r="196" spans="7:8" ht="25.65" x14ac:dyDescent="0.35">
      <c r="G196" s="106" t="s">
        <v>1709</v>
      </c>
      <c r="H196" s="106" t="s">
        <v>1802</v>
      </c>
    </row>
    <row r="197" spans="7:8" ht="25.65" x14ac:dyDescent="0.35">
      <c r="G197" s="106" t="s">
        <v>1710</v>
      </c>
      <c r="H197" s="106" t="s">
        <v>1803</v>
      </c>
    </row>
    <row r="198" spans="7:8" ht="25.65" x14ac:dyDescent="0.35">
      <c r="G198" s="106" t="s">
        <v>620</v>
      </c>
      <c r="H198" s="106" t="s">
        <v>1804</v>
      </c>
    </row>
    <row r="199" spans="7:8" ht="25.65" x14ac:dyDescent="0.35">
      <c r="G199" s="106" t="s">
        <v>621</v>
      </c>
      <c r="H199" s="106" t="s">
        <v>1805</v>
      </c>
    </row>
    <row r="200" spans="7:8" ht="25.65" x14ac:dyDescent="0.35">
      <c r="G200" s="106" t="s">
        <v>622</v>
      </c>
      <c r="H200" s="106" t="s">
        <v>1806</v>
      </c>
    </row>
    <row r="201" spans="7:8" ht="25.65" x14ac:dyDescent="0.35">
      <c r="G201" s="106" t="s">
        <v>375</v>
      </c>
      <c r="H201" s="106" t="s">
        <v>1457</v>
      </c>
    </row>
    <row r="202" spans="7:8" ht="25.65" x14ac:dyDescent="0.35">
      <c r="G202" s="106" t="s">
        <v>808</v>
      </c>
      <c r="H202" s="106" t="s">
        <v>1458</v>
      </c>
    </row>
    <row r="203" spans="7:8" ht="25.65" x14ac:dyDescent="0.35">
      <c r="G203" s="106" t="s">
        <v>809</v>
      </c>
      <c r="H203" s="106" t="s">
        <v>1459</v>
      </c>
    </row>
    <row r="204" spans="7:8" ht="25.65" x14ac:dyDescent="0.35">
      <c r="G204" s="106" t="s">
        <v>718</v>
      </c>
      <c r="H204" s="106" t="s">
        <v>1460</v>
      </c>
    </row>
    <row r="205" spans="7:8" ht="25.65" x14ac:dyDescent="0.35">
      <c r="G205" s="106" t="s">
        <v>719</v>
      </c>
      <c r="H205" s="106" t="s">
        <v>1461</v>
      </c>
    </row>
    <row r="206" spans="7:8" ht="25.65" x14ac:dyDescent="0.35">
      <c r="G206" s="106" t="s">
        <v>376</v>
      </c>
      <c r="H206" s="106" t="s">
        <v>1462</v>
      </c>
    </row>
    <row r="207" spans="7:8" ht="25.65" x14ac:dyDescent="0.35">
      <c r="G207" s="106" t="s">
        <v>377</v>
      </c>
      <c r="H207" s="106" t="s">
        <v>1463</v>
      </c>
    </row>
    <row r="208" spans="7:8" ht="25.65" x14ac:dyDescent="0.35">
      <c r="G208" s="106" t="s">
        <v>378</v>
      </c>
      <c r="H208" s="106" t="s">
        <v>1464</v>
      </c>
    </row>
    <row r="209" spans="7:8" ht="25.65" x14ac:dyDescent="0.35">
      <c r="G209" s="106" t="s">
        <v>379</v>
      </c>
      <c r="H209" s="106" t="s">
        <v>1159</v>
      </c>
    </row>
    <row r="210" spans="7:8" ht="25.65" x14ac:dyDescent="0.35">
      <c r="G210" s="106" t="s">
        <v>380</v>
      </c>
      <c r="H210" s="106" t="s">
        <v>1160</v>
      </c>
    </row>
    <row r="211" spans="7:8" ht="25.65" x14ac:dyDescent="0.35">
      <c r="G211" s="106" t="s">
        <v>381</v>
      </c>
      <c r="H211" s="106" t="s">
        <v>1161</v>
      </c>
    </row>
    <row r="212" spans="7:8" ht="25.65" x14ac:dyDescent="0.35">
      <c r="G212" s="106" t="s">
        <v>382</v>
      </c>
      <c r="H212" s="106" t="s">
        <v>1143</v>
      </c>
    </row>
    <row r="213" spans="7:8" ht="25.65" x14ac:dyDescent="0.35">
      <c r="G213" s="106" t="s">
        <v>462</v>
      </c>
      <c r="H213" s="106" t="s">
        <v>1606</v>
      </c>
    </row>
    <row r="214" spans="7:8" ht="25.65" x14ac:dyDescent="0.35">
      <c r="G214" s="106" t="s">
        <v>1883</v>
      </c>
      <c r="H214" s="106" t="s">
        <v>1607</v>
      </c>
    </row>
    <row r="215" spans="7:8" ht="25.65" x14ac:dyDescent="0.35">
      <c r="G215" s="106" t="s">
        <v>1884</v>
      </c>
      <c r="H215" s="106" t="s">
        <v>1451</v>
      </c>
    </row>
    <row r="216" spans="7:8" ht="25.65" x14ac:dyDescent="0.35">
      <c r="G216" s="106" t="s">
        <v>1885</v>
      </c>
      <c r="H216" s="106" t="s">
        <v>1452</v>
      </c>
    </row>
    <row r="217" spans="7:8" ht="25.65" x14ac:dyDescent="0.35">
      <c r="G217" s="106" t="s">
        <v>1886</v>
      </c>
      <c r="H217" s="106" t="s">
        <v>1453</v>
      </c>
    </row>
    <row r="218" spans="7:8" ht="25.65" x14ac:dyDescent="0.35">
      <c r="G218" s="106" t="s">
        <v>1887</v>
      </c>
      <c r="H218" s="106" t="s">
        <v>116</v>
      </c>
    </row>
    <row r="219" spans="7:8" ht="25.65" x14ac:dyDescent="0.35">
      <c r="G219" s="106" t="s">
        <v>1888</v>
      </c>
      <c r="H219" s="106" t="s">
        <v>117</v>
      </c>
    </row>
    <row r="220" spans="7:8" ht="25.65" x14ac:dyDescent="0.35">
      <c r="G220" s="106" t="s">
        <v>1889</v>
      </c>
      <c r="H220" s="106" t="s">
        <v>118</v>
      </c>
    </row>
    <row r="221" spans="7:8" ht="25.65" x14ac:dyDescent="0.35">
      <c r="G221" s="106" t="s">
        <v>1890</v>
      </c>
      <c r="H221" s="106" t="s">
        <v>119</v>
      </c>
    </row>
    <row r="222" spans="7:8" ht="25.65" x14ac:dyDescent="0.35">
      <c r="G222" s="106" t="s">
        <v>1891</v>
      </c>
      <c r="H222" s="106" t="s">
        <v>120</v>
      </c>
    </row>
    <row r="223" spans="7:8" ht="25.65" x14ac:dyDescent="0.35">
      <c r="G223" s="106" t="s">
        <v>1892</v>
      </c>
      <c r="H223" s="106" t="s">
        <v>121</v>
      </c>
    </row>
    <row r="224" spans="7:8" ht="25.65" x14ac:dyDescent="0.35">
      <c r="G224" s="106" t="s">
        <v>688</v>
      </c>
      <c r="H224" s="106" t="s">
        <v>122</v>
      </c>
    </row>
    <row r="225" spans="7:8" ht="25.65" x14ac:dyDescent="0.35">
      <c r="G225" s="106" t="s">
        <v>689</v>
      </c>
      <c r="H225" s="106" t="s">
        <v>123</v>
      </c>
    </row>
    <row r="226" spans="7:8" ht="25.65" x14ac:dyDescent="0.35">
      <c r="G226" s="106" t="s">
        <v>690</v>
      </c>
      <c r="H226" s="106" t="s">
        <v>124</v>
      </c>
    </row>
    <row r="227" spans="7:8" ht="25.65" x14ac:dyDescent="0.35">
      <c r="G227" s="106" t="s">
        <v>691</v>
      </c>
      <c r="H227" s="106" t="s">
        <v>125</v>
      </c>
    </row>
    <row r="228" spans="7:8" ht="25.65" x14ac:dyDescent="0.35">
      <c r="G228" s="106" t="s">
        <v>1396</v>
      </c>
      <c r="H228" s="106" t="s">
        <v>126</v>
      </c>
    </row>
    <row r="229" spans="7:8" ht="25.65" x14ac:dyDescent="0.35">
      <c r="G229" s="106" t="s">
        <v>1397</v>
      </c>
      <c r="H229" s="106" t="s">
        <v>127</v>
      </c>
    </row>
    <row r="230" spans="7:8" ht="25.65" x14ac:dyDescent="0.35">
      <c r="G230" s="106" t="s">
        <v>632</v>
      </c>
      <c r="H230" s="106" t="s">
        <v>128</v>
      </c>
    </row>
    <row r="231" spans="7:8" ht="25.65" x14ac:dyDescent="0.35">
      <c r="G231" s="106" t="s">
        <v>1615</v>
      </c>
      <c r="H231" s="106" t="s">
        <v>129</v>
      </c>
    </row>
    <row r="232" spans="7:8" ht="38.450000000000003" x14ac:dyDescent="0.35">
      <c r="G232" s="106" t="s">
        <v>218</v>
      </c>
      <c r="H232" s="106" t="s">
        <v>774</v>
      </c>
    </row>
    <row r="233" spans="7:8" ht="38.450000000000003" x14ac:dyDescent="0.35">
      <c r="G233" s="106" t="s">
        <v>219</v>
      </c>
      <c r="H233" s="106" t="s">
        <v>775</v>
      </c>
    </row>
    <row r="234" spans="7:8" ht="38.450000000000003" x14ac:dyDescent="0.35">
      <c r="G234" s="106" t="s">
        <v>776</v>
      </c>
      <c r="H234" s="106" t="s">
        <v>1281</v>
      </c>
    </row>
    <row r="235" spans="7:8" ht="38.450000000000003" x14ac:dyDescent="0.35">
      <c r="G235" s="106" t="s">
        <v>711</v>
      </c>
      <c r="H235" s="106" t="s">
        <v>1282</v>
      </c>
    </row>
    <row r="236" spans="7:8" ht="38.450000000000003" x14ac:dyDescent="0.35">
      <c r="G236" s="106" t="s">
        <v>712</v>
      </c>
      <c r="H236" s="106" t="s">
        <v>1283</v>
      </c>
    </row>
    <row r="237" spans="7:8" ht="38.450000000000003" x14ac:dyDescent="0.35">
      <c r="G237" s="106" t="s">
        <v>713</v>
      </c>
      <c r="H237" s="106" t="s">
        <v>353</v>
      </c>
    </row>
    <row r="238" spans="7:8" ht="38.450000000000003" x14ac:dyDescent="0.35">
      <c r="G238" s="106" t="s">
        <v>368</v>
      </c>
      <c r="H238" s="106" t="s">
        <v>830</v>
      </c>
    </row>
    <row r="239" spans="7:8" ht="38.450000000000003" x14ac:dyDescent="0.35">
      <c r="G239" s="106" t="s">
        <v>369</v>
      </c>
      <c r="H239" s="106" t="s">
        <v>831</v>
      </c>
    </row>
    <row r="240" spans="7:8" ht="38.450000000000003" x14ac:dyDescent="0.35">
      <c r="G240" s="106" t="s">
        <v>370</v>
      </c>
      <c r="H240" s="106" t="s">
        <v>794</v>
      </c>
    </row>
    <row r="241" spans="7:8" ht="38.450000000000003" x14ac:dyDescent="0.35">
      <c r="G241" s="106" t="s">
        <v>1585</v>
      </c>
      <c r="H241" s="106" t="s">
        <v>795</v>
      </c>
    </row>
    <row r="242" spans="7:8" ht="38.450000000000003" x14ac:dyDescent="0.35">
      <c r="G242" s="106" t="s">
        <v>1586</v>
      </c>
      <c r="H242" s="106" t="s">
        <v>796</v>
      </c>
    </row>
    <row r="243" spans="7:8" ht="38.450000000000003" x14ac:dyDescent="0.35">
      <c r="G243" s="106" t="s">
        <v>1587</v>
      </c>
      <c r="H243" s="106" t="s">
        <v>797</v>
      </c>
    </row>
    <row r="244" spans="7:8" ht="38.450000000000003" x14ac:dyDescent="0.35">
      <c r="G244" s="106" t="s">
        <v>1588</v>
      </c>
      <c r="H244" s="106" t="s">
        <v>798</v>
      </c>
    </row>
    <row r="245" spans="7:8" ht="38.450000000000003" x14ac:dyDescent="0.35">
      <c r="G245" s="106" t="s">
        <v>1589</v>
      </c>
      <c r="H245" s="106" t="s">
        <v>799</v>
      </c>
    </row>
    <row r="246" spans="7:8" ht="38.450000000000003" x14ac:dyDescent="0.35">
      <c r="G246" s="106" t="s">
        <v>1179</v>
      </c>
      <c r="H246" s="106" t="s">
        <v>2060</v>
      </c>
    </row>
    <row r="247" spans="7:8" ht="38.450000000000003" x14ac:dyDescent="0.35">
      <c r="G247" s="106" t="s">
        <v>1180</v>
      </c>
      <c r="H247" s="106" t="s">
        <v>2061</v>
      </c>
    </row>
    <row r="248" spans="7:8" ht="38.450000000000003" x14ac:dyDescent="0.35">
      <c r="G248" s="106" t="s">
        <v>1181</v>
      </c>
      <c r="H248" s="106" t="s">
        <v>2062</v>
      </c>
    </row>
    <row r="249" spans="7:8" ht="38.450000000000003" x14ac:dyDescent="0.35">
      <c r="G249" s="106" t="s">
        <v>1182</v>
      </c>
      <c r="H249" s="106" t="s">
        <v>881</v>
      </c>
    </row>
    <row r="250" spans="7:8" ht="38.450000000000003" x14ac:dyDescent="0.35">
      <c r="G250" s="106" t="s">
        <v>1382</v>
      </c>
      <c r="H250" s="106" t="s">
        <v>882</v>
      </c>
    </row>
    <row r="251" spans="7:8" ht="38.450000000000003" x14ac:dyDescent="0.35">
      <c r="G251" s="106" t="s">
        <v>1383</v>
      </c>
      <c r="H251" s="106" t="s">
        <v>883</v>
      </c>
    </row>
    <row r="252" spans="7:8" ht="38.450000000000003" x14ac:dyDescent="0.35">
      <c r="G252" s="106" t="s">
        <v>720</v>
      </c>
      <c r="H252" s="106" t="s">
        <v>130</v>
      </c>
    </row>
    <row r="253" spans="7:8" ht="38.450000000000003" x14ac:dyDescent="0.35">
      <c r="G253" s="106" t="s">
        <v>721</v>
      </c>
      <c r="H253" s="106" t="s">
        <v>131</v>
      </c>
    </row>
    <row r="254" spans="7:8" ht="38.450000000000003" x14ac:dyDescent="0.35">
      <c r="G254" s="106" t="s">
        <v>722</v>
      </c>
      <c r="H254" s="106" t="s">
        <v>1833</v>
      </c>
    </row>
    <row r="255" spans="7:8" ht="38.450000000000003" x14ac:dyDescent="0.35">
      <c r="G255" s="106" t="s">
        <v>723</v>
      </c>
      <c r="H255" s="106" t="s">
        <v>1834</v>
      </c>
    </row>
    <row r="256" spans="7:8" ht="38.450000000000003" x14ac:dyDescent="0.35">
      <c r="G256" s="106" t="s">
        <v>724</v>
      </c>
      <c r="H256" s="106" t="s">
        <v>1835</v>
      </c>
    </row>
    <row r="257" spans="7:8" ht="38.450000000000003" x14ac:dyDescent="0.35">
      <c r="G257" s="106" t="s">
        <v>725</v>
      </c>
      <c r="H257" s="106" t="s">
        <v>1836</v>
      </c>
    </row>
    <row r="258" spans="7:8" ht="38.450000000000003" x14ac:dyDescent="0.35">
      <c r="G258" s="106" t="s">
        <v>1590</v>
      </c>
      <c r="H258" s="106" t="s">
        <v>1837</v>
      </c>
    </row>
    <row r="259" spans="7:8" ht="38.450000000000003" x14ac:dyDescent="0.35">
      <c r="G259" s="106" t="s">
        <v>1591</v>
      </c>
      <c r="H259" s="106" t="s">
        <v>1838</v>
      </c>
    </row>
    <row r="260" spans="7:8" ht="38.450000000000003" x14ac:dyDescent="0.35">
      <c r="G260" s="106" t="s">
        <v>1592</v>
      </c>
      <c r="H260" s="106" t="s">
        <v>1839</v>
      </c>
    </row>
    <row r="261" spans="7:8" ht="38.450000000000003" x14ac:dyDescent="0.35">
      <c r="G261" s="106" t="s">
        <v>1593</v>
      </c>
      <c r="H261" s="106" t="s">
        <v>1840</v>
      </c>
    </row>
    <row r="262" spans="7:8" ht="38.450000000000003" x14ac:dyDescent="0.35">
      <c r="G262" s="106" t="s">
        <v>1036</v>
      </c>
      <c r="H262" s="106" t="s">
        <v>83</v>
      </c>
    </row>
    <row r="263" spans="7:8" ht="38.450000000000003" x14ac:dyDescent="0.35">
      <c r="G263" s="106" t="s">
        <v>1037</v>
      </c>
      <c r="H263" s="106" t="s">
        <v>735</v>
      </c>
    </row>
    <row r="264" spans="7:8" ht="38.450000000000003" x14ac:dyDescent="0.35">
      <c r="G264" s="106" t="s">
        <v>1038</v>
      </c>
      <c r="H264" s="106" t="s">
        <v>736</v>
      </c>
    </row>
    <row r="265" spans="7:8" ht="38.450000000000003" x14ac:dyDescent="0.35">
      <c r="G265" s="106" t="s">
        <v>2096</v>
      </c>
      <c r="H265" s="106" t="s">
        <v>737</v>
      </c>
    </row>
    <row r="266" spans="7:8" ht="38.450000000000003" x14ac:dyDescent="0.35">
      <c r="G266" s="106" t="s">
        <v>786</v>
      </c>
      <c r="H266" s="106" t="s">
        <v>738</v>
      </c>
    </row>
    <row r="267" spans="7:8" ht="38.450000000000003" x14ac:dyDescent="0.35">
      <c r="G267" s="106" t="s">
        <v>787</v>
      </c>
      <c r="H267" s="106" t="s">
        <v>739</v>
      </c>
    </row>
    <row r="268" spans="7:8" ht="38.450000000000003" x14ac:dyDescent="0.35">
      <c r="G268" s="106" t="s">
        <v>788</v>
      </c>
      <c r="H268" s="106" t="s">
        <v>740</v>
      </c>
    </row>
    <row r="269" spans="7:8" ht="38.450000000000003" x14ac:dyDescent="0.35">
      <c r="G269" s="106" t="s">
        <v>1894</v>
      </c>
      <c r="H269" s="106" t="s">
        <v>741</v>
      </c>
    </row>
    <row r="270" spans="7:8" ht="38.450000000000003" x14ac:dyDescent="0.35">
      <c r="G270" s="106" t="s">
        <v>1895</v>
      </c>
      <c r="H270" s="106" t="s">
        <v>742</v>
      </c>
    </row>
    <row r="271" spans="7:8" ht="38.450000000000003" x14ac:dyDescent="0.35">
      <c r="G271" s="106" t="s">
        <v>1896</v>
      </c>
      <c r="H271" s="106" t="s">
        <v>743</v>
      </c>
    </row>
    <row r="272" spans="7:8" ht="25.65" x14ac:dyDescent="0.35">
      <c r="G272" s="106" t="s">
        <v>1897</v>
      </c>
      <c r="H272" s="106" t="s">
        <v>744</v>
      </c>
    </row>
    <row r="273" spans="7:8" ht="25.65" x14ac:dyDescent="0.35">
      <c r="G273" s="106" t="s">
        <v>1898</v>
      </c>
      <c r="H273" s="106" t="s">
        <v>745</v>
      </c>
    </row>
    <row r="274" spans="7:8" ht="25.65" x14ac:dyDescent="0.35">
      <c r="G274" s="106" t="s">
        <v>1899</v>
      </c>
      <c r="H274" s="106" t="s">
        <v>746</v>
      </c>
    </row>
    <row r="275" spans="7:8" ht="25.65" x14ac:dyDescent="0.35">
      <c r="G275" s="106" t="s">
        <v>1900</v>
      </c>
      <c r="H275" s="106" t="s">
        <v>747</v>
      </c>
    </row>
    <row r="276" spans="7:8" ht="25.65" x14ac:dyDescent="0.35">
      <c r="G276" s="106" t="s">
        <v>1901</v>
      </c>
      <c r="H276" s="106" t="s">
        <v>748</v>
      </c>
    </row>
    <row r="277" spans="7:8" ht="25.65" x14ac:dyDescent="0.35">
      <c r="G277" s="106" t="s">
        <v>1979</v>
      </c>
      <c r="H277" s="106" t="s">
        <v>749</v>
      </c>
    </row>
    <row r="278" spans="7:8" ht="25.65" x14ac:dyDescent="0.35">
      <c r="G278" s="106" t="s">
        <v>1980</v>
      </c>
      <c r="H278" s="106" t="s">
        <v>750</v>
      </c>
    </row>
    <row r="279" spans="7:8" ht="25.65" x14ac:dyDescent="0.35">
      <c r="G279" s="106" t="s">
        <v>1981</v>
      </c>
      <c r="H279" s="106" t="s">
        <v>751</v>
      </c>
    </row>
    <row r="280" spans="7:8" ht="25.65" x14ac:dyDescent="0.35">
      <c r="G280" s="106" t="s">
        <v>1982</v>
      </c>
      <c r="H280" s="106" t="s">
        <v>752</v>
      </c>
    </row>
    <row r="281" spans="7:8" ht="25.65" x14ac:dyDescent="0.35">
      <c r="G281" s="106" t="s">
        <v>1983</v>
      </c>
      <c r="H281" s="106" t="s">
        <v>753</v>
      </c>
    </row>
    <row r="282" spans="7:8" ht="25.65" x14ac:dyDescent="0.35">
      <c r="G282" s="106" t="s">
        <v>1984</v>
      </c>
      <c r="H282" s="106" t="s">
        <v>754</v>
      </c>
    </row>
    <row r="283" spans="7:8" ht="25.65" x14ac:dyDescent="0.35">
      <c r="G283" s="106" t="s">
        <v>1985</v>
      </c>
      <c r="H283" s="106" t="s">
        <v>755</v>
      </c>
    </row>
    <row r="284" spans="7:8" ht="25.65" x14ac:dyDescent="0.35">
      <c r="G284" s="106" t="s">
        <v>1060</v>
      </c>
      <c r="H284" s="106" t="s">
        <v>756</v>
      </c>
    </row>
    <row r="285" spans="7:8" ht="25.65" x14ac:dyDescent="0.35">
      <c r="G285" s="106" t="s">
        <v>1061</v>
      </c>
      <c r="H285" s="106" t="s">
        <v>757</v>
      </c>
    </row>
    <row r="286" spans="7:8" ht="25.65" x14ac:dyDescent="0.35">
      <c r="G286" s="106" t="s">
        <v>1062</v>
      </c>
      <c r="H286" s="106" t="s">
        <v>758</v>
      </c>
    </row>
    <row r="287" spans="7:8" ht="25.65" x14ac:dyDescent="0.35">
      <c r="G287" s="106" t="s">
        <v>1063</v>
      </c>
      <c r="H287" s="106" t="s">
        <v>759</v>
      </c>
    </row>
    <row r="288" spans="7:8" ht="25.65" x14ac:dyDescent="0.35">
      <c r="G288" s="106" t="s">
        <v>1064</v>
      </c>
      <c r="H288" s="106" t="s">
        <v>760</v>
      </c>
    </row>
    <row r="289" spans="7:8" ht="25.65" x14ac:dyDescent="0.35">
      <c r="G289" s="106" t="s">
        <v>1065</v>
      </c>
      <c r="H289" s="106" t="s">
        <v>761</v>
      </c>
    </row>
    <row r="290" spans="7:8" ht="25.65" x14ac:dyDescent="0.35">
      <c r="G290" s="106" t="s">
        <v>1066</v>
      </c>
      <c r="H290" s="106" t="s">
        <v>762</v>
      </c>
    </row>
    <row r="291" spans="7:8" ht="25.65" x14ac:dyDescent="0.35">
      <c r="G291" s="106" t="s">
        <v>1067</v>
      </c>
      <c r="H291" s="106" t="s">
        <v>763</v>
      </c>
    </row>
    <row r="292" spans="7:8" ht="25.65" x14ac:dyDescent="0.35">
      <c r="G292" s="106" t="s">
        <v>1068</v>
      </c>
      <c r="H292" s="106" t="s">
        <v>763</v>
      </c>
    </row>
    <row r="293" spans="7:8" ht="25.65" x14ac:dyDescent="0.35">
      <c r="G293" s="106" t="s">
        <v>1069</v>
      </c>
      <c r="H293" s="106" t="s">
        <v>574</v>
      </c>
    </row>
    <row r="294" spans="7:8" ht="25.65" x14ac:dyDescent="0.35">
      <c r="G294" s="106" t="s">
        <v>1070</v>
      </c>
      <c r="H294" s="106" t="s">
        <v>575</v>
      </c>
    </row>
    <row r="295" spans="7:8" ht="25.65" x14ac:dyDescent="0.35">
      <c r="G295" s="106" t="s">
        <v>1087</v>
      </c>
      <c r="H295" s="106" t="s">
        <v>576</v>
      </c>
    </row>
    <row r="296" spans="7:8" ht="25.65" x14ac:dyDescent="0.35">
      <c r="G296" s="106" t="s">
        <v>2087</v>
      </c>
      <c r="H296" s="106" t="s">
        <v>577</v>
      </c>
    </row>
    <row r="297" spans="7:8" ht="25.65" x14ac:dyDescent="0.35">
      <c r="G297" s="106" t="s">
        <v>2088</v>
      </c>
      <c r="H297" s="106" t="s">
        <v>578</v>
      </c>
    </row>
    <row r="298" spans="7:8" ht="25.65" x14ac:dyDescent="0.35">
      <c r="G298" s="106" t="s">
        <v>1288</v>
      </c>
      <c r="H298" s="106" t="s">
        <v>579</v>
      </c>
    </row>
    <row r="299" spans="7:8" ht="25.65" x14ac:dyDescent="0.35">
      <c r="G299" s="106" t="s">
        <v>1289</v>
      </c>
      <c r="H299" s="106" t="s">
        <v>580</v>
      </c>
    </row>
    <row r="300" spans="7:8" ht="25.65" x14ac:dyDescent="0.35">
      <c r="G300" s="106" t="s">
        <v>1290</v>
      </c>
      <c r="H300" s="106" t="s">
        <v>581</v>
      </c>
    </row>
    <row r="301" spans="7:8" ht="25.65" x14ac:dyDescent="0.35">
      <c r="G301" s="106" t="s">
        <v>2080</v>
      </c>
      <c r="H301" s="106" t="s">
        <v>582</v>
      </c>
    </row>
    <row r="302" spans="7:8" ht="25.65" x14ac:dyDescent="0.35">
      <c r="G302" s="106" t="s">
        <v>1151</v>
      </c>
      <c r="H302" s="106" t="s">
        <v>1818</v>
      </c>
    </row>
    <row r="303" spans="7:8" ht="25.65" x14ac:dyDescent="0.35">
      <c r="G303" s="106" t="s">
        <v>1152</v>
      </c>
      <c r="H303" s="106" t="s">
        <v>1819</v>
      </c>
    </row>
    <row r="304" spans="7:8" ht="25.65" x14ac:dyDescent="0.35">
      <c r="G304" s="106" t="s">
        <v>1153</v>
      </c>
      <c r="H304" s="106" t="s">
        <v>1820</v>
      </c>
    </row>
    <row r="305" spans="7:8" ht="25.65" x14ac:dyDescent="0.35">
      <c r="G305" s="106" t="s">
        <v>1809</v>
      </c>
      <c r="H305" s="106" t="s">
        <v>1821</v>
      </c>
    </row>
    <row r="306" spans="7:8" ht="25.65" x14ac:dyDescent="0.35">
      <c r="G306" s="106" t="s">
        <v>1810</v>
      </c>
      <c r="H306" s="106" t="s">
        <v>1822</v>
      </c>
    </row>
    <row r="307" spans="7:8" ht="25.65" x14ac:dyDescent="0.35">
      <c r="G307" s="106" t="s">
        <v>1811</v>
      </c>
      <c r="H307" s="106" t="s">
        <v>1823</v>
      </c>
    </row>
    <row r="308" spans="7:8" ht="25.65" x14ac:dyDescent="0.35">
      <c r="G308" s="106" t="s">
        <v>1812</v>
      </c>
      <c r="H308" s="106" t="s">
        <v>1824</v>
      </c>
    </row>
    <row r="309" spans="7:8" ht="25.65" x14ac:dyDescent="0.35">
      <c r="G309" s="106" t="s">
        <v>1580</v>
      </c>
      <c r="H309" s="106" t="s">
        <v>1825</v>
      </c>
    </row>
    <row r="310" spans="7:8" ht="25.65" x14ac:dyDescent="0.35">
      <c r="G310" s="106" t="s">
        <v>1741</v>
      </c>
      <c r="H310" s="106" t="s">
        <v>1826</v>
      </c>
    </row>
    <row r="311" spans="7:8" ht="25.65" x14ac:dyDescent="0.35">
      <c r="G311" s="106" t="s">
        <v>1742</v>
      </c>
      <c r="H311" s="106" t="s">
        <v>1827</v>
      </c>
    </row>
    <row r="312" spans="7:8" ht="25.65" x14ac:dyDescent="0.35">
      <c r="G312" s="106" t="s">
        <v>1743</v>
      </c>
      <c r="H312" s="106" t="s">
        <v>1828</v>
      </c>
    </row>
    <row r="313" spans="7:8" ht="25.65" x14ac:dyDescent="0.35">
      <c r="G313" s="106" t="s">
        <v>1744</v>
      </c>
      <c r="H313" s="106" t="s">
        <v>1829</v>
      </c>
    </row>
    <row r="314" spans="7:8" ht="25.65" x14ac:dyDescent="0.35">
      <c r="G314" s="106" t="s">
        <v>1578</v>
      </c>
      <c r="H314" s="106" t="s">
        <v>1830</v>
      </c>
    </row>
    <row r="315" spans="7:8" ht="25.65" x14ac:dyDescent="0.35">
      <c r="G315" s="106" t="s">
        <v>1579</v>
      </c>
      <c r="H315" s="106" t="s">
        <v>1831</v>
      </c>
    </row>
    <row r="316" spans="7:8" ht="25.65" x14ac:dyDescent="0.35">
      <c r="G316" s="106" t="s">
        <v>1574</v>
      </c>
      <c r="H316" s="106" t="s">
        <v>1832</v>
      </c>
    </row>
    <row r="317" spans="7:8" ht="25.65" x14ac:dyDescent="0.35">
      <c r="G317" s="106" t="s">
        <v>1575</v>
      </c>
      <c r="H317" s="106" t="s">
        <v>1926</v>
      </c>
    </row>
    <row r="318" spans="7:8" ht="25.65" x14ac:dyDescent="0.35">
      <c r="G318" s="106" t="s">
        <v>1576</v>
      </c>
      <c r="H318" s="106" t="s">
        <v>1927</v>
      </c>
    </row>
    <row r="319" spans="7:8" ht="25.65" x14ac:dyDescent="0.35">
      <c r="G319" s="106" t="s">
        <v>1536</v>
      </c>
      <c r="H319" s="106" t="s">
        <v>1928</v>
      </c>
    </row>
    <row r="320" spans="7:8" ht="25.65" x14ac:dyDescent="0.35">
      <c r="G320" s="106" t="s">
        <v>1537</v>
      </c>
      <c r="H320" s="106" t="s">
        <v>1929</v>
      </c>
    </row>
    <row r="321" spans="7:8" ht="25.65" x14ac:dyDescent="0.35">
      <c r="G321" s="106" t="s">
        <v>1538</v>
      </c>
      <c r="H321" s="106" t="s">
        <v>1930</v>
      </c>
    </row>
    <row r="322" spans="7:8" ht="25.65" x14ac:dyDescent="0.35">
      <c r="G322" s="106" t="s">
        <v>1539</v>
      </c>
      <c r="H322" s="106" t="s">
        <v>1931</v>
      </c>
    </row>
    <row r="323" spans="7:8" ht="25.65" x14ac:dyDescent="0.35">
      <c r="G323" s="106" t="s">
        <v>1540</v>
      </c>
      <c r="H323" s="106" t="s">
        <v>1932</v>
      </c>
    </row>
    <row r="324" spans="7:8" ht="25.65" x14ac:dyDescent="0.35">
      <c r="G324" s="106" t="s">
        <v>1951</v>
      </c>
      <c r="H324" s="106" t="s">
        <v>1933</v>
      </c>
    </row>
    <row r="325" spans="7:8" ht="25.65" x14ac:dyDescent="0.35">
      <c r="G325" s="106" t="s">
        <v>1952</v>
      </c>
      <c r="H325" s="106" t="s">
        <v>1934</v>
      </c>
    </row>
    <row r="326" spans="7:8" ht="25.65" x14ac:dyDescent="0.35">
      <c r="G326" s="106" t="s">
        <v>1953</v>
      </c>
      <c r="H326" s="106" t="s">
        <v>1935</v>
      </c>
    </row>
    <row r="327" spans="7:8" ht="25.65" x14ac:dyDescent="0.35">
      <c r="G327" s="106" t="s">
        <v>1954</v>
      </c>
      <c r="H327" s="106" t="s">
        <v>1936</v>
      </c>
    </row>
    <row r="328" spans="7:8" ht="25.65" x14ac:dyDescent="0.35">
      <c r="G328" s="106" t="s">
        <v>1955</v>
      </c>
      <c r="H328" s="106" t="s">
        <v>1088</v>
      </c>
    </row>
    <row r="329" spans="7:8" ht="25.65" x14ac:dyDescent="0.35">
      <c r="G329" s="106" t="s">
        <v>1956</v>
      </c>
      <c r="H329" s="106" t="s">
        <v>1089</v>
      </c>
    </row>
    <row r="330" spans="7:8" ht="25.65" x14ac:dyDescent="0.35">
      <c r="G330" s="106" t="s">
        <v>1957</v>
      </c>
      <c r="H330" s="106" t="s">
        <v>1090</v>
      </c>
    </row>
    <row r="331" spans="7:8" ht="25.65" x14ac:dyDescent="0.35">
      <c r="G331" s="106" t="s">
        <v>1958</v>
      </c>
      <c r="H331" s="106" t="s">
        <v>1091</v>
      </c>
    </row>
    <row r="332" spans="7:8" ht="25.65" x14ac:dyDescent="0.35">
      <c r="G332" s="106" t="s">
        <v>1959</v>
      </c>
      <c r="H332" s="106" t="s">
        <v>1092</v>
      </c>
    </row>
    <row r="333" spans="7:8" ht="25.65" x14ac:dyDescent="0.35">
      <c r="G333" s="106" t="s">
        <v>1960</v>
      </c>
      <c r="H333" s="106" t="s">
        <v>1093</v>
      </c>
    </row>
    <row r="334" spans="7:8" ht="25.65" x14ac:dyDescent="0.35">
      <c r="G334" s="106" t="s">
        <v>1961</v>
      </c>
      <c r="H334" s="106" t="s">
        <v>1094</v>
      </c>
    </row>
    <row r="335" spans="7:8" ht="25.65" x14ac:dyDescent="0.35">
      <c r="G335" s="106" t="s">
        <v>1962</v>
      </c>
      <c r="H335" s="106" t="s">
        <v>1095</v>
      </c>
    </row>
    <row r="336" spans="7:8" ht="25.65" x14ac:dyDescent="0.35">
      <c r="G336" s="106" t="s">
        <v>1963</v>
      </c>
      <c r="H336" s="106" t="s">
        <v>1096</v>
      </c>
    </row>
    <row r="337" spans="7:8" ht="25.65" x14ac:dyDescent="0.35">
      <c r="G337" s="106" t="s">
        <v>1362</v>
      </c>
      <c r="H337" s="106" t="s">
        <v>1097</v>
      </c>
    </row>
    <row r="338" spans="7:8" ht="25.65" x14ac:dyDescent="0.35">
      <c r="G338" s="106" t="s">
        <v>1363</v>
      </c>
      <c r="H338" s="106" t="s">
        <v>1098</v>
      </c>
    </row>
    <row r="339" spans="7:8" ht="25.65" x14ac:dyDescent="0.35">
      <c r="G339" s="106" t="s">
        <v>1364</v>
      </c>
      <c r="H339" s="106" t="s">
        <v>1099</v>
      </c>
    </row>
    <row r="340" spans="7:8" ht="25.65" x14ac:dyDescent="0.35">
      <c r="G340" s="106" t="s">
        <v>567</v>
      </c>
      <c r="H340" s="106" t="s">
        <v>1100</v>
      </c>
    </row>
    <row r="341" spans="7:8" ht="38.450000000000003" x14ac:dyDescent="0.35">
      <c r="G341" s="106" t="s">
        <v>1101</v>
      </c>
      <c r="H341" s="106" t="s">
        <v>1102</v>
      </c>
    </row>
    <row r="342" spans="7:8" ht="38.450000000000003" x14ac:dyDescent="0.35">
      <c r="G342" s="106" t="s">
        <v>568</v>
      </c>
      <c r="H342" s="106" t="s">
        <v>1467</v>
      </c>
    </row>
    <row r="343" spans="7:8" ht="38.450000000000003" x14ac:dyDescent="0.35">
      <c r="G343" s="106" t="s">
        <v>569</v>
      </c>
      <c r="H343" s="106" t="s">
        <v>1468</v>
      </c>
    </row>
    <row r="344" spans="7:8" ht="38.450000000000003" x14ac:dyDescent="0.35">
      <c r="G344" s="106" t="s">
        <v>570</v>
      </c>
      <c r="H344" s="106" t="s">
        <v>1469</v>
      </c>
    </row>
    <row r="345" spans="7:8" ht="38.450000000000003" x14ac:dyDescent="0.35">
      <c r="G345" s="106" t="s">
        <v>571</v>
      </c>
      <c r="H345" s="106" t="s">
        <v>1470</v>
      </c>
    </row>
    <row r="346" spans="7:8" ht="38.450000000000003" x14ac:dyDescent="0.35">
      <c r="G346" s="106" t="s">
        <v>572</v>
      </c>
      <c r="H346" s="106" t="s">
        <v>1471</v>
      </c>
    </row>
    <row r="347" spans="7:8" ht="38.450000000000003" x14ac:dyDescent="0.35">
      <c r="G347" s="106" t="s">
        <v>1365</v>
      </c>
      <c r="H347" s="106" t="s">
        <v>1472</v>
      </c>
    </row>
    <row r="348" spans="7:8" ht="38.450000000000003" x14ac:dyDescent="0.35">
      <c r="G348" s="106" t="s">
        <v>1366</v>
      </c>
      <c r="H348" s="106" t="s">
        <v>1473</v>
      </c>
    </row>
    <row r="349" spans="7:8" ht="38.450000000000003" x14ac:dyDescent="0.35">
      <c r="G349" s="106" t="s">
        <v>1367</v>
      </c>
      <c r="H349" s="106" t="s">
        <v>1474</v>
      </c>
    </row>
    <row r="350" spans="7:8" ht="38.450000000000003" x14ac:dyDescent="0.35">
      <c r="G350" s="106" t="s">
        <v>893</v>
      </c>
      <c r="H350" s="106" t="s">
        <v>1475</v>
      </c>
    </row>
    <row r="351" spans="7:8" ht="38.450000000000003" x14ac:dyDescent="0.35">
      <c r="G351" s="106" t="s">
        <v>894</v>
      </c>
      <c r="H351" s="106" t="s">
        <v>1476</v>
      </c>
    </row>
    <row r="352" spans="7:8" ht="38.450000000000003" x14ac:dyDescent="0.35">
      <c r="G352" s="106" t="s">
        <v>895</v>
      </c>
      <c r="H352" s="106" t="s">
        <v>915</v>
      </c>
    </row>
    <row r="353" spans="7:8" ht="38.450000000000003" x14ac:dyDescent="0.35">
      <c r="G353" s="106" t="s">
        <v>896</v>
      </c>
      <c r="H353" s="106" t="s">
        <v>916</v>
      </c>
    </row>
    <row r="354" spans="7:8" ht="38.450000000000003" x14ac:dyDescent="0.35">
      <c r="G354" s="106" t="s">
        <v>897</v>
      </c>
      <c r="H354" s="106" t="s">
        <v>917</v>
      </c>
    </row>
    <row r="355" spans="7:8" ht="38.450000000000003" x14ac:dyDescent="0.35">
      <c r="G355" s="106" t="s">
        <v>898</v>
      </c>
      <c r="H355" s="106" t="s">
        <v>918</v>
      </c>
    </row>
    <row r="356" spans="7:8" ht="38.450000000000003" x14ac:dyDescent="0.35">
      <c r="G356" s="106" t="s">
        <v>899</v>
      </c>
      <c r="H356" s="106" t="s">
        <v>919</v>
      </c>
    </row>
    <row r="357" spans="7:8" ht="38.450000000000003" x14ac:dyDescent="0.35">
      <c r="G357" s="106" t="s">
        <v>900</v>
      </c>
      <c r="H357" s="106" t="s">
        <v>920</v>
      </c>
    </row>
    <row r="358" spans="7:8" ht="38.450000000000003" x14ac:dyDescent="0.35">
      <c r="G358" s="106" t="s">
        <v>901</v>
      </c>
      <c r="H358" s="106" t="s">
        <v>921</v>
      </c>
    </row>
    <row r="359" spans="7:8" ht="38.450000000000003" x14ac:dyDescent="0.35">
      <c r="G359" s="106" t="s">
        <v>902</v>
      </c>
      <c r="H359" s="106" t="s">
        <v>922</v>
      </c>
    </row>
    <row r="360" spans="7:8" ht="38.450000000000003" x14ac:dyDescent="0.35">
      <c r="G360" s="106" t="s">
        <v>903</v>
      </c>
      <c r="H360" s="106" t="s">
        <v>923</v>
      </c>
    </row>
    <row r="361" spans="7:8" ht="38.450000000000003" x14ac:dyDescent="0.35">
      <c r="G361" s="106" t="s">
        <v>904</v>
      </c>
      <c r="H361" s="106" t="s">
        <v>1548</v>
      </c>
    </row>
    <row r="362" spans="7:8" ht="38.450000000000003" x14ac:dyDescent="0.35">
      <c r="G362" s="106" t="s">
        <v>905</v>
      </c>
      <c r="H362" s="106" t="s">
        <v>1549</v>
      </c>
    </row>
    <row r="363" spans="7:8" ht="38.450000000000003" x14ac:dyDescent="0.35">
      <c r="G363" s="106" t="s">
        <v>906</v>
      </c>
      <c r="H363" s="106" t="s">
        <v>1550</v>
      </c>
    </row>
    <row r="364" spans="7:8" ht="38.450000000000003" x14ac:dyDescent="0.35">
      <c r="G364" s="106" t="s">
        <v>907</v>
      </c>
      <c r="H364" s="106" t="s">
        <v>1555</v>
      </c>
    </row>
    <row r="365" spans="7:8" ht="38.450000000000003" x14ac:dyDescent="0.35">
      <c r="G365" s="106" t="s">
        <v>908</v>
      </c>
      <c r="H365" s="106" t="s">
        <v>1556</v>
      </c>
    </row>
    <row r="366" spans="7:8" ht="38.450000000000003" x14ac:dyDescent="0.35">
      <c r="G366" s="106" t="s">
        <v>909</v>
      </c>
      <c r="H366" s="106" t="s">
        <v>1557</v>
      </c>
    </row>
    <row r="367" spans="7:8" ht="38.450000000000003" x14ac:dyDescent="0.35">
      <c r="G367" s="106" t="s">
        <v>910</v>
      </c>
      <c r="H367" s="106" t="s">
        <v>1558</v>
      </c>
    </row>
    <row r="368" spans="7:8" ht="38.450000000000003" x14ac:dyDescent="0.35">
      <c r="G368" s="106" t="s">
        <v>911</v>
      </c>
      <c r="H368" s="106" t="s">
        <v>1559</v>
      </c>
    </row>
    <row r="369" spans="7:8" ht="38.450000000000003" x14ac:dyDescent="0.35">
      <c r="G369" s="106" t="s">
        <v>1415</v>
      </c>
      <c r="H369" s="106" t="s">
        <v>1560</v>
      </c>
    </row>
    <row r="370" spans="7:8" ht="38.450000000000003" x14ac:dyDescent="0.35">
      <c r="G370" s="106" t="s">
        <v>1416</v>
      </c>
      <c r="H370" s="106" t="s">
        <v>1561</v>
      </c>
    </row>
    <row r="371" spans="7:8" ht="38.450000000000003" x14ac:dyDescent="0.35">
      <c r="G371" s="106" t="s">
        <v>1909</v>
      </c>
      <c r="H371" s="106" t="s">
        <v>1562</v>
      </c>
    </row>
    <row r="372" spans="7:8" ht="38.450000000000003" x14ac:dyDescent="0.35">
      <c r="G372" s="106" t="s">
        <v>1134</v>
      </c>
      <c r="H372" s="106" t="s">
        <v>1563</v>
      </c>
    </row>
    <row r="373" spans="7:8" ht="38.450000000000003" x14ac:dyDescent="0.35">
      <c r="G373" s="106" t="s">
        <v>1135</v>
      </c>
      <c r="H373" s="106" t="s">
        <v>1564</v>
      </c>
    </row>
    <row r="374" spans="7:8" ht="38.450000000000003" x14ac:dyDescent="0.35">
      <c r="G374" s="106" t="s">
        <v>810</v>
      </c>
      <c r="H374" s="106" t="s">
        <v>1565</v>
      </c>
    </row>
    <row r="375" spans="7:8" ht="38.450000000000003" x14ac:dyDescent="0.35">
      <c r="G375" s="106" t="s">
        <v>811</v>
      </c>
      <c r="H375" s="106" t="s">
        <v>1566</v>
      </c>
    </row>
    <row r="376" spans="7:8" ht="38.450000000000003" x14ac:dyDescent="0.35">
      <c r="G376" s="106" t="s">
        <v>812</v>
      </c>
      <c r="H376" s="106" t="s">
        <v>1567</v>
      </c>
    </row>
    <row r="377" spans="7:8" ht="38.450000000000003" x14ac:dyDescent="0.35">
      <c r="G377" s="106" t="s">
        <v>813</v>
      </c>
      <c r="H377" s="106" t="s">
        <v>1154</v>
      </c>
    </row>
    <row r="378" spans="7:8" ht="38.450000000000003" x14ac:dyDescent="0.35">
      <c r="G378" s="106" t="s">
        <v>814</v>
      </c>
      <c r="H378" s="106" t="s">
        <v>1155</v>
      </c>
    </row>
    <row r="379" spans="7:8" ht="38.450000000000003" x14ac:dyDescent="0.35">
      <c r="G379" s="106" t="s">
        <v>573</v>
      </c>
      <c r="H379" s="106" t="s">
        <v>1156</v>
      </c>
    </row>
    <row r="380" spans="7:8" ht="38.450000000000003" x14ac:dyDescent="0.35">
      <c r="G380" s="106" t="s">
        <v>2081</v>
      </c>
      <c r="H380" s="106" t="s">
        <v>1157</v>
      </c>
    </row>
    <row r="381" spans="7:8" ht="38.450000000000003" x14ac:dyDescent="0.35">
      <c r="G381" s="106" t="s">
        <v>2082</v>
      </c>
      <c r="H381" s="106" t="s">
        <v>1727</v>
      </c>
    </row>
    <row r="382" spans="7:8" ht="38.450000000000003" x14ac:dyDescent="0.35">
      <c r="G382" s="106" t="s">
        <v>2083</v>
      </c>
      <c r="H382" s="106" t="s">
        <v>363</v>
      </c>
    </row>
    <row r="383" spans="7:8" ht="38.450000000000003" x14ac:dyDescent="0.35">
      <c r="G383" s="106" t="s">
        <v>2084</v>
      </c>
      <c r="H383" s="106" t="s">
        <v>364</v>
      </c>
    </row>
    <row r="384" spans="7:8" ht="38.450000000000003" x14ac:dyDescent="0.35">
      <c r="G384" s="106" t="s">
        <v>2085</v>
      </c>
      <c r="H384" s="106" t="s">
        <v>365</v>
      </c>
    </row>
    <row r="385" spans="7:8" ht="38.450000000000003" x14ac:dyDescent="0.35">
      <c r="G385" s="106" t="s">
        <v>2086</v>
      </c>
      <c r="H385" s="106" t="s">
        <v>366</v>
      </c>
    </row>
    <row r="386" spans="7:8" ht="38.450000000000003" x14ac:dyDescent="0.35">
      <c r="G386" s="106" t="s">
        <v>212</v>
      </c>
      <c r="H386" s="106" t="s">
        <v>1022</v>
      </c>
    </row>
    <row r="387" spans="7:8" ht="38.450000000000003" x14ac:dyDescent="0.35">
      <c r="G387" s="106" t="s">
        <v>213</v>
      </c>
      <c r="H387" s="106" t="s">
        <v>1023</v>
      </c>
    </row>
    <row r="388" spans="7:8" ht="38.450000000000003" x14ac:dyDescent="0.35">
      <c r="G388" s="106" t="s">
        <v>214</v>
      </c>
      <c r="H388" s="106" t="s">
        <v>1024</v>
      </c>
    </row>
    <row r="389" spans="7:8" ht="38.450000000000003" x14ac:dyDescent="0.35">
      <c r="G389" s="106" t="s">
        <v>215</v>
      </c>
      <c r="H389" s="106" t="s">
        <v>1025</v>
      </c>
    </row>
    <row r="390" spans="7:8" ht="38.450000000000003" x14ac:dyDescent="0.35">
      <c r="G390" s="106" t="s">
        <v>216</v>
      </c>
      <c r="H390" s="106" t="s">
        <v>1026</v>
      </c>
    </row>
    <row r="391" spans="7:8" ht="38.450000000000003" x14ac:dyDescent="0.35">
      <c r="G391" s="106" t="s">
        <v>217</v>
      </c>
      <c r="H391" s="106" t="s">
        <v>1027</v>
      </c>
    </row>
    <row r="392" spans="7:8" ht="38.450000000000003" x14ac:dyDescent="0.35">
      <c r="G392" s="106" t="s">
        <v>646</v>
      </c>
      <c r="H392" s="106" t="s">
        <v>1028</v>
      </c>
    </row>
    <row r="393" spans="7:8" ht="38.450000000000003" x14ac:dyDescent="0.35">
      <c r="G393" s="106" t="s">
        <v>390</v>
      </c>
      <c r="H393" s="106" t="s">
        <v>1029</v>
      </c>
    </row>
    <row r="394" spans="7:8" ht="38.450000000000003" x14ac:dyDescent="0.35">
      <c r="G394" s="106" t="s">
        <v>391</v>
      </c>
      <c r="H394" s="106" t="s">
        <v>1030</v>
      </c>
    </row>
    <row r="395" spans="7:8" ht="38.450000000000003" x14ac:dyDescent="0.35">
      <c r="G395" s="106" t="s">
        <v>149</v>
      </c>
      <c r="H395" s="106" t="s">
        <v>1031</v>
      </c>
    </row>
    <row r="396" spans="7:8" ht="38.450000000000003" x14ac:dyDescent="0.35">
      <c r="G396" s="106" t="s">
        <v>150</v>
      </c>
      <c r="H396" s="106" t="s">
        <v>1032</v>
      </c>
    </row>
    <row r="397" spans="7:8" ht="38.450000000000003" x14ac:dyDescent="0.35">
      <c r="G397" s="106" t="s">
        <v>1522</v>
      </c>
      <c r="H397" s="106" t="s">
        <v>1033</v>
      </c>
    </row>
    <row r="398" spans="7:8" ht="38.450000000000003" x14ac:dyDescent="0.35">
      <c r="G398" s="106" t="s">
        <v>1523</v>
      </c>
      <c r="H398" s="106" t="s">
        <v>1813</v>
      </c>
    </row>
    <row r="399" spans="7:8" ht="38.450000000000003" x14ac:dyDescent="0.35">
      <c r="G399" s="106" t="s">
        <v>1524</v>
      </c>
      <c r="H399" s="106" t="s">
        <v>1814</v>
      </c>
    </row>
    <row r="400" spans="7:8" ht="38.450000000000003" x14ac:dyDescent="0.35">
      <c r="G400" s="106" t="s">
        <v>1395</v>
      </c>
      <c r="H400" s="106" t="s">
        <v>1815</v>
      </c>
    </row>
    <row r="401" spans="7:8" ht="38.450000000000003" x14ac:dyDescent="0.35">
      <c r="G401" s="106" t="s">
        <v>1485</v>
      </c>
      <c r="H401" s="106" t="s">
        <v>1816</v>
      </c>
    </row>
    <row r="402" spans="7:8" ht="38.450000000000003" x14ac:dyDescent="0.35">
      <c r="G402" s="106" t="s">
        <v>1486</v>
      </c>
      <c r="H402" s="106" t="s">
        <v>1817</v>
      </c>
    </row>
    <row r="403" spans="7:8" ht="38.450000000000003" x14ac:dyDescent="0.35">
      <c r="G403" s="106" t="s">
        <v>1487</v>
      </c>
      <c r="H403" s="106" t="s">
        <v>649</v>
      </c>
    </row>
    <row r="404" spans="7:8" ht="38.450000000000003" x14ac:dyDescent="0.35">
      <c r="G404" s="106" t="s">
        <v>1488</v>
      </c>
      <c r="H404" s="106" t="s">
        <v>252</v>
      </c>
    </row>
    <row r="405" spans="7:8" ht="38.450000000000003" x14ac:dyDescent="0.35">
      <c r="G405" s="106" t="s">
        <v>206</v>
      </c>
      <c r="H405" s="106" t="s">
        <v>253</v>
      </c>
    </row>
    <row r="406" spans="7:8" ht="38.450000000000003" x14ac:dyDescent="0.35">
      <c r="G406" s="106" t="s">
        <v>207</v>
      </c>
      <c r="H406" s="106" t="s">
        <v>254</v>
      </c>
    </row>
    <row r="407" spans="7:8" ht="38.450000000000003" x14ac:dyDescent="0.35">
      <c r="G407" s="106" t="s">
        <v>351</v>
      </c>
      <c r="H407" s="106" t="s">
        <v>255</v>
      </c>
    </row>
    <row r="408" spans="7:8" ht="38.450000000000003" x14ac:dyDescent="0.35">
      <c r="G408" s="106" t="s">
        <v>352</v>
      </c>
      <c r="H408" s="106" t="s">
        <v>256</v>
      </c>
    </row>
    <row r="409" spans="7:8" ht="38.450000000000003" x14ac:dyDescent="0.35">
      <c r="G409" s="106" t="s">
        <v>1136</v>
      </c>
      <c r="H409" s="106" t="s">
        <v>257</v>
      </c>
    </row>
    <row r="410" spans="7:8" ht="38.450000000000003" x14ac:dyDescent="0.35">
      <c r="G410" s="106" t="s">
        <v>1145</v>
      </c>
      <c r="H410" s="106" t="s">
        <v>258</v>
      </c>
    </row>
    <row r="411" spans="7:8" ht="38.450000000000003" x14ac:dyDescent="0.35">
      <c r="G411" s="106" t="s">
        <v>1146</v>
      </c>
      <c r="H411" s="106" t="s">
        <v>259</v>
      </c>
    </row>
    <row r="412" spans="7:8" ht="38.450000000000003" x14ac:dyDescent="0.35">
      <c r="G412" s="106" t="s">
        <v>1147</v>
      </c>
      <c r="H412" s="106" t="s">
        <v>260</v>
      </c>
    </row>
    <row r="413" spans="7:8" ht="38.450000000000003" x14ac:dyDescent="0.35">
      <c r="G413" s="106" t="s">
        <v>1148</v>
      </c>
      <c r="H413" s="106" t="s">
        <v>261</v>
      </c>
    </row>
    <row r="414" spans="7:8" ht="38.450000000000003" x14ac:dyDescent="0.35">
      <c r="G414" s="106" t="s">
        <v>1149</v>
      </c>
      <c r="H414" s="106" t="s">
        <v>262</v>
      </c>
    </row>
    <row r="415" spans="7:8" ht="38.450000000000003" x14ac:dyDescent="0.35">
      <c r="G415" s="106" t="s">
        <v>1150</v>
      </c>
      <c r="H415" s="106" t="s">
        <v>263</v>
      </c>
    </row>
    <row r="416" spans="7:8" ht="38.450000000000003" x14ac:dyDescent="0.35">
      <c r="G416" s="106" t="s">
        <v>1144</v>
      </c>
      <c r="H416" s="106" t="s">
        <v>264</v>
      </c>
    </row>
    <row r="417" spans="7:8" ht="38.450000000000003" x14ac:dyDescent="0.35">
      <c r="G417" s="106" t="s">
        <v>146</v>
      </c>
      <c r="H417" s="106" t="s">
        <v>265</v>
      </c>
    </row>
    <row r="418" spans="7:8" ht="38.450000000000003" x14ac:dyDescent="0.35">
      <c r="G418" s="106" t="s">
        <v>147</v>
      </c>
      <c r="H418" s="106" t="s">
        <v>266</v>
      </c>
    </row>
    <row r="419" spans="7:8" ht="38.450000000000003" x14ac:dyDescent="0.35">
      <c r="G419" s="106" t="s">
        <v>148</v>
      </c>
      <c r="H419" s="106" t="s">
        <v>267</v>
      </c>
    </row>
    <row r="420" spans="7:8" ht="38.450000000000003" x14ac:dyDescent="0.35">
      <c r="G420" s="106" t="s">
        <v>832</v>
      </c>
      <c r="H420" s="106" t="s">
        <v>268</v>
      </c>
    </row>
    <row r="421" spans="7:8" ht="38.450000000000003" x14ac:dyDescent="0.35">
      <c r="G421" s="106" t="s">
        <v>833</v>
      </c>
      <c r="H421" s="106" t="s">
        <v>269</v>
      </c>
    </row>
    <row r="422" spans="7:8" ht="38.450000000000003" x14ac:dyDescent="0.35">
      <c r="G422" s="106" t="s">
        <v>1130</v>
      </c>
      <c r="H422" s="106" t="s">
        <v>270</v>
      </c>
    </row>
    <row r="423" spans="7:8" ht="38.450000000000003" x14ac:dyDescent="0.35">
      <c r="G423" s="106" t="s">
        <v>1131</v>
      </c>
      <c r="H423" s="106" t="s">
        <v>924</v>
      </c>
    </row>
    <row r="424" spans="7:8" ht="38.450000000000003" x14ac:dyDescent="0.35">
      <c r="G424" s="106" t="s">
        <v>1132</v>
      </c>
      <c r="H424" s="106" t="s">
        <v>925</v>
      </c>
    </row>
    <row r="425" spans="7:8" ht="38.450000000000003" x14ac:dyDescent="0.35">
      <c r="G425" s="106" t="s">
        <v>1133</v>
      </c>
      <c r="H425" s="106" t="s">
        <v>1942</v>
      </c>
    </row>
    <row r="426" spans="7:8" ht="38.450000000000003" x14ac:dyDescent="0.35">
      <c r="G426" s="106" t="s">
        <v>1937</v>
      </c>
      <c r="H426" s="106" t="s">
        <v>1398</v>
      </c>
    </row>
    <row r="427" spans="7:8" ht="38.450000000000003" x14ac:dyDescent="0.35">
      <c r="G427" s="106" t="s">
        <v>1938</v>
      </c>
      <c r="H427" s="106" t="s">
        <v>132</v>
      </c>
    </row>
    <row r="428" spans="7:8" ht="38.450000000000003" x14ac:dyDescent="0.35">
      <c r="G428" s="106" t="s">
        <v>1939</v>
      </c>
      <c r="H428" s="106" t="s">
        <v>133</v>
      </c>
    </row>
    <row r="429" spans="7:8" ht="38.450000000000003" x14ac:dyDescent="0.35">
      <c r="G429" s="106" t="s">
        <v>1940</v>
      </c>
      <c r="H429" s="106" t="s">
        <v>134</v>
      </c>
    </row>
    <row r="430" spans="7:8" ht="38.450000000000003" x14ac:dyDescent="0.35">
      <c r="G430" s="106" t="s">
        <v>1941</v>
      </c>
      <c r="H430" s="106" t="s">
        <v>135</v>
      </c>
    </row>
    <row r="431" spans="7:8" ht="38.450000000000003" x14ac:dyDescent="0.35">
      <c r="G431" s="106" t="s">
        <v>1964</v>
      </c>
      <c r="H431" s="106" t="s">
        <v>136</v>
      </c>
    </row>
    <row r="432" spans="7:8" ht="38.450000000000003" x14ac:dyDescent="0.35">
      <c r="G432" s="106" t="s">
        <v>1965</v>
      </c>
      <c r="H432" s="106" t="s">
        <v>137</v>
      </c>
    </row>
    <row r="433" spans="7:8" ht="38.450000000000003" x14ac:dyDescent="0.35">
      <c r="G433" s="106" t="s">
        <v>1966</v>
      </c>
      <c r="H433" s="106" t="s">
        <v>138</v>
      </c>
    </row>
    <row r="434" spans="7:8" ht="38.450000000000003" x14ac:dyDescent="0.35">
      <c r="G434" s="106" t="s">
        <v>1967</v>
      </c>
      <c r="H434" s="106" t="s">
        <v>139</v>
      </c>
    </row>
    <row r="435" spans="7:8" ht="38.450000000000003" x14ac:dyDescent="0.35">
      <c r="G435" s="106" t="s">
        <v>1968</v>
      </c>
      <c r="H435" s="106" t="s">
        <v>140</v>
      </c>
    </row>
    <row r="436" spans="7:8" ht="38.450000000000003" x14ac:dyDescent="0.35">
      <c r="G436" s="106" t="s">
        <v>1969</v>
      </c>
      <c r="H436" s="106" t="s">
        <v>141</v>
      </c>
    </row>
    <row r="437" spans="7:8" ht="38.450000000000003" x14ac:dyDescent="0.35">
      <c r="G437" s="106" t="s">
        <v>1970</v>
      </c>
      <c r="H437" s="106" t="s">
        <v>142</v>
      </c>
    </row>
    <row r="438" spans="7:8" ht="38.450000000000003" x14ac:dyDescent="0.35">
      <c r="G438" s="106" t="s">
        <v>1594</v>
      </c>
      <c r="H438" s="106" t="s">
        <v>143</v>
      </c>
    </row>
    <row r="439" spans="7:8" ht="38.450000000000003" x14ac:dyDescent="0.35">
      <c r="G439" s="106" t="s">
        <v>1767</v>
      </c>
      <c r="H439" s="106" t="s">
        <v>297</v>
      </c>
    </row>
    <row r="440" spans="7:8" ht="38.450000000000003" x14ac:dyDescent="0.35">
      <c r="G440" s="106" t="s">
        <v>1768</v>
      </c>
      <c r="H440" s="106" t="s">
        <v>298</v>
      </c>
    </row>
    <row r="441" spans="7:8" ht="38.450000000000003" x14ac:dyDescent="0.35">
      <c r="G441" s="106" t="s">
        <v>1769</v>
      </c>
      <c r="H441" s="106" t="s">
        <v>299</v>
      </c>
    </row>
    <row r="442" spans="7:8" ht="38.450000000000003" x14ac:dyDescent="0.35">
      <c r="G442" s="106" t="s">
        <v>1770</v>
      </c>
      <c r="H442" s="106" t="s">
        <v>1997</v>
      </c>
    </row>
    <row r="443" spans="7:8" ht="38.450000000000003" x14ac:dyDescent="0.35">
      <c r="G443" s="106" t="s">
        <v>1771</v>
      </c>
      <c r="H443" s="106" t="s">
        <v>1695</v>
      </c>
    </row>
    <row r="444" spans="7:8" ht="38.450000000000003" x14ac:dyDescent="0.35">
      <c r="G444" s="106" t="s">
        <v>927</v>
      </c>
      <c r="H444" s="106" t="s">
        <v>1696</v>
      </c>
    </row>
    <row r="445" spans="7:8" ht="38.450000000000003" x14ac:dyDescent="0.35">
      <c r="G445" s="106" t="s">
        <v>1137</v>
      </c>
      <c r="H445" s="106" t="s">
        <v>1697</v>
      </c>
    </row>
    <row r="446" spans="7:8" ht="38.450000000000003" x14ac:dyDescent="0.35">
      <c r="G446" s="106" t="s">
        <v>1138</v>
      </c>
      <c r="H446" s="106" t="s">
        <v>1698</v>
      </c>
    </row>
    <row r="447" spans="7:8" ht="38.450000000000003" x14ac:dyDescent="0.35">
      <c r="G447" s="106" t="s">
        <v>1139</v>
      </c>
      <c r="H447" s="106" t="s">
        <v>1789</v>
      </c>
    </row>
    <row r="448" spans="7:8" ht="38.450000000000003" x14ac:dyDescent="0.35">
      <c r="G448" s="106" t="s">
        <v>1140</v>
      </c>
      <c r="H448" s="106" t="s">
        <v>1790</v>
      </c>
    </row>
    <row r="449" spans="7:8" ht="38.450000000000003" x14ac:dyDescent="0.35">
      <c r="G449" s="106" t="s">
        <v>1141</v>
      </c>
      <c r="H449" s="106" t="s">
        <v>1791</v>
      </c>
    </row>
    <row r="450" spans="7:8" ht="38.450000000000003" x14ac:dyDescent="0.35">
      <c r="G450" s="106" t="s">
        <v>1142</v>
      </c>
      <c r="H450" s="106" t="s">
        <v>1792</v>
      </c>
    </row>
    <row r="451" spans="7:8" ht="38.450000000000003" x14ac:dyDescent="0.35">
      <c r="G451" s="106" t="s">
        <v>1712</v>
      </c>
      <c r="H451" s="106" t="s">
        <v>1793</v>
      </c>
    </row>
    <row r="452" spans="7:8" ht="38.450000000000003" x14ac:dyDescent="0.35">
      <c r="G452" s="106" t="s">
        <v>1667</v>
      </c>
      <c r="H452" s="106" t="s">
        <v>1794</v>
      </c>
    </row>
    <row r="453" spans="7:8" ht="38.450000000000003" x14ac:dyDescent="0.35">
      <c r="G453" s="106" t="s">
        <v>1668</v>
      </c>
      <c r="H453" s="106" t="s">
        <v>1795</v>
      </c>
    </row>
    <row r="454" spans="7:8" ht="38.450000000000003" x14ac:dyDescent="0.35">
      <c r="G454" s="106" t="s">
        <v>1669</v>
      </c>
      <c r="H454" s="106" t="s">
        <v>1796</v>
      </c>
    </row>
    <row r="455" spans="7:8" ht="38.450000000000003" x14ac:dyDescent="0.35">
      <c r="G455" s="106" t="s">
        <v>1670</v>
      </c>
      <c r="H455" s="106" t="s">
        <v>1797</v>
      </c>
    </row>
    <row r="456" spans="7:8" ht="38.450000000000003" x14ac:dyDescent="0.35">
      <c r="G456" s="106" t="s">
        <v>1902</v>
      </c>
      <c r="H456" s="106" t="s">
        <v>1798</v>
      </c>
    </row>
    <row r="457" spans="7:8" ht="38.450000000000003" x14ac:dyDescent="0.35">
      <c r="G457" s="106" t="s">
        <v>1998</v>
      </c>
      <c r="H457" s="106" t="s">
        <v>1799</v>
      </c>
    </row>
    <row r="458" spans="7:8" ht="38.450000000000003" x14ac:dyDescent="0.35">
      <c r="G458" s="106" t="s">
        <v>1999</v>
      </c>
      <c r="H458" s="106" t="s">
        <v>1800</v>
      </c>
    </row>
    <row r="459" spans="7:8" ht="38.450000000000003" x14ac:dyDescent="0.35">
      <c r="G459" s="106" t="s">
        <v>2000</v>
      </c>
      <c r="H459" s="106" t="s">
        <v>660</v>
      </c>
    </row>
    <row r="460" spans="7:8" ht="38.450000000000003" x14ac:dyDescent="0.35">
      <c r="G460" s="106" t="s">
        <v>2001</v>
      </c>
      <c r="H460" s="106" t="s">
        <v>661</v>
      </c>
    </row>
    <row r="461" spans="7:8" ht="38.450000000000003" x14ac:dyDescent="0.35">
      <c r="G461" s="106" t="s">
        <v>565</v>
      </c>
      <c r="H461" s="106" t="s">
        <v>662</v>
      </c>
    </row>
    <row r="462" spans="7:8" ht="25.65" x14ac:dyDescent="0.35">
      <c r="G462" s="106" t="s">
        <v>791</v>
      </c>
      <c r="H462" s="106" t="s">
        <v>384</v>
      </c>
    </row>
    <row r="463" spans="7:8" ht="25.65" x14ac:dyDescent="0.35">
      <c r="G463" s="106" t="s">
        <v>792</v>
      </c>
      <c r="H463" s="106" t="s">
        <v>182</v>
      </c>
    </row>
    <row r="464" spans="7:8" ht="25.65" x14ac:dyDescent="0.35">
      <c r="G464" s="106" t="s">
        <v>1280</v>
      </c>
      <c r="H464" s="106" t="s">
        <v>183</v>
      </c>
    </row>
    <row r="465" spans="7:8" ht="25.65" x14ac:dyDescent="0.35">
      <c r="G465" s="106" t="s">
        <v>793</v>
      </c>
      <c r="H465" s="106" t="s">
        <v>184</v>
      </c>
    </row>
    <row r="466" spans="7:8" ht="25.65" x14ac:dyDescent="0.35">
      <c r="G466" s="106" t="s">
        <v>114</v>
      </c>
      <c r="H466" s="106" t="s">
        <v>185</v>
      </c>
    </row>
    <row r="467" spans="7:8" ht="25.65" x14ac:dyDescent="0.35">
      <c r="G467" s="106" t="s">
        <v>1914</v>
      </c>
      <c r="H467" s="106" t="s">
        <v>186</v>
      </c>
    </row>
    <row r="468" spans="7:8" ht="25.65" x14ac:dyDescent="0.35">
      <c r="G468" s="106" t="s">
        <v>115</v>
      </c>
      <c r="H468" s="106" t="s">
        <v>187</v>
      </c>
    </row>
    <row r="469" spans="7:8" ht="25.65" x14ac:dyDescent="0.35">
      <c r="G469" s="106" t="s">
        <v>2103</v>
      </c>
      <c r="H469" s="106" t="s">
        <v>188</v>
      </c>
    </row>
    <row r="470" spans="7:8" ht="25.65" x14ac:dyDescent="0.35">
      <c r="G470" s="106" t="s">
        <v>585</v>
      </c>
      <c r="H470" s="106" t="s">
        <v>189</v>
      </c>
    </row>
    <row r="471" spans="7:8" ht="25.65" x14ac:dyDescent="0.35">
      <c r="G471" s="106" t="s">
        <v>586</v>
      </c>
      <c r="H471" s="106" t="s">
        <v>190</v>
      </c>
    </row>
    <row r="472" spans="7:8" ht="25.65" x14ac:dyDescent="0.35">
      <c r="G472" s="106" t="s">
        <v>1419</v>
      </c>
      <c r="H472" s="106" t="s">
        <v>191</v>
      </c>
    </row>
    <row r="473" spans="7:8" ht="25.65" x14ac:dyDescent="0.35">
      <c r="G473" s="106" t="s">
        <v>1420</v>
      </c>
      <c r="H473" s="106" t="s">
        <v>192</v>
      </c>
    </row>
    <row r="474" spans="7:8" ht="25.65" x14ac:dyDescent="0.35">
      <c r="G474" s="106" t="s">
        <v>1421</v>
      </c>
      <c r="H474" s="106" t="s">
        <v>193</v>
      </c>
    </row>
    <row r="475" spans="7:8" ht="25.65" x14ac:dyDescent="0.35">
      <c r="G475" s="106" t="s">
        <v>727</v>
      </c>
      <c r="H475" s="106" t="s">
        <v>194</v>
      </c>
    </row>
    <row r="476" spans="7:8" ht="25.65" x14ac:dyDescent="0.35">
      <c r="G476" s="106" t="s">
        <v>728</v>
      </c>
      <c r="H476" s="106" t="s">
        <v>195</v>
      </c>
    </row>
    <row r="477" spans="7:8" ht="25.65" x14ac:dyDescent="0.35">
      <c r="G477" s="106" t="s">
        <v>729</v>
      </c>
      <c r="H477" s="106" t="s">
        <v>196</v>
      </c>
    </row>
    <row r="478" spans="7:8" ht="25.65" x14ac:dyDescent="0.35">
      <c r="G478" s="106" t="s">
        <v>730</v>
      </c>
      <c r="H478" s="106" t="s">
        <v>197</v>
      </c>
    </row>
    <row r="479" spans="7:8" ht="25.65" x14ac:dyDescent="0.35">
      <c r="G479" s="106" t="s">
        <v>731</v>
      </c>
      <c r="H479" s="106" t="s">
        <v>198</v>
      </c>
    </row>
    <row r="480" spans="7:8" ht="25.65" x14ac:dyDescent="0.35">
      <c r="G480" s="106" t="s">
        <v>978</v>
      </c>
      <c r="H480" s="106" t="s">
        <v>438</v>
      </c>
    </row>
    <row r="481" spans="7:8" ht="25.65" x14ac:dyDescent="0.35">
      <c r="G481" s="106" t="s">
        <v>800</v>
      </c>
      <c r="H481" s="106" t="s">
        <v>439</v>
      </c>
    </row>
    <row r="482" spans="7:8" ht="25.65" x14ac:dyDescent="0.35">
      <c r="G482" s="106" t="s">
        <v>801</v>
      </c>
      <c r="H482" s="106" t="s">
        <v>440</v>
      </c>
    </row>
    <row r="483" spans="7:8" ht="25.65" x14ac:dyDescent="0.35">
      <c r="G483" s="106" t="s">
        <v>802</v>
      </c>
      <c r="H483" s="106" t="s">
        <v>372</v>
      </c>
    </row>
    <row r="484" spans="7:8" ht="25.65" x14ac:dyDescent="0.35">
      <c r="G484" s="106" t="s">
        <v>764</v>
      </c>
      <c r="H484" s="106" t="s">
        <v>373</v>
      </c>
    </row>
    <row r="485" spans="7:8" ht="25.65" x14ac:dyDescent="0.35">
      <c r="G485" s="106" t="s">
        <v>765</v>
      </c>
      <c r="H485" s="106" t="s">
        <v>461</v>
      </c>
    </row>
    <row r="486" spans="7:8" ht="25.65" x14ac:dyDescent="0.35">
      <c r="G486" s="106" t="s">
        <v>1583</v>
      </c>
      <c r="H486" s="106" t="s">
        <v>154</v>
      </c>
    </row>
    <row r="487" spans="7:8" ht="25.65" x14ac:dyDescent="0.35">
      <c r="G487" s="106" t="s">
        <v>1584</v>
      </c>
      <c r="H487" s="106" t="s">
        <v>155</v>
      </c>
    </row>
    <row r="488" spans="7:8" ht="25.65" x14ac:dyDescent="0.35">
      <c r="G488" s="106" t="s">
        <v>1412</v>
      </c>
      <c r="H488" s="106" t="s">
        <v>156</v>
      </c>
    </row>
    <row r="489" spans="7:8" ht="25.65" x14ac:dyDescent="0.35">
      <c r="G489" s="106" t="s">
        <v>1413</v>
      </c>
      <c r="H489" s="106" t="s">
        <v>157</v>
      </c>
    </row>
    <row r="490" spans="7:8" ht="25.65" x14ac:dyDescent="0.35">
      <c r="G490" s="106" t="s">
        <v>1414</v>
      </c>
      <c r="H490" s="106" t="s">
        <v>158</v>
      </c>
    </row>
    <row r="491" spans="7:8" ht="25.65" x14ac:dyDescent="0.35">
      <c r="G491" s="106" t="s">
        <v>615</v>
      </c>
      <c r="H491" s="106" t="s">
        <v>159</v>
      </c>
    </row>
    <row r="492" spans="7:8" ht="25.65" x14ac:dyDescent="0.35">
      <c r="G492" s="106" t="s">
        <v>616</v>
      </c>
      <c r="H492" s="106" t="s">
        <v>160</v>
      </c>
    </row>
    <row r="493" spans="7:8" ht="25.65" x14ac:dyDescent="0.35">
      <c r="G493" s="106" t="s">
        <v>617</v>
      </c>
      <c r="H493" s="106" t="s">
        <v>161</v>
      </c>
    </row>
    <row r="494" spans="7:8" ht="25.65" x14ac:dyDescent="0.35">
      <c r="G494" s="106" t="s">
        <v>618</v>
      </c>
      <c r="H494" s="106" t="s">
        <v>162</v>
      </c>
    </row>
    <row r="495" spans="7:8" ht="25.65" x14ac:dyDescent="0.35">
      <c r="G495" s="106" t="s">
        <v>619</v>
      </c>
      <c r="H495" s="106" t="s">
        <v>163</v>
      </c>
    </row>
    <row r="496" spans="7:8" ht="25.65" x14ac:dyDescent="0.35">
      <c r="G496" s="106" t="s">
        <v>824</v>
      </c>
      <c r="H496" s="106" t="s">
        <v>164</v>
      </c>
    </row>
    <row r="497" spans="7:8" ht="25.65" x14ac:dyDescent="0.35">
      <c r="G497" s="106" t="s">
        <v>819</v>
      </c>
      <c r="H497" s="106" t="s">
        <v>165</v>
      </c>
    </row>
    <row r="498" spans="7:8" ht="25.65" x14ac:dyDescent="0.35">
      <c r="G498" s="106" t="s">
        <v>820</v>
      </c>
      <c r="H498" s="106" t="s">
        <v>166</v>
      </c>
    </row>
    <row r="499" spans="7:8" ht="25.65" x14ac:dyDescent="0.35">
      <c r="G499" s="106" t="s">
        <v>821</v>
      </c>
      <c r="H499" s="106" t="s">
        <v>167</v>
      </c>
    </row>
    <row r="500" spans="7:8" ht="25.65" x14ac:dyDescent="0.35">
      <c r="G500" s="106" t="s">
        <v>822</v>
      </c>
      <c r="H500" s="106" t="s">
        <v>168</v>
      </c>
    </row>
    <row r="501" spans="7:8" ht="25.65" x14ac:dyDescent="0.35">
      <c r="G501" s="106" t="s">
        <v>823</v>
      </c>
      <c r="H501" s="106" t="s">
        <v>589</v>
      </c>
    </row>
    <row r="502" spans="7:8" ht="25.65" x14ac:dyDescent="0.35">
      <c r="G502" s="106" t="s">
        <v>1434</v>
      </c>
      <c r="H502" s="106" t="s">
        <v>590</v>
      </c>
    </row>
    <row r="503" spans="7:8" ht="25.65" x14ac:dyDescent="0.35">
      <c r="G503" s="106" t="s">
        <v>1708</v>
      </c>
      <c r="H503" s="106" t="s">
        <v>591</v>
      </c>
    </row>
    <row r="504" spans="7:8" ht="25.65" x14ac:dyDescent="0.35">
      <c r="G504" s="106" t="s">
        <v>970</v>
      </c>
      <c r="H504" s="106" t="s">
        <v>592</v>
      </c>
    </row>
    <row r="505" spans="7:8" ht="25.65" x14ac:dyDescent="0.35">
      <c r="G505" s="106" t="s">
        <v>479</v>
      </c>
      <c r="H505" s="106" t="s">
        <v>480</v>
      </c>
    </row>
    <row r="506" spans="7:8" ht="25.65" x14ac:dyDescent="0.35">
      <c r="G506" s="106" t="s">
        <v>1621</v>
      </c>
      <c r="H506" s="106" t="s">
        <v>1622</v>
      </c>
    </row>
    <row r="507" spans="7:8" ht="25.65" x14ac:dyDescent="0.35">
      <c r="G507" s="106" t="s">
        <v>1623</v>
      </c>
      <c r="H507" s="106" t="s">
        <v>1624</v>
      </c>
    </row>
    <row r="508" spans="7:8" ht="25.65" x14ac:dyDescent="0.35">
      <c r="G508" s="106" t="s">
        <v>1625</v>
      </c>
      <c r="H508" s="106" t="s">
        <v>1626</v>
      </c>
    </row>
    <row r="509" spans="7:8" ht="25.65" x14ac:dyDescent="0.35">
      <c r="G509" s="106" t="s">
        <v>1627</v>
      </c>
      <c r="H509" s="106" t="s">
        <v>1628</v>
      </c>
    </row>
    <row r="510" spans="7:8" ht="25.65" x14ac:dyDescent="0.35">
      <c r="G510" s="106" t="s">
        <v>1629</v>
      </c>
      <c r="H510" s="106" t="s">
        <v>1630</v>
      </c>
    </row>
    <row r="511" spans="7:8" ht="25.65" x14ac:dyDescent="0.35">
      <c r="G511" s="106" t="s">
        <v>1869</v>
      </c>
      <c r="H511" s="106" t="s">
        <v>1631</v>
      </c>
    </row>
    <row r="512" spans="7:8" ht="25.65" x14ac:dyDescent="0.35">
      <c r="G512" s="106" t="s">
        <v>1632</v>
      </c>
      <c r="H512" s="106" t="s">
        <v>1573</v>
      </c>
    </row>
    <row r="513" spans="7:8" ht="25.65" x14ac:dyDescent="0.35">
      <c r="G513" s="106" t="s">
        <v>1075</v>
      </c>
      <c r="H513" s="106" t="s">
        <v>1183</v>
      </c>
    </row>
    <row r="514" spans="7:8" ht="25.65" x14ac:dyDescent="0.35">
      <c r="G514" s="106" t="s">
        <v>1443</v>
      </c>
      <c r="H514" s="106" t="s">
        <v>1184</v>
      </c>
    </row>
    <row r="515" spans="7:8" ht="25.65" x14ac:dyDescent="0.35">
      <c r="G515" s="106" t="s">
        <v>1766</v>
      </c>
      <c r="H515" s="106" t="s">
        <v>1185</v>
      </c>
    </row>
    <row r="516" spans="7:8" ht="38.450000000000003" x14ac:dyDescent="0.35">
      <c r="G516" s="106" t="s">
        <v>1186</v>
      </c>
      <c r="H516" s="106" t="s">
        <v>1187</v>
      </c>
    </row>
    <row r="517" spans="7:8" ht="38.450000000000003" x14ac:dyDescent="0.35">
      <c r="G517" s="106" t="s">
        <v>1188</v>
      </c>
      <c r="H517" s="106" t="s">
        <v>1189</v>
      </c>
    </row>
    <row r="518" spans="7:8" ht="38.450000000000003" x14ac:dyDescent="0.35">
      <c r="G518" s="106" t="s">
        <v>1190</v>
      </c>
      <c r="H518" s="106" t="s">
        <v>1191</v>
      </c>
    </row>
    <row r="519" spans="7:8" ht="38.450000000000003" x14ac:dyDescent="0.35">
      <c r="G519" s="106" t="s">
        <v>1192</v>
      </c>
      <c r="H519" s="106" t="s">
        <v>1193</v>
      </c>
    </row>
    <row r="520" spans="7:8" ht="38.450000000000003" x14ac:dyDescent="0.35">
      <c r="G520" s="106" t="s">
        <v>1194</v>
      </c>
      <c r="H520" s="106" t="s">
        <v>2043</v>
      </c>
    </row>
    <row r="521" spans="7:8" ht="38.450000000000003" x14ac:dyDescent="0.35">
      <c r="G521" s="106" t="s">
        <v>2044</v>
      </c>
      <c r="H521" s="106" t="s">
        <v>2045</v>
      </c>
    </row>
    <row r="522" spans="7:8" ht="38.450000000000003" x14ac:dyDescent="0.35">
      <c r="G522" s="106" t="s">
        <v>2046</v>
      </c>
      <c r="H522" s="106" t="s">
        <v>2047</v>
      </c>
    </row>
    <row r="523" spans="7:8" ht="38.450000000000003" x14ac:dyDescent="0.35">
      <c r="G523" s="106" t="s">
        <v>2048</v>
      </c>
      <c r="H523" s="106" t="s">
        <v>2049</v>
      </c>
    </row>
    <row r="524" spans="7:8" ht="38.450000000000003" x14ac:dyDescent="0.35">
      <c r="G524" s="106" t="s">
        <v>2050</v>
      </c>
      <c r="H524" s="106" t="s">
        <v>2051</v>
      </c>
    </row>
    <row r="525" spans="7:8" ht="38.450000000000003" x14ac:dyDescent="0.35">
      <c r="G525" s="106" t="s">
        <v>1084</v>
      </c>
      <c r="H525" s="106" t="s">
        <v>1085</v>
      </c>
    </row>
    <row r="526" spans="7:8" ht="38.450000000000003" x14ac:dyDescent="0.35">
      <c r="G526" s="106" t="s">
        <v>1903</v>
      </c>
      <c r="H526" s="106" t="s">
        <v>1904</v>
      </c>
    </row>
    <row r="527" spans="7:8" ht="38.450000000000003" x14ac:dyDescent="0.35">
      <c r="G527" s="106" t="s">
        <v>1905</v>
      </c>
      <c r="H527" s="106" t="s">
        <v>1906</v>
      </c>
    </row>
    <row r="528" spans="7:8" ht="38.450000000000003" x14ac:dyDescent="0.35">
      <c r="G528" s="106" t="s">
        <v>1907</v>
      </c>
      <c r="H528" s="106" t="s">
        <v>1908</v>
      </c>
    </row>
    <row r="529" spans="7:8" ht="38.450000000000003" x14ac:dyDescent="0.35">
      <c r="G529" s="106" t="s">
        <v>1039</v>
      </c>
      <c r="H529" s="106" t="s">
        <v>1040</v>
      </c>
    </row>
    <row r="530" spans="7:8" ht="38.450000000000003" x14ac:dyDescent="0.35">
      <c r="G530" s="106" t="s">
        <v>1041</v>
      </c>
      <c r="H530" s="106" t="s">
        <v>1042</v>
      </c>
    </row>
    <row r="531" spans="7:8" ht="38.450000000000003" x14ac:dyDescent="0.35">
      <c r="G531" s="106" t="s">
        <v>1043</v>
      </c>
      <c r="H531" s="106" t="s">
        <v>1044</v>
      </c>
    </row>
    <row r="532" spans="7:8" ht="38.450000000000003" x14ac:dyDescent="0.35">
      <c r="G532" s="106" t="s">
        <v>1045</v>
      </c>
      <c r="H532" s="106" t="s">
        <v>1046</v>
      </c>
    </row>
    <row r="533" spans="7:8" ht="38.450000000000003" x14ac:dyDescent="0.35">
      <c r="G533" s="106" t="s">
        <v>1047</v>
      </c>
      <c r="H533" s="106" t="s">
        <v>1048</v>
      </c>
    </row>
    <row r="534" spans="7:8" ht="38.450000000000003" x14ac:dyDescent="0.35">
      <c r="G534" s="106" t="s">
        <v>1049</v>
      </c>
      <c r="H534" s="106" t="s">
        <v>1050</v>
      </c>
    </row>
    <row r="535" spans="7:8" ht="38.450000000000003" x14ac:dyDescent="0.35">
      <c r="G535" s="106" t="s">
        <v>1051</v>
      </c>
      <c r="H535" s="106" t="s">
        <v>1052</v>
      </c>
    </row>
    <row r="536" spans="7:8" ht="38.450000000000003" x14ac:dyDescent="0.35">
      <c r="G536" s="106" t="s">
        <v>1053</v>
      </c>
      <c r="H536" s="106" t="s">
        <v>1054</v>
      </c>
    </row>
    <row r="537" spans="7:8" ht="38.450000000000003" x14ac:dyDescent="0.35">
      <c r="G537" s="106" t="s">
        <v>1055</v>
      </c>
      <c r="H537" s="106" t="s">
        <v>1056</v>
      </c>
    </row>
    <row r="538" spans="7:8" ht="25.65" x14ac:dyDescent="0.35">
      <c r="G538" s="106" t="s">
        <v>1077</v>
      </c>
      <c r="H538" s="106" t="s">
        <v>1057</v>
      </c>
    </row>
    <row r="539" spans="7:8" ht="25.65" x14ac:dyDescent="0.35">
      <c r="G539" s="106" t="s">
        <v>951</v>
      </c>
      <c r="H539" s="106" t="s">
        <v>1058</v>
      </c>
    </row>
    <row r="540" spans="7:8" ht="25.65" x14ac:dyDescent="0.35">
      <c r="G540" s="106" t="s">
        <v>1915</v>
      </c>
      <c r="H540" s="106" t="s">
        <v>1291</v>
      </c>
    </row>
    <row r="541" spans="7:8" ht="25.65" x14ac:dyDescent="0.35">
      <c r="G541" s="106" t="s">
        <v>965</v>
      </c>
      <c r="H541" s="106" t="s">
        <v>1292</v>
      </c>
    </row>
    <row r="542" spans="7:8" ht="25.65" x14ac:dyDescent="0.35">
      <c r="G542" s="106" t="s">
        <v>1478</v>
      </c>
      <c r="H542" s="106" t="s">
        <v>1293</v>
      </c>
    </row>
    <row r="543" spans="7:8" ht="25.65" x14ac:dyDescent="0.35">
      <c r="G543" s="106" t="s">
        <v>1479</v>
      </c>
      <c r="H543" s="106" t="s">
        <v>1294</v>
      </c>
    </row>
    <row r="544" spans="7:8" ht="25.65" x14ac:dyDescent="0.35">
      <c r="G544" s="106" t="s">
        <v>1480</v>
      </c>
      <c r="H544" s="106" t="s">
        <v>1295</v>
      </c>
    </row>
    <row r="545" spans="7:8" ht="25.65" x14ac:dyDescent="0.35">
      <c r="G545" s="106" t="s">
        <v>1481</v>
      </c>
      <c r="H545" s="106" t="s">
        <v>1296</v>
      </c>
    </row>
    <row r="546" spans="7:8" ht="25.65" x14ac:dyDescent="0.35">
      <c r="G546" s="106" t="s">
        <v>1482</v>
      </c>
      <c r="H546" s="106" t="s">
        <v>1297</v>
      </c>
    </row>
    <row r="547" spans="7:8" ht="25.65" x14ac:dyDescent="0.35">
      <c r="G547" s="106" t="s">
        <v>1483</v>
      </c>
      <c r="H547" s="106" t="s">
        <v>1298</v>
      </c>
    </row>
    <row r="548" spans="7:8" ht="25.65" x14ac:dyDescent="0.35">
      <c r="G548" s="106" t="s">
        <v>912</v>
      </c>
      <c r="H548" s="106" t="s">
        <v>1299</v>
      </c>
    </row>
    <row r="549" spans="7:8" ht="25.65" x14ac:dyDescent="0.35">
      <c r="G549" s="106" t="s">
        <v>1949</v>
      </c>
      <c r="H549" s="106" t="s">
        <v>966</v>
      </c>
    </row>
    <row r="550" spans="7:8" ht="25.65" x14ac:dyDescent="0.35">
      <c r="G550" s="106" t="s">
        <v>1950</v>
      </c>
      <c r="H550" s="106" t="s">
        <v>967</v>
      </c>
    </row>
    <row r="551" spans="7:8" ht="25.65" x14ac:dyDescent="0.35">
      <c r="G551" s="106" t="s">
        <v>1455</v>
      </c>
      <c r="H551" s="106" t="s">
        <v>1616</v>
      </c>
    </row>
    <row r="552" spans="7:8" ht="25.65" x14ac:dyDescent="0.35">
      <c r="G552" s="106" t="s">
        <v>1381</v>
      </c>
      <c r="H552" s="106" t="s">
        <v>1617</v>
      </c>
    </row>
    <row r="553" spans="7:8" ht="25.65" x14ac:dyDescent="0.35">
      <c r="G553" s="106" t="s">
        <v>2039</v>
      </c>
      <c r="H553" s="106" t="s">
        <v>1618</v>
      </c>
    </row>
    <row r="554" spans="7:8" ht="25.65" x14ac:dyDescent="0.35">
      <c r="G554" s="106" t="s">
        <v>1916</v>
      </c>
      <c r="H554" s="106" t="s">
        <v>1619</v>
      </c>
    </row>
    <row r="555" spans="7:8" ht="38.450000000000003" x14ac:dyDescent="0.35">
      <c r="G555" s="106" t="s">
        <v>777</v>
      </c>
      <c r="H555" s="106" t="s">
        <v>1620</v>
      </c>
    </row>
    <row r="556" spans="7:8" ht="38.450000000000003" x14ac:dyDescent="0.35">
      <c r="G556" s="106" t="s">
        <v>778</v>
      </c>
      <c r="H556" s="106" t="s">
        <v>1403</v>
      </c>
    </row>
    <row r="557" spans="7:8" ht="38.450000000000003" x14ac:dyDescent="0.35">
      <c r="G557" s="106" t="s">
        <v>779</v>
      </c>
      <c r="H557" s="106" t="s">
        <v>1404</v>
      </c>
    </row>
    <row r="558" spans="7:8" ht="38.450000000000003" x14ac:dyDescent="0.35">
      <c r="G558" s="106" t="s">
        <v>780</v>
      </c>
      <c r="H558" s="106" t="s">
        <v>1405</v>
      </c>
    </row>
    <row r="559" spans="7:8" ht="38.450000000000003" x14ac:dyDescent="0.35">
      <c r="G559" s="106" t="s">
        <v>781</v>
      </c>
      <c r="H559" s="106" t="s">
        <v>1406</v>
      </c>
    </row>
    <row r="560" spans="7:8" ht="38.450000000000003" x14ac:dyDescent="0.35">
      <c r="G560" s="106" t="s">
        <v>782</v>
      </c>
      <c r="H560" s="106" t="s">
        <v>1407</v>
      </c>
    </row>
    <row r="561" spans="7:8" ht="38.450000000000003" x14ac:dyDescent="0.35">
      <c r="G561" s="106" t="s">
        <v>783</v>
      </c>
      <c r="H561" s="106" t="s">
        <v>1408</v>
      </c>
    </row>
    <row r="562" spans="7:8" ht="38.450000000000003" x14ac:dyDescent="0.35">
      <c r="G562" s="106" t="s">
        <v>784</v>
      </c>
      <c r="H562" s="106" t="s">
        <v>1409</v>
      </c>
    </row>
    <row r="563" spans="7:8" ht="38.450000000000003" x14ac:dyDescent="0.35">
      <c r="G563" s="106" t="s">
        <v>785</v>
      </c>
      <c r="H563" s="106" t="s">
        <v>1410</v>
      </c>
    </row>
    <row r="564" spans="7:8" ht="38.450000000000003" x14ac:dyDescent="0.35">
      <c r="G564" s="106" t="s">
        <v>84</v>
      </c>
      <c r="H564" s="106" t="s">
        <v>1411</v>
      </c>
    </row>
    <row r="565" spans="7:8" ht="38.450000000000003" x14ac:dyDescent="0.35">
      <c r="G565" s="106" t="s">
        <v>85</v>
      </c>
      <c r="H565" s="106" t="s">
        <v>274</v>
      </c>
    </row>
    <row r="566" spans="7:8" ht="38.450000000000003" x14ac:dyDescent="0.35">
      <c r="G566" s="106" t="s">
        <v>86</v>
      </c>
      <c r="H566" s="106" t="s">
        <v>275</v>
      </c>
    </row>
    <row r="567" spans="7:8" ht="38.450000000000003" x14ac:dyDescent="0.35">
      <c r="G567" s="106" t="s">
        <v>87</v>
      </c>
      <c r="H567" s="106" t="s">
        <v>276</v>
      </c>
    </row>
    <row r="568" spans="7:8" ht="38.450000000000003" x14ac:dyDescent="0.35">
      <c r="G568" s="106" t="s">
        <v>88</v>
      </c>
      <c r="H568" s="106" t="s">
        <v>277</v>
      </c>
    </row>
    <row r="569" spans="7:8" ht="38.450000000000003" x14ac:dyDescent="0.35">
      <c r="G569" s="106" t="s">
        <v>89</v>
      </c>
      <c r="H569" s="106" t="s">
        <v>278</v>
      </c>
    </row>
    <row r="570" spans="7:8" ht="38.450000000000003" x14ac:dyDescent="0.35">
      <c r="G570" s="106" t="s">
        <v>90</v>
      </c>
      <c r="H570" s="106" t="s">
        <v>664</v>
      </c>
    </row>
    <row r="571" spans="7:8" ht="38.450000000000003" x14ac:dyDescent="0.35">
      <c r="G571" s="106" t="s">
        <v>91</v>
      </c>
      <c r="H571" s="106" t="s">
        <v>665</v>
      </c>
    </row>
    <row r="572" spans="7:8" ht="38.450000000000003" x14ac:dyDescent="0.35">
      <c r="G572" s="106" t="s">
        <v>92</v>
      </c>
      <c r="H572" s="106" t="s">
        <v>1316</v>
      </c>
    </row>
    <row r="573" spans="7:8" ht="38.450000000000003" x14ac:dyDescent="0.35">
      <c r="G573" s="106" t="s">
        <v>93</v>
      </c>
      <c r="H573" s="106" t="s">
        <v>1317</v>
      </c>
    </row>
    <row r="574" spans="7:8" ht="38.450000000000003" x14ac:dyDescent="0.35">
      <c r="G574" s="106" t="s">
        <v>94</v>
      </c>
      <c r="H574" s="106" t="s">
        <v>1318</v>
      </c>
    </row>
    <row r="575" spans="7:8" ht="38.450000000000003" x14ac:dyDescent="0.35">
      <c r="G575" s="106" t="s">
        <v>2104</v>
      </c>
      <c r="H575" s="106" t="s">
        <v>1817</v>
      </c>
    </row>
    <row r="576" spans="7:8" ht="38.450000000000003" x14ac:dyDescent="0.35">
      <c r="G576" s="106" t="s">
        <v>2105</v>
      </c>
      <c r="H576" s="106" t="s">
        <v>649</v>
      </c>
    </row>
    <row r="577" spans="7:8" ht="38.450000000000003" x14ac:dyDescent="0.35">
      <c r="G577" s="106" t="s">
        <v>2106</v>
      </c>
      <c r="H577" s="106" t="s">
        <v>252</v>
      </c>
    </row>
    <row r="578" spans="7:8" ht="38.450000000000003" x14ac:dyDescent="0.35">
      <c r="G578" s="106" t="s">
        <v>2107</v>
      </c>
      <c r="H578" s="106" t="s">
        <v>253</v>
      </c>
    </row>
    <row r="579" spans="7:8" ht="38.450000000000003" x14ac:dyDescent="0.35">
      <c r="G579" s="106" t="s">
        <v>34</v>
      </c>
      <c r="H579" s="106" t="s">
        <v>254</v>
      </c>
    </row>
    <row r="580" spans="7:8" ht="38.450000000000003" x14ac:dyDescent="0.35">
      <c r="G580" s="106" t="s">
        <v>35</v>
      </c>
      <c r="H580" s="106" t="s">
        <v>255</v>
      </c>
    </row>
    <row r="581" spans="7:8" ht="38.450000000000003" x14ac:dyDescent="0.35">
      <c r="G581" s="106" t="s">
        <v>36</v>
      </c>
      <c r="H581" s="106" t="s">
        <v>256</v>
      </c>
    </row>
    <row r="582" spans="7:8" ht="38.450000000000003" x14ac:dyDescent="0.35">
      <c r="G582" s="106" t="s">
        <v>37</v>
      </c>
      <c r="H582" s="106" t="s">
        <v>257</v>
      </c>
    </row>
    <row r="583" spans="7:8" ht="38.450000000000003" x14ac:dyDescent="0.35">
      <c r="G583" s="106" t="s">
        <v>38</v>
      </c>
      <c r="H583" s="106" t="s">
        <v>258</v>
      </c>
    </row>
    <row r="584" spans="7:8" ht="38.450000000000003" x14ac:dyDescent="0.35">
      <c r="G584" s="106" t="s">
        <v>862</v>
      </c>
      <c r="H584" s="106" t="s">
        <v>259</v>
      </c>
    </row>
    <row r="585" spans="7:8" ht="38.450000000000003" x14ac:dyDescent="0.35">
      <c r="G585" s="106" t="s">
        <v>863</v>
      </c>
      <c r="H585" s="106" t="s">
        <v>260</v>
      </c>
    </row>
    <row r="586" spans="7:8" ht="38.450000000000003" x14ac:dyDescent="0.35">
      <c r="G586" s="106" t="s">
        <v>864</v>
      </c>
      <c r="H586" s="106" t="s">
        <v>261</v>
      </c>
    </row>
    <row r="587" spans="7:8" ht="38.450000000000003" x14ac:dyDescent="0.35">
      <c r="G587" s="106" t="s">
        <v>108</v>
      </c>
      <c r="H587" s="106" t="s">
        <v>262</v>
      </c>
    </row>
    <row r="588" spans="7:8" ht="38.450000000000003" x14ac:dyDescent="0.35">
      <c r="G588" s="106" t="s">
        <v>109</v>
      </c>
      <c r="H588" s="106" t="s">
        <v>263</v>
      </c>
    </row>
    <row r="589" spans="7:8" ht="38.450000000000003" x14ac:dyDescent="0.35">
      <c r="G589" s="106" t="s">
        <v>110</v>
      </c>
      <c r="H589" s="106" t="s">
        <v>264</v>
      </c>
    </row>
    <row r="590" spans="7:8" ht="38.450000000000003" x14ac:dyDescent="0.35">
      <c r="G590" s="106" t="s">
        <v>111</v>
      </c>
      <c r="H590" s="106" t="s">
        <v>265</v>
      </c>
    </row>
    <row r="591" spans="7:8" ht="38.450000000000003" x14ac:dyDescent="0.35">
      <c r="G591" s="106" t="s">
        <v>1267</v>
      </c>
      <c r="H591" s="106" t="s">
        <v>266</v>
      </c>
    </row>
    <row r="592" spans="7:8" ht="38.450000000000003" x14ac:dyDescent="0.35">
      <c r="G592" s="106" t="s">
        <v>1268</v>
      </c>
      <c r="H592" s="106" t="s">
        <v>267</v>
      </c>
    </row>
    <row r="593" spans="7:8" ht="38.450000000000003" x14ac:dyDescent="0.35">
      <c r="G593" s="106" t="s">
        <v>1269</v>
      </c>
      <c r="H593" s="106" t="s">
        <v>268</v>
      </c>
    </row>
    <row r="594" spans="7:8" ht="38.450000000000003" x14ac:dyDescent="0.35">
      <c r="G594" s="106" t="s">
        <v>1270</v>
      </c>
      <c r="H594" s="106" t="s">
        <v>269</v>
      </c>
    </row>
    <row r="595" spans="7:8" ht="38.450000000000003" x14ac:dyDescent="0.35">
      <c r="G595" s="106" t="s">
        <v>1319</v>
      </c>
      <c r="H595" s="106" t="s">
        <v>1320</v>
      </c>
    </row>
    <row r="596" spans="7:8" ht="38.450000000000003" x14ac:dyDescent="0.35">
      <c r="G596" s="106" t="s">
        <v>1321</v>
      </c>
      <c r="H596" s="106" t="s">
        <v>1322</v>
      </c>
    </row>
    <row r="597" spans="7:8" ht="38.450000000000003" x14ac:dyDescent="0.35">
      <c r="G597" s="106" t="s">
        <v>1323</v>
      </c>
      <c r="H597" s="106" t="s">
        <v>1324</v>
      </c>
    </row>
    <row r="598" spans="7:8" ht="38.450000000000003" x14ac:dyDescent="0.35">
      <c r="G598" s="106" t="s">
        <v>1325</v>
      </c>
      <c r="H598" s="106" t="s">
        <v>1326</v>
      </c>
    </row>
    <row r="599" spans="7:8" ht="38.450000000000003" x14ac:dyDescent="0.35">
      <c r="G599" s="106" t="s">
        <v>1327</v>
      </c>
      <c r="H599" s="106" t="s">
        <v>1328</v>
      </c>
    </row>
    <row r="600" spans="7:8" ht="38.450000000000003" x14ac:dyDescent="0.35">
      <c r="G600" s="106" t="s">
        <v>1329</v>
      </c>
      <c r="H600" s="106" t="s">
        <v>1330</v>
      </c>
    </row>
    <row r="601" spans="7:8" ht="38.450000000000003" x14ac:dyDescent="0.35">
      <c r="G601" s="106" t="s">
        <v>1331</v>
      </c>
      <c r="H601" s="106" t="s">
        <v>1332</v>
      </c>
    </row>
    <row r="602" spans="7:8" ht="38.450000000000003" x14ac:dyDescent="0.35">
      <c r="G602" s="106" t="s">
        <v>1333</v>
      </c>
      <c r="H602" s="106" t="s">
        <v>315</v>
      </c>
    </row>
    <row r="603" spans="7:8" ht="38.450000000000003" x14ac:dyDescent="0.35">
      <c r="G603" s="106" t="s">
        <v>316</v>
      </c>
      <c r="H603" s="106" t="s">
        <v>317</v>
      </c>
    </row>
    <row r="604" spans="7:8" ht="38.450000000000003" x14ac:dyDescent="0.35">
      <c r="G604" s="106" t="s">
        <v>318</v>
      </c>
      <c r="H604" s="106" t="s">
        <v>39</v>
      </c>
    </row>
    <row r="605" spans="7:8" ht="38.450000000000003" x14ac:dyDescent="0.35">
      <c r="G605" s="106" t="s">
        <v>2040</v>
      </c>
      <c r="H605" s="106" t="s">
        <v>2041</v>
      </c>
    </row>
    <row r="606" spans="7:8" ht="38.450000000000003" x14ac:dyDescent="0.35">
      <c r="G606" s="106" t="s">
        <v>2042</v>
      </c>
      <c r="H606" s="106" t="s">
        <v>528</v>
      </c>
    </row>
    <row r="607" spans="7:8" ht="38.450000000000003" x14ac:dyDescent="0.35">
      <c r="G607" s="106" t="s">
        <v>529</v>
      </c>
      <c r="H607" s="106" t="s">
        <v>530</v>
      </c>
    </row>
    <row r="608" spans="7:8" ht="38.450000000000003" x14ac:dyDescent="0.35">
      <c r="G608" s="106" t="s">
        <v>531</v>
      </c>
      <c r="H608" s="106" t="s">
        <v>532</v>
      </c>
    </row>
    <row r="609" spans="7:8" ht="38.450000000000003" x14ac:dyDescent="0.35">
      <c r="G609" s="106" t="s">
        <v>533</v>
      </c>
      <c r="H609" s="106" t="s">
        <v>534</v>
      </c>
    </row>
    <row r="610" spans="7:8" ht="38.450000000000003" x14ac:dyDescent="0.35">
      <c r="G610" s="106" t="s">
        <v>535</v>
      </c>
      <c r="H610" s="106" t="s">
        <v>536</v>
      </c>
    </row>
    <row r="611" spans="7:8" ht="38.450000000000003" x14ac:dyDescent="0.35">
      <c r="G611" s="106" t="s">
        <v>537</v>
      </c>
      <c r="H611" s="106" t="s">
        <v>538</v>
      </c>
    </row>
    <row r="612" spans="7:8" ht="38.450000000000003" x14ac:dyDescent="0.35">
      <c r="G612" s="106" t="s">
        <v>539</v>
      </c>
      <c r="H612" s="106" t="s">
        <v>540</v>
      </c>
    </row>
    <row r="613" spans="7:8" ht="38.450000000000003" x14ac:dyDescent="0.35">
      <c r="G613" s="106" t="s">
        <v>541</v>
      </c>
      <c r="H613" s="106" t="s">
        <v>542</v>
      </c>
    </row>
    <row r="614" spans="7:8" ht="38.450000000000003" x14ac:dyDescent="0.35">
      <c r="G614" s="106" t="s">
        <v>543</v>
      </c>
      <c r="H614" s="106" t="s">
        <v>544</v>
      </c>
    </row>
    <row r="615" spans="7:8" ht="38.450000000000003" x14ac:dyDescent="0.35">
      <c r="G615" s="106" t="s">
        <v>545</v>
      </c>
      <c r="H615" s="106" t="s">
        <v>1388</v>
      </c>
    </row>
    <row r="616" spans="7:8" ht="38.450000000000003" x14ac:dyDescent="0.35">
      <c r="G616" s="106" t="s">
        <v>1389</v>
      </c>
      <c r="H616" s="106" t="s">
        <v>1390</v>
      </c>
    </row>
    <row r="617" spans="7:8" ht="38.450000000000003" x14ac:dyDescent="0.35">
      <c r="G617" s="106" t="s">
        <v>1391</v>
      </c>
      <c r="H617" s="106" t="s">
        <v>1392</v>
      </c>
    </row>
    <row r="618" spans="7:8" ht="38.450000000000003" x14ac:dyDescent="0.35">
      <c r="G618" s="106" t="s">
        <v>1393</v>
      </c>
      <c r="H618" s="106" t="s">
        <v>1394</v>
      </c>
    </row>
    <row r="619" spans="7:8" ht="38.450000000000003" x14ac:dyDescent="0.35">
      <c r="G619" s="106" t="s">
        <v>1639</v>
      </c>
      <c r="H619" s="106" t="s">
        <v>1640</v>
      </c>
    </row>
    <row r="620" spans="7:8" ht="38.450000000000003" x14ac:dyDescent="0.35">
      <c r="G620" s="106" t="s">
        <v>1641</v>
      </c>
      <c r="H620" s="106" t="s">
        <v>1642</v>
      </c>
    </row>
    <row r="621" spans="7:8" ht="38.450000000000003" x14ac:dyDescent="0.35">
      <c r="G621" s="106" t="s">
        <v>1643</v>
      </c>
      <c r="H621" s="106" t="s">
        <v>1644</v>
      </c>
    </row>
    <row r="622" spans="7:8" ht="38.450000000000003" x14ac:dyDescent="0.35">
      <c r="G622" s="106" t="s">
        <v>1645</v>
      </c>
      <c r="H622" s="106" t="s">
        <v>1646</v>
      </c>
    </row>
    <row r="623" spans="7:8" ht="38.450000000000003" x14ac:dyDescent="0.35">
      <c r="G623" s="106" t="s">
        <v>1647</v>
      </c>
      <c r="H623" s="106" t="s">
        <v>1648</v>
      </c>
    </row>
    <row r="624" spans="7:8" ht="38.450000000000003" x14ac:dyDescent="0.35">
      <c r="G624" s="106" t="s">
        <v>1649</v>
      </c>
      <c r="H624" s="106" t="s">
        <v>1650</v>
      </c>
    </row>
    <row r="625" spans="7:8" ht="38.450000000000003" x14ac:dyDescent="0.35">
      <c r="G625" s="106" t="s">
        <v>1651</v>
      </c>
      <c r="H625" s="106" t="s">
        <v>1652</v>
      </c>
    </row>
    <row r="626" spans="7:8" ht="38.450000000000003" x14ac:dyDescent="0.35">
      <c r="G626" s="106" t="s">
        <v>1653</v>
      </c>
      <c r="H626" s="106" t="s">
        <v>1654</v>
      </c>
    </row>
    <row r="627" spans="7:8" ht="38.450000000000003" x14ac:dyDescent="0.35">
      <c r="G627" s="106" t="s">
        <v>1655</v>
      </c>
      <c r="H627" s="106" t="s">
        <v>1656</v>
      </c>
    </row>
    <row r="628" spans="7:8" ht="25.65" x14ac:dyDescent="0.35">
      <c r="G628" s="106" t="s">
        <v>1760</v>
      </c>
      <c r="H628" s="106" t="s">
        <v>1657</v>
      </c>
    </row>
    <row r="629" spans="7:8" ht="25.65" x14ac:dyDescent="0.35">
      <c r="G629" s="106" t="s">
        <v>1765</v>
      </c>
      <c r="H629" s="106" t="s">
        <v>1658</v>
      </c>
    </row>
    <row r="630" spans="7:8" ht="25.65" x14ac:dyDescent="0.35">
      <c r="G630" s="106" t="s">
        <v>1764</v>
      </c>
      <c r="H630" s="106" t="s">
        <v>1659</v>
      </c>
    </row>
    <row r="631" spans="7:8" ht="25.65" x14ac:dyDescent="0.35">
      <c r="G631" s="106" t="s">
        <v>1754</v>
      </c>
      <c r="H631" s="106" t="s">
        <v>1660</v>
      </c>
    </row>
    <row r="632" spans="7:8" ht="25.65" x14ac:dyDescent="0.35">
      <c r="G632" s="106" t="s">
        <v>1752</v>
      </c>
      <c r="H632" s="106" t="s">
        <v>1400</v>
      </c>
    </row>
    <row r="633" spans="7:8" ht="25.65" x14ac:dyDescent="0.35">
      <c r="G633" s="106" t="s">
        <v>1759</v>
      </c>
      <c r="H633" s="106" t="s">
        <v>1401</v>
      </c>
    </row>
    <row r="634" spans="7:8" ht="25.65" x14ac:dyDescent="0.35">
      <c r="G634" s="106" t="s">
        <v>1739</v>
      </c>
      <c r="H634" s="106" t="s">
        <v>1402</v>
      </c>
    </row>
    <row r="635" spans="7:8" ht="25.65" x14ac:dyDescent="0.35">
      <c r="G635" s="106" t="s">
        <v>1076</v>
      </c>
      <c r="H635" s="106" t="s">
        <v>319</v>
      </c>
    </row>
    <row r="636" spans="7:8" ht="25.65" x14ac:dyDescent="0.35">
      <c r="G636" s="106" t="s">
        <v>1011</v>
      </c>
      <c r="H636" s="106" t="s">
        <v>320</v>
      </c>
    </row>
    <row r="637" spans="7:8" ht="25.65" x14ac:dyDescent="0.35">
      <c r="G637" s="106" t="s">
        <v>1917</v>
      </c>
      <c r="H637" s="106" t="s">
        <v>321</v>
      </c>
    </row>
    <row r="638" spans="7:8" ht="25.65" x14ac:dyDescent="0.35">
      <c r="G638" s="106" t="s">
        <v>1078</v>
      </c>
      <c r="H638" s="106" t="s">
        <v>322</v>
      </c>
    </row>
    <row r="639" spans="7:8" ht="25.65" x14ac:dyDescent="0.35">
      <c r="G639" s="106" t="s">
        <v>1761</v>
      </c>
      <c r="H639" s="106" t="s">
        <v>323</v>
      </c>
    </row>
    <row r="640" spans="7:8" ht="25.65" x14ac:dyDescent="0.35">
      <c r="G640" s="106" t="s">
        <v>974</v>
      </c>
      <c r="H640" s="106" t="s">
        <v>324</v>
      </c>
    </row>
    <row r="641" spans="7:8" ht="25.65" x14ac:dyDescent="0.35">
      <c r="G641" s="106" t="s">
        <v>1918</v>
      </c>
      <c r="H641" s="106" t="s">
        <v>325</v>
      </c>
    </row>
    <row r="642" spans="7:8" ht="25.65" x14ac:dyDescent="0.35">
      <c r="G642" s="106" t="s">
        <v>1919</v>
      </c>
      <c r="H642" s="106" t="s">
        <v>326</v>
      </c>
    </row>
    <row r="643" spans="7:8" ht="25.65" x14ac:dyDescent="0.35">
      <c r="G643" s="106" t="s">
        <v>710</v>
      </c>
      <c r="H643" s="106" t="s">
        <v>327</v>
      </c>
    </row>
    <row r="644" spans="7:8" ht="25.65" x14ac:dyDescent="0.35">
      <c r="G644" s="106" t="s">
        <v>1633</v>
      </c>
      <c r="H644" s="106" t="s">
        <v>328</v>
      </c>
    </row>
    <row r="645" spans="7:8" ht="25.65" x14ac:dyDescent="0.35">
      <c r="G645" s="106" t="s">
        <v>1634</v>
      </c>
      <c r="H645" s="106" t="s">
        <v>329</v>
      </c>
    </row>
    <row r="646" spans="7:8" ht="25.65" x14ac:dyDescent="0.35">
      <c r="G646" s="106" t="s">
        <v>980</v>
      </c>
      <c r="H646" s="106" t="s">
        <v>330</v>
      </c>
    </row>
    <row r="647" spans="7:8" ht="25.65" x14ac:dyDescent="0.35">
      <c r="G647" s="106" t="s">
        <v>972</v>
      </c>
      <c r="H647" s="106" t="s">
        <v>331</v>
      </c>
    </row>
    <row r="648" spans="7:8" ht="25.65" x14ac:dyDescent="0.35">
      <c r="G648" s="106" t="s">
        <v>1417</v>
      </c>
      <c r="H648" s="106" t="s">
        <v>332</v>
      </c>
    </row>
    <row r="649" spans="7:8" ht="25.65" x14ac:dyDescent="0.35">
      <c r="G649" s="106" t="s">
        <v>2102</v>
      </c>
      <c r="H649" s="106" t="s">
        <v>333</v>
      </c>
    </row>
  </sheetData>
  <phoneticPr fontId="26" type="noConversion"/>
  <printOptions gridLines="1"/>
  <pageMargins left="0.75" right="0.75" top="1" bottom="1" header="0.5" footer="0.5"/>
  <pageSetup paperSize="9" orientation="portrait" horizontalDpi="4294967292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ntake">
    <outlinePr showOutlineSymbols="0"/>
    <pageSetUpPr autoPageBreaks="0"/>
  </sheetPr>
  <dimension ref="A1:V35"/>
  <sheetViews>
    <sheetView showGridLines="0" showRowColHeaders="0" showZeros="0" showOutlineSymbols="0" zoomScale="91" workbookViewId="0">
      <pane ySplit="4" topLeftCell="A5" activePane="bottomLeft" state="frozen"/>
      <selection pane="bottomLeft" activeCell="D29" sqref="D29"/>
    </sheetView>
  </sheetViews>
  <sheetFormatPr defaultColWidth="9.1328125" defaultRowHeight="12.85" x14ac:dyDescent="0.35"/>
  <cols>
    <col min="1" max="1" width="2.265625" style="29" customWidth="1"/>
    <col min="2" max="2" width="3.1328125" style="26" customWidth="1"/>
    <col min="3" max="3" width="14.265625" style="26" customWidth="1"/>
    <col min="4" max="4" width="14.3984375" style="26" customWidth="1"/>
    <col min="5" max="5" width="12.1328125" style="26" customWidth="1"/>
    <col min="6" max="6" width="15" style="26" customWidth="1"/>
    <col min="7" max="7" width="13.86328125" style="26" customWidth="1"/>
    <col min="8" max="8" width="15.265625" style="26" customWidth="1"/>
    <col min="9" max="9" width="15.1328125" style="26" customWidth="1"/>
    <col min="10" max="15" width="9.1328125" style="26"/>
    <col min="16" max="16" width="10.73046875" style="26" bestFit="1" customWidth="1"/>
    <col min="17" max="18" width="9.1328125" style="26"/>
    <col min="19" max="19" width="10.73046875" style="26" bestFit="1" customWidth="1"/>
    <col min="20" max="16384" width="9.1328125" style="26"/>
  </cols>
  <sheetData>
    <row r="1" spans="1:22" s="215" customFormat="1" x14ac:dyDescent="0.35">
      <c r="A1" s="251"/>
    </row>
    <row r="2" spans="1:22" s="215" customFormat="1" ht="13.2" x14ac:dyDescent="0.4">
      <c r="A2" s="251"/>
      <c r="B2" s="216" t="s">
        <v>1441</v>
      </c>
      <c r="D2" s="217">
        <f ca="1">AfspraakDatum</f>
        <v>42191</v>
      </c>
      <c r="E2" s="218"/>
      <c r="F2" s="216" t="s">
        <v>1442</v>
      </c>
      <c r="G2" s="219">
        <f>OpnDatum</f>
        <v>41363</v>
      </c>
      <c r="H2" s="216" t="str">
        <f ca="1">"ICU-dag: "&amp;AfspraakDatum-OpnDatum+1</f>
        <v>ICU-dag: 829</v>
      </c>
      <c r="I2" s="216"/>
      <c r="J2" s="216"/>
      <c r="K2" s="216"/>
    </row>
    <row r="3" spans="1:22" s="215" customFormat="1" ht="13.2" x14ac:dyDescent="0.4">
      <c r="A3" s="251"/>
      <c r="B3" s="216" t="s">
        <v>151</v>
      </c>
      <c r="D3" s="220" t="str">
        <f>AchterNaam&amp;", "&amp;VoorNaam</f>
        <v>Achternaam, Voornaam</v>
      </c>
      <c r="E3" s="220"/>
      <c r="F3" s="216" t="s">
        <v>1484</v>
      </c>
      <c r="G3" s="219">
        <f>GebDatum</f>
        <v>40909</v>
      </c>
      <c r="H3" s="221" t="str">
        <f>"Gewicht: "&amp;Gewicht/10&amp;" kg"</f>
        <v>Gewicht: 10 kg</v>
      </c>
      <c r="I3" s="216"/>
      <c r="J3" s="221" t="str">
        <f>"Lengte: "&amp;Lengte&amp;" cm"</f>
        <v>Lengte: 80 cm</v>
      </c>
      <c r="K3" s="216"/>
    </row>
    <row r="4" spans="1:22" s="215" customFormat="1" ht="13.2" x14ac:dyDescent="0.4">
      <c r="A4" s="251"/>
      <c r="B4" s="216" t="s">
        <v>1666</v>
      </c>
      <c r="D4" s="221">
        <f>PatNummer</f>
        <v>0</v>
      </c>
      <c r="E4" s="218"/>
      <c r="F4" s="216" t="s">
        <v>1304</v>
      </c>
      <c r="G4" s="223" t="str">
        <f ca="1">TRUNC((AfspraakDatum-GebDatum)/365,0)&amp;" jaar en "&amp;TRUNC(((AfspraakDatum-GebDatum)-365*TRUNC((AfspraakDatum-GebDatum)/365,0))/30,0)&amp;" maand(-en)"</f>
        <v>3 jaar en 6 maand(-en)</v>
      </c>
      <c r="H4" s="216"/>
      <c r="I4" s="216" t="str">
        <f>"Lichamelijk oppervlak: "&amp;ROUND(POWER(Gewicht/10,0.425)*POWER(((Lengte/100)*100),0.725)*0.007184,2)&amp;" m2"</f>
        <v>Lichamelijk oppervlak: 0.46 m2</v>
      </c>
      <c r="J4" s="216"/>
      <c r="K4" s="216"/>
    </row>
    <row r="5" spans="1:22" ht="13.2" x14ac:dyDescent="0.4">
      <c r="C5" s="122"/>
      <c r="D5" s="227"/>
      <c r="E5" s="109"/>
      <c r="F5" s="122"/>
      <c r="G5" s="228"/>
      <c r="H5" s="122"/>
      <c r="I5" s="122"/>
      <c r="J5" s="122"/>
      <c r="K5" s="122"/>
    </row>
    <row r="6" spans="1:22" ht="17.25" customHeight="1" x14ac:dyDescent="0.4">
      <c r="C6" s="291" t="s">
        <v>804</v>
      </c>
      <c r="D6" s="26" t="str">
        <f>INDEX(tblSonde,ber_PO!P22,1)</f>
        <v>Geen sonde</v>
      </c>
      <c r="I6" s="29"/>
      <c r="J6" s="29"/>
      <c r="K6" s="29"/>
      <c r="L6" s="29"/>
    </row>
    <row r="7" spans="1:22" ht="19.55" customHeight="1" x14ac:dyDescent="0.4">
      <c r="B7" s="29"/>
      <c r="C7" s="304" t="s">
        <v>1314</v>
      </c>
      <c r="D7" s="29"/>
      <c r="E7" s="29"/>
      <c r="F7" s="29"/>
      <c r="G7" s="29"/>
      <c r="H7" s="29"/>
      <c r="I7" s="29"/>
      <c r="J7" s="29"/>
      <c r="K7" s="29"/>
      <c r="L7" s="304" t="s">
        <v>857</v>
      </c>
      <c r="N7" s="282"/>
    </row>
    <row r="8" spans="1:22" ht="19.55" customHeight="1" x14ac:dyDescent="0.35">
      <c r="B8" s="285"/>
      <c r="C8" s="293" t="str">
        <f>IF(ber_PO!O22&lt;&gt;0,ber_PO!L22&amp;" dd","")</f>
        <v/>
      </c>
      <c r="D8" s="294" t="str">
        <f>IF(ber_PO!O22&lt;&gt;0,ber_PO!N22&amp;" ml","")</f>
        <v/>
      </c>
      <c r="E8" s="285"/>
      <c r="F8" s="285"/>
      <c r="G8" s="285" t="str">
        <f>IF(C8="24 dd","continue drip","")</f>
        <v/>
      </c>
      <c r="H8" s="285" t="str">
        <f>IF(ber_PO!P22&gt;1,ber_PO!O22&amp;" ml per dag","")</f>
        <v/>
      </c>
      <c r="I8" s="285"/>
      <c r="J8" s="29"/>
      <c r="L8" s="26" t="s">
        <v>587</v>
      </c>
      <c r="O8" s="29"/>
      <c r="P8" s="38"/>
      <c r="Q8" s="38"/>
      <c r="R8" s="38"/>
      <c r="S8" s="38"/>
      <c r="T8" s="38"/>
      <c r="U8" s="38"/>
      <c r="V8" s="38"/>
    </row>
    <row r="9" spans="1:22" ht="19.55" customHeight="1" x14ac:dyDescent="0.35">
      <c r="B9" s="285"/>
      <c r="C9" s="293" t="str">
        <f>IF(ber_PO!P23&gt;1,ber_PO!L23&amp;" dd","")</f>
        <v/>
      </c>
      <c r="D9" s="294" t="str">
        <f>IF(ber_PO!P23&gt;1,ber_PO!N23&amp;" gram","")</f>
        <v/>
      </c>
      <c r="E9" s="285"/>
      <c r="F9" s="285"/>
      <c r="G9" s="285"/>
      <c r="H9" s="285" t="str">
        <f>IF(ber_PO!P23&gt;1,ber_PO!O23&amp;" gram/dag","")</f>
        <v/>
      </c>
      <c r="I9" s="286" t="str">
        <f>IF(AND(ber_PO!O23&lt;&gt;0,ber_PO!O22&lt;&gt;0),"= "&amp;ROUND(ber_PO!O23*100/ber_PO!O22,1)&amp;"% extra","")</f>
        <v/>
      </c>
      <c r="J9" s="29"/>
      <c r="L9" s="215"/>
      <c r="M9" s="279" t="s">
        <v>858</v>
      </c>
      <c r="N9" s="315">
        <f>ber_PO!AF12</f>
        <v>0</v>
      </c>
      <c r="O9" s="29"/>
      <c r="P9" s="38"/>
      <c r="Q9" s="38"/>
      <c r="R9" s="38"/>
      <c r="S9" s="38"/>
      <c r="T9" s="38"/>
      <c r="U9" s="38"/>
      <c r="V9" s="38"/>
    </row>
    <row r="10" spans="1:22" ht="19.55" customHeight="1" x14ac:dyDescent="0.35">
      <c r="B10" s="285"/>
      <c r="C10" s="293" t="str">
        <f>IF(ber_PO!P24&gt;1,ber_PO!L24&amp;" dd","")</f>
        <v/>
      </c>
      <c r="D10" s="294" t="str">
        <f>IF(ber_PO!P24&gt;1,ber_PO!N24&amp;" gram","")</f>
        <v/>
      </c>
      <c r="E10" s="285"/>
      <c r="F10" s="285"/>
      <c r="G10" s="285"/>
      <c r="H10" s="285" t="str">
        <f>IF(ber_PO!P24&gt;1,ber_PO!O24&amp;" gram per dag","")</f>
        <v/>
      </c>
      <c r="I10" s="286" t="str">
        <f>IF(AND(ber_PO!O24&lt;&gt;0,ber_PO!O23&lt;&gt;0),"= "&amp;ROUND(ber_PO!O24*100/ber_PO!O22,1)&amp;"% extra","")</f>
        <v/>
      </c>
      <c r="J10" s="29"/>
      <c r="L10" s="215"/>
      <c r="M10" s="279" t="s">
        <v>998</v>
      </c>
      <c r="N10" s="318">
        <f>ber_PO!AF13</f>
        <v>0</v>
      </c>
      <c r="O10" s="38" t="s">
        <v>178</v>
      </c>
      <c r="P10" s="38"/>
      <c r="Q10" s="38"/>
      <c r="R10" s="38"/>
      <c r="S10" s="38"/>
      <c r="T10" s="38"/>
      <c r="U10" s="38"/>
      <c r="V10" s="38"/>
    </row>
    <row r="11" spans="1:22" ht="19.55" customHeight="1" x14ac:dyDescent="0.35">
      <c r="B11" s="285"/>
      <c r="C11" s="293" t="str">
        <f>IF(ber_PO!P25&gt;1,ber_PO!L25&amp;" dd","")</f>
        <v/>
      </c>
      <c r="D11" s="294" t="str">
        <f>IF(ber_PO!P25&gt;1,ber_PO!N25&amp;" gram","")</f>
        <v/>
      </c>
      <c r="E11" s="285"/>
      <c r="F11" s="285"/>
      <c r="G11" s="285"/>
      <c r="H11" s="285" t="str">
        <f>IF(ber_PO!P25&gt;1,ber_PO!O25&amp;" gram per dag","")</f>
        <v/>
      </c>
      <c r="I11" s="286" t="str">
        <f>IF(AND(ber_PO!O25&lt;&gt;0,ber_PO!O24&lt;&gt;0),"= "&amp;ROUND(ber_PO!O25*100/ber_PO!O22,1)&amp;"% extra","")</f>
        <v/>
      </c>
      <c r="J11" s="29"/>
      <c r="L11" s="215"/>
      <c r="M11" s="279" t="s">
        <v>859</v>
      </c>
      <c r="N11" s="318">
        <f>ber_PO!AF14</f>
        <v>0</v>
      </c>
      <c r="O11" s="38" t="s">
        <v>178</v>
      </c>
      <c r="P11" s="38"/>
      <c r="Q11" s="38"/>
      <c r="R11" s="38"/>
      <c r="S11" s="38"/>
      <c r="T11" s="38"/>
      <c r="U11" s="38"/>
      <c r="V11" s="38"/>
    </row>
    <row r="12" spans="1:22" ht="19.55" customHeight="1" x14ac:dyDescent="0.35">
      <c r="B12" s="29"/>
      <c r="C12" s="226"/>
      <c r="D12" s="122"/>
      <c r="E12" s="29"/>
      <c r="F12" s="29"/>
      <c r="G12" s="29"/>
      <c r="H12" s="29"/>
      <c r="I12" s="29"/>
      <c r="J12" s="29"/>
      <c r="L12" s="215"/>
      <c r="M12" s="308" t="s">
        <v>999</v>
      </c>
      <c r="N12" s="318">
        <f>ber_PO!AF15</f>
        <v>0</v>
      </c>
      <c r="O12" s="38" t="s">
        <v>178</v>
      </c>
      <c r="P12" s="38"/>
      <c r="Q12" s="38"/>
      <c r="R12" s="38"/>
      <c r="S12" s="38"/>
      <c r="T12" s="38"/>
      <c r="U12" s="38"/>
      <c r="V12" s="38"/>
    </row>
    <row r="13" spans="1:22" ht="19.55" customHeight="1" x14ac:dyDescent="0.35">
      <c r="B13" s="313"/>
      <c r="C13" s="280" t="s">
        <v>1377</v>
      </c>
      <c r="D13" s="314">
        <f>ber_Opm!C15</f>
        <v>0</v>
      </c>
      <c r="E13" s="315"/>
      <c r="F13" s="315"/>
      <c r="G13" s="315"/>
      <c r="H13" s="315"/>
      <c r="I13" s="315"/>
      <c r="J13" s="315"/>
      <c r="K13" s="315"/>
      <c r="L13" s="215"/>
      <c r="M13" s="308" t="s">
        <v>860</v>
      </c>
      <c r="N13" s="318">
        <f>ber_PO!AF16</f>
        <v>0</v>
      </c>
      <c r="O13" s="38" t="s">
        <v>817</v>
      </c>
      <c r="P13" s="38"/>
      <c r="Q13" s="38"/>
      <c r="R13" s="38"/>
      <c r="S13" s="38"/>
      <c r="T13" s="38"/>
      <c r="U13" s="38"/>
      <c r="V13" s="38"/>
    </row>
    <row r="14" spans="1:22" ht="21.8" customHeight="1" x14ac:dyDescent="0.4">
      <c r="B14" s="29"/>
      <c r="C14" s="304" t="s">
        <v>1315</v>
      </c>
      <c r="H14" s="292"/>
      <c r="J14" s="38"/>
      <c r="K14" s="38"/>
      <c r="L14" s="309"/>
      <c r="M14" s="308" t="s">
        <v>1308</v>
      </c>
      <c r="N14" s="318">
        <f>ber_PO!AF17</f>
        <v>0</v>
      </c>
      <c r="O14" s="38" t="s">
        <v>817</v>
      </c>
      <c r="P14" s="38"/>
      <c r="Q14" s="38"/>
      <c r="R14" s="38"/>
      <c r="S14" s="38"/>
      <c r="T14" s="38"/>
      <c r="U14" s="38"/>
      <c r="V14" s="38"/>
    </row>
    <row r="15" spans="1:22" ht="23.3" customHeight="1" x14ac:dyDescent="0.4">
      <c r="B15" s="251"/>
      <c r="C15" s="317" t="s">
        <v>1610</v>
      </c>
      <c r="D15" s="282" t="str">
        <f>IF(ber_TPN!F3&lt;&gt;0,IF(ber_TPN!F3/24&gt;=10,ROUND(ber_TPN!F3/24,1),ROUND(ber_TPN!F3/24,1))&amp;" ml/uur","")</f>
        <v/>
      </c>
      <c r="E15" s="122" t="str">
        <f>IF(D15&lt;&gt;"",ber_TPN!F3&amp;" ml per dag","")</f>
        <v/>
      </c>
      <c r="F15" s="29"/>
      <c r="G15" s="285"/>
      <c r="H15" s="317" t="s">
        <v>1611</v>
      </c>
      <c r="I15" s="282" t="str">
        <f>IF(ber_TPN!D18&lt;&gt;0,ber_TPN!E18&amp;" ml/uur","")</f>
        <v/>
      </c>
      <c r="J15" s="122" t="str">
        <f>IF(I15&lt;&gt;"",ber_TPN!F18&amp;" ml per dag","")</f>
        <v/>
      </c>
      <c r="K15" s="29"/>
      <c r="L15" s="309"/>
      <c r="M15" s="308" t="s">
        <v>1000</v>
      </c>
      <c r="N15" s="318">
        <f>ber_PO!AF18</f>
        <v>0</v>
      </c>
      <c r="O15" s="38" t="s">
        <v>817</v>
      </c>
      <c r="P15" s="38"/>
      <c r="T15" s="38"/>
      <c r="U15" s="38"/>
      <c r="V15" s="38"/>
    </row>
    <row r="16" spans="1:22" ht="23.3" customHeight="1" x14ac:dyDescent="0.4">
      <c r="B16" s="251"/>
      <c r="C16" s="317"/>
      <c r="D16" s="29"/>
      <c r="E16" s="282" t="str">
        <f>IF(AND(ber_TPN!E4&lt;&gt;0,ber_TPN!E4&lt;&gt;"",ber_TPN!B4&lt;&gt;1,ber_TPN!F4&lt;&gt;0),ber_TPN!F4&amp;" ml","")</f>
        <v/>
      </c>
      <c r="F16" s="281" t="str">
        <f>IF(AND(Gewicht/10&gt;=16,TPN=2),"Peditrace","")</f>
        <v/>
      </c>
      <c r="G16" s="297" t="str">
        <f>IF(AND(Gewicht/10&gt;=16,ber_TPN!F5&gt;0),ber_TPN!F5&amp;" ml","")</f>
        <v/>
      </c>
      <c r="H16" s="251"/>
      <c r="I16" s="29"/>
      <c r="J16" s="299"/>
      <c r="K16" s="300"/>
      <c r="L16" s="309"/>
      <c r="M16" s="310" t="s">
        <v>861</v>
      </c>
      <c r="N16" s="318">
        <f>ber_PO!AF19</f>
        <v>0</v>
      </c>
      <c r="O16" s="38" t="s">
        <v>817</v>
      </c>
      <c r="P16" s="38"/>
      <c r="T16" s="38"/>
      <c r="U16" s="38"/>
      <c r="V16" s="38"/>
    </row>
    <row r="17" spans="2:22" ht="23.3" customHeight="1" x14ac:dyDescent="0.4">
      <c r="B17" s="251"/>
      <c r="C17" s="251"/>
      <c r="D17" s="29"/>
      <c r="E17" s="282" t="str">
        <f>IF(ber_TPN!F6&lt;&gt;0,ROUND(ber_TPN!F6,1)&amp;" ml","")</f>
        <v/>
      </c>
      <c r="F17" s="397" t="str">
        <f>IF(AND(Gewicht/10&gt;50,TPN=2),"in 100 ml glucose 10%, "&amp;ROUND((ber_TPN!F5+ber_TPN!F16)/24,1)&amp;" ml/uur","")</f>
        <v/>
      </c>
      <c r="G17" s="397"/>
      <c r="H17" s="251"/>
      <c r="I17" s="29"/>
      <c r="J17" s="282" t="str">
        <f>IF(ber_TPN!F19&lt;&gt;0,ROUND(ber_TPN!F19,1)&amp;" ml","")</f>
        <v/>
      </c>
      <c r="K17" s="298"/>
      <c r="L17" s="251"/>
      <c r="M17" s="308" t="s">
        <v>1494</v>
      </c>
      <c r="N17" s="318">
        <f>ber_PO!AF20</f>
        <v>0</v>
      </c>
      <c r="O17" s="38" t="s">
        <v>817</v>
      </c>
      <c r="P17" s="38"/>
      <c r="T17" s="38"/>
      <c r="U17" s="38"/>
      <c r="V17" s="38"/>
    </row>
    <row r="18" spans="2:22" ht="19.55" customHeight="1" x14ac:dyDescent="0.4">
      <c r="B18" s="251"/>
      <c r="C18" s="251" t="s">
        <v>1601</v>
      </c>
      <c r="D18" s="29"/>
      <c r="E18" s="282" t="str">
        <f>IF(ber_TPN!C7,ber_TPN!F7&amp;" ml","")</f>
        <v/>
      </c>
      <c r="F18" s="29"/>
      <c r="G18" s="29"/>
      <c r="H18" s="307" t="s">
        <v>1601</v>
      </c>
      <c r="I18" s="29"/>
      <c r="J18" s="282" t="str">
        <f>IF(ber_TPN!C20,ber_TPN!F20&amp;" ml","")</f>
        <v/>
      </c>
      <c r="K18" s="298"/>
      <c r="L18" s="29"/>
      <c r="P18" s="38"/>
      <c r="T18" s="38"/>
      <c r="U18" s="38"/>
      <c r="V18" s="38"/>
    </row>
    <row r="19" spans="2:22" ht="19.55" customHeight="1" x14ac:dyDescent="0.4">
      <c r="B19" s="251"/>
      <c r="C19" s="251" t="s">
        <v>1002</v>
      </c>
      <c r="D19" s="29"/>
      <c r="E19" s="282" t="str">
        <f>IF(ber_TPN!C8,ber_TPN!F8&amp;" ml","")</f>
        <v/>
      </c>
      <c r="F19" s="29"/>
      <c r="G19" s="29"/>
      <c r="H19" s="307" t="s">
        <v>1002</v>
      </c>
      <c r="I19" s="29"/>
      <c r="J19" s="282" t="str">
        <f>IF(ber_TPN!C21,ber_TPN!F21&amp;" ml","")</f>
        <v/>
      </c>
      <c r="K19" s="298"/>
      <c r="L19" s="29"/>
      <c r="P19" s="38"/>
      <c r="T19" s="38"/>
      <c r="U19" s="38"/>
      <c r="V19" s="38"/>
    </row>
    <row r="20" spans="2:22" ht="19.55" customHeight="1" x14ac:dyDescent="0.4">
      <c r="B20" s="29"/>
      <c r="C20" s="29"/>
      <c r="D20" s="29"/>
      <c r="E20" s="282"/>
      <c r="F20" s="29"/>
      <c r="G20" s="29"/>
      <c r="H20" s="226"/>
      <c r="I20" s="29"/>
      <c r="J20" s="282"/>
      <c r="K20" s="298"/>
      <c r="L20" s="29"/>
      <c r="P20" s="38"/>
      <c r="T20" s="38"/>
      <c r="U20" s="38"/>
      <c r="V20" s="38"/>
    </row>
    <row r="21" spans="2:22" ht="19.55" customHeight="1" x14ac:dyDescent="0.4">
      <c r="B21" s="251"/>
      <c r="C21" s="251" t="s">
        <v>1602</v>
      </c>
      <c r="D21" s="29"/>
      <c r="E21" s="282" t="str">
        <f>IF(ber_TPN!C9,ber_TPN!D9&amp;" ml","")</f>
        <v/>
      </c>
      <c r="F21" s="29"/>
      <c r="G21" s="282" t="str">
        <f>IF(AND(Gewicht/10&lt;=50,SSTglucose&lt;11,TPN=2),"in "&amp;ber_TPN!F16&amp;" ml glucose 10% ="&amp;ROUND((ber_TPN!F16+ber_TPN!F10+ber_TPN!F9)/24,1)&amp;" ml/uur","")</f>
        <v/>
      </c>
      <c r="H21" s="226"/>
      <c r="I21" s="29"/>
      <c r="J21" s="299"/>
      <c r="K21" s="300"/>
      <c r="L21" s="38"/>
      <c r="M21" s="29"/>
      <c r="N21" s="38"/>
      <c r="O21" s="38"/>
      <c r="P21" s="38"/>
      <c r="T21" s="38"/>
      <c r="U21" s="38"/>
      <c r="V21" s="38"/>
    </row>
    <row r="22" spans="2:22" s="29" customFormat="1" ht="19.55" customHeight="1" x14ac:dyDescent="0.4">
      <c r="B22" s="251"/>
      <c r="C22" s="251" t="s">
        <v>1495</v>
      </c>
      <c r="E22" s="282" t="str">
        <f>IF(ber_TPN!C10,ber_TPN!D10&amp;" ml","")</f>
        <v/>
      </c>
      <c r="J22" s="299"/>
      <c r="K22" s="300"/>
      <c r="L22" s="299"/>
      <c r="M22" s="299"/>
      <c r="N22" s="299"/>
      <c r="O22" s="299"/>
      <c r="P22" s="299"/>
      <c r="T22" s="299"/>
      <c r="U22" s="299"/>
      <c r="V22" s="299"/>
    </row>
    <row r="23" spans="2:22" ht="24.05" customHeight="1" x14ac:dyDescent="0.4">
      <c r="B23" s="305"/>
      <c r="C23" s="305" t="s">
        <v>1493</v>
      </c>
      <c r="D23" s="285"/>
      <c r="E23" s="295" t="str">
        <f>IF(ber_TPN!C11,ber_TPN!F11&amp;" ml","")</f>
        <v/>
      </c>
      <c r="F23" s="285"/>
      <c r="G23" s="285" t="str">
        <f>IF(ber_TPN!F11&gt;0,ROUND(ber_TPN!F11*1.5/(Gewicht/10),2)&amp;" mmol/kg","")</f>
        <v/>
      </c>
      <c r="H23" s="285" t="str">
        <f>IF(ber_TPN!F11&gt;0,"plus "&amp;(ROUND(ber_TPN!F11*1.5/(Gewicht/10)/24/0.01,1)*24-ber_TPN!F11)&amp;" ml gluc 5%, "&amp;((ROUND(ber_TPN!F11*1.5/(Gewicht/10)/24/0.01,1)*24-ber_TPN!F11)+ber_TPN!F11)/24&amp;" ml/uur","")</f>
        <v/>
      </c>
      <c r="I23" s="285"/>
      <c r="J23" s="38"/>
      <c r="K23" s="38"/>
      <c r="L23" s="38"/>
      <c r="M23" s="38"/>
      <c r="N23" s="38"/>
      <c r="O23" s="38"/>
      <c r="P23" s="38"/>
      <c r="T23" s="38"/>
      <c r="U23" s="38"/>
      <c r="V23" s="38"/>
    </row>
    <row r="24" spans="2:22" ht="23.3" customHeight="1" x14ac:dyDescent="0.4">
      <c r="B24" s="29"/>
      <c r="C24" s="282" t="s">
        <v>948</v>
      </c>
      <c r="D24" s="282" t="str">
        <f>IF(ber_TPN!D12&lt;&gt;0,ber_TPN!E12&amp;" ml/uur","")</f>
        <v/>
      </c>
      <c r="E24" s="282"/>
      <c r="F24" s="29"/>
      <c r="G24" s="29"/>
      <c r="H24" s="29" t="str">
        <f>IF(ber_TPN!F12&lt;&gt;0,ber_TPN!F12&amp;" ml per dag","")</f>
        <v/>
      </c>
      <c r="I24" s="29"/>
      <c r="J24" s="38"/>
      <c r="K24" s="38"/>
      <c r="L24" s="38"/>
      <c r="M24" s="38"/>
      <c r="N24" s="38"/>
      <c r="O24" s="38"/>
      <c r="P24" s="38"/>
      <c r="T24" s="38"/>
      <c r="U24" s="38"/>
      <c r="V24" s="38"/>
    </row>
    <row r="25" spans="2:22" ht="19.55" customHeight="1" x14ac:dyDescent="0.4">
      <c r="B25" s="306"/>
      <c r="C25" s="306" t="s">
        <v>949</v>
      </c>
      <c r="D25" s="297"/>
      <c r="E25" s="296" t="str">
        <f>IF(ber_TPN!F13&lt;&gt;0,ROUND(ber_TPN!F13,0)&amp;" ml","")</f>
        <v/>
      </c>
      <c r="F25" s="297"/>
      <c r="G25" s="297"/>
      <c r="H25" s="297"/>
      <c r="I25" s="301"/>
      <c r="J25" s="38"/>
      <c r="K25" s="38"/>
      <c r="L25" s="38"/>
      <c r="M25" s="38"/>
      <c r="N25" s="38"/>
      <c r="O25" s="38"/>
      <c r="P25" s="38"/>
      <c r="T25" s="38"/>
      <c r="U25" s="38"/>
      <c r="V25" s="38"/>
    </row>
    <row r="26" spans="2:22" ht="18.75" customHeight="1" x14ac:dyDescent="0.4">
      <c r="B26" s="251"/>
      <c r="C26" s="251" t="s">
        <v>950</v>
      </c>
      <c r="D26" s="29"/>
      <c r="E26" s="282" t="str">
        <f>IF(ber_TPN!C14,ber_TPN!F14&amp;" ml","")</f>
        <v/>
      </c>
      <c r="F26" s="29"/>
      <c r="G26" s="29"/>
      <c r="H26" s="29"/>
      <c r="I26" s="302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</row>
    <row r="27" spans="2:22" ht="19.55" customHeight="1" x14ac:dyDescent="0.4">
      <c r="B27" s="305"/>
      <c r="C27" s="305" t="s">
        <v>951</v>
      </c>
      <c r="D27" s="285"/>
      <c r="E27" s="295" t="str">
        <f>IF(ber_TPN!C15,ber_TPN!F15&amp;" ml","")</f>
        <v/>
      </c>
      <c r="F27" s="285"/>
      <c r="G27" s="285"/>
      <c r="H27" s="285"/>
      <c r="I27" s="303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</row>
    <row r="28" spans="2:22" ht="19.55" customHeight="1" x14ac:dyDescent="0.4">
      <c r="B28" s="29"/>
      <c r="C28" s="29"/>
      <c r="D28" s="29"/>
      <c r="E28" s="282"/>
      <c r="F28" s="29"/>
      <c r="G28" s="29"/>
      <c r="H28" s="29"/>
      <c r="I28" s="29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</row>
    <row r="29" spans="2:22" ht="19.55" customHeight="1" x14ac:dyDescent="0.35">
      <c r="B29" s="313"/>
      <c r="C29" s="280" t="s">
        <v>1377</v>
      </c>
      <c r="D29" s="314">
        <f>ber_Opm!C9</f>
        <v>0</v>
      </c>
      <c r="E29" s="315"/>
      <c r="F29" s="315"/>
      <c r="G29" s="315"/>
      <c r="H29" s="315"/>
      <c r="I29" s="315"/>
      <c r="J29" s="316"/>
      <c r="K29" s="316"/>
      <c r="L29" s="316"/>
      <c r="M29" s="316"/>
      <c r="N29" s="316"/>
      <c r="O29" s="316"/>
      <c r="P29" s="316"/>
      <c r="Q29" s="38"/>
      <c r="R29" s="38"/>
      <c r="S29" s="38"/>
      <c r="T29" s="38"/>
      <c r="U29" s="38"/>
      <c r="V29" s="38"/>
    </row>
    <row r="30" spans="2:22" ht="10.5" customHeight="1" x14ac:dyDescent="0.4">
      <c r="B30" s="29"/>
      <c r="C30" s="282"/>
      <c r="D30" s="29"/>
      <c r="E30" s="282"/>
      <c r="F30" s="29"/>
      <c r="G30" s="29"/>
      <c r="H30" s="29"/>
      <c r="I30" s="29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</row>
    <row r="31" spans="2:22" ht="13.2" x14ac:dyDescent="0.4">
      <c r="B31" s="311" t="s">
        <v>1305</v>
      </c>
      <c r="C31" s="311"/>
      <c r="D31" s="312" t="str">
        <f>ROUND(ber_totalen!C2,0)&amp;" ml/kg"</f>
        <v>0 ml/kg</v>
      </c>
      <c r="E31" s="311" t="str">
        <f ca="1">ROUND(ber_normaal!$A$18,0)&amp;" ml/kg"</f>
        <v>100 ml/kg</v>
      </c>
      <c r="F31" s="311" t="str">
        <f>"= "&amp;ROUND(ber_totalen!C2*Gewicht/10,0)&amp;" ml/dag"</f>
        <v>= 0 ml/dag</v>
      </c>
      <c r="G31" s="311"/>
      <c r="H31" s="311" t="s">
        <v>998</v>
      </c>
      <c r="I31" s="312" t="str">
        <f>ROUND(ber_totalen!$C$9,1)&amp;"  gram/kg"</f>
        <v>0  gram/kg</v>
      </c>
      <c r="J31" s="311" t="str">
        <f>IF(Gewicht/10&lt;30,"2-2,5 g/kg","1,5 g/kg")</f>
        <v>2-2,5 g/kg</v>
      </c>
      <c r="K31" s="311"/>
      <c r="L31" s="340"/>
      <c r="M31" s="341"/>
      <c r="N31" s="341"/>
      <c r="O31" s="341"/>
      <c r="P31" s="341"/>
    </row>
    <row r="32" spans="2:22" ht="13.2" x14ac:dyDescent="0.4">
      <c r="B32" s="311" t="s">
        <v>1306</v>
      </c>
      <c r="C32" s="311"/>
      <c r="D32" s="312" t="str">
        <f>ROUND(ber_totalen!E38,0)&amp;" kCal/kg"</f>
        <v>0 kCal/kg</v>
      </c>
      <c r="E32" s="311" t="str">
        <f ca="1">ber_normaal!$A$21&amp;" kCal/kg"</f>
        <v>90 kCal/kg</v>
      </c>
      <c r="F32" s="311"/>
      <c r="G32" s="311"/>
      <c r="H32" s="311" t="s">
        <v>999</v>
      </c>
      <c r="I32" s="312" t="str">
        <f>ROUND(ber_totalen!$C$13,1)&amp;" gram/kg"</f>
        <v>0 gram/kg</v>
      </c>
      <c r="J32" s="311" t="str">
        <f>IF(Gewicht/10&lt;30,"4 g/kg","2 g/kg")</f>
        <v>4 g/kg</v>
      </c>
      <c r="K32" s="311"/>
      <c r="L32" s="340"/>
      <c r="M32" s="341"/>
      <c r="N32" s="341"/>
      <c r="O32" s="341"/>
      <c r="P32" s="341"/>
    </row>
    <row r="33" spans="2:16" ht="13.2" x14ac:dyDescent="0.4">
      <c r="B33" s="311" t="s">
        <v>1072</v>
      </c>
      <c r="C33" s="311"/>
      <c r="D33" s="312" t="str">
        <f>ROUND(ber_totalen!C5,1)&amp;" g/kg"</f>
        <v>0 g/kg</v>
      </c>
      <c r="E33" s="311" t="s">
        <v>1690</v>
      </c>
      <c r="F33" s="311" t="str">
        <f>"= "&amp;ROUND(ber_totalen!C5/1.4,1)&amp;" mg/kg/min"</f>
        <v>= 0 mg/kg/min</v>
      </c>
      <c r="G33" s="311"/>
      <c r="H33" s="311" t="s">
        <v>1000</v>
      </c>
      <c r="I33" s="312" t="str">
        <f>ROUND(ber_totalen!$C$27,1)&amp;" mmol/kg"</f>
        <v>0 mmol/kg</v>
      </c>
      <c r="J33" s="311" t="s">
        <v>2108</v>
      </c>
      <c r="K33" s="311"/>
      <c r="L33" s="340"/>
      <c r="M33" s="341"/>
      <c r="N33" s="341"/>
      <c r="O33" s="341"/>
      <c r="P33" s="341"/>
    </row>
    <row r="34" spans="2:16" ht="13.2" x14ac:dyDescent="0.4">
      <c r="B34" s="311" t="s">
        <v>1307</v>
      </c>
      <c r="C34" s="311"/>
      <c r="D34" s="312" t="str">
        <f>ROUND(ber_totalen!C17,1)&amp;" mmol/kg"</f>
        <v>0 mmol/kg</v>
      </c>
      <c r="E34" s="311" t="s">
        <v>1684</v>
      </c>
      <c r="F34" s="311"/>
      <c r="G34" s="311"/>
      <c r="H34" s="311" t="s">
        <v>1494</v>
      </c>
      <c r="I34" s="312" t="str">
        <f>ROUND(ber_totalen!$C$33,1)&amp;" mmol/kg"</f>
        <v>0 mmol/kg</v>
      </c>
      <c r="J34" s="311" t="s">
        <v>1689</v>
      </c>
      <c r="K34" s="311"/>
      <c r="L34" s="340"/>
      <c r="M34" s="341"/>
      <c r="N34" s="341"/>
      <c r="O34" s="341"/>
      <c r="P34" s="341"/>
    </row>
    <row r="35" spans="2:16" ht="13.2" x14ac:dyDescent="0.4">
      <c r="B35" s="311" t="s">
        <v>1308</v>
      </c>
      <c r="C35" s="311"/>
      <c r="D35" s="312" t="str">
        <f>ROUND(ber_totalen!C23,1)&amp;" mmol/kg"</f>
        <v>0 mmol/kg</v>
      </c>
      <c r="E35" s="311" t="s">
        <v>1683</v>
      </c>
      <c r="F35" s="311"/>
      <c r="G35" s="311"/>
      <c r="H35" s="311" t="s">
        <v>1001</v>
      </c>
      <c r="I35" s="312" t="str">
        <f>ROUND(ber_totalen!$C$30,1)&amp;" mmol/kg"</f>
        <v>0 mmol/kg</v>
      </c>
      <c r="J35" s="311" t="s">
        <v>1688</v>
      </c>
      <c r="K35" s="311"/>
      <c r="L35" s="340"/>
      <c r="M35" s="341"/>
      <c r="N35" s="341"/>
      <c r="O35" s="341"/>
      <c r="P35" s="341"/>
    </row>
  </sheetData>
  <sheetProtection password="CC20" sheet="1" objects="1" scenarios="1" selectLockedCells="1" selectUnlockedCells="1"/>
  <mergeCells count="1">
    <mergeCell ref="F17:G17"/>
  </mergeCells>
  <phoneticPr fontId="26" type="noConversion"/>
  <pageMargins left="0.75" right="0.75" top="1" bottom="1" header="0.5" footer="0.5"/>
  <pageSetup paperSize="9" orientation="portrait" blackAndWhite="1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7</xdr:row>
                    <xdr:rowOff>76599</xdr:rowOff>
                  </from>
                  <to>
                    <xdr:col>2</xdr:col>
                    <xdr:colOff>856951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Spinner 3">
              <controlPr defaultSize="0" autoPict="0">
                <anchor moveWithCells="1" sizeWithCells="1">
                  <from>
                    <xdr:col>3</xdr:col>
                    <xdr:colOff>502681</xdr:colOff>
                    <xdr:row>7</xdr:row>
                    <xdr:rowOff>67024</xdr:rowOff>
                  </from>
                  <to>
                    <xdr:col>3</xdr:col>
                    <xdr:colOff>627154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Drop Down 4">
              <controlPr defaultSize="0" print="0" autoLine="0" autoPict="0">
                <anchor moveWithCells="1">
                  <from>
                    <xdr:col>4</xdr:col>
                    <xdr:colOff>0</xdr:colOff>
                    <xdr:row>7</xdr:row>
                    <xdr:rowOff>38299</xdr:rowOff>
                  </from>
                  <to>
                    <xdr:col>5</xdr:col>
                    <xdr:colOff>837801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14</xdr:row>
                    <xdr:rowOff>67024</xdr:rowOff>
                  </from>
                  <to>
                    <xdr:col>3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17</xdr:row>
                    <xdr:rowOff>28725</xdr:rowOff>
                  </from>
                  <to>
                    <xdr:col>5</xdr:col>
                    <xdr:colOff>229797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9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18</xdr:row>
                    <xdr:rowOff>28725</xdr:rowOff>
                  </from>
                  <to>
                    <xdr:col>5</xdr:col>
                    <xdr:colOff>229797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0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17</xdr:row>
                    <xdr:rowOff>47874</xdr:rowOff>
                  </from>
                  <to>
                    <xdr:col>2</xdr:col>
                    <xdr:colOff>124473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18</xdr:row>
                    <xdr:rowOff>47874</xdr:rowOff>
                  </from>
                  <to>
                    <xdr:col>2</xdr:col>
                    <xdr:colOff>124473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23</xdr:row>
                    <xdr:rowOff>76599</xdr:rowOff>
                  </from>
                  <to>
                    <xdr:col>4</xdr:col>
                    <xdr:colOff>134048</xdr:colOff>
                    <xdr:row>23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25</xdr:row>
                    <xdr:rowOff>47874</xdr:rowOff>
                  </from>
                  <to>
                    <xdr:col>2</xdr:col>
                    <xdr:colOff>124473</xdr:colOff>
                    <xdr:row>26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26</xdr:row>
                    <xdr:rowOff>47874</xdr:rowOff>
                  </from>
                  <to>
                    <xdr:col>2</xdr:col>
                    <xdr:colOff>124473</xdr:colOff>
                    <xdr:row>27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25</xdr:row>
                    <xdr:rowOff>28725</xdr:rowOff>
                  </from>
                  <to>
                    <xdr:col>5</xdr:col>
                    <xdr:colOff>229797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26</xdr:row>
                    <xdr:rowOff>28725</xdr:rowOff>
                  </from>
                  <to>
                    <xdr:col>5</xdr:col>
                    <xdr:colOff>229797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5</xdr:row>
                    <xdr:rowOff>38299</xdr:rowOff>
                  </from>
                  <to>
                    <xdr:col>4</xdr:col>
                    <xdr:colOff>296821</xdr:colOff>
                    <xdr:row>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21</xdr:row>
                    <xdr:rowOff>47874</xdr:rowOff>
                  </from>
                  <to>
                    <xdr:col>2</xdr:col>
                    <xdr:colOff>124473</xdr:colOff>
                    <xdr:row>22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22</xdr:row>
                    <xdr:rowOff>95749</xdr:rowOff>
                  </from>
                  <to>
                    <xdr:col>2</xdr:col>
                    <xdr:colOff>114898</xdr:colOff>
                    <xdr:row>23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21</xdr:row>
                    <xdr:rowOff>28725</xdr:rowOff>
                  </from>
                  <to>
                    <xdr:col>5</xdr:col>
                    <xdr:colOff>229797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22</xdr:row>
                    <xdr:rowOff>124473</xdr:rowOff>
                  </from>
                  <to>
                    <xdr:col>5</xdr:col>
                    <xdr:colOff>229797</xdr:colOff>
                    <xdr:row>23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15</xdr:row>
                    <xdr:rowOff>67024</xdr:rowOff>
                  </from>
                  <to>
                    <xdr:col>3</xdr:col>
                    <xdr:colOff>440444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16</xdr:row>
                    <xdr:rowOff>67024</xdr:rowOff>
                  </from>
                  <to>
                    <xdr:col>3</xdr:col>
                    <xdr:colOff>430869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15</xdr:row>
                    <xdr:rowOff>76599</xdr:rowOff>
                  </from>
                  <to>
                    <xdr:col>5</xdr:col>
                    <xdr:colOff>220222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8</xdr:row>
                    <xdr:rowOff>67024</xdr:rowOff>
                  </from>
                  <to>
                    <xdr:col>3</xdr:col>
                    <xdr:colOff>799502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38299</xdr:rowOff>
                  </from>
                  <to>
                    <xdr:col>5</xdr:col>
                    <xdr:colOff>837801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15</xdr:row>
                    <xdr:rowOff>76599</xdr:rowOff>
                  </from>
                  <to>
                    <xdr:col>6</xdr:col>
                    <xdr:colOff>655879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9</xdr:row>
                    <xdr:rowOff>76599</xdr:rowOff>
                  </from>
                  <to>
                    <xdr:col>2</xdr:col>
                    <xdr:colOff>856951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9</xdr:row>
                    <xdr:rowOff>67024</xdr:rowOff>
                  </from>
                  <to>
                    <xdr:col>3</xdr:col>
                    <xdr:colOff>799502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>
                <anchor moveWithCells="1">
                  <from>
                    <xdr:col>4</xdr:col>
                    <xdr:colOff>0</xdr:colOff>
                    <xdr:row>9</xdr:row>
                    <xdr:rowOff>38299</xdr:rowOff>
                  </from>
                  <to>
                    <xdr:col>5</xdr:col>
                    <xdr:colOff>837801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>
                <anchor moveWithCells="1">
                  <from>
                    <xdr:col>4</xdr:col>
                    <xdr:colOff>0</xdr:colOff>
                    <xdr:row>10</xdr:row>
                    <xdr:rowOff>38299</xdr:rowOff>
                  </from>
                  <to>
                    <xdr:col>5</xdr:col>
                    <xdr:colOff>837801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14</xdr:row>
                    <xdr:rowOff>67024</xdr:rowOff>
                  </from>
                  <to>
                    <xdr:col>8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17</xdr:row>
                    <xdr:rowOff>38299</xdr:rowOff>
                  </from>
                  <to>
                    <xdr:col>10</xdr:col>
                    <xdr:colOff>450019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18</xdr:row>
                    <xdr:rowOff>28725</xdr:rowOff>
                  </from>
                  <to>
                    <xdr:col>10</xdr:col>
                    <xdr:colOff>459594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17</xdr:row>
                    <xdr:rowOff>47874</xdr:rowOff>
                  </from>
                  <to>
                    <xdr:col>7</xdr:col>
                    <xdr:colOff>335120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18</xdr:row>
                    <xdr:rowOff>47874</xdr:rowOff>
                  </from>
                  <to>
                    <xdr:col>7</xdr:col>
                    <xdr:colOff>335120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16</xdr:row>
                    <xdr:rowOff>67024</xdr:rowOff>
                  </from>
                  <to>
                    <xdr:col>8</xdr:col>
                    <xdr:colOff>569705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3" name="Spinner 75">
              <controlPr defaultSize="0" autoPict="0">
                <anchor moveWithCells="1" sizeWithCells="1">
                  <from>
                    <xdr:col>8</xdr:col>
                    <xdr:colOff>124473</xdr:colOff>
                    <xdr:row>2</xdr:row>
                    <xdr:rowOff>9575</xdr:rowOff>
                  </from>
                  <to>
                    <xdr:col>8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10</xdr:col>
                    <xdr:colOff>450019</xdr:colOff>
                    <xdr:row>1</xdr:row>
                    <xdr:rowOff>143623</xdr:rowOff>
                  </from>
                  <to>
                    <xdr:col>11</xdr:col>
                    <xdr:colOff>0</xdr:colOff>
                    <xdr:row>2</xdr:row>
                    <xdr:rowOff>143623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PN"/>
  <dimension ref="A1:O39"/>
  <sheetViews>
    <sheetView topLeftCell="E1" workbookViewId="0">
      <selection activeCell="A27" sqref="A27:I27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1081</v>
      </c>
      <c r="C2" t="s">
        <v>601</v>
      </c>
      <c r="D2" s="37" t="s">
        <v>1380</v>
      </c>
      <c r="E2" s="37" t="s">
        <v>595</v>
      </c>
      <c r="F2" t="s">
        <v>1477</v>
      </c>
      <c r="G2" t="s">
        <v>941</v>
      </c>
      <c r="H2" t="s">
        <v>597</v>
      </c>
      <c r="I2" t="s">
        <v>1005</v>
      </c>
      <c r="J2" t="s">
        <v>1006</v>
      </c>
      <c r="K2" t="s">
        <v>1007</v>
      </c>
      <c r="L2" t="s">
        <v>1008</v>
      </c>
      <c r="M2" t="s">
        <v>944</v>
      </c>
      <c r="N2" t="s">
        <v>598</v>
      </c>
      <c r="O2" t="s">
        <v>947</v>
      </c>
    </row>
    <row r="3" spans="1:15" x14ac:dyDescent="0.35">
      <c r="A3" t="s">
        <v>1608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35">
      <c r="A4" t="s">
        <v>1011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1465</v>
      </c>
      <c r="F5">
        <f>IF(AND(Gewicht/10&gt;=16,TPN&gt;1,OR(SSTglucose&lt;11,Gewicht/10&gt;50)),E5,0)</f>
        <v>0</v>
      </c>
    </row>
    <row r="6" spans="1:15" x14ac:dyDescent="0.35">
      <c r="A6" t="s">
        <v>1381</v>
      </c>
      <c r="B6">
        <v>1</v>
      </c>
      <c r="F6">
        <f>IF(Gewicht/10&gt;50,F3-F7-F8-F9-F10,IF(OR(TPN=1,SSTglucose&gt;=11),F3-F7-F8-F9-F10,F3-F4-F5-F7-F8))</f>
        <v>0</v>
      </c>
      <c r="G6">
        <f>INDEX(J26:L39,B6,3)*F6</f>
        <v>0</v>
      </c>
      <c r="I6">
        <f>INDEX(J26:M39,B6,4)*F6</f>
        <v>0</v>
      </c>
      <c r="J6">
        <f>INDEX(J26:N39,B6,5)*F6</f>
        <v>0</v>
      </c>
      <c r="N6">
        <f>4*G6</f>
        <v>0</v>
      </c>
    </row>
    <row r="7" spans="1:15" x14ac:dyDescent="0.35">
      <c r="A7" t="s">
        <v>1601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1002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1602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1495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1493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948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949</v>
      </c>
      <c r="F13">
        <f>F12-F14-F15</f>
        <v>0</v>
      </c>
      <c r="N13">
        <f>9*O13</f>
        <v>0</v>
      </c>
      <c r="O13">
        <f>0.2*F13</f>
        <v>0</v>
      </c>
    </row>
    <row r="14" spans="1:15" x14ac:dyDescent="0.35">
      <c r="A14" t="s">
        <v>950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951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x14ac:dyDescent="0.35">
      <c r="A16" t="s">
        <v>803</v>
      </c>
      <c r="F16">
        <f>IF(AND(TPN=2,Gewicht/10&lt;=50,SSTglucose&lt;11),ROUND((F9*4+F10*4)/10,0)*10,IF(AND(TPN=2,Gewicht/10&gt;50),100,0))</f>
        <v>0</v>
      </c>
      <c r="G16">
        <f>F16*0.1</f>
        <v>0</v>
      </c>
    </row>
    <row r="17" spans="1:15" x14ac:dyDescent="0.35">
      <c r="A17" t="s">
        <v>596</v>
      </c>
      <c r="F17">
        <f>(ROUND(ber_TPN!F11*1.5/(Gewicht/10)/24/0.01,1)*24-ber_TPN!F11)</f>
        <v>0</v>
      </c>
      <c r="G17">
        <f>F17*0.05</f>
        <v>0</v>
      </c>
      <c r="N17">
        <f>4*G17</f>
        <v>0</v>
      </c>
    </row>
    <row r="18" spans="1:15" x14ac:dyDescent="0.35">
      <c r="A18" t="s">
        <v>1609</v>
      </c>
      <c r="D18">
        <v>0</v>
      </c>
      <c r="E18">
        <f>IF(D18&lt;50,D18/10,D18-45)</f>
        <v>0</v>
      </c>
      <c r="F18">
        <f>E18*24</f>
        <v>0</v>
      </c>
    </row>
    <row r="19" spans="1:15" x14ac:dyDescent="0.35">
      <c r="A19" t="s">
        <v>1381</v>
      </c>
      <c r="B19">
        <v>1</v>
      </c>
      <c r="F19">
        <f>IF(F18-F20-F21&lt;0,0,F18-F20-F21)</f>
        <v>0</v>
      </c>
      <c r="G19">
        <f>INDEX(J26:L39,B19,3)*F19</f>
        <v>0</v>
      </c>
      <c r="I19">
        <f>INDEX(J26:M39,B19,4)*F19</f>
        <v>0</v>
      </c>
      <c r="J19">
        <f>INDEX(J26:N39,B6,5)*F19</f>
        <v>0</v>
      </c>
      <c r="N19">
        <f>4*G19</f>
        <v>0</v>
      </c>
    </row>
    <row r="20" spans="1:15" x14ac:dyDescent="0.35">
      <c r="A20" t="s">
        <v>1601</v>
      </c>
      <c r="D20">
        <f>IF(E20&lt;50,E20/10,E20-45)</f>
        <v>0</v>
      </c>
      <c r="F20">
        <f>IF(AND(D20+D21&lt;F18,C20),D20,0)</f>
        <v>0</v>
      </c>
      <c r="I20">
        <f>F20*0.5</f>
        <v>0</v>
      </c>
    </row>
    <row r="21" spans="1:15" x14ac:dyDescent="0.35">
      <c r="A21" t="s">
        <v>1002</v>
      </c>
      <c r="D21">
        <f>IF(E21&lt;50,E21/10,E21-45)</f>
        <v>0</v>
      </c>
      <c r="F21">
        <f>IF(AND(C21,D20+D21&lt;F18),D21,0)</f>
        <v>0</v>
      </c>
      <c r="J21">
        <f>F21</f>
        <v>0</v>
      </c>
    </row>
    <row r="23" spans="1:15" x14ac:dyDescent="0.35">
      <c r="A23" t="s">
        <v>599</v>
      </c>
      <c r="F23">
        <f>IF(Gewicht/10&gt;50,SUM(F3+F4+F12+F17+F16+F18),IF(TPN=1,SUM(F3+F12+F16+F17+F18),SUM(F3+F9+F10+F12+F16+F17+F18)))</f>
        <v>0</v>
      </c>
      <c r="G23">
        <f t="shared" ref="G23:N23" si="1">SUM(G3:G21)</f>
        <v>0</v>
      </c>
      <c r="H23">
        <f t="shared" si="1"/>
        <v>0</v>
      </c>
      <c r="I23">
        <f t="shared" si="1"/>
        <v>0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N23">
        <f t="shared" si="1"/>
        <v>0</v>
      </c>
      <c r="O23">
        <f>SUM(O4:O21)</f>
        <v>0</v>
      </c>
    </row>
    <row r="25" spans="1:15" x14ac:dyDescent="0.35">
      <c r="A25" s="107"/>
      <c r="B25" s="107" t="s">
        <v>1003</v>
      </c>
      <c r="C25" s="107" t="s">
        <v>1004</v>
      </c>
      <c r="D25" s="107" t="s">
        <v>1005</v>
      </c>
      <c r="E25" s="107" t="s">
        <v>1006</v>
      </c>
      <c r="F25" s="107" t="s">
        <v>1007</v>
      </c>
      <c r="G25" s="107" t="s">
        <v>1008</v>
      </c>
      <c r="H25" s="107" t="s">
        <v>1009</v>
      </c>
      <c r="I25" s="107" t="s">
        <v>1010</v>
      </c>
      <c r="L25" t="s">
        <v>593</v>
      </c>
      <c r="M25" t="s">
        <v>594</v>
      </c>
      <c r="N25" t="s">
        <v>466</v>
      </c>
    </row>
    <row r="26" spans="1:15" x14ac:dyDescent="0.35">
      <c r="J26">
        <v>1</v>
      </c>
      <c r="K26" t="s">
        <v>1432</v>
      </c>
      <c r="L26">
        <v>0.05</v>
      </c>
      <c r="M26">
        <v>0</v>
      </c>
    </row>
    <row r="27" spans="1:15" x14ac:dyDescent="0.35">
      <c r="A27" s="107" t="s">
        <v>1600</v>
      </c>
      <c r="B27" s="107">
        <v>0.08</v>
      </c>
      <c r="C27" s="107">
        <v>0</v>
      </c>
      <c r="D27" s="107">
        <v>8.0000000000000002E-3</v>
      </c>
      <c r="E27" s="107">
        <v>0.02</v>
      </c>
      <c r="F27" s="107">
        <v>2.8000000000000001E-2</v>
      </c>
      <c r="G27" s="107">
        <v>8.0000000000000002E-3</v>
      </c>
      <c r="H27" s="107">
        <v>2.4E-2</v>
      </c>
      <c r="I27" s="107">
        <v>0.32</v>
      </c>
      <c r="J27">
        <v>2</v>
      </c>
      <c r="K27" t="s">
        <v>1433</v>
      </c>
      <c r="L27">
        <v>0.1</v>
      </c>
      <c r="M27">
        <v>0</v>
      </c>
    </row>
    <row r="28" spans="1:15" x14ac:dyDescent="0.35">
      <c r="A28" s="107" t="s">
        <v>1599</v>
      </c>
      <c r="B28" s="107">
        <v>7.3999999999999996E-2</v>
      </c>
      <c r="C28" s="107">
        <v>0</v>
      </c>
      <c r="D28" s="107">
        <f>(0.5*0.5)/35</f>
        <v>7.1428571428571426E-3</v>
      </c>
      <c r="E28" s="107">
        <f>1.7/100</f>
        <v>1.7000000000000001E-2</v>
      </c>
      <c r="F28" s="107">
        <v>2.5000000000000001E-2</v>
      </c>
      <c r="G28" s="107">
        <f>0.6/100</f>
        <v>6.0000000000000001E-3</v>
      </c>
      <c r="H28" s="107">
        <v>2.1000000000000001E-2</v>
      </c>
      <c r="I28" s="107">
        <v>0.28999999999999998</v>
      </c>
      <c r="J28">
        <v>3</v>
      </c>
      <c r="K28" t="s">
        <v>465</v>
      </c>
      <c r="L28">
        <v>0.125</v>
      </c>
    </row>
    <row r="29" spans="1:15" x14ac:dyDescent="0.35">
      <c r="A29" s="107" t="s">
        <v>1600</v>
      </c>
      <c r="B29" s="107">
        <v>0.08</v>
      </c>
      <c r="C29" s="107">
        <v>0</v>
      </c>
      <c r="D29" s="107">
        <f>0.4*0.5/25</f>
        <v>8.0000000000000002E-3</v>
      </c>
      <c r="E29" s="107">
        <f>0.5/25</f>
        <v>0.02</v>
      </c>
      <c r="F29" s="107">
        <v>2.8000000000000001E-2</v>
      </c>
      <c r="G29" s="107">
        <v>8.0000000000000002E-3</v>
      </c>
      <c r="H29" s="107">
        <v>2.4E-2</v>
      </c>
      <c r="I29" s="107">
        <v>0.32</v>
      </c>
      <c r="J29">
        <v>4</v>
      </c>
      <c r="K29" t="s">
        <v>483</v>
      </c>
      <c r="L29">
        <v>0.15</v>
      </c>
      <c r="M29">
        <v>0</v>
      </c>
    </row>
    <row r="30" spans="1:15" x14ac:dyDescent="0.35">
      <c r="A30" s="107" t="s">
        <v>279</v>
      </c>
      <c r="B30" s="107">
        <v>8.7999999999999995E-2</v>
      </c>
      <c r="C30" s="107">
        <v>0</v>
      </c>
      <c r="D30" s="107">
        <f>0.5*0.4/20</f>
        <v>0.01</v>
      </c>
      <c r="E30" s="107">
        <v>2.5000000000000001E-2</v>
      </c>
      <c r="F30" s="107">
        <v>1.7999999999999999E-2</v>
      </c>
      <c r="G30" s="107">
        <v>0.01</v>
      </c>
      <c r="H30" s="107">
        <v>0.03</v>
      </c>
      <c r="I30" s="107">
        <v>0.35</v>
      </c>
      <c r="J30">
        <v>5</v>
      </c>
      <c r="K30" t="s">
        <v>464</v>
      </c>
      <c r="L30">
        <v>0.17499999999999999</v>
      </c>
    </row>
    <row r="31" spans="1:15" x14ac:dyDescent="0.35">
      <c r="A31" s="107" t="s">
        <v>280</v>
      </c>
      <c r="B31" s="107">
        <v>8.3000000000000004E-2</v>
      </c>
      <c r="C31" s="107">
        <v>0</v>
      </c>
      <c r="D31" s="107">
        <f>0.3*0.5/12</f>
        <v>1.2499999999999999E-2</v>
      </c>
      <c r="E31" s="107">
        <v>3.1E-2</v>
      </c>
      <c r="F31" s="107">
        <v>2.5999999999999999E-2</v>
      </c>
      <c r="G31" s="107">
        <v>1.2500000000000001E-2</v>
      </c>
      <c r="H31" s="107">
        <v>3.7999999999999999E-2</v>
      </c>
      <c r="I31" s="107">
        <v>0.33</v>
      </c>
      <c r="J31">
        <v>6</v>
      </c>
      <c r="K31" t="s">
        <v>481</v>
      </c>
      <c r="L31">
        <v>0.2</v>
      </c>
      <c r="M31">
        <v>0</v>
      </c>
    </row>
    <row r="32" spans="1:15" x14ac:dyDescent="0.35">
      <c r="A32" s="107" t="s">
        <v>456</v>
      </c>
      <c r="B32" s="107">
        <v>7.0000000000000007E-2</v>
      </c>
      <c r="C32" s="107">
        <v>0.24</v>
      </c>
      <c r="D32" s="107">
        <v>4.0500000000000001E-2</v>
      </c>
      <c r="E32" s="107">
        <v>2.5700000000000001E-2</v>
      </c>
      <c r="F32" s="107">
        <v>4.1000000000000003E-3</v>
      </c>
      <c r="G32" s="107">
        <v>5.0000000000000001E-3</v>
      </c>
      <c r="H32" s="107">
        <v>1.47E-2</v>
      </c>
      <c r="I32" s="107">
        <v>0.96</v>
      </c>
      <c r="J32">
        <v>7</v>
      </c>
      <c r="K32" t="s">
        <v>992</v>
      </c>
      <c r="L32">
        <v>0.25</v>
      </c>
      <c r="M32">
        <v>0</v>
      </c>
    </row>
    <row r="33" spans="1:15" x14ac:dyDescent="0.35">
      <c r="J33">
        <v>8</v>
      </c>
      <c r="K33" t="s">
        <v>991</v>
      </c>
      <c r="L33">
        <v>0.3</v>
      </c>
      <c r="M33">
        <v>0</v>
      </c>
    </row>
    <row r="34" spans="1:15" x14ac:dyDescent="0.35">
      <c r="J34">
        <v>9</v>
      </c>
      <c r="K34" t="s">
        <v>1273</v>
      </c>
      <c r="L34">
        <v>0.4</v>
      </c>
      <c r="M34">
        <v>0</v>
      </c>
      <c r="N34">
        <v>0</v>
      </c>
    </row>
    <row r="35" spans="1:15" x14ac:dyDescent="0.35">
      <c r="A35" s="107" t="s">
        <v>1599</v>
      </c>
      <c r="J35">
        <v>10</v>
      </c>
      <c r="K35" t="s">
        <v>482</v>
      </c>
      <c r="L35">
        <v>0.5</v>
      </c>
      <c r="M35">
        <v>0</v>
      </c>
    </row>
    <row r="36" spans="1:15" x14ac:dyDescent="0.35">
      <c r="A36" s="107" t="s">
        <v>1600</v>
      </c>
      <c r="J36">
        <v>11</v>
      </c>
      <c r="K36" t="s">
        <v>2171</v>
      </c>
      <c r="L36">
        <v>0.05</v>
      </c>
      <c r="M36">
        <v>7.6999999999999999E-2</v>
      </c>
      <c r="O36">
        <v>0</v>
      </c>
    </row>
    <row r="37" spans="1:15" x14ac:dyDescent="0.35">
      <c r="A37" s="107" t="s">
        <v>279</v>
      </c>
      <c r="J37">
        <v>12</v>
      </c>
      <c r="K37" t="s">
        <v>2172</v>
      </c>
      <c r="L37">
        <v>0.05</v>
      </c>
      <c r="M37">
        <v>0.155</v>
      </c>
      <c r="O37">
        <v>0</v>
      </c>
    </row>
    <row r="38" spans="1:15" x14ac:dyDescent="0.35">
      <c r="A38" s="107" t="s">
        <v>280</v>
      </c>
      <c r="J38">
        <v>13</v>
      </c>
      <c r="K38" t="s">
        <v>1456</v>
      </c>
      <c r="L38">
        <v>0</v>
      </c>
      <c r="M38">
        <v>0.155</v>
      </c>
      <c r="O38">
        <v>0</v>
      </c>
    </row>
    <row r="39" spans="1:15" x14ac:dyDescent="0.35">
      <c r="A39" s="107" t="s">
        <v>456</v>
      </c>
      <c r="J39">
        <v>14</v>
      </c>
      <c r="K39" s="11" t="s">
        <v>2173</v>
      </c>
      <c r="L39">
        <v>0</v>
      </c>
      <c r="M39">
        <v>0.13100000000000001</v>
      </c>
      <c r="N39">
        <v>5.4000000000000003E-3</v>
      </c>
      <c r="O39">
        <v>0</v>
      </c>
    </row>
  </sheetData>
  <phoneticPr fontId="26" type="noConversion"/>
  <printOptions gridLines="1"/>
  <pageMargins left="0.18" right="0" top="0" bottom="0" header="0" footer="0"/>
  <pageSetup paperSize="9" orientation="landscape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_Lab"/>
  <dimension ref="B4:P31"/>
  <sheetViews>
    <sheetView workbookViewId="0">
      <selection activeCell="I5" sqref="I5"/>
    </sheetView>
  </sheetViews>
  <sheetFormatPr defaultRowHeight="12.85" x14ac:dyDescent="0.35"/>
  <sheetData>
    <row r="4" spans="2:16" x14ac:dyDescent="0.35">
      <c r="B4" t="s">
        <v>1870</v>
      </c>
      <c r="D4" t="s">
        <v>684</v>
      </c>
      <c r="F4" t="s">
        <v>685</v>
      </c>
      <c r="H4" t="s">
        <v>686</v>
      </c>
      <c r="J4" t="s">
        <v>687</v>
      </c>
      <c r="L4" t="s">
        <v>69</v>
      </c>
      <c r="N4" t="s">
        <v>70</v>
      </c>
      <c r="P4" t="s">
        <v>71</v>
      </c>
    </row>
    <row r="5" spans="2:16" x14ac:dyDescent="0.35">
      <c r="B5" t="str">
        <f>IF(C5,"A","")</f>
        <v/>
      </c>
      <c r="D5" t="str">
        <f>IF(E5,"A","")</f>
        <v/>
      </c>
      <c r="F5" t="str">
        <f>IF(G5,"A","")</f>
        <v/>
      </c>
      <c r="H5" t="str">
        <f>IF(I5,"A","")</f>
        <v/>
      </c>
      <c r="J5" t="str">
        <f>IF(K5,"A","")</f>
        <v/>
      </c>
      <c r="L5" t="str">
        <f>IF(M5,"A","")</f>
        <v/>
      </c>
      <c r="N5" t="str">
        <f>IF(O5,"A","")</f>
        <v/>
      </c>
      <c r="P5" t="str">
        <f>IF(Q5,"A","")</f>
        <v/>
      </c>
    </row>
    <row r="6" spans="2:16" x14ac:dyDescent="0.35">
      <c r="B6" t="str">
        <f>IF(C6,"Na K","")</f>
        <v/>
      </c>
      <c r="D6" t="str">
        <f>IF(E6,"Na K","")</f>
        <v/>
      </c>
      <c r="F6" t="str">
        <f>IF(G6,"Na K","")</f>
        <v/>
      </c>
      <c r="H6" t="str">
        <f>IF(I6,"Na K","")</f>
        <v/>
      </c>
      <c r="J6" t="str">
        <f>IF(K6,"Na K","")</f>
        <v/>
      </c>
      <c r="L6" t="str">
        <f>IF(M6,"Na K","")</f>
        <v/>
      </c>
      <c r="N6" t="str">
        <f>IF(O6,"Na K","")</f>
        <v/>
      </c>
      <c r="P6" t="str">
        <f>IF(Q6,"Na K","")</f>
        <v/>
      </c>
    </row>
    <row r="7" spans="2:16" x14ac:dyDescent="0.35">
      <c r="B7" t="str">
        <f>IF(C7,"Cl","")</f>
        <v/>
      </c>
      <c r="D7" t="str">
        <f>IF(E7,"Cl","")</f>
        <v/>
      </c>
      <c r="F7" t="str">
        <f>IF(G7,"Cl","")</f>
        <v/>
      </c>
      <c r="H7" t="str">
        <f>IF(I7,"Cl","")</f>
        <v/>
      </c>
      <c r="J7" t="str">
        <f>IF(K7,"Cl","")</f>
        <v/>
      </c>
      <c r="L7" t="str">
        <f>IF(M7,"Cl","")</f>
        <v/>
      </c>
      <c r="N7" t="str">
        <f>IF(O7,"Cl","")</f>
        <v/>
      </c>
      <c r="P7" t="str">
        <f>IF(Q7,"Cl","")</f>
        <v/>
      </c>
    </row>
    <row r="8" spans="2:16" x14ac:dyDescent="0.35">
      <c r="B8" t="str">
        <f>IF(C8,"Gluc","")</f>
        <v/>
      </c>
      <c r="D8" t="str">
        <f>IF(E8,"Gluc","")</f>
        <v/>
      </c>
      <c r="F8" t="str">
        <f>IF(G8,"Gluc","")</f>
        <v/>
      </c>
      <c r="H8" t="str">
        <f>IF(I8,"Gluc","")</f>
        <v/>
      </c>
      <c r="J8" t="str">
        <f>IF(K8,"Gluc","")</f>
        <v/>
      </c>
      <c r="L8" t="str">
        <f>IF(M8,"Gluc","")</f>
        <v/>
      </c>
      <c r="N8" t="str">
        <f>IF(O8,"Gluc","")</f>
        <v/>
      </c>
      <c r="P8" t="str">
        <f>IF(Q8,"Gluc","")</f>
        <v/>
      </c>
    </row>
    <row r="9" spans="2:16" x14ac:dyDescent="0.35">
      <c r="B9" t="str">
        <f>IF(C9,"Hb Ht","")</f>
        <v/>
      </c>
      <c r="D9" t="str">
        <f>IF(E9,"Hb Ht","")</f>
        <v/>
      </c>
      <c r="F9" t="str">
        <f>IF(G9,"Hb Ht","")</f>
        <v/>
      </c>
      <c r="H9" t="str">
        <f>IF(I9,"Hb Ht","")</f>
        <v/>
      </c>
      <c r="J9" t="str">
        <f>IF(K9,"Hb Ht","")</f>
        <v/>
      </c>
      <c r="L9" t="str">
        <f>IF(M9,"Hb Ht","")</f>
        <v/>
      </c>
      <c r="N9" t="str">
        <f>IF(O9,"Hb Ht","")</f>
        <v/>
      </c>
      <c r="P9" t="str">
        <f>IF(Q9,"Hb Ht","")</f>
        <v/>
      </c>
    </row>
    <row r="10" spans="2:16" x14ac:dyDescent="0.35">
      <c r="B10" t="str">
        <f>IF(C10,"L","")</f>
        <v/>
      </c>
      <c r="D10" t="str">
        <f>IF(E10,"L","")</f>
        <v/>
      </c>
      <c r="F10" t="str">
        <f>IF(G10,"L","")</f>
        <v/>
      </c>
      <c r="H10" t="str">
        <f>IF(I10,"L","")</f>
        <v/>
      </c>
      <c r="J10" t="str">
        <f>IF(K10,"L","")</f>
        <v/>
      </c>
      <c r="L10" t="str">
        <f>IF(M10,"L","")</f>
        <v/>
      </c>
      <c r="N10" t="str">
        <f>IF(O10,"L","")</f>
        <v/>
      </c>
      <c r="P10" t="str">
        <f>IF(Q10,"L","")</f>
        <v/>
      </c>
    </row>
    <row r="11" spans="2:16" x14ac:dyDescent="0.35">
      <c r="B11" t="str">
        <f>IF(C11,"T","")</f>
        <v/>
      </c>
      <c r="D11" t="str">
        <f>IF(E11,"T","")</f>
        <v/>
      </c>
      <c r="F11" t="str">
        <f>IF(G11,"T","")</f>
        <v/>
      </c>
      <c r="H11" t="str">
        <f>IF(I11,"T","")</f>
        <v/>
      </c>
      <c r="J11" t="str">
        <f>IF(K11,"T","")</f>
        <v/>
      </c>
      <c r="L11" t="str">
        <f>IF(M11,"T","")</f>
        <v/>
      </c>
      <c r="N11" t="str">
        <f>IF(O11,"T","")</f>
        <v/>
      </c>
      <c r="P11" t="str">
        <f>IF(Q11,"T","")</f>
        <v/>
      </c>
    </row>
    <row r="12" spans="2:16" x14ac:dyDescent="0.35">
      <c r="B12" t="str">
        <f>IF(C12,"CRP","")</f>
        <v/>
      </c>
      <c r="D12" t="str">
        <f>IF(E12,"CRP","")</f>
        <v/>
      </c>
      <c r="F12" t="str">
        <f>IF(G12,"CRP","")</f>
        <v/>
      </c>
      <c r="H12" t="str">
        <f>IF(I12,"CRP","")</f>
        <v/>
      </c>
      <c r="J12" t="str">
        <f>IF(K12,"CRP","")</f>
        <v/>
      </c>
      <c r="L12" t="str">
        <f>IF(M12,"CRP","")</f>
        <v/>
      </c>
      <c r="N12" t="str">
        <f>IF(O12,"CRP","")</f>
        <v/>
      </c>
      <c r="P12" t="str">
        <f>IF(Q12,"CRP","")</f>
        <v/>
      </c>
    </row>
    <row r="13" spans="2:16" x14ac:dyDescent="0.35">
      <c r="B13" t="str">
        <f>IF(C13,"Lac","")</f>
        <v/>
      </c>
      <c r="D13" t="str">
        <f>IF(E13,"Lac","")</f>
        <v/>
      </c>
      <c r="F13" t="str">
        <f>IF(G13,"Lac","")</f>
        <v/>
      </c>
      <c r="H13" t="str">
        <f>IF(I13,"Lac","")</f>
        <v/>
      </c>
      <c r="J13" t="str">
        <f>IF(K13,"Lac","")</f>
        <v/>
      </c>
      <c r="L13" t="str">
        <f>IF(M13,"Lac","")</f>
        <v/>
      </c>
      <c r="N13" t="str">
        <f>IF(O13,"Lac","")</f>
        <v/>
      </c>
      <c r="P13" t="str">
        <f>IF(Q13,"Lac","")</f>
        <v/>
      </c>
    </row>
    <row r="14" spans="2:16" x14ac:dyDescent="0.35">
      <c r="B14" t="str">
        <f>IF(C14,"Ur","")</f>
        <v/>
      </c>
      <c r="D14" t="str">
        <f>IF(E14,"Ur","")</f>
        <v/>
      </c>
      <c r="F14" t="str">
        <f>IF(G14,"Ur","")</f>
        <v/>
      </c>
      <c r="H14" t="str">
        <f>IF(I14,"Ur","")</f>
        <v/>
      </c>
      <c r="J14" t="str">
        <f>IF(K14,"Ur","")</f>
        <v/>
      </c>
      <c r="L14" t="str">
        <f>IF(M14,"Ur","")</f>
        <v/>
      </c>
      <c r="N14" t="str">
        <f>IF(O14,"Ur","")</f>
        <v/>
      </c>
      <c r="P14" t="str">
        <f>IF(Q14,"Ur","")</f>
        <v/>
      </c>
    </row>
    <row r="15" spans="2:16" x14ac:dyDescent="0.35">
      <c r="B15" t="str">
        <f>IF(C15,"Kr","")</f>
        <v/>
      </c>
      <c r="D15" t="str">
        <f>IF(E15,"Kr","")</f>
        <v/>
      </c>
      <c r="F15" t="str">
        <f>IF(G15,"Kr","")</f>
        <v/>
      </c>
      <c r="H15" t="str">
        <f>IF(I15,"Kr","")</f>
        <v/>
      </c>
      <c r="J15" t="str">
        <f>IF(K15,"Kr","")</f>
        <v/>
      </c>
      <c r="L15" t="str">
        <f>IF(M15,"Kr","")</f>
        <v/>
      </c>
      <c r="N15" t="str">
        <f>IF(O15,"Kr","")</f>
        <v/>
      </c>
      <c r="P15" t="str">
        <f>IF(Q15,"Kr","")</f>
        <v/>
      </c>
    </row>
    <row r="16" spans="2:16" x14ac:dyDescent="0.35">
      <c r="B16" t="str">
        <f>IF(C16,"Ca++","")</f>
        <v/>
      </c>
      <c r="D16" t="str">
        <f>IF(E16,"Ca++","")</f>
        <v/>
      </c>
      <c r="F16" t="str">
        <f>IF(G16,"Ca++","")</f>
        <v/>
      </c>
      <c r="H16" t="str">
        <f>IF(I16,"Ca++","")</f>
        <v/>
      </c>
      <c r="J16" t="str">
        <f>IF(K16,"Ca++","")</f>
        <v/>
      </c>
      <c r="L16" t="str">
        <f>IF(M16,"Ca++","")</f>
        <v/>
      </c>
      <c r="N16" t="str">
        <f>IF(O16,"Ca++","")</f>
        <v/>
      </c>
      <c r="P16" t="str">
        <f>IF(Q16,"Ca++","")</f>
        <v/>
      </c>
    </row>
    <row r="17" spans="2:16" x14ac:dyDescent="0.35">
      <c r="B17" t="str">
        <f>IF(C17,"Mg++","")</f>
        <v/>
      </c>
      <c r="D17" t="str">
        <f>IF(E17,"Mg++","")</f>
        <v/>
      </c>
      <c r="F17" t="str">
        <f>IF(G17,"Mg++","")</f>
        <v/>
      </c>
      <c r="H17" t="str">
        <f>IF(I17,"Mg++","")</f>
        <v/>
      </c>
      <c r="J17" t="str">
        <f>IF(K17,"Mg++","")</f>
        <v/>
      </c>
      <c r="L17" t="str">
        <f>IF(M17,"Mg++","")</f>
        <v/>
      </c>
      <c r="N17" t="str">
        <f>IF(O17,"Mg++","")</f>
        <v/>
      </c>
      <c r="P17" t="str">
        <f>IF(Q17,"Mg++","")</f>
        <v/>
      </c>
    </row>
    <row r="18" spans="2:16" x14ac:dyDescent="0.35">
      <c r="B18" t="str">
        <f>IF(C18,"Alb","")</f>
        <v/>
      </c>
      <c r="D18" t="str">
        <f>IF(E18,"Alb","")</f>
        <v/>
      </c>
      <c r="F18" t="str">
        <f>IF(G18,"Alb","")</f>
        <v/>
      </c>
      <c r="H18" t="str">
        <f>IF(I18,"Alb","")</f>
        <v/>
      </c>
      <c r="J18" t="str">
        <f>IF(K18,"Alb","")</f>
        <v/>
      </c>
      <c r="L18" t="str">
        <f>IF(M18,"Alb","")</f>
        <v/>
      </c>
      <c r="N18" t="str">
        <f>IF(O18,"Alb","")</f>
        <v/>
      </c>
      <c r="P18" t="str">
        <f>IF(Q18,"Alb","")</f>
        <v/>
      </c>
    </row>
    <row r="19" spans="2:16" x14ac:dyDescent="0.35">
      <c r="B19" t="str">
        <f>IF(C19,"Ca","")</f>
        <v/>
      </c>
      <c r="D19" t="str">
        <f>IF(E19,"Ca","")</f>
        <v/>
      </c>
      <c r="F19" t="str">
        <f>IF(G19,"Ca","")</f>
        <v/>
      </c>
      <c r="H19" t="str">
        <f>IF(I19,"Ca","")</f>
        <v/>
      </c>
      <c r="J19" t="str">
        <f>IF(K19,"Ca","")</f>
        <v/>
      </c>
      <c r="L19" t="str">
        <f>IF(M19,"Ca","")</f>
        <v/>
      </c>
      <c r="N19" t="str">
        <f>IF(O19,"Ca","")</f>
        <v/>
      </c>
      <c r="P19" t="str">
        <f>IF(Q19,"Ca","")</f>
        <v/>
      </c>
    </row>
    <row r="20" spans="2:16" x14ac:dyDescent="0.35">
      <c r="B20" t="str">
        <f>IF(C20,"ASAT","")</f>
        <v/>
      </c>
      <c r="D20" t="str">
        <f>IF(E20,"ASAT","")</f>
        <v/>
      </c>
      <c r="F20" t="str">
        <f>IF(G20,"ASAT","")</f>
        <v/>
      </c>
      <c r="H20" t="str">
        <f>IF(I20,"ASAT","")</f>
        <v/>
      </c>
      <c r="J20" t="str">
        <f>IF(K20,"ASAT","")</f>
        <v/>
      </c>
      <c r="L20" t="str">
        <f>IF(M20,"ASAT","")</f>
        <v/>
      </c>
      <c r="N20" t="str">
        <f>IF(O20,"ASAT","")</f>
        <v/>
      </c>
      <c r="P20" t="str">
        <f>IF(Q20,"ASAT","")</f>
        <v/>
      </c>
    </row>
    <row r="21" spans="2:16" x14ac:dyDescent="0.35">
      <c r="B21" t="str">
        <f>IF(C21,"ALAT","")</f>
        <v/>
      </c>
      <c r="D21" t="str">
        <f>IF(E21,"ALAT","")</f>
        <v/>
      </c>
      <c r="F21" t="str">
        <f>IF(G21,"ALAT","")</f>
        <v/>
      </c>
      <c r="H21" t="str">
        <f>IF(I21,"ALAT","")</f>
        <v/>
      </c>
      <c r="J21" t="str">
        <f>IF(K21,"ALAT","")</f>
        <v/>
      </c>
      <c r="L21" t="str">
        <f>IF(M21,"ALAT","")</f>
        <v/>
      </c>
      <c r="N21" t="str">
        <f>IF(O21,"ALAT","")</f>
        <v/>
      </c>
      <c r="P21" t="str">
        <f>IF(Q21,"ALAT","")</f>
        <v/>
      </c>
    </row>
    <row r="22" spans="2:16" x14ac:dyDescent="0.35">
      <c r="B22" t="str">
        <f>IF(C22,"GGT","")</f>
        <v/>
      </c>
      <c r="D22" t="str">
        <f>IF(E22,"GGT","")</f>
        <v/>
      </c>
      <c r="F22" t="str">
        <f>IF(G22,"GGT","")</f>
        <v/>
      </c>
      <c r="H22" t="str">
        <f>IF(I22,"GGT","")</f>
        <v/>
      </c>
      <c r="J22" t="str">
        <f>IF(K22,"GGT","")</f>
        <v/>
      </c>
      <c r="L22" t="str">
        <f>IF(M22,"GGT","")</f>
        <v/>
      </c>
      <c r="N22" t="str">
        <f>IF(O22,"GGT","")</f>
        <v/>
      </c>
      <c r="P22" t="str">
        <f>IF(Q22,"GGT","")</f>
        <v/>
      </c>
    </row>
    <row r="23" spans="2:16" x14ac:dyDescent="0.35">
      <c r="B23" t="str">
        <f>IF(C23,"AF","")</f>
        <v/>
      </c>
      <c r="D23" t="str">
        <f>IF(E23,"AF","")</f>
        <v/>
      </c>
      <c r="F23" t="str">
        <f>IF(G23,"AF","")</f>
        <v/>
      </c>
      <c r="H23" t="str">
        <f>IF(I23,"AF","")</f>
        <v/>
      </c>
      <c r="J23" t="str">
        <f>IF(K23,"AF","")</f>
        <v/>
      </c>
      <c r="L23" t="str">
        <f>IF(M23,"AF","")</f>
        <v/>
      </c>
      <c r="N23" t="str">
        <f>IF(O23,"AF","")</f>
        <v/>
      </c>
      <c r="P23" t="str">
        <f>IF(Q23,"AF","")</f>
        <v/>
      </c>
    </row>
    <row r="24" spans="2:16" x14ac:dyDescent="0.35">
      <c r="B24" t="str">
        <f>IF(C24,"LDH","")</f>
        <v/>
      </c>
      <c r="D24" t="str">
        <f>IF(E24,"LDH","")</f>
        <v/>
      </c>
      <c r="F24" t="str">
        <f>IF(G24,"LDH","")</f>
        <v/>
      </c>
      <c r="H24" t="str">
        <f>IF(I24,"LDH","")</f>
        <v/>
      </c>
      <c r="J24" t="str">
        <f>IF(K24,"LDH","")</f>
        <v/>
      </c>
      <c r="L24" t="str">
        <f>IF(M24,"LDH","")</f>
        <v/>
      </c>
      <c r="N24" t="str">
        <f>IF(O24,"LDH","")</f>
        <v/>
      </c>
      <c r="P24" t="str">
        <f>IF(Q24,"LDH","")</f>
        <v/>
      </c>
    </row>
    <row r="25" spans="2:16" x14ac:dyDescent="0.35">
      <c r="B25" t="str">
        <f>IF(C25,"Bili","")</f>
        <v/>
      </c>
      <c r="D25" t="str">
        <f>IF(E25,"Bili","")</f>
        <v/>
      </c>
      <c r="F25" t="str">
        <f>IF(G25,"Bili","")</f>
        <v/>
      </c>
      <c r="H25" t="str">
        <f>IF(I25,"Bili","")</f>
        <v/>
      </c>
      <c r="J25" t="str">
        <f>IF(K25,"Bili","")</f>
        <v/>
      </c>
      <c r="L25" t="str">
        <f>IF(M25,"Bili","")</f>
        <v/>
      </c>
      <c r="N25" t="str">
        <f>IF(O25,"Bili","")</f>
        <v/>
      </c>
      <c r="P25" t="str">
        <f>IF(Q25,"Bili","")</f>
        <v/>
      </c>
    </row>
    <row r="26" spans="2:16" x14ac:dyDescent="0.35">
      <c r="B26" t="str">
        <f>IF(C26,"PT","")</f>
        <v/>
      </c>
      <c r="D26" t="str">
        <f>IF(E26,"PT","")</f>
        <v/>
      </c>
      <c r="F26" t="str">
        <f>IF(G26,"PT","")</f>
        <v/>
      </c>
      <c r="H26" t="str">
        <f>IF(I26,"PT","")</f>
        <v/>
      </c>
      <c r="J26" t="str">
        <f>IF(K26,"PT","")</f>
        <v/>
      </c>
      <c r="L26" t="str">
        <f>IF(M26,"PT","")</f>
        <v/>
      </c>
      <c r="N26" t="str">
        <f>IF(O26,"PT","")</f>
        <v/>
      </c>
      <c r="P26" t="str">
        <f>IF(Q26,"PT","")</f>
        <v/>
      </c>
    </row>
    <row r="27" spans="2:16" x14ac:dyDescent="0.35">
      <c r="B27" t="str">
        <f>IF(C27,"APTT","")</f>
        <v/>
      </c>
      <c r="D27" t="str">
        <f>IF(E27,"APTT","")</f>
        <v/>
      </c>
      <c r="F27" t="str">
        <f>IF(G27,"APTT","")</f>
        <v/>
      </c>
      <c r="H27" t="str">
        <f>IF(I27,"APTT","")</f>
        <v/>
      </c>
      <c r="J27" t="str">
        <f>IF(K27,"APTT","")</f>
        <v/>
      </c>
      <c r="L27" t="str">
        <f>IF(M27,"APTT","")</f>
        <v/>
      </c>
      <c r="N27" t="str">
        <f>IF(O27,"APTT","")</f>
        <v/>
      </c>
      <c r="P27" t="str">
        <f>IF(Q27,"APTT","")</f>
        <v/>
      </c>
    </row>
    <row r="28" spans="2:16" x14ac:dyDescent="0.35">
      <c r="B28" t="str">
        <f>IF(C28,"BG","")</f>
        <v/>
      </c>
      <c r="D28" t="str">
        <f>IF(E28,"BG","")</f>
        <v/>
      </c>
      <c r="F28" t="str">
        <f>IF(G28,"BG","")</f>
        <v/>
      </c>
      <c r="H28" t="str">
        <f>IF(I28,"BG","")</f>
        <v/>
      </c>
      <c r="J28" t="str">
        <f>IF(K28,"BG","")</f>
        <v/>
      </c>
      <c r="L28" t="str">
        <f>IF(M28,"BG","")</f>
        <v/>
      </c>
      <c r="N28" t="str">
        <f>IF(O28,"BG","")</f>
        <v/>
      </c>
      <c r="P28" t="str">
        <f>IF(Q28,"BG","")</f>
        <v/>
      </c>
    </row>
    <row r="29" spans="2:16" x14ac:dyDescent="0.35">
      <c r="B29" t="str">
        <f>IF(C29,"TG","")</f>
        <v/>
      </c>
      <c r="D29" t="str">
        <f>IF(E29,"TG","")</f>
        <v/>
      </c>
      <c r="F29" t="str">
        <f>IF(G29,"TG","")</f>
        <v/>
      </c>
      <c r="H29" t="str">
        <f>IF(I29,"TG","")</f>
        <v/>
      </c>
      <c r="J29" t="str">
        <f>IF(K29,"TG","")</f>
        <v/>
      </c>
      <c r="L29" t="str">
        <f>IF(M29,"TG","")</f>
        <v/>
      </c>
      <c r="N29" t="str">
        <f>IF(O29,"TG","")</f>
        <v/>
      </c>
      <c r="P29" t="str">
        <f>IF(Q29,"TG","")</f>
        <v/>
      </c>
    </row>
    <row r="30" spans="2:16" x14ac:dyDescent="0.35">
      <c r="B30" t="str">
        <f>IF(C30,"CK","")</f>
        <v/>
      </c>
      <c r="D30" t="str">
        <f>IF(E30,"CK","")</f>
        <v/>
      </c>
      <c r="F30" t="str">
        <f>IF(G30,"CK","")</f>
        <v/>
      </c>
      <c r="H30" t="str">
        <f>IF(I30,"CK","")</f>
        <v/>
      </c>
      <c r="J30" t="str">
        <f>IF(K30,"CK","")</f>
        <v/>
      </c>
      <c r="L30" t="str">
        <f>IF(M30,"CK","")</f>
        <v/>
      </c>
      <c r="N30" t="str">
        <f>IF(O30,"CK","")</f>
        <v/>
      </c>
      <c r="P30" t="str">
        <f>IF(Q30,"CK","")</f>
        <v/>
      </c>
    </row>
    <row r="31" spans="2:16" x14ac:dyDescent="0.35">
      <c r="B31" t="str">
        <f>IF(C31,"INR","")</f>
        <v/>
      </c>
      <c r="D31" t="str">
        <f>IF(E31,"INR","")</f>
        <v/>
      </c>
      <c r="F31" t="str">
        <f>IF(G31,"INR","")</f>
        <v/>
      </c>
      <c r="H31" t="str">
        <f>IF(I31,"INR","")</f>
        <v/>
      </c>
      <c r="J31" t="str">
        <f>IF(K31,"INR","")</f>
        <v/>
      </c>
      <c r="L31" t="str">
        <f>IF(M31,"INR","")</f>
        <v/>
      </c>
      <c r="N31" t="str">
        <f>IF(O31,"INR","")</f>
        <v/>
      </c>
      <c r="P31" t="str">
        <f>IF(Q31,"INR","")</f>
        <v/>
      </c>
    </row>
  </sheetData>
  <phoneticPr fontId="26" type="noConversion"/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Lab">
    <outlinePr showOutlineSymbols="0"/>
    <pageSetUpPr autoPageBreaks="0"/>
  </sheetPr>
  <dimension ref="A1:Q33"/>
  <sheetViews>
    <sheetView showGridLines="0" showRowColHeaders="0" showZeros="0" showOutlineSymbols="0" zoomScale="85" workbookViewId="0">
      <selection activeCell="T8" sqref="T8"/>
    </sheetView>
  </sheetViews>
  <sheetFormatPr defaultColWidth="9.1328125" defaultRowHeight="12.85" x14ac:dyDescent="0.35"/>
  <cols>
    <col min="1" max="1" width="3.73046875" style="26" customWidth="1"/>
    <col min="2" max="9" width="10.73046875" style="26" customWidth="1"/>
    <col min="10" max="11" width="2.1328125" style="26" customWidth="1"/>
    <col min="12" max="14" width="10.73046875" style="26" customWidth="1"/>
    <col min="15" max="15" width="10.86328125" style="26" customWidth="1"/>
    <col min="16" max="17" width="10.73046875" style="26" customWidth="1"/>
    <col min="18" max="16384" width="9.1328125" style="26"/>
  </cols>
  <sheetData>
    <row r="1" spans="1:17" ht="11.25" customHeight="1" x14ac:dyDescent="0.4">
      <c r="A1" s="29"/>
      <c r="B1" s="304" t="s">
        <v>683</v>
      </c>
      <c r="C1" s="326"/>
      <c r="D1" s="339" t="s">
        <v>2162</v>
      </c>
      <c r="E1" s="326"/>
      <c r="F1" s="326"/>
      <c r="G1" s="29"/>
      <c r="H1" s="122"/>
      <c r="I1" s="29"/>
      <c r="J1" s="29"/>
    </row>
    <row r="2" spans="1:17" ht="13.2" x14ac:dyDescent="0.4">
      <c r="A2" s="29"/>
      <c r="B2" s="291"/>
    </row>
    <row r="3" spans="1:17" ht="18.75" customHeight="1" x14ac:dyDescent="0.4">
      <c r="A3" s="29"/>
      <c r="B3" s="317" t="s">
        <v>1870</v>
      </c>
      <c r="C3" s="251"/>
      <c r="D3" s="317" t="s">
        <v>2163</v>
      </c>
      <c r="E3" s="251"/>
      <c r="F3" s="317" t="s">
        <v>2164</v>
      </c>
      <c r="G3" s="251"/>
      <c r="H3" s="317" t="s">
        <v>687</v>
      </c>
      <c r="I3" s="251"/>
      <c r="J3" s="317"/>
      <c r="K3" s="251"/>
      <c r="L3" s="317" t="s">
        <v>69</v>
      </c>
      <c r="M3" s="251"/>
      <c r="N3" s="317" t="s">
        <v>70</v>
      </c>
      <c r="O3" s="251"/>
      <c r="P3" s="317" t="s">
        <v>71</v>
      </c>
      <c r="Q3" s="251"/>
    </row>
    <row r="4" spans="1:17" ht="26.3" customHeight="1" x14ac:dyDescent="0.35">
      <c r="B4" s="337"/>
      <c r="C4" s="338"/>
      <c r="D4" s="337"/>
      <c r="E4" s="337"/>
      <c r="F4" s="337"/>
      <c r="G4" s="337"/>
      <c r="H4" s="337"/>
      <c r="I4" s="337"/>
      <c r="J4" s="337"/>
      <c r="K4" s="337"/>
      <c r="L4" s="337"/>
      <c r="M4" s="337"/>
      <c r="N4" s="337"/>
      <c r="O4" s="337"/>
      <c r="P4" s="337"/>
      <c r="Q4" s="337"/>
    </row>
    <row r="5" spans="1:17" ht="26.3" customHeight="1" x14ac:dyDescent="0.35">
      <c r="B5" s="337"/>
      <c r="C5" s="338"/>
      <c r="D5" s="337"/>
      <c r="E5" s="337"/>
      <c r="F5" s="337"/>
      <c r="G5" s="337"/>
      <c r="H5" s="337"/>
      <c r="I5" s="337"/>
      <c r="J5" s="337"/>
      <c r="K5" s="337"/>
      <c r="L5" s="337"/>
      <c r="M5" s="337"/>
      <c r="N5" s="337"/>
      <c r="O5" s="337"/>
      <c r="P5" s="337"/>
      <c r="Q5" s="337"/>
    </row>
    <row r="6" spans="1:17" ht="26.3" customHeight="1" x14ac:dyDescent="0.35">
      <c r="B6" s="337"/>
      <c r="C6" s="338"/>
      <c r="D6" s="337"/>
      <c r="E6" s="337"/>
      <c r="F6" s="337"/>
      <c r="G6" s="337"/>
      <c r="H6" s="337"/>
      <c r="I6" s="337"/>
      <c r="J6" s="337"/>
      <c r="K6" s="337"/>
      <c r="L6" s="337"/>
      <c r="M6" s="337"/>
      <c r="N6" s="337"/>
      <c r="O6" s="337"/>
      <c r="P6" s="337"/>
      <c r="Q6" s="337"/>
    </row>
    <row r="7" spans="1:17" ht="26.3" customHeight="1" x14ac:dyDescent="0.35">
      <c r="B7" s="337"/>
      <c r="C7" s="338"/>
      <c r="D7" s="337"/>
      <c r="E7" s="337"/>
      <c r="F7" s="337"/>
      <c r="G7" s="337"/>
      <c r="H7" s="337"/>
      <c r="I7" s="337"/>
      <c r="J7" s="337"/>
      <c r="K7" s="337"/>
      <c r="L7" s="337"/>
      <c r="M7" s="337"/>
      <c r="N7" s="337"/>
      <c r="O7" s="337"/>
      <c r="P7" s="337"/>
      <c r="Q7" s="337"/>
    </row>
    <row r="8" spans="1:17" ht="26.3" customHeight="1" x14ac:dyDescent="0.35">
      <c r="B8" s="337"/>
      <c r="C8" s="338"/>
      <c r="D8" s="337"/>
      <c r="E8" s="337"/>
      <c r="F8" s="337"/>
      <c r="G8" s="337"/>
      <c r="H8" s="337"/>
      <c r="I8" s="337"/>
      <c r="J8" s="337"/>
      <c r="K8" s="337"/>
      <c r="L8" s="337"/>
      <c r="M8" s="337"/>
      <c r="N8" s="337"/>
      <c r="O8" s="337"/>
      <c r="P8" s="337"/>
      <c r="Q8" s="337"/>
    </row>
    <row r="9" spans="1:17" ht="26.3" customHeight="1" x14ac:dyDescent="0.35">
      <c r="B9" s="337"/>
      <c r="C9" s="338"/>
      <c r="D9" s="337"/>
      <c r="E9" s="337"/>
      <c r="F9" s="337"/>
      <c r="G9" s="337"/>
      <c r="H9" s="337"/>
      <c r="I9" s="337"/>
      <c r="J9" s="337"/>
      <c r="K9" s="337"/>
      <c r="L9" s="337"/>
      <c r="M9" s="337"/>
      <c r="N9" s="337"/>
      <c r="O9" s="337"/>
      <c r="P9" s="337"/>
      <c r="Q9" s="337"/>
    </row>
    <row r="10" spans="1:17" ht="26.3" customHeight="1" x14ac:dyDescent="0.35">
      <c r="B10" s="337"/>
      <c r="C10" s="338"/>
      <c r="D10" s="337"/>
      <c r="E10" s="337"/>
      <c r="F10" s="337"/>
      <c r="G10" s="337"/>
      <c r="H10" s="337"/>
      <c r="I10" s="337"/>
      <c r="J10" s="337"/>
      <c r="K10" s="337"/>
      <c r="L10" s="337"/>
      <c r="M10" s="337"/>
      <c r="N10" s="337"/>
      <c r="O10" s="337"/>
      <c r="P10" s="337"/>
      <c r="Q10" s="337"/>
    </row>
    <row r="11" spans="1:17" ht="26.3" customHeight="1" x14ac:dyDescent="0.35">
      <c r="B11" s="337"/>
      <c r="C11" s="338"/>
      <c r="D11" s="337"/>
      <c r="E11" s="337"/>
      <c r="F11" s="337"/>
      <c r="G11" s="337"/>
      <c r="H11" s="337"/>
      <c r="I11" s="337"/>
      <c r="J11" s="337"/>
      <c r="K11" s="337"/>
      <c r="L11" s="337"/>
      <c r="M11" s="337"/>
      <c r="N11" s="337"/>
      <c r="O11" s="337"/>
      <c r="P11" s="337"/>
      <c r="Q11" s="337"/>
    </row>
    <row r="12" spans="1:17" ht="26.3" customHeight="1" x14ac:dyDescent="0.35">
      <c r="B12" s="337"/>
      <c r="C12" s="338"/>
      <c r="D12" s="337"/>
      <c r="E12" s="337"/>
      <c r="F12" s="337"/>
      <c r="G12" s="337"/>
      <c r="H12" s="337"/>
      <c r="I12" s="337"/>
      <c r="J12" s="337"/>
      <c r="K12" s="337"/>
      <c r="L12" s="337"/>
      <c r="M12" s="337"/>
      <c r="N12" s="337"/>
      <c r="O12" s="337"/>
      <c r="P12" s="337"/>
      <c r="Q12" s="337"/>
    </row>
    <row r="13" spans="1:17" ht="26.3" customHeight="1" x14ac:dyDescent="0.35">
      <c r="B13" s="337"/>
      <c r="C13" s="338"/>
      <c r="D13" s="337"/>
      <c r="E13" s="337"/>
      <c r="F13" s="337"/>
      <c r="G13" s="337"/>
      <c r="H13" s="337"/>
      <c r="I13" s="337"/>
      <c r="J13" s="337"/>
      <c r="K13" s="337"/>
      <c r="L13" s="337"/>
      <c r="M13" s="337"/>
      <c r="N13" s="337"/>
      <c r="O13" s="337"/>
      <c r="P13" s="337"/>
      <c r="Q13" s="337"/>
    </row>
    <row r="14" spans="1:17" ht="26.3" customHeight="1" x14ac:dyDescent="0.35">
      <c r="B14" s="337"/>
      <c r="C14" s="338"/>
      <c r="D14" s="337"/>
      <c r="E14" s="337"/>
      <c r="F14" s="337"/>
      <c r="G14" s="337"/>
      <c r="H14" s="337"/>
      <c r="I14" s="337"/>
      <c r="J14" s="337"/>
      <c r="K14" s="337"/>
      <c r="L14" s="337"/>
      <c r="M14" s="337"/>
      <c r="N14" s="337"/>
      <c r="O14" s="337"/>
      <c r="P14" s="337"/>
      <c r="Q14" s="337"/>
    </row>
    <row r="15" spans="1:17" ht="26.3" customHeight="1" x14ac:dyDescent="0.35">
      <c r="B15" s="337"/>
      <c r="C15" s="338"/>
      <c r="D15" s="337"/>
      <c r="E15" s="337"/>
      <c r="F15" s="337"/>
      <c r="G15" s="337"/>
      <c r="H15" s="337"/>
      <c r="I15" s="337"/>
      <c r="J15" s="337"/>
      <c r="K15" s="337"/>
      <c r="L15" s="337"/>
      <c r="M15" s="337"/>
      <c r="N15" s="337"/>
      <c r="O15" s="337"/>
      <c r="P15" s="337"/>
      <c r="Q15" s="337"/>
    </row>
    <row r="16" spans="1:17" ht="26.3" customHeight="1" x14ac:dyDescent="0.35">
      <c r="B16" s="337"/>
      <c r="C16" s="338"/>
      <c r="D16" s="337"/>
      <c r="E16" s="337"/>
      <c r="F16" s="337"/>
      <c r="G16" s="337"/>
      <c r="H16" s="337"/>
      <c r="I16" s="337"/>
      <c r="J16" s="337"/>
      <c r="K16" s="337"/>
      <c r="L16" s="337"/>
      <c r="M16" s="337"/>
      <c r="N16" s="337"/>
      <c r="O16" s="337"/>
      <c r="P16" s="337"/>
      <c r="Q16" s="337"/>
    </row>
    <row r="17" spans="2:17" ht="26.3" customHeight="1" x14ac:dyDescent="0.35">
      <c r="B17" s="337"/>
      <c r="C17" s="338"/>
      <c r="D17" s="337"/>
      <c r="E17" s="337"/>
      <c r="F17" s="337"/>
      <c r="G17" s="337"/>
      <c r="H17" s="337"/>
      <c r="I17" s="337"/>
      <c r="J17" s="337"/>
      <c r="K17" s="337"/>
      <c r="L17" s="337"/>
      <c r="M17" s="337"/>
      <c r="N17" s="337"/>
      <c r="O17" s="337"/>
      <c r="P17" s="337"/>
      <c r="Q17" s="337"/>
    </row>
    <row r="18" spans="2:17" ht="26.3" customHeight="1" x14ac:dyDescent="0.35">
      <c r="B18" s="337"/>
      <c r="C18" s="338"/>
      <c r="D18" s="337"/>
      <c r="E18" s="337"/>
      <c r="F18" s="337"/>
      <c r="G18" s="337"/>
      <c r="H18" s="337"/>
      <c r="I18" s="337"/>
      <c r="J18" s="337"/>
      <c r="K18" s="337"/>
      <c r="L18" s="337"/>
      <c r="M18" s="337"/>
      <c r="N18" s="337"/>
      <c r="O18" s="337"/>
      <c r="P18" s="337"/>
      <c r="Q18" s="337"/>
    </row>
    <row r="19" spans="2:17" ht="26.3" customHeight="1" x14ac:dyDescent="0.35">
      <c r="B19" s="337"/>
      <c r="C19" s="338"/>
      <c r="D19" s="337"/>
      <c r="E19" s="337"/>
      <c r="F19" s="337"/>
      <c r="G19" s="337"/>
      <c r="H19" s="337"/>
      <c r="I19" s="337"/>
      <c r="J19" s="337"/>
      <c r="K19" s="337"/>
      <c r="L19" s="337"/>
      <c r="M19" s="337"/>
      <c r="N19" s="337"/>
      <c r="O19" s="337"/>
      <c r="P19" s="337"/>
      <c r="Q19" s="337"/>
    </row>
    <row r="20" spans="2:17" ht="26.3" customHeight="1" x14ac:dyDescent="0.35">
      <c r="B20" s="337"/>
      <c r="C20" s="338"/>
      <c r="D20" s="337"/>
      <c r="E20" s="337"/>
      <c r="F20" s="337"/>
      <c r="G20" s="337"/>
      <c r="H20" s="337"/>
      <c r="I20" s="337"/>
      <c r="J20" s="337"/>
      <c r="K20" s="337"/>
      <c r="L20" s="337"/>
      <c r="M20" s="337"/>
      <c r="N20" s="337"/>
      <c r="O20" s="337"/>
      <c r="P20" s="337"/>
      <c r="Q20" s="337"/>
    </row>
    <row r="21" spans="2:17" ht="26.3" customHeight="1" x14ac:dyDescent="0.35">
      <c r="B21" s="337"/>
      <c r="C21" s="338"/>
      <c r="D21" s="337"/>
      <c r="E21" s="337"/>
      <c r="F21" s="337"/>
      <c r="G21" s="337"/>
      <c r="H21" s="337"/>
      <c r="I21" s="337"/>
      <c r="J21" s="337"/>
      <c r="K21" s="337"/>
      <c r="L21" s="337"/>
      <c r="M21" s="337"/>
      <c r="N21" s="337"/>
      <c r="O21" s="337"/>
      <c r="P21" s="337"/>
      <c r="Q21" s="337"/>
    </row>
    <row r="22" spans="2:17" ht="26.3" customHeight="1" x14ac:dyDescent="0.35">
      <c r="B22" s="337"/>
      <c r="C22" s="338"/>
      <c r="D22" s="337"/>
      <c r="E22" s="337"/>
      <c r="F22" s="337"/>
      <c r="G22" s="337"/>
      <c r="H22" s="337"/>
      <c r="I22" s="337"/>
      <c r="J22" s="337"/>
      <c r="K22" s="337"/>
      <c r="L22" s="337"/>
      <c r="M22" s="337"/>
      <c r="N22" s="337"/>
      <c r="O22" s="337"/>
      <c r="P22" s="337"/>
      <c r="Q22" s="337"/>
    </row>
    <row r="23" spans="2:17" ht="26.3" customHeight="1" x14ac:dyDescent="0.35">
      <c r="B23" s="337"/>
      <c r="C23" s="338"/>
      <c r="D23" s="337"/>
      <c r="E23" s="337"/>
      <c r="F23" s="337"/>
      <c r="G23" s="337"/>
      <c r="H23" s="337"/>
      <c r="I23" s="337"/>
      <c r="J23" s="337"/>
      <c r="K23" s="337"/>
      <c r="L23" s="337"/>
      <c r="M23" s="337"/>
      <c r="N23" s="337"/>
      <c r="O23" s="337"/>
      <c r="P23" s="337"/>
      <c r="Q23" s="337"/>
    </row>
    <row r="24" spans="2:17" ht="26.3" customHeight="1" x14ac:dyDescent="0.35">
      <c r="B24" s="337"/>
      <c r="C24" s="338"/>
      <c r="D24" s="337"/>
      <c r="E24" s="337"/>
      <c r="F24" s="337"/>
      <c r="G24" s="337"/>
      <c r="H24" s="337"/>
      <c r="I24" s="337"/>
      <c r="J24" s="337"/>
      <c r="K24" s="337"/>
      <c r="L24" s="337"/>
      <c r="M24" s="337"/>
      <c r="N24" s="337"/>
      <c r="O24" s="337"/>
      <c r="P24" s="337"/>
      <c r="Q24" s="337"/>
    </row>
    <row r="25" spans="2:17" ht="26.3" customHeight="1" x14ac:dyDescent="0.35">
      <c r="B25" s="337"/>
      <c r="C25" s="338"/>
      <c r="D25" s="337"/>
      <c r="E25" s="337"/>
      <c r="F25" s="337"/>
      <c r="G25" s="337"/>
      <c r="H25" s="337"/>
      <c r="I25" s="337"/>
      <c r="J25" s="337"/>
      <c r="K25" s="337"/>
      <c r="L25" s="337"/>
      <c r="M25" s="337"/>
      <c r="N25" s="337"/>
      <c r="O25" s="337"/>
      <c r="P25" s="337"/>
      <c r="Q25" s="337"/>
    </row>
    <row r="26" spans="2:17" ht="26.3" customHeight="1" x14ac:dyDescent="0.35">
      <c r="B26" s="337"/>
      <c r="C26" s="338"/>
      <c r="D26" s="337"/>
      <c r="E26" s="337"/>
      <c r="F26" s="337"/>
      <c r="G26" s="337"/>
      <c r="H26" s="337"/>
      <c r="I26" s="337"/>
      <c r="J26" s="337"/>
      <c r="K26" s="337"/>
      <c r="L26" s="337"/>
      <c r="M26" s="337"/>
      <c r="N26" s="337"/>
      <c r="O26" s="337"/>
      <c r="P26" s="337"/>
      <c r="Q26" s="337"/>
    </row>
    <row r="27" spans="2:17" ht="26.3" customHeight="1" x14ac:dyDescent="0.35">
      <c r="B27" s="337"/>
      <c r="C27" s="338"/>
      <c r="D27" s="337"/>
      <c r="E27" s="337"/>
      <c r="F27" s="337"/>
      <c r="G27" s="337"/>
      <c r="H27" s="337"/>
      <c r="I27" s="337"/>
      <c r="J27" s="337"/>
      <c r="K27" s="337"/>
      <c r="L27" s="337"/>
      <c r="M27" s="337"/>
      <c r="N27" s="337"/>
      <c r="O27" s="337"/>
      <c r="P27" s="337"/>
      <c r="Q27" s="337"/>
    </row>
    <row r="28" spans="2:17" ht="26.3" customHeight="1" x14ac:dyDescent="0.35">
      <c r="B28" s="337"/>
      <c r="C28" s="338"/>
      <c r="D28" s="337"/>
      <c r="E28" s="337"/>
      <c r="F28" s="337"/>
      <c r="G28" s="337"/>
      <c r="H28" s="337"/>
      <c r="I28" s="337"/>
      <c r="J28" s="337"/>
      <c r="K28" s="337"/>
      <c r="L28" s="337"/>
      <c r="M28" s="337"/>
      <c r="N28" s="337"/>
      <c r="O28" s="337"/>
      <c r="P28" s="337"/>
      <c r="Q28" s="337"/>
    </row>
    <row r="29" spans="2:17" ht="26.3" customHeight="1" x14ac:dyDescent="0.35">
      <c r="B29" s="337"/>
      <c r="C29" s="338"/>
      <c r="D29" s="337"/>
      <c r="E29" s="337"/>
      <c r="F29" s="337"/>
      <c r="G29" s="337"/>
      <c r="H29" s="337"/>
      <c r="I29" s="337"/>
      <c r="J29" s="337"/>
      <c r="K29" s="337"/>
      <c r="L29" s="337"/>
      <c r="M29" s="337"/>
      <c r="N29" s="337"/>
      <c r="O29" s="337"/>
      <c r="P29" s="337"/>
      <c r="Q29" s="337"/>
    </row>
    <row r="30" spans="2:17" ht="26.3" customHeight="1" x14ac:dyDescent="0.35">
      <c r="B30" s="337"/>
      <c r="C30" s="338"/>
      <c r="D30" s="337"/>
      <c r="E30" s="337"/>
      <c r="F30" s="337"/>
      <c r="G30" s="337"/>
      <c r="H30" s="337"/>
      <c r="I30" s="337"/>
      <c r="J30" s="337"/>
      <c r="K30" s="337"/>
      <c r="L30" s="337"/>
      <c r="M30" s="337"/>
      <c r="N30" s="337"/>
      <c r="O30" s="337"/>
      <c r="P30" s="337"/>
      <c r="Q30" s="337"/>
    </row>
    <row r="33" spans="2:3" x14ac:dyDescent="0.35">
      <c r="B33" s="215" t="s">
        <v>1377</v>
      </c>
      <c r="C33" s="26">
        <f>opmAfsprBlad__9</f>
        <v>0</v>
      </c>
    </row>
  </sheetData>
  <sheetProtection algorithmName="SHA-512" hashValue="7Z5kixr6zPbK7NCbpurMSWeTwDxgtA5wcj9Nw0ZSpS2WtD0GCfFHPj6v+r45TZvkEcnSR0QvMb3Iic4zluhTRQ==" saltValue="GnpoBaxmPgLDIOL8yUcAjQ==" spinCount="100000" sheet="1" objects="1" scenarios="1" selectLockedCells="1" selectUnlockedCells="1"/>
  <phoneticPr fontId="26" type="noConversion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3</xdr:row>
                    <xdr:rowOff>0</xdr:rowOff>
                  </from>
                  <to>
                    <xdr:col>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4</xdr:row>
                    <xdr:rowOff>0</xdr:rowOff>
                  </from>
                  <to>
                    <xdr:col>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6</xdr:row>
                    <xdr:rowOff>0</xdr:rowOff>
                  </from>
                  <to>
                    <xdr:col>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7</xdr:row>
                    <xdr:rowOff>0</xdr:rowOff>
                  </from>
                  <to>
                    <xdr:col>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12</xdr:row>
                    <xdr:rowOff>0</xdr:rowOff>
                  </from>
                  <to>
                    <xdr:col>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10</xdr:row>
                    <xdr:rowOff>0</xdr:rowOff>
                  </from>
                  <to>
                    <xdr:col>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19150</xdr:rowOff>
                  </from>
                  <to>
                    <xdr:col>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3</xdr:row>
                    <xdr:rowOff>0</xdr:rowOff>
                  </from>
                  <to>
                    <xdr:col>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4</xdr:row>
                    <xdr:rowOff>0</xdr:rowOff>
                  </from>
                  <to>
                    <xdr:col>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6</xdr:row>
                    <xdr:rowOff>0</xdr:rowOff>
                  </from>
                  <to>
                    <xdr:col>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7</xdr:row>
                    <xdr:rowOff>0</xdr:rowOff>
                  </from>
                  <to>
                    <xdr:col>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12</xdr:row>
                    <xdr:rowOff>0</xdr:rowOff>
                  </from>
                  <to>
                    <xdr:col>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10</xdr:row>
                    <xdr:rowOff>0</xdr:rowOff>
                  </from>
                  <to>
                    <xdr:col>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19150</xdr:rowOff>
                  </from>
                  <to>
                    <xdr:col>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3</xdr:row>
                    <xdr:rowOff>0</xdr:rowOff>
                  </from>
                  <to>
                    <xdr:col>8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4</xdr:row>
                    <xdr:rowOff>0</xdr:rowOff>
                  </from>
                  <to>
                    <xdr:col>8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6</xdr:row>
                    <xdr:rowOff>0</xdr:rowOff>
                  </from>
                  <to>
                    <xdr:col>8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7</xdr:row>
                    <xdr:rowOff>0</xdr:rowOff>
                  </from>
                  <to>
                    <xdr:col>8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12</xdr:row>
                    <xdr:rowOff>0</xdr:rowOff>
                  </from>
                  <to>
                    <xdr:col>8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10</xdr:row>
                    <xdr:rowOff>0</xdr:rowOff>
                  </from>
                  <to>
                    <xdr:col>8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19150</xdr:rowOff>
                  </from>
                  <to>
                    <xdr:col>8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3" name="Check Box 63">
              <controlPr defaultSize="0" autoFill="0" autoLine="0" autoPict="0">
                <anchor moveWithCells="1">
                  <from>
                    <xdr:col>11</xdr:col>
                    <xdr:colOff>47874</xdr:colOff>
                    <xdr:row>3</xdr:row>
                    <xdr:rowOff>0</xdr:rowOff>
                  </from>
                  <to>
                    <xdr:col>12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4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4</xdr:row>
                    <xdr:rowOff>0</xdr:rowOff>
                  </from>
                  <to>
                    <xdr:col>12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5" name="Check Box 65">
              <controlPr defaultSize="0" autoFill="0" autoLine="0" autoPict="0">
                <anchor moveWithCells="1">
                  <from>
                    <xdr:col>11</xdr:col>
                    <xdr:colOff>47874</xdr:colOff>
                    <xdr:row>6</xdr:row>
                    <xdr:rowOff>0</xdr:rowOff>
                  </from>
                  <to>
                    <xdr:col>12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4" r:id="rId46" name="Check Box 66">
              <controlPr defaultSize="0" autoFill="0" autoLine="0" autoPict="0">
                <anchor moveWithCells="1">
                  <from>
                    <xdr:col>11</xdr:col>
                    <xdr:colOff>47874</xdr:colOff>
                    <xdr:row>7</xdr:row>
                    <xdr:rowOff>0</xdr:rowOff>
                  </from>
                  <to>
                    <xdr:col>12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47" name="Check Box 67">
              <controlPr defaultSize="0" autoFill="0" autoLine="0" autoPict="0">
                <anchor moveWithCells="1">
                  <from>
                    <xdr:col>11</xdr:col>
                    <xdr:colOff>38299</xdr:colOff>
                    <xdr:row>12</xdr:row>
                    <xdr:rowOff>0</xdr:rowOff>
                  </from>
                  <to>
                    <xdr:col>12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8" name="Check Box 68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9" name="Check Box 6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50" name="Check Box 70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1" name="Check Box 7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2" name="Check Box 72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3" name="Check Box 73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4" name="Check Box 74">
              <controlPr defaultSize="0" autoFill="0" autoLine="0" autoPict="0">
                <anchor moveWithCells="1">
                  <from>
                    <xdr:col>11</xdr:col>
                    <xdr:colOff>38299</xdr:colOff>
                    <xdr:row>10</xdr:row>
                    <xdr:rowOff>0</xdr:rowOff>
                  </from>
                  <to>
                    <xdr:col>12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55" name="Check Box 75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19150</xdr:rowOff>
                  </from>
                  <to>
                    <xdr:col>12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4" r:id="rId56" name="Check Box 76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19150</xdr:rowOff>
                  </from>
                  <to>
                    <xdr:col>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57" name="Check Box 77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19150</xdr:rowOff>
                  </from>
                  <to>
                    <xdr:col>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58" name="Check Box 78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19150</xdr:rowOff>
                  </from>
                  <to>
                    <xdr:col>8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8" r:id="rId59" name="Check Box 8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19150</xdr:rowOff>
                  </from>
                  <to>
                    <xdr:col>12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60" name="Check Box 81">
              <controlPr defaultSize="0" autoFill="0" autoLine="0" autoPict="0">
                <anchor moveWithCells="1">
                  <from>
                    <xdr:col>1</xdr:col>
                    <xdr:colOff>47874</xdr:colOff>
                    <xdr:row>5</xdr:row>
                    <xdr:rowOff>0</xdr:rowOff>
                  </from>
                  <to>
                    <xdr:col>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61" name="Check Box 82">
              <controlPr defaultSize="0" autoFill="0" autoLine="0" autoPict="0">
                <anchor moveWithCells="1">
                  <from>
                    <xdr:col>5</xdr:col>
                    <xdr:colOff>47874</xdr:colOff>
                    <xdr:row>5</xdr:row>
                    <xdr:rowOff>0</xdr:rowOff>
                  </from>
                  <to>
                    <xdr:col>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1" r:id="rId62" name="Check Box 83">
              <controlPr defaultSize="0" autoFill="0" autoLine="0" autoPict="0">
                <anchor moveWithCells="1">
                  <from>
                    <xdr:col>7</xdr:col>
                    <xdr:colOff>47874</xdr:colOff>
                    <xdr:row>5</xdr:row>
                    <xdr:rowOff>0</xdr:rowOff>
                  </from>
                  <to>
                    <xdr:col>8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63" name="Check Box 85">
              <controlPr defaultSize="0" autoFill="0" autoLine="0" autoPict="0">
                <anchor moveWithCells="1">
                  <from>
                    <xdr:col>11</xdr:col>
                    <xdr:colOff>47874</xdr:colOff>
                    <xdr:row>5</xdr:row>
                    <xdr:rowOff>0</xdr:rowOff>
                  </from>
                  <to>
                    <xdr:col>12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64" name="Check Box 86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5" r:id="rId65" name="Check Box 87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6" r:id="rId66" name="Check Box 88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8" r:id="rId67" name="Check Box 9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5" r:id="rId68" name="Check Box 107">
              <controlPr defaultSize="0" autoFill="0" autoLine="0" autoPict="0">
                <anchor moveWithCells="1">
                  <from>
                    <xdr:col>3</xdr:col>
                    <xdr:colOff>47874</xdr:colOff>
                    <xdr:row>3</xdr:row>
                    <xdr:rowOff>0</xdr:rowOff>
                  </from>
                  <to>
                    <xdr:col>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6" r:id="rId69" name="Check Box 108">
              <controlPr defaultSize="0" autoFill="0" autoLine="0" autoPict="0">
                <anchor moveWithCells="1">
                  <from>
                    <xdr:col>3</xdr:col>
                    <xdr:colOff>47874</xdr:colOff>
                    <xdr:row>4</xdr:row>
                    <xdr:rowOff>0</xdr:rowOff>
                  </from>
                  <to>
                    <xdr:col>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7" r:id="rId70" name="Check Box 109">
              <controlPr defaultSize="0" autoFill="0" autoLine="0" autoPict="0">
                <anchor moveWithCells="1">
                  <from>
                    <xdr:col>3</xdr:col>
                    <xdr:colOff>47874</xdr:colOff>
                    <xdr:row>6</xdr:row>
                    <xdr:rowOff>0</xdr:rowOff>
                  </from>
                  <to>
                    <xdr:col>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8" r:id="rId71" name="Check Box 110">
              <controlPr defaultSize="0" autoFill="0" autoLine="0" autoPict="0">
                <anchor moveWithCells="1">
                  <from>
                    <xdr:col>3</xdr:col>
                    <xdr:colOff>47874</xdr:colOff>
                    <xdr:row>7</xdr:row>
                    <xdr:rowOff>0</xdr:rowOff>
                  </from>
                  <to>
                    <xdr:col>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9" r:id="rId72" name="Check Box 111">
              <controlPr defaultSize="0" autoFill="0" autoLine="0" autoPict="0">
                <anchor moveWithCells="1">
                  <from>
                    <xdr:col>3</xdr:col>
                    <xdr:colOff>38299</xdr:colOff>
                    <xdr:row>12</xdr:row>
                    <xdr:rowOff>0</xdr:rowOff>
                  </from>
                  <to>
                    <xdr:col>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0" r:id="rId73" name="Check Box 112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1" r:id="rId74" name="Check Box 11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2" r:id="rId75" name="Check Box 114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3" r:id="rId76" name="Check Box 115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4" r:id="rId77" name="Check Box 116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5" r:id="rId7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6" r:id="rId79" name="Check Box 118">
              <controlPr defaultSize="0" autoFill="0" autoLine="0" autoPict="0">
                <anchor moveWithCells="1">
                  <from>
                    <xdr:col>3</xdr:col>
                    <xdr:colOff>38299</xdr:colOff>
                    <xdr:row>10</xdr:row>
                    <xdr:rowOff>0</xdr:rowOff>
                  </from>
                  <to>
                    <xdr:col>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7" r:id="rId80" name="Check Box 119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19150</xdr:rowOff>
                  </from>
                  <to>
                    <xdr:col>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8" r:id="rId81" name="Check Box 120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19150</xdr:rowOff>
                  </from>
                  <to>
                    <xdr:col>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9" r:id="rId82" name="Check Box 121">
              <controlPr defaultSize="0" autoFill="0" autoLine="0" autoPict="0">
                <anchor moveWithCells="1">
                  <from>
                    <xdr:col>3</xdr:col>
                    <xdr:colOff>47874</xdr:colOff>
                    <xdr:row>5</xdr:row>
                    <xdr:rowOff>0</xdr:rowOff>
                  </from>
                  <to>
                    <xdr:col>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0" r:id="rId83" name="Check Box 122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4" r:id="rId84" name="Check Box 126">
              <controlPr defaultSize="0" autoFill="0" autoLine="0" autoPict="0">
                <anchor moveWithCells="1">
                  <from>
                    <xdr:col>13</xdr:col>
                    <xdr:colOff>47874</xdr:colOff>
                    <xdr:row>3</xdr:row>
                    <xdr:rowOff>0</xdr:rowOff>
                  </from>
                  <to>
                    <xdr:col>14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5" r:id="rId85" name="Check Box 127">
              <controlPr defaultSize="0" autoFill="0" autoLine="0" autoPict="0">
                <anchor moveWithCells="1">
                  <from>
                    <xdr:col>13</xdr:col>
                    <xdr:colOff>47874</xdr:colOff>
                    <xdr:row>4</xdr:row>
                    <xdr:rowOff>0</xdr:rowOff>
                  </from>
                  <to>
                    <xdr:col>14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6" r:id="rId86" name="Check Box 128">
              <controlPr defaultSize="0" autoFill="0" autoLine="0" autoPict="0">
                <anchor moveWithCells="1">
                  <from>
                    <xdr:col>13</xdr:col>
                    <xdr:colOff>47874</xdr:colOff>
                    <xdr:row>6</xdr:row>
                    <xdr:rowOff>0</xdr:rowOff>
                  </from>
                  <to>
                    <xdr:col>14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7" r:id="rId87" name="Check Box 129">
              <controlPr defaultSize="0" autoFill="0" autoLine="0" autoPict="0">
                <anchor moveWithCells="1">
                  <from>
                    <xdr:col>13</xdr:col>
                    <xdr:colOff>47874</xdr:colOff>
                    <xdr:row>7</xdr:row>
                    <xdr:rowOff>0</xdr:rowOff>
                  </from>
                  <to>
                    <xdr:col>14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8" r:id="rId88" name="Check Box 130">
              <controlPr defaultSize="0" autoFill="0" autoLine="0" autoPict="0">
                <anchor moveWithCells="1">
                  <from>
                    <xdr:col>13</xdr:col>
                    <xdr:colOff>38299</xdr:colOff>
                    <xdr:row>12</xdr:row>
                    <xdr:rowOff>0</xdr:rowOff>
                  </from>
                  <to>
                    <xdr:col>14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9" r:id="rId89" name="Check Box 131">
              <controlPr defaultSize="0" autoFill="0" autoLine="0" autoPict="0">
                <anchor moveWithCells="1">
                  <from>
                    <xdr:col>13</xdr:col>
                    <xdr:colOff>47874</xdr:colOff>
                    <xdr:row>11</xdr:row>
                    <xdr:rowOff>0</xdr:rowOff>
                  </from>
                  <to>
                    <xdr:col>14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0" r:id="rId90" name="Check Box 132">
              <controlPr defaultSize="0" autoFill="0" autoLine="0" autoPict="0">
                <anchor moveWithCells="1">
                  <from>
                    <xdr:col>13</xdr:col>
                    <xdr:colOff>47874</xdr:colOff>
                    <xdr:row>25</xdr:row>
                    <xdr:rowOff>0</xdr:rowOff>
                  </from>
                  <to>
                    <xdr:col>14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1" r:id="rId91" name="Check Box 133">
              <controlPr defaultSize="0" autoFill="0" autoLine="0" autoPict="0">
                <anchor moveWithCells="1">
                  <from>
                    <xdr:col>13</xdr:col>
                    <xdr:colOff>47874</xdr:colOff>
                    <xdr:row>14</xdr:row>
                    <xdr:rowOff>0</xdr:rowOff>
                  </from>
                  <to>
                    <xdr:col>14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2" r:id="rId92" name="Check Box 134">
              <controlPr defaultSize="0" autoFill="0" autoLine="0" autoPict="0">
                <anchor moveWithCells="1">
                  <from>
                    <xdr:col>13</xdr:col>
                    <xdr:colOff>47874</xdr:colOff>
                    <xdr:row>16</xdr:row>
                    <xdr:rowOff>0</xdr:rowOff>
                  </from>
                  <to>
                    <xdr:col>14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3" r:id="rId93" name="Check Box 135">
              <controlPr defaultSize="0" autoFill="0" autoLine="0" autoPict="0">
                <anchor moveWithCells="1">
                  <from>
                    <xdr:col>13</xdr:col>
                    <xdr:colOff>47874</xdr:colOff>
                    <xdr:row>17</xdr:row>
                    <xdr:rowOff>0</xdr:rowOff>
                  </from>
                  <to>
                    <xdr:col>14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4" r:id="rId94" name="Check Box 136">
              <controlPr defaultSize="0" autoFill="0" autoLine="0" autoPict="0">
                <anchor moveWithCells="1">
                  <from>
                    <xdr:col>13</xdr:col>
                    <xdr:colOff>47874</xdr:colOff>
                    <xdr:row>18</xdr:row>
                    <xdr:rowOff>0</xdr:rowOff>
                  </from>
                  <to>
                    <xdr:col>14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5" r:id="rId95" name="Check Box 137">
              <controlPr defaultSize="0" autoFill="0" autoLine="0" autoPict="0">
                <anchor moveWithCells="1">
                  <from>
                    <xdr:col>13</xdr:col>
                    <xdr:colOff>38299</xdr:colOff>
                    <xdr:row>10</xdr:row>
                    <xdr:rowOff>0</xdr:rowOff>
                  </from>
                  <to>
                    <xdr:col>14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6" r:id="rId96" name="Check Box 138">
              <controlPr defaultSize="0" autoFill="0" autoLine="0" autoPict="0">
                <anchor moveWithCells="1">
                  <from>
                    <xdr:col>13</xdr:col>
                    <xdr:colOff>47874</xdr:colOff>
                    <xdr:row>26</xdr:row>
                    <xdr:rowOff>19150</xdr:rowOff>
                  </from>
                  <to>
                    <xdr:col>14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7" r:id="rId97" name="Check Box 139">
              <controlPr defaultSize="0" autoFill="0" autoLine="0" autoPict="0">
                <anchor moveWithCells="1">
                  <from>
                    <xdr:col>13</xdr:col>
                    <xdr:colOff>47874</xdr:colOff>
                    <xdr:row>27</xdr:row>
                    <xdr:rowOff>19150</xdr:rowOff>
                  </from>
                  <to>
                    <xdr:col>14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8" r:id="rId98" name="Check Box 140">
              <controlPr defaultSize="0" autoFill="0" autoLine="0" autoPict="0">
                <anchor moveWithCells="1">
                  <from>
                    <xdr:col>13</xdr:col>
                    <xdr:colOff>47874</xdr:colOff>
                    <xdr:row>5</xdr:row>
                    <xdr:rowOff>0</xdr:rowOff>
                  </from>
                  <to>
                    <xdr:col>14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9" r:id="rId99" name="Check Box 141">
              <controlPr defaultSize="0" autoFill="0" autoLine="0" autoPict="0">
                <anchor moveWithCells="1">
                  <from>
                    <xdr:col>13</xdr:col>
                    <xdr:colOff>47874</xdr:colOff>
                    <xdr:row>15</xdr:row>
                    <xdr:rowOff>0</xdr:rowOff>
                  </from>
                  <to>
                    <xdr:col>14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0" r:id="rId100" name="Check Box 142">
              <controlPr defaultSize="0" autoFill="0" autoLine="0" autoPict="0">
                <anchor moveWithCells="1">
                  <from>
                    <xdr:col>15</xdr:col>
                    <xdr:colOff>47874</xdr:colOff>
                    <xdr:row>3</xdr:row>
                    <xdr:rowOff>0</xdr:rowOff>
                  </from>
                  <to>
                    <xdr:col>16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1" r:id="rId101" name="Check Box 143">
              <controlPr defaultSize="0" autoFill="0" autoLine="0" autoPict="0">
                <anchor moveWithCells="1">
                  <from>
                    <xdr:col>15</xdr:col>
                    <xdr:colOff>47874</xdr:colOff>
                    <xdr:row>4</xdr:row>
                    <xdr:rowOff>0</xdr:rowOff>
                  </from>
                  <to>
                    <xdr:col>16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2" r:id="rId102" name="Check Box 144">
              <controlPr defaultSize="0" autoFill="0" autoLine="0" autoPict="0">
                <anchor moveWithCells="1">
                  <from>
                    <xdr:col>15</xdr:col>
                    <xdr:colOff>47874</xdr:colOff>
                    <xdr:row>6</xdr:row>
                    <xdr:rowOff>0</xdr:rowOff>
                  </from>
                  <to>
                    <xdr:col>16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3" r:id="rId103" name="Check Box 145">
              <controlPr defaultSize="0" autoFill="0" autoLine="0" autoPict="0">
                <anchor moveWithCells="1">
                  <from>
                    <xdr:col>15</xdr:col>
                    <xdr:colOff>47874</xdr:colOff>
                    <xdr:row>7</xdr:row>
                    <xdr:rowOff>0</xdr:rowOff>
                  </from>
                  <to>
                    <xdr:col>16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4" r:id="rId104" name="Check Box 146">
              <controlPr defaultSize="0" autoFill="0" autoLine="0" autoPict="0">
                <anchor moveWithCells="1">
                  <from>
                    <xdr:col>15</xdr:col>
                    <xdr:colOff>38299</xdr:colOff>
                    <xdr:row>12</xdr:row>
                    <xdr:rowOff>0</xdr:rowOff>
                  </from>
                  <to>
                    <xdr:col>16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5" r:id="rId105" name="Check Box 147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6" r:id="rId106" name="Check Box 1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7" r:id="rId107" name="Check Box 149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8" r:id="rId108" name="Check Box 150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9" r:id="rId109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0" r:id="rId110" name="Check Box 152">
              <controlPr defaultSize="0" autoFill="0" autoLine="0" autoPict="0">
                <anchor moveWithCells="1">
                  <from>
                    <xdr:col>15</xdr:col>
                    <xdr:colOff>47874</xdr:colOff>
                    <xdr:row>18</xdr:row>
                    <xdr:rowOff>0</xdr:rowOff>
                  </from>
                  <to>
                    <xdr:col>16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1" r:id="rId111" name="Check Box 153">
              <controlPr defaultSize="0" autoFill="0" autoLine="0" autoPict="0">
                <anchor moveWithCells="1">
                  <from>
                    <xdr:col>15</xdr:col>
                    <xdr:colOff>38299</xdr:colOff>
                    <xdr:row>10</xdr:row>
                    <xdr:rowOff>0</xdr:rowOff>
                  </from>
                  <to>
                    <xdr:col>16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2" r:id="rId112" name="Check Box 154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19150</xdr:rowOff>
                  </from>
                  <to>
                    <xdr:col>16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3" r:id="rId113" name="Check Box 155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19150</xdr:rowOff>
                  </from>
                  <to>
                    <xdr:col>16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4" r:id="rId114" name="Check Box 156">
              <controlPr defaultSize="0" autoFill="0" autoLine="0" autoPict="0">
                <anchor moveWithCells="1">
                  <from>
                    <xdr:col>15</xdr:col>
                    <xdr:colOff>47874</xdr:colOff>
                    <xdr:row>5</xdr:row>
                    <xdr:rowOff>0</xdr:rowOff>
                  </from>
                  <to>
                    <xdr:col>16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5" r:id="rId115" name="Check Box 157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6" r:id="rId116" name="Check Box 19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19150</xdr:rowOff>
                  </from>
                  <to>
                    <xdr:col>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7" r:id="rId117" name="Check Box 19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19150</xdr:rowOff>
                  </from>
                  <to>
                    <xdr:col>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8" r:id="rId118" name="Check Box 20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19150</xdr:rowOff>
                  </from>
                  <to>
                    <xdr:col>8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0" r:id="rId119" name="Check Box 202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19150</xdr:rowOff>
                  </from>
                  <to>
                    <xdr:col>12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1" r:id="rId120" name="Check Box 203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19150</xdr:rowOff>
                  </from>
                  <to>
                    <xdr:col>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2" r:id="rId121" name="Check Box 204">
              <controlPr defaultSize="0" autoFill="0" autoLine="0" autoPict="0">
                <anchor moveWithCells="1">
                  <from>
                    <xdr:col>13</xdr:col>
                    <xdr:colOff>47874</xdr:colOff>
                    <xdr:row>28</xdr:row>
                    <xdr:rowOff>19150</xdr:rowOff>
                  </from>
                  <to>
                    <xdr:col>14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" r:id="rId122" name="Check Box 205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19150</xdr:rowOff>
                  </from>
                  <to>
                    <xdr:col>16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" r:id="rId123" name="Check Box 206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19150</xdr:rowOff>
                  </from>
                  <to>
                    <xdr:col>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5" r:id="rId124" name="Check Box 207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19150</xdr:rowOff>
                  </from>
                  <to>
                    <xdr:col>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6" r:id="rId125" name="Check Box 208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19150</xdr:rowOff>
                  </from>
                  <to>
                    <xdr:col>8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8" r:id="rId126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19150</xdr:rowOff>
                  </from>
                  <to>
                    <xdr:col>12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9" r:id="rId127" name="Check Box 211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19150</xdr:rowOff>
                  </from>
                  <to>
                    <xdr:col>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0" r:id="rId128" name="Check Box 212">
              <controlPr defaultSize="0" autoFill="0" autoLine="0" autoPict="0">
                <anchor moveWithCells="1">
                  <from>
                    <xdr:col>13</xdr:col>
                    <xdr:colOff>47874</xdr:colOff>
                    <xdr:row>29</xdr:row>
                    <xdr:rowOff>19150</xdr:rowOff>
                  </from>
                  <to>
                    <xdr:col>14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1" r:id="rId129" name="Check Box 213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19150</xdr:rowOff>
                  </from>
                  <to>
                    <xdr:col>16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2" r:id="rId130" name="Check Box 214">
              <controlPr defaultSize="0" autoFill="0" autoLine="0" autoPict="0">
                <anchor moveWithCells="1">
                  <from>
                    <xdr:col>1</xdr:col>
                    <xdr:colOff>47874</xdr:colOff>
                    <xdr:row>8</xdr:row>
                    <xdr:rowOff>0</xdr:rowOff>
                  </from>
                  <to>
                    <xdr:col>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3" r:id="rId131" name="Check Box 215">
              <controlPr defaultSize="0" autoFill="0" autoLine="0" autoPict="0">
                <anchor moveWithCells="1">
                  <from>
                    <xdr:col>5</xdr:col>
                    <xdr:colOff>47874</xdr:colOff>
                    <xdr:row>8</xdr:row>
                    <xdr:rowOff>0</xdr:rowOff>
                  </from>
                  <to>
                    <xdr:col>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4" r:id="rId132" name="Check Box 216">
              <controlPr defaultSize="0" autoFill="0" autoLine="0" autoPict="0">
                <anchor moveWithCells="1">
                  <from>
                    <xdr:col>7</xdr:col>
                    <xdr:colOff>47874</xdr:colOff>
                    <xdr:row>8</xdr:row>
                    <xdr:rowOff>0</xdr:rowOff>
                  </from>
                  <to>
                    <xdr:col>8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6" r:id="rId133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8</xdr:row>
                    <xdr:rowOff>0</xdr:rowOff>
                  </from>
                  <to>
                    <xdr:col>12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7" r:id="rId134" name="Check Box 219">
              <controlPr defaultSize="0" autoFill="0" autoLine="0" autoPict="0">
                <anchor moveWithCells="1">
                  <from>
                    <xdr:col>3</xdr:col>
                    <xdr:colOff>47874</xdr:colOff>
                    <xdr:row>8</xdr:row>
                    <xdr:rowOff>0</xdr:rowOff>
                  </from>
                  <to>
                    <xdr:col>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8" r:id="rId135" name="Check Box 220">
              <controlPr defaultSize="0" autoFill="0" autoLine="0" autoPict="0">
                <anchor moveWithCells="1">
                  <from>
                    <xdr:col>13</xdr:col>
                    <xdr:colOff>47874</xdr:colOff>
                    <xdr:row>8</xdr:row>
                    <xdr:rowOff>0</xdr:rowOff>
                  </from>
                  <to>
                    <xdr:col>14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9" r:id="rId136" name="Check Box 221">
              <controlPr defaultSize="0" autoFill="0" autoLine="0" autoPict="0">
                <anchor moveWithCells="1">
                  <from>
                    <xdr:col>15</xdr:col>
                    <xdr:colOff>47874</xdr:colOff>
                    <xdr:row>8</xdr:row>
                    <xdr:rowOff>0</xdr:rowOff>
                  </from>
                  <to>
                    <xdr:col>16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0" r:id="rId137" name="Check Box 222">
              <controlPr defaultSize="0" autoFill="0" autoLine="0" autoPict="0">
                <anchor moveWithCells="1">
                  <from>
                    <xdr:col>1</xdr:col>
                    <xdr:colOff>47874</xdr:colOff>
                    <xdr:row>9</xdr:row>
                    <xdr:rowOff>0</xdr:rowOff>
                  </from>
                  <to>
                    <xdr:col>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1" r:id="rId138" name="Check Box 223">
              <controlPr defaultSize="0" autoFill="0" autoLine="0" autoPict="0">
                <anchor moveWithCells="1">
                  <from>
                    <xdr:col>5</xdr:col>
                    <xdr:colOff>47874</xdr:colOff>
                    <xdr:row>9</xdr:row>
                    <xdr:rowOff>0</xdr:rowOff>
                  </from>
                  <to>
                    <xdr:col>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2" r:id="rId139" name="Check Box 224">
              <controlPr defaultSize="0" autoFill="0" autoLine="0" autoPict="0">
                <anchor moveWithCells="1">
                  <from>
                    <xdr:col>7</xdr:col>
                    <xdr:colOff>47874</xdr:colOff>
                    <xdr:row>9</xdr:row>
                    <xdr:rowOff>0</xdr:rowOff>
                  </from>
                  <to>
                    <xdr:col>8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4" r:id="rId140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9</xdr:row>
                    <xdr:rowOff>0</xdr:rowOff>
                  </from>
                  <to>
                    <xdr:col>12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5" r:id="rId141" name="Check Box 227">
              <controlPr defaultSize="0" autoFill="0" autoLine="0" autoPict="0">
                <anchor moveWithCells="1">
                  <from>
                    <xdr:col>3</xdr:col>
                    <xdr:colOff>47874</xdr:colOff>
                    <xdr:row>9</xdr:row>
                    <xdr:rowOff>0</xdr:rowOff>
                  </from>
                  <to>
                    <xdr:col>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6" r:id="rId142" name="Check Box 228">
              <controlPr defaultSize="0" autoFill="0" autoLine="0" autoPict="0">
                <anchor moveWithCells="1">
                  <from>
                    <xdr:col>13</xdr:col>
                    <xdr:colOff>47874</xdr:colOff>
                    <xdr:row>9</xdr:row>
                    <xdr:rowOff>0</xdr:rowOff>
                  </from>
                  <to>
                    <xdr:col>14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7" r:id="rId143" name="Check Box 229">
              <controlPr defaultSize="0" autoFill="0" autoLine="0" autoPict="0">
                <anchor moveWithCells="1">
                  <from>
                    <xdr:col>15</xdr:col>
                    <xdr:colOff>47874</xdr:colOff>
                    <xdr:row>9</xdr:row>
                    <xdr:rowOff>0</xdr:rowOff>
                  </from>
                  <to>
                    <xdr:col>16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8" r:id="rId144" name="Check Box 230">
              <controlPr defaultSize="0" autoFill="0" autoLine="0" autoPict="0">
                <anchor moveWithCells="1">
                  <from>
                    <xdr:col>1</xdr:col>
                    <xdr:colOff>38299</xdr:colOff>
                    <xdr:row>13</xdr:row>
                    <xdr:rowOff>0</xdr:rowOff>
                  </from>
                  <to>
                    <xdr:col>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9" r:id="rId145" name="Check Box 231">
              <controlPr defaultSize="0" autoFill="0" autoLine="0" autoPict="0">
                <anchor moveWithCells="1">
                  <from>
                    <xdr:col>5</xdr:col>
                    <xdr:colOff>38299</xdr:colOff>
                    <xdr:row>13</xdr:row>
                    <xdr:rowOff>0</xdr:rowOff>
                  </from>
                  <to>
                    <xdr:col>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0" r:id="rId146" name="Check Box 232">
              <controlPr defaultSize="0" autoFill="0" autoLine="0" autoPict="0">
                <anchor moveWithCells="1">
                  <from>
                    <xdr:col>7</xdr:col>
                    <xdr:colOff>38299</xdr:colOff>
                    <xdr:row>13</xdr:row>
                    <xdr:rowOff>0</xdr:rowOff>
                  </from>
                  <to>
                    <xdr:col>8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2" r:id="rId147" name="Check Box 234">
              <controlPr defaultSize="0" autoFill="0" autoLine="0" autoPict="0">
                <anchor moveWithCells="1">
                  <from>
                    <xdr:col>11</xdr:col>
                    <xdr:colOff>38299</xdr:colOff>
                    <xdr:row>13</xdr:row>
                    <xdr:rowOff>0</xdr:rowOff>
                  </from>
                  <to>
                    <xdr:col>12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3" r:id="rId148" name="Check Box 235">
              <controlPr defaultSize="0" autoFill="0" autoLine="0" autoPict="0">
                <anchor moveWithCells="1">
                  <from>
                    <xdr:col>3</xdr:col>
                    <xdr:colOff>38299</xdr:colOff>
                    <xdr:row>13</xdr:row>
                    <xdr:rowOff>0</xdr:rowOff>
                  </from>
                  <to>
                    <xdr:col>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4" r:id="rId149" name="Check Box 236">
              <controlPr defaultSize="0" autoFill="0" autoLine="0" autoPict="0">
                <anchor moveWithCells="1">
                  <from>
                    <xdr:col>13</xdr:col>
                    <xdr:colOff>38299</xdr:colOff>
                    <xdr:row>13</xdr:row>
                    <xdr:rowOff>0</xdr:rowOff>
                  </from>
                  <to>
                    <xdr:col>14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5" r:id="rId150" name="Check Box 237">
              <controlPr defaultSize="0" autoFill="0" autoLine="0" autoPict="0">
                <anchor moveWithCells="1">
                  <from>
                    <xdr:col>15</xdr:col>
                    <xdr:colOff>38299</xdr:colOff>
                    <xdr:row>13</xdr:row>
                    <xdr:rowOff>0</xdr:rowOff>
                  </from>
                  <to>
                    <xdr:col>16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6" r:id="rId151" name="Check Box 238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7" r:id="rId152" name="Check Box 23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8" r:id="rId153" name="Check Box 240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0" r:id="rId154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1" r:id="rId155" name="Check Box 243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2" r:id="rId156" name="Check Box 244">
              <controlPr defaultSize="0" autoFill="0" autoLine="0" autoPict="0">
                <anchor moveWithCells="1">
                  <from>
                    <xdr:col>13</xdr:col>
                    <xdr:colOff>47874</xdr:colOff>
                    <xdr:row>19</xdr:row>
                    <xdr:rowOff>0</xdr:rowOff>
                  </from>
                  <to>
                    <xdr:col>14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3" r:id="rId157" name="Check Box 2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4" r:id="rId158" name="Check Box 246">
              <controlPr defaultSize="0" autoFill="0" autoLine="0" autoPict="0">
                <anchor moveWithCells="1">
                  <from>
                    <xdr:col>1</xdr:col>
                    <xdr:colOff>47874</xdr:colOff>
                    <xdr:row>20</xdr:row>
                    <xdr:rowOff>0</xdr:rowOff>
                  </from>
                  <to>
                    <xdr:col>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5" r:id="rId159" name="Check Box 247">
              <controlPr defaultSize="0" autoFill="0" autoLine="0" autoPict="0">
                <anchor moveWithCells="1">
                  <from>
                    <xdr:col>5</xdr:col>
                    <xdr:colOff>47874</xdr:colOff>
                    <xdr:row>20</xdr:row>
                    <xdr:rowOff>0</xdr:rowOff>
                  </from>
                  <to>
                    <xdr:col>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6" r:id="rId160" name="Check Box 248">
              <controlPr defaultSize="0" autoFill="0" autoLine="0" autoPict="0">
                <anchor moveWithCells="1">
                  <from>
                    <xdr:col>7</xdr:col>
                    <xdr:colOff>47874</xdr:colOff>
                    <xdr:row>20</xdr:row>
                    <xdr:rowOff>0</xdr:rowOff>
                  </from>
                  <to>
                    <xdr:col>8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8" r:id="rId161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20</xdr:row>
                    <xdr:rowOff>0</xdr:rowOff>
                  </from>
                  <to>
                    <xdr:col>12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9" r:id="rId162" name="Check Box 251">
              <controlPr defaultSize="0" autoFill="0" autoLine="0" autoPict="0">
                <anchor moveWithCells="1">
                  <from>
                    <xdr:col>3</xdr:col>
                    <xdr:colOff>47874</xdr:colOff>
                    <xdr:row>20</xdr:row>
                    <xdr:rowOff>0</xdr:rowOff>
                  </from>
                  <to>
                    <xdr:col>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0" r:id="rId163" name="Check Box 252">
              <controlPr defaultSize="0" autoFill="0" autoLine="0" autoPict="0">
                <anchor moveWithCells="1">
                  <from>
                    <xdr:col>13</xdr:col>
                    <xdr:colOff>47874</xdr:colOff>
                    <xdr:row>20</xdr:row>
                    <xdr:rowOff>0</xdr:rowOff>
                  </from>
                  <to>
                    <xdr:col>14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1" r:id="rId164" name="Check Box 253">
              <controlPr defaultSize="0" autoFill="0" autoLine="0" autoPict="0">
                <anchor moveWithCells="1">
                  <from>
                    <xdr:col>15</xdr:col>
                    <xdr:colOff>47874</xdr:colOff>
                    <xdr:row>20</xdr:row>
                    <xdr:rowOff>0</xdr:rowOff>
                  </from>
                  <to>
                    <xdr:col>16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2" r:id="rId165" name="Check Box 254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3" r:id="rId166" name="Check Box 255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4" r:id="rId167" name="Check Box 256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6" r:id="rId168" name="Check Box 258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169" name="Check Box 259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8" r:id="rId170" name="Check Box 260">
              <controlPr defaultSize="0" autoFill="0" autoLine="0" autoPict="0">
                <anchor moveWithCells="1">
                  <from>
                    <xdr:col>13</xdr:col>
                    <xdr:colOff>47874</xdr:colOff>
                    <xdr:row>21</xdr:row>
                    <xdr:rowOff>0</xdr:rowOff>
                  </from>
                  <to>
                    <xdr:col>14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9" r:id="rId171" name="Check Box 261">
              <controlPr defaultSize="0" autoFill="0" autoLine="0" autoPict="0">
                <anchor moveWithCells="1">
                  <from>
                    <xdr:col>15</xdr:col>
                    <xdr:colOff>47874</xdr:colOff>
                    <xdr:row>21</xdr:row>
                    <xdr:rowOff>0</xdr:rowOff>
                  </from>
                  <to>
                    <xdr:col>16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172" name="Check Box 262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1" r:id="rId173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174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4" r:id="rId175" name="Check Box 266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5" r:id="rId176" name="Check Box 267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6" r:id="rId177" name="Check Box 268">
              <controlPr defaultSize="0" autoFill="0" autoLine="0" autoPict="0">
                <anchor moveWithCells="1">
                  <from>
                    <xdr:col>13</xdr:col>
                    <xdr:colOff>47874</xdr:colOff>
                    <xdr:row>22</xdr:row>
                    <xdr:rowOff>0</xdr:rowOff>
                  </from>
                  <to>
                    <xdr:col>14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7" r:id="rId178" name="Check Box 269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8" r:id="rId179" name="Check Box 270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9" r:id="rId180" name="Check Box 271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0" r:id="rId181" name="Check Box 272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2" r:id="rId182" name="Check Box 274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3" r:id="rId183" name="Check Box 275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4" r:id="rId184" name="Check Box 276">
              <controlPr defaultSize="0" autoFill="0" autoLine="0" autoPict="0">
                <anchor moveWithCells="1">
                  <from>
                    <xdr:col>13</xdr:col>
                    <xdr:colOff>47874</xdr:colOff>
                    <xdr:row>23</xdr:row>
                    <xdr:rowOff>0</xdr:rowOff>
                  </from>
                  <to>
                    <xdr:col>14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5" r:id="rId185" name="Check Box 277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6" r:id="rId186" name="Check Box 278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7" r:id="rId187" name="Check Box 279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8" r:id="rId188" name="Check Box 280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0" r:id="rId189" name="Check Box 282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1" r:id="rId190" name="Check Box 28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2" r:id="rId191" name="Check Box 284">
              <controlPr defaultSize="0" autoFill="0" autoLine="0" autoPict="0">
                <anchor moveWithCells="1">
                  <from>
                    <xdr:col>13</xdr:col>
                    <xdr:colOff>47874</xdr:colOff>
                    <xdr:row>24</xdr:row>
                    <xdr:rowOff>0</xdr:rowOff>
                  </from>
                  <to>
                    <xdr:col>14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3" r:id="rId192" name="Check Box 285">
              <controlPr defaultSize="0" autoFill="0" autoLine="0" autoPict="0">
                <anchor moveWithCells="1">
                  <from>
                    <xdr:col>15</xdr:col>
                    <xdr:colOff>47874</xdr:colOff>
                    <xdr:row>24</xdr:row>
                    <xdr:rowOff>0</xdr:rowOff>
                  </from>
                  <to>
                    <xdr:col>16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otalen"/>
  <dimension ref="A1:E38"/>
  <sheetViews>
    <sheetView workbookViewId="0">
      <selection activeCell="B12" sqref="B12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B1" t="s">
        <v>805</v>
      </c>
      <c r="C1" t="s">
        <v>942</v>
      </c>
      <c r="D1" t="s">
        <v>1306</v>
      </c>
      <c r="E1" t="s">
        <v>942</v>
      </c>
    </row>
    <row r="2" spans="1:5" ht="13.2" x14ac:dyDescent="0.4">
      <c r="A2" s="12" t="s">
        <v>1603</v>
      </c>
      <c r="B2" s="13">
        <f>SUM(B3:B4)</f>
        <v>0</v>
      </c>
      <c r="C2" s="13">
        <f>10*B2/Gewicht</f>
        <v>0</v>
      </c>
      <c r="D2" s="13"/>
      <c r="E2" s="14"/>
    </row>
    <row r="3" spans="1:5" x14ac:dyDescent="0.35">
      <c r="A3" s="5" t="s">
        <v>954</v>
      </c>
      <c r="B3">
        <f>ber_PO!O22</f>
        <v>0</v>
      </c>
    </row>
    <row r="4" spans="1:5" x14ac:dyDescent="0.35">
      <c r="A4" s="5" t="s">
        <v>952</v>
      </c>
      <c r="B4">
        <f>(ber_IVmed!F46+ber_TPN!F23+Infusen!J15+ber_Med_disc!O23)</f>
        <v>0</v>
      </c>
    </row>
    <row r="5" spans="1:5" ht="13.2" x14ac:dyDescent="0.4">
      <c r="A5" s="12" t="s">
        <v>941</v>
      </c>
      <c r="B5" s="13">
        <f>SUM(B6:B8)</f>
        <v>0</v>
      </c>
      <c r="C5" s="13">
        <f>B5/(Gewicht/10)</f>
        <v>0</v>
      </c>
      <c r="D5" s="13">
        <f>SUM(D7:D7)</f>
        <v>0</v>
      </c>
      <c r="E5" s="14">
        <f>D5/(Gewicht/10)</f>
        <v>0</v>
      </c>
    </row>
    <row r="6" spans="1:5" ht="13.2" x14ac:dyDescent="0.4">
      <c r="A6" s="5" t="s">
        <v>954</v>
      </c>
      <c r="B6">
        <f>ber_PO!K25</f>
        <v>0</v>
      </c>
      <c r="C6" s="10" t="s">
        <v>959</v>
      </c>
      <c r="D6" s="10" t="s">
        <v>959</v>
      </c>
    </row>
    <row r="7" spans="1:5" x14ac:dyDescent="0.35">
      <c r="A7" s="5" t="s">
        <v>958</v>
      </c>
      <c r="B7">
        <f>ber_Med_disc!S23+ber_IVmed!G46+ber_IVmed!H46</f>
        <v>0</v>
      </c>
      <c r="D7">
        <f>B7*4</f>
        <v>0</v>
      </c>
    </row>
    <row r="8" spans="1:5" ht="13.2" x14ac:dyDescent="0.4">
      <c r="A8" s="5" t="s">
        <v>1011</v>
      </c>
      <c r="B8">
        <f>ber_TPN!G23</f>
        <v>0</v>
      </c>
      <c r="C8" s="10" t="s">
        <v>959</v>
      </c>
      <c r="D8" s="10" t="s">
        <v>959</v>
      </c>
    </row>
    <row r="9" spans="1:5" ht="13.2" x14ac:dyDescent="0.4">
      <c r="A9" s="12" t="s">
        <v>946</v>
      </c>
      <c r="B9" s="13">
        <f>SUM(B10:B12)</f>
        <v>0</v>
      </c>
      <c r="C9" s="13">
        <f>B9/(Gewicht/10)</f>
        <v>0</v>
      </c>
      <c r="D9" s="13">
        <f>SUM(D10:D11)</f>
        <v>0</v>
      </c>
      <c r="E9" s="14">
        <f>D9/(Gewicht/10)</f>
        <v>0</v>
      </c>
    </row>
    <row r="10" spans="1:5" ht="13.2" x14ac:dyDescent="0.4">
      <c r="A10" s="5" t="s">
        <v>954</v>
      </c>
      <c r="B10">
        <f>ber_PO!K24</f>
        <v>0</v>
      </c>
      <c r="C10" s="10" t="s">
        <v>959</v>
      </c>
      <c r="D10" s="10" t="s">
        <v>959</v>
      </c>
    </row>
    <row r="11" spans="1:5" ht="13.2" x14ac:dyDescent="0.4">
      <c r="A11" s="5" t="s">
        <v>952</v>
      </c>
      <c r="B11">
        <f>ber_TPN!H23</f>
        <v>0</v>
      </c>
      <c r="C11" s="10" t="s">
        <v>959</v>
      </c>
      <c r="D11" s="10" t="s">
        <v>959</v>
      </c>
    </row>
    <row r="12" spans="1:5" ht="13.2" x14ac:dyDescent="0.4">
      <c r="A12" s="5" t="s">
        <v>334</v>
      </c>
      <c r="B12">
        <f>ber_IVmed!L46</f>
        <v>0</v>
      </c>
      <c r="C12" s="10"/>
      <c r="D12" s="10"/>
    </row>
    <row r="13" spans="1:5" ht="13.2" x14ac:dyDescent="0.4">
      <c r="A13" s="12" t="s">
        <v>947</v>
      </c>
      <c r="B13" s="13">
        <f>SUM(B14:B16)</f>
        <v>0</v>
      </c>
      <c r="C13" s="13">
        <f>SUM(C14:C16)</f>
        <v>0</v>
      </c>
      <c r="D13" s="13">
        <f>SUM(D14:D15)</f>
        <v>0</v>
      </c>
      <c r="E13" s="14">
        <f>D13/(Gewicht/10)</f>
        <v>0</v>
      </c>
    </row>
    <row r="14" spans="1:5" ht="13.2" x14ac:dyDescent="0.4">
      <c r="A14" s="5" t="s">
        <v>954</v>
      </c>
      <c r="B14">
        <f>ber_PO!K26</f>
        <v>0</v>
      </c>
      <c r="C14">
        <f>B14/(Gewicht/10)</f>
        <v>0</v>
      </c>
      <c r="D14" s="10" t="s">
        <v>959</v>
      </c>
    </row>
    <row r="15" spans="1:5" ht="13.2" x14ac:dyDescent="0.4">
      <c r="A15" s="5" t="s">
        <v>952</v>
      </c>
      <c r="B15">
        <f>ber_TPN!O23</f>
        <v>0</v>
      </c>
      <c r="C15">
        <f>B15/(Gewicht/10)</f>
        <v>0</v>
      </c>
      <c r="D15" s="10" t="s">
        <v>959</v>
      </c>
    </row>
    <row r="16" spans="1:5" x14ac:dyDescent="0.35">
      <c r="A16" s="5" t="s">
        <v>953</v>
      </c>
      <c r="B16">
        <f>ber_IVmed!M46</f>
        <v>0</v>
      </c>
      <c r="D16">
        <f>B16*9</f>
        <v>0</v>
      </c>
    </row>
    <row r="17" spans="1:5" ht="13.2" x14ac:dyDescent="0.4">
      <c r="A17" s="12" t="s">
        <v>1604</v>
      </c>
      <c r="B17" s="13">
        <f>SUM(B18:B22)</f>
        <v>0</v>
      </c>
      <c r="C17" s="13">
        <f>SUM(C18:C22)</f>
        <v>0</v>
      </c>
      <c r="D17" s="13"/>
      <c r="E17" s="14"/>
    </row>
    <row r="18" spans="1:5" x14ac:dyDescent="0.35">
      <c r="A18" s="5" t="s">
        <v>954</v>
      </c>
      <c r="B18">
        <f>ber_PO!K27</f>
        <v>0</v>
      </c>
      <c r="C18">
        <f>B18/(Gewicht/10)</f>
        <v>0</v>
      </c>
    </row>
    <row r="19" spans="1:5" x14ac:dyDescent="0.35">
      <c r="A19" s="5" t="s">
        <v>1083</v>
      </c>
      <c r="B19">
        <f>Infusen!I15</f>
        <v>0</v>
      </c>
      <c r="C19">
        <f>B19/(Gewicht/10)</f>
        <v>0</v>
      </c>
    </row>
    <row r="20" spans="1:5" x14ac:dyDescent="0.35">
      <c r="A20" s="5" t="s">
        <v>958</v>
      </c>
      <c r="B20">
        <f>ber_Med_disc!Q23</f>
        <v>0</v>
      </c>
      <c r="C20">
        <f>B20/(Gewicht/10)</f>
        <v>0</v>
      </c>
    </row>
    <row r="21" spans="1:5" x14ac:dyDescent="0.35">
      <c r="A21" s="4">
        <v>8.9999999999999993E-3</v>
      </c>
      <c r="B21">
        <f>ber_IVmed!J46</f>
        <v>0</v>
      </c>
      <c r="C21">
        <f>B21/(Gewicht/10)</f>
        <v>0</v>
      </c>
    </row>
    <row r="22" spans="1:5" x14ac:dyDescent="0.35">
      <c r="A22" s="4" t="s">
        <v>1011</v>
      </c>
      <c r="B22">
        <f>ber_TPN!I23</f>
        <v>0</v>
      </c>
      <c r="C22">
        <f>B22/(Gewicht/10)</f>
        <v>0</v>
      </c>
    </row>
    <row r="23" spans="1:5" ht="13.2" x14ac:dyDescent="0.4">
      <c r="A23" s="12" t="s">
        <v>1605</v>
      </c>
      <c r="B23" s="13">
        <f>SUM(B24:B26)</f>
        <v>0</v>
      </c>
      <c r="C23" s="13">
        <f>SUM(C24:C26)</f>
        <v>0</v>
      </c>
      <c r="D23" s="13"/>
      <c r="E23" s="14"/>
    </row>
    <row r="24" spans="1:5" x14ac:dyDescent="0.35">
      <c r="A24" s="5" t="s">
        <v>954</v>
      </c>
      <c r="B24">
        <f>ber_PO!K28</f>
        <v>0</v>
      </c>
      <c r="C24">
        <f>B24/(Gewicht/10)</f>
        <v>0</v>
      </c>
    </row>
    <row r="25" spans="1:5" x14ac:dyDescent="0.35">
      <c r="A25" s="5" t="s">
        <v>1011</v>
      </c>
      <c r="B25">
        <f>ber_TPN!J23</f>
        <v>0</v>
      </c>
      <c r="C25">
        <f>B25/(Gewicht/10)</f>
        <v>0</v>
      </c>
    </row>
    <row r="26" spans="1:5" x14ac:dyDescent="0.35">
      <c r="A26" s="5" t="s">
        <v>958</v>
      </c>
      <c r="B26">
        <f>ber_IVmed!K46</f>
        <v>0</v>
      </c>
      <c r="C26">
        <f>B26/(Gewicht/10)</f>
        <v>0</v>
      </c>
    </row>
    <row r="27" spans="1:5" ht="13.2" x14ac:dyDescent="0.4">
      <c r="A27" s="12" t="s">
        <v>943</v>
      </c>
      <c r="B27" s="13">
        <f>SUM(B28:B29)</f>
        <v>0</v>
      </c>
      <c r="C27" s="13">
        <f>SUM(C28:C29)</f>
        <v>0</v>
      </c>
      <c r="D27" s="13"/>
      <c r="E27" s="14"/>
    </row>
    <row r="28" spans="1:5" x14ac:dyDescent="0.35">
      <c r="A28" s="5" t="s">
        <v>954</v>
      </c>
      <c r="B28">
        <f>ber_PO!K29</f>
        <v>0</v>
      </c>
      <c r="C28">
        <f>B28/(Gewicht/10)</f>
        <v>0</v>
      </c>
    </row>
    <row r="29" spans="1:5" x14ac:dyDescent="0.35">
      <c r="A29" s="5" t="s">
        <v>1011</v>
      </c>
      <c r="B29">
        <f>ber_TPN!K23</f>
        <v>0</v>
      </c>
      <c r="C29">
        <f>B29/(Gewicht/10)</f>
        <v>0</v>
      </c>
    </row>
    <row r="30" spans="1:5" ht="13.2" x14ac:dyDescent="0.4">
      <c r="A30" s="12" t="s">
        <v>944</v>
      </c>
      <c r="B30" s="13">
        <f>SUM(B31:B32)</f>
        <v>0</v>
      </c>
      <c r="C30" s="13">
        <f>SUM(C31:C32)</f>
        <v>0</v>
      </c>
      <c r="D30" s="13"/>
      <c r="E30" s="14"/>
    </row>
    <row r="31" spans="1:5" x14ac:dyDescent="0.35">
      <c r="A31" s="5" t="s">
        <v>954</v>
      </c>
      <c r="B31">
        <f>ber_PO!K30</f>
        <v>0</v>
      </c>
      <c r="C31">
        <f>B31/(Gewicht/10)</f>
        <v>0</v>
      </c>
    </row>
    <row r="32" spans="1:5" x14ac:dyDescent="0.35">
      <c r="A32" s="5" t="s">
        <v>1011</v>
      </c>
      <c r="B32">
        <f>ber_TPN!M23</f>
        <v>0</v>
      </c>
      <c r="C32">
        <f>B32/(Gewicht/10)</f>
        <v>0</v>
      </c>
    </row>
    <row r="33" spans="1:5" ht="13.2" x14ac:dyDescent="0.4">
      <c r="A33" s="12" t="s">
        <v>945</v>
      </c>
      <c r="B33" s="13">
        <f>SUM(B34:B35)</f>
        <v>0</v>
      </c>
      <c r="C33" s="13">
        <f>SUM(C34:C35)</f>
        <v>0</v>
      </c>
      <c r="D33" s="13"/>
      <c r="E33" s="14"/>
    </row>
    <row r="34" spans="1:5" x14ac:dyDescent="0.35">
      <c r="A34" s="5" t="s">
        <v>954</v>
      </c>
      <c r="B34">
        <f>ber_PO!K31</f>
        <v>0</v>
      </c>
      <c r="C34">
        <f>B34/(Gewicht/10)</f>
        <v>0</v>
      </c>
    </row>
    <row r="35" spans="1:5" x14ac:dyDescent="0.35">
      <c r="A35" s="5" t="s">
        <v>952</v>
      </c>
      <c r="B35">
        <f>ber_TPN!L23</f>
        <v>0</v>
      </c>
      <c r="C35">
        <f>B35/(Gewicht/10)</f>
        <v>0</v>
      </c>
    </row>
    <row r="36" spans="1:5" ht="13.2" x14ac:dyDescent="0.4">
      <c r="A36" s="15" t="s">
        <v>1011</v>
      </c>
      <c r="B36" s="13"/>
      <c r="C36" s="13"/>
      <c r="D36" s="13">
        <f>ber_TPN!N23+ber_PO!K22</f>
        <v>0</v>
      </c>
      <c r="E36" s="14">
        <f>D36/(Gewicht/10)</f>
        <v>0</v>
      </c>
    </row>
    <row r="38" spans="1:5" x14ac:dyDescent="0.35">
      <c r="A38" s="5" t="s">
        <v>997</v>
      </c>
      <c r="E38">
        <f>E5+E9+E13+E36</f>
        <v>0</v>
      </c>
    </row>
  </sheetData>
  <phoneticPr fontId="26" type="noConversion"/>
  <pageMargins left="0.75" right="0.75" top="1" bottom="1" header="0.5" footer="0.5"/>
  <pageSetup paperSize="9" orientation="portrait" verticalDpi="300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Bead"/>
  <dimension ref="A1:Q35"/>
  <sheetViews>
    <sheetView workbookViewId="0">
      <selection activeCell="C5" sqref="C5"/>
    </sheetView>
  </sheetViews>
  <sheetFormatPr defaultRowHeight="12.85" x14ac:dyDescent="0.35"/>
  <cols>
    <col min="1" max="1" width="16.73046875" bestFit="1" customWidth="1"/>
    <col min="2" max="2" width="10.59765625" bestFit="1" customWidth="1"/>
    <col min="3" max="3" width="30.59765625" bestFit="1" customWidth="1"/>
    <col min="6" max="6" width="22.3984375" customWidth="1"/>
    <col min="8" max="8" width="18.59765625" customWidth="1"/>
    <col min="9" max="9" width="12.1328125" customWidth="1"/>
    <col min="10" max="10" width="13" customWidth="1"/>
    <col min="15" max="15" width="9.265625" customWidth="1"/>
  </cols>
  <sheetData>
    <row r="1" spans="1:17" x14ac:dyDescent="0.35">
      <c r="A1" t="s">
        <v>1739</v>
      </c>
      <c r="B1" t="s">
        <v>2102</v>
      </c>
      <c r="C1" t="s">
        <v>633</v>
      </c>
      <c r="D1" t="s">
        <v>975</v>
      </c>
      <c r="E1" t="s">
        <v>1385</v>
      </c>
      <c r="F1" t="s">
        <v>960</v>
      </c>
      <c r="G1" t="s">
        <v>1384</v>
      </c>
      <c r="H1" t="s">
        <v>965</v>
      </c>
      <c r="I1" t="s">
        <v>2137</v>
      </c>
      <c r="J1" t="s">
        <v>2138</v>
      </c>
      <c r="K1" t="s">
        <v>2109</v>
      </c>
    </row>
    <row r="2" spans="1:17" x14ac:dyDescent="0.35">
      <c r="A2" t="s">
        <v>1528</v>
      </c>
      <c r="B2" t="s">
        <v>1527</v>
      </c>
      <c r="D2" t="s">
        <v>1528</v>
      </c>
      <c r="E2" t="s">
        <v>1422</v>
      </c>
      <c r="H2" t="s">
        <v>1379</v>
      </c>
      <c r="I2" t="b">
        <v>0</v>
      </c>
      <c r="J2">
        <v>30</v>
      </c>
      <c r="K2">
        <v>3</v>
      </c>
    </row>
    <row r="3" spans="1:17" x14ac:dyDescent="0.35">
      <c r="A3" t="s">
        <v>1699</v>
      </c>
      <c r="B3" t="s">
        <v>913</v>
      </c>
      <c r="C3" t="s">
        <v>2120</v>
      </c>
      <c r="D3" t="s">
        <v>976</v>
      </c>
      <c r="E3" t="s">
        <v>1423</v>
      </c>
      <c r="F3" t="s">
        <v>961</v>
      </c>
      <c r="G3" t="s">
        <v>1910</v>
      </c>
      <c r="H3" t="s">
        <v>968</v>
      </c>
    </row>
    <row r="4" spans="1:17" x14ac:dyDescent="0.35">
      <c r="A4" t="s">
        <v>1740</v>
      </c>
      <c r="B4" t="s">
        <v>914</v>
      </c>
      <c r="C4" t="s">
        <v>2121</v>
      </c>
      <c r="D4" t="s">
        <v>977</v>
      </c>
      <c r="E4" t="s">
        <v>1424</v>
      </c>
      <c r="H4" t="s">
        <v>152</v>
      </c>
    </row>
    <row r="5" spans="1:17" x14ac:dyDescent="0.35">
      <c r="A5" t="s">
        <v>1466</v>
      </c>
      <c r="B5" t="s">
        <v>1525</v>
      </c>
      <c r="D5" t="s">
        <v>2136</v>
      </c>
      <c r="E5" t="s">
        <v>1425</v>
      </c>
      <c r="H5" t="s">
        <v>153</v>
      </c>
    </row>
    <row r="6" spans="1:17" x14ac:dyDescent="0.35">
      <c r="A6" t="s">
        <v>631</v>
      </c>
      <c r="B6" t="s">
        <v>1526</v>
      </c>
      <c r="D6" t="s">
        <v>630</v>
      </c>
      <c r="E6" t="s">
        <v>1426</v>
      </c>
    </row>
    <row r="7" spans="1:17" x14ac:dyDescent="0.35">
      <c r="Q7" s="1"/>
    </row>
    <row r="9" spans="1:17" x14ac:dyDescent="0.35">
      <c r="Q9" s="1"/>
    </row>
    <row r="35" ht="10.5" customHeight="1" x14ac:dyDescent="0.35"/>
  </sheetData>
  <phoneticPr fontId="26" type="noConversion"/>
  <pageMargins left="0.75" right="0.75" top="1" bottom="1" header="0.5" footer="0.5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onversie"/>
  <dimension ref="B1:H20"/>
  <sheetViews>
    <sheetView workbookViewId="0">
      <selection activeCell="F4" sqref="F4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3:8" x14ac:dyDescent="0.35">
      <c r="D1" t="s">
        <v>335</v>
      </c>
      <c r="E1" s="1" t="s">
        <v>769</v>
      </c>
    </row>
    <row r="2" spans="3:8" x14ac:dyDescent="0.35">
      <c r="D2" t="s">
        <v>220</v>
      </c>
    </row>
    <row r="4" spans="3:8" x14ac:dyDescent="0.35">
      <c r="C4" s="6"/>
      <c r="D4" s="78" t="s">
        <v>1005</v>
      </c>
      <c r="E4" s="78">
        <v>4.3478000000000003E-2</v>
      </c>
      <c r="H4" s="78"/>
    </row>
    <row r="5" spans="3:8" x14ac:dyDescent="0.35">
      <c r="C5" s="6"/>
      <c r="D5" s="78" t="s">
        <v>1006</v>
      </c>
      <c r="E5" s="78">
        <v>2.5641000000000001E-2</v>
      </c>
      <c r="H5" s="78"/>
    </row>
    <row r="6" spans="3:8" x14ac:dyDescent="0.35">
      <c r="D6" s="78" t="s">
        <v>1007</v>
      </c>
      <c r="E6" s="78">
        <v>2.5000000000000001E-2</v>
      </c>
      <c r="H6" s="78"/>
    </row>
    <row r="7" spans="3:8" x14ac:dyDescent="0.35">
      <c r="D7" s="78" t="s">
        <v>1014</v>
      </c>
      <c r="E7" s="78">
        <v>3.2288999999999998E-2</v>
      </c>
      <c r="H7" s="78"/>
    </row>
    <row r="8" spans="3:8" x14ac:dyDescent="0.35">
      <c r="D8" s="78" t="s">
        <v>1008</v>
      </c>
      <c r="E8" s="78">
        <v>4.1140999999999997E-2</v>
      </c>
      <c r="H8" s="78"/>
    </row>
    <row r="9" spans="3:8" x14ac:dyDescent="0.35">
      <c r="D9" s="78"/>
      <c r="E9" s="78"/>
      <c r="H9" s="78"/>
    </row>
    <row r="10" spans="3:8" x14ac:dyDescent="0.35">
      <c r="D10" s="78"/>
      <c r="E10" s="78"/>
      <c r="H10" s="78"/>
    </row>
    <row r="11" spans="3:8" x14ac:dyDescent="0.35">
      <c r="D11" s="78"/>
      <c r="E11" s="78"/>
      <c r="H11" s="78"/>
    </row>
    <row r="12" spans="3:8" x14ac:dyDescent="0.35">
      <c r="D12" s="78"/>
      <c r="E12" s="78"/>
      <c r="H12" s="78"/>
    </row>
    <row r="13" spans="3:8" x14ac:dyDescent="0.35">
      <c r="D13" s="78"/>
      <c r="E13" s="78"/>
      <c r="H13" s="78"/>
    </row>
    <row r="14" spans="3:8" x14ac:dyDescent="0.35">
      <c r="D14" s="78"/>
      <c r="E14" s="78"/>
      <c r="H14" s="78"/>
    </row>
    <row r="15" spans="3:8" x14ac:dyDescent="0.35">
      <c r="D15" s="78"/>
      <c r="E15" s="78"/>
      <c r="H15" s="78"/>
    </row>
    <row r="16" spans="3:8" x14ac:dyDescent="0.35">
      <c r="D16" s="78"/>
      <c r="E16" s="78"/>
      <c r="H16" s="78"/>
    </row>
    <row r="17" spans="4:8" x14ac:dyDescent="0.35">
      <c r="D17" s="78"/>
      <c r="E17" s="78"/>
      <c r="H17" s="78"/>
    </row>
    <row r="18" spans="4:8" x14ac:dyDescent="0.35">
      <c r="D18" s="78"/>
      <c r="E18" s="78"/>
      <c r="H18" s="78"/>
    </row>
    <row r="19" spans="4:8" x14ac:dyDescent="0.35">
      <c r="D19" s="78"/>
      <c r="E19" s="78"/>
      <c r="H19" s="78"/>
    </row>
    <row r="20" spans="4:8" x14ac:dyDescent="0.35">
      <c r="D20" s="78"/>
      <c r="E20" s="78"/>
      <c r="H20" s="78"/>
    </row>
  </sheetData>
  <phoneticPr fontId="26" type="noConversion"/>
  <pageMargins left="0.75" right="0.75" top="1" bottom="1" header="0.5" footer="0.5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PO"/>
  <dimension ref="A1:AX53"/>
  <sheetViews>
    <sheetView workbookViewId="0">
      <pane xSplit="1" ySplit="1" topLeftCell="B10" activePane="bottomRight" state="frozenSplit"/>
      <selection pane="topRight" activeCell="H1" sqref="H1"/>
      <selection pane="bottomLeft" activeCell="A17" sqref="A17"/>
      <selection pane="bottomRight" activeCell="B39" sqref="B39"/>
    </sheetView>
  </sheetViews>
  <sheetFormatPr defaultRowHeight="12.85" x14ac:dyDescent="0.35"/>
  <cols>
    <col min="1" max="1" width="22.1328125" customWidth="1"/>
    <col min="2" max="2" width="21.73046875" customWidth="1"/>
    <col min="9" max="9" width="10.265625" customWidth="1"/>
    <col min="10" max="10" width="11.86328125" customWidth="1"/>
    <col min="14" max="14" width="9.3984375" bestFit="1" customWidth="1"/>
  </cols>
  <sheetData>
    <row r="1" spans="1:50" s="37" customFormat="1" ht="38.450000000000003" x14ac:dyDescent="0.35">
      <c r="A1" s="37">
        <v>1</v>
      </c>
      <c r="B1" s="37" t="s">
        <v>855</v>
      </c>
      <c r="C1" s="37" t="s">
        <v>46</v>
      </c>
      <c r="D1" s="37" t="s">
        <v>45</v>
      </c>
      <c r="E1" s="37" t="s">
        <v>44</v>
      </c>
      <c r="F1" s="37" t="s">
        <v>47</v>
      </c>
      <c r="G1" s="37" t="s">
        <v>48</v>
      </c>
      <c r="H1" s="37" t="s">
        <v>49</v>
      </c>
      <c r="I1" s="37" t="s">
        <v>856</v>
      </c>
      <c r="J1" s="37" t="s">
        <v>50</v>
      </c>
      <c r="K1" s="37" t="s">
        <v>51</v>
      </c>
      <c r="L1" s="37" t="s">
        <v>52</v>
      </c>
      <c r="M1" s="37" t="s">
        <v>53</v>
      </c>
      <c r="N1" s="37" t="s">
        <v>54</v>
      </c>
      <c r="O1" s="37" t="s">
        <v>55</v>
      </c>
      <c r="P1" s="37" t="s">
        <v>56</v>
      </c>
      <c r="Q1" s="37" t="s">
        <v>57</v>
      </c>
      <c r="R1" s="37" t="s">
        <v>58</v>
      </c>
      <c r="S1" s="37" t="s">
        <v>59</v>
      </c>
      <c r="T1" s="37" t="s">
        <v>60</v>
      </c>
      <c r="U1" s="37" t="s">
        <v>1444</v>
      </c>
      <c r="V1" s="37" t="s">
        <v>61</v>
      </c>
      <c r="W1" s="37" t="s">
        <v>1445</v>
      </c>
      <c r="X1" s="37" t="s">
        <v>227</v>
      </c>
      <c r="Y1" s="37" t="s">
        <v>228</v>
      </c>
      <c r="Z1" s="37" t="s">
        <v>229</v>
      </c>
      <c r="AA1" s="37" t="s">
        <v>230</v>
      </c>
      <c r="AB1" s="37" t="s">
        <v>231</v>
      </c>
      <c r="AC1" s="37" t="s">
        <v>232</v>
      </c>
      <c r="AD1" s="37" t="s">
        <v>233</v>
      </c>
      <c r="AE1" s="37" t="s">
        <v>234</v>
      </c>
      <c r="AF1" s="37" t="s">
        <v>857</v>
      </c>
      <c r="AH1" s="37" t="s">
        <v>235</v>
      </c>
      <c r="AI1" s="37" t="s">
        <v>236</v>
      </c>
      <c r="AJ1" s="37" t="s">
        <v>237</v>
      </c>
      <c r="AK1" s="37" t="s">
        <v>238</v>
      </c>
      <c r="AL1" s="37" t="s">
        <v>239</v>
      </c>
      <c r="AM1" s="37" t="s">
        <v>240</v>
      </c>
      <c r="AN1" s="37" t="s">
        <v>241</v>
      </c>
      <c r="AO1" s="37" t="s">
        <v>242</v>
      </c>
      <c r="AP1" s="37" t="s">
        <v>243</v>
      </c>
      <c r="AQ1" s="37" t="s">
        <v>244</v>
      </c>
      <c r="AR1" s="37" t="s">
        <v>245</v>
      </c>
      <c r="AS1" s="37" t="s">
        <v>246</v>
      </c>
      <c r="AT1" s="37" t="s">
        <v>247</v>
      </c>
      <c r="AU1" s="37" t="s">
        <v>248</v>
      </c>
      <c r="AV1" s="37" t="s">
        <v>249</v>
      </c>
      <c r="AW1" s="37" t="s">
        <v>250</v>
      </c>
      <c r="AX1" s="37" t="s">
        <v>251</v>
      </c>
    </row>
    <row r="2" spans="1:50" x14ac:dyDescent="0.35">
      <c r="A2" t="s">
        <v>1012</v>
      </c>
      <c r="B2">
        <f>B12/100</f>
        <v>0.68</v>
      </c>
      <c r="C2">
        <f t="shared" ref="C2:D5" si="0">C12/100</f>
        <v>0.67</v>
      </c>
      <c r="D2">
        <f t="shared" si="0"/>
        <v>0.74</v>
      </c>
      <c r="E2">
        <f>E12/100</f>
        <v>0.64</v>
      </c>
      <c r="F2">
        <f t="shared" ref="F2:L2" si="1">F12/100</f>
        <v>0.72</v>
      </c>
      <c r="G2">
        <f t="shared" si="1"/>
        <v>0.67</v>
      </c>
      <c r="H2">
        <f t="shared" si="1"/>
        <v>0.74</v>
      </c>
      <c r="I2">
        <f t="shared" si="1"/>
        <v>0.68</v>
      </c>
      <c r="J2">
        <f t="shared" si="1"/>
        <v>0.72</v>
      </c>
      <c r="K2">
        <f t="shared" si="1"/>
        <v>0.68</v>
      </c>
      <c r="L2">
        <f t="shared" si="1"/>
        <v>1</v>
      </c>
      <c r="M2">
        <f t="shared" ref="M2:N5" si="2">M12/100</f>
        <v>0.66</v>
      </c>
      <c r="N2">
        <f t="shared" si="2"/>
        <v>0.72</v>
      </c>
      <c r="O2">
        <f t="shared" ref="O2:Z2" si="3">O12/100</f>
        <v>1</v>
      </c>
      <c r="P2">
        <f t="shared" si="3"/>
        <v>1</v>
      </c>
      <c r="Q2">
        <f t="shared" si="3"/>
        <v>1</v>
      </c>
      <c r="R2">
        <f t="shared" si="3"/>
        <v>1.5</v>
      </c>
      <c r="S2">
        <f t="shared" si="3"/>
        <v>1</v>
      </c>
      <c r="T2">
        <f t="shared" si="3"/>
        <v>1.5</v>
      </c>
      <c r="U2">
        <f t="shared" si="3"/>
        <v>1</v>
      </c>
      <c r="V2">
        <f t="shared" si="3"/>
        <v>1</v>
      </c>
      <c r="W2">
        <f t="shared" si="3"/>
        <v>1.5</v>
      </c>
      <c r="X2">
        <f t="shared" si="3"/>
        <v>1</v>
      </c>
      <c r="Y2">
        <f t="shared" si="3"/>
        <v>1</v>
      </c>
      <c r="Z2">
        <f t="shared" si="3"/>
        <v>2</v>
      </c>
      <c r="AA2">
        <f t="shared" ref="AA2:AD5" si="4">AA12/100</f>
        <v>2</v>
      </c>
      <c r="AB2">
        <f t="shared" si="4"/>
        <v>0.66</v>
      </c>
      <c r="AC2">
        <f t="shared" si="4"/>
        <v>0.66</v>
      </c>
      <c r="AD2">
        <f t="shared" si="4"/>
        <v>4.32</v>
      </c>
      <c r="AF2">
        <f>AF12/100</f>
        <v>0</v>
      </c>
      <c r="AH2">
        <f t="shared" ref="AH2:AX2" si="5">AH12/100</f>
        <v>3.57</v>
      </c>
      <c r="AI2">
        <f t="shared" si="5"/>
        <v>3.4</v>
      </c>
      <c r="AJ2">
        <f t="shared" si="5"/>
        <v>5.15</v>
      </c>
      <c r="AK2">
        <f t="shared" si="5"/>
        <v>4.8499999999999996</v>
      </c>
      <c r="AL2">
        <f t="shared" si="5"/>
        <v>4.95</v>
      </c>
      <c r="AM2">
        <f t="shared" si="5"/>
        <v>4.7</v>
      </c>
      <c r="AN2">
        <f t="shared" si="5"/>
        <v>5.15</v>
      </c>
      <c r="AO2">
        <f t="shared" si="5"/>
        <v>4.8499999999999996</v>
      </c>
      <c r="AP2">
        <f t="shared" si="5"/>
        <v>5</v>
      </c>
      <c r="AQ2">
        <f t="shared" si="5"/>
        <v>4.9000000000000004</v>
      </c>
      <c r="AR2">
        <f t="shared" ref="AR2:AU5" si="6">AR12/100</f>
        <v>4.5</v>
      </c>
      <c r="AS2">
        <f t="shared" si="6"/>
        <v>5.22</v>
      </c>
      <c r="AT2">
        <f t="shared" si="6"/>
        <v>5.03</v>
      </c>
      <c r="AU2">
        <f t="shared" si="6"/>
        <v>4.0199999999999996</v>
      </c>
      <c r="AX2">
        <f t="shared" si="5"/>
        <v>3.8</v>
      </c>
    </row>
    <row r="3" spans="1:50" x14ac:dyDescent="0.35">
      <c r="A3" t="s">
        <v>946</v>
      </c>
      <c r="B3">
        <f>B13/100</f>
        <v>0.01</v>
      </c>
      <c r="C3">
        <f t="shared" si="0"/>
        <v>1.3999999999999999E-2</v>
      </c>
      <c r="D3">
        <f t="shared" si="0"/>
        <v>1.8000000000000002E-2</v>
      </c>
      <c r="E3">
        <f>E13/100</f>
        <v>1.3999999999999999E-2</v>
      </c>
      <c r="F3">
        <f t="shared" ref="F3:L3" si="7">F13/100</f>
        <v>1.8000000000000002E-2</v>
      </c>
      <c r="G3">
        <f t="shared" si="7"/>
        <v>1.4999999999999999E-2</v>
      </c>
      <c r="H3">
        <f t="shared" si="7"/>
        <v>1.8000000000000002E-2</v>
      </c>
      <c r="I3">
        <f t="shared" si="7"/>
        <v>1.9E-2</v>
      </c>
      <c r="J3">
        <f t="shared" si="7"/>
        <v>2.3E-2</v>
      </c>
      <c r="K3">
        <f t="shared" si="7"/>
        <v>1.9E-2</v>
      </c>
      <c r="L3">
        <f t="shared" si="7"/>
        <v>3.2000000000000001E-2</v>
      </c>
      <c r="M3">
        <f t="shared" si="2"/>
        <v>1.8000000000000002E-2</v>
      </c>
      <c r="N3">
        <f t="shared" si="2"/>
        <v>2.2000000000000002E-2</v>
      </c>
      <c r="O3">
        <f t="shared" ref="O3:Z3" si="8">O13/100</f>
        <v>2.6000000000000002E-2</v>
      </c>
      <c r="P3">
        <f t="shared" si="8"/>
        <v>2.7999999999999997E-2</v>
      </c>
      <c r="Q3">
        <f t="shared" si="8"/>
        <v>2.7999999999999997E-2</v>
      </c>
      <c r="R3">
        <f t="shared" si="8"/>
        <v>4.0999999999999995E-2</v>
      </c>
      <c r="S3">
        <f t="shared" si="8"/>
        <v>3.3000000000000002E-2</v>
      </c>
      <c r="T3">
        <f t="shared" si="8"/>
        <v>4.9000000000000002E-2</v>
      </c>
      <c r="U3">
        <f t="shared" si="8"/>
        <v>0.04</v>
      </c>
      <c r="V3">
        <f t="shared" si="8"/>
        <v>0.04</v>
      </c>
      <c r="W3">
        <f t="shared" si="8"/>
        <v>0.06</v>
      </c>
      <c r="X3">
        <f t="shared" si="8"/>
        <v>0.04</v>
      </c>
      <c r="Y3">
        <f t="shared" si="8"/>
        <v>3.7000000000000005E-2</v>
      </c>
      <c r="Z3">
        <f t="shared" si="8"/>
        <v>4.0999999999999995E-2</v>
      </c>
      <c r="AA3">
        <f t="shared" si="4"/>
        <v>7.4999999999999997E-2</v>
      </c>
      <c r="AB3">
        <f t="shared" si="4"/>
        <v>1.9E-2</v>
      </c>
      <c r="AC3">
        <f t="shared" si="4"/>
        <v>1.4999999999999999E-2</v>
      </c>
      <c r="AD3">
        <f t="shared" si="4"/>
        <v>0</v>
      </c>
      <c r="AF3">
        <f>AF13/100</f>
        <v>0</v>
      </c>
      <c r="AH3">
        <f t="shared" ref="AH3:AX3" si="9">AH13/100</f>
        <v>0.19</v>
      </c>
      <c r="AI3">
        <f t="shared" si="9"/>
        <v>0.2</v>
      </c>
      <c r="AJ3">
        <f t="shared" si="9"/>
        <v>0.10800000000000001</v>
      </c>
      <c r="AK3">
        <f t="shared" si="9"/>
        <v>0.11800000000000001</v>
      </c>
      <c r="AL3">
        <f t="shared" si="9"/>
        <v>0.105</v>
      </c>
      <c r="AM3">
        <f t="shared" si="9"/>
        <v>0.11599999999999999</v>
      </c>
      <c r="AN3">
        <f t="shared" si="9"/>
        <v>0.11699999999999999</v>
      </c>
      <c r="AO3">
        <f t="shared" si="9"/>
        <v>0.11800000000000001</v>
      </c>
      <c r="AP3">
        <f t="shared" si="9"/>
        <v>0.14000000000000001</v>
      </c>
      <c r="AQ3">
        <f t="shared" si="9"/>
        <v>0.158</v>
      </c>
      <c r="AR3">
        <f t="shared" si="6"/>
        <v>0.14400000000000002</v>
      </c>
      <c r="AS3">
        <f t="shared" si="6"/>
        <v>0.14199999999999999</v>
      </c>
      <c r="AT3">
        <f t="shared" si="6"/>
        <v>0.154</v>
      </c>
      <c r="AU3">
        <f t="shared" si="6"/>
        <v>0.14699999999999999</v>
      </c>
      <c r="AX3">
        <f t="shared" si="9"/>
        <v>0</v>
      </c>
    </row>
    <row r="4" spans="1:50" x14ac:dyDescent="0.35">
      <c r="A4" t="s">
        <v>1013</v>
      </c>
      <c r="B4">
        <f>B14/100</f>
        <v>7.0000000000000007E-2</v>
      </c>
      <c r="C4">
        <f t="shared" si="0"/>
        <v>7.400000000000001E-2</v>
      </c>
      <c r="D4">
        <f t="shared" si="0"/>
        <v>9.1999999999999998E-2</v>
      </c>
      <c r="E4">
        <f>E14/100</f>
        <v>7.0999999999999994E-2</v>
      </c>
      <c r="F4">
        <f t="shared" ref="F4:L4" si="10">F14/100</f>
        <v>8.900000000000001E-2</v>
      </c>
      <c r="G4">
        <f t="shared" si="10"/>
        <v>7.2000000000000008E-2</v>
      </c>
      <c r="H4">
        <f t="shared" si="10"/>
        <v>9.3000000000000013E-2</v>
      </c>
      <c r="I4">
        <f t="shared" si="10"/>
        <v>7.4999999999999997E-2</v>
      </c>
      <c r="J4">
        <f t="shared" si="10"/>
        <v>7.8E-2</v>
      </c>
      <c r="K4">
        <f t="shared" si="10"/>
        <v>6.9000000000000006E-2</v>
      </c>
      <c r="L4">
        <f t="shared" si="10"/>
        <v>0.13600000000000001</v>
      </c>
      <c r="M4">
        <f t="shared" si="2"/>
        <v>6.7000000000000004E-2</v>
      </c>
      <c r="N4">
        <f t="shared" si="2"/>
        <v>7.6999999999999999E-2</v>
      </c>
      <c r="O4">
        <f t="shared" ref="O4:Z4" si="11">O14/100</f>
        <v>0.10300000000000001</v>
      </c>
      <c r="P4">
        <f t="shared" si="11"/>
        <v>0.12300000000000001</v>
      </c>
      <c r="Q4">
        <f t="shared" si="11"/>
        <v>0.12300000000000001</v>
      </c>
      <c r="R4">
        <f t="shared" si="11"/>
        <v>0.185</v>
      </c>
      <c r="S4">
        <f t="shared" si="11"/>
        <v>0.12300000000000001</v>
      </c>
      <c r="T4">
        <f t="shared" si="11"/>
        <v>0.185</v>
      </c>
      <c r="U4">
        <f t="shared" si="11"/>
        <v>0.12300000000000001</v>
      </c>
      <c r="V4">
        <f t="shared" si="11"/>
        <v>0.12300000000000001</v>
      </c>
      <c r="W4">
        <f t="shared" si="11"/>
        <v>0.185</v>
      </c>
      <c r="X4">
        <f t="shared" si="11"/>
        <v>0.12300000000000001</v>
      </c>
      <c r="Y4">
        <f t="shared" si="11"/>
        <v>0.17699999999999999</v>
      </c>
      <c r="Z4">
        <f t="shared" si="11"/>
        <v>0.23600000000000002</v>
      </c>
      <c r="AA4">
        <f t="shared" si="4"/>
        <v>0.20100000000000001</v>
      </c>
      <c r="AB4">
        <f t="shared" si="4"/>
        <v>6.7000000000000004E-2</v>
      </c>
      <c r="AC4">
        <f t="shared" si="4"/>
        <v>7.0000000000000007E-2</v>
      </c>
      <c r="AD4">
        <f t="shared" si="4"/>
        <v>0</v>
      </c>
      <c r="AF4">
        <f>AF14/100</f>
        <v>0</v>
      </c>
      <c r="AH4">
        <f t="shared" ref="AH4:AX4" si="12">AH14/100</f>
        <v>0.71400000000000008</v>
      </c>
      <c r="AI4">
        <f t="shared" si="12"/>
        <v>0.623</v>
      </c>
      <c r="AJ4">
        <f t="shared" si="12"/>
        <v>0.56999999999999995</v>
      </c>
      <c r="AK4">
        <f t="shared" si="12"/>
        <v>0.60399999999999998</v>
      </c>
      <c r="AL4">
        <f t="shared" si="12"/>
        <v>0.54600000000000004</v>
      </c>
      <c r="AM4">
        <f t="shared" si="12"/>
        <v>0.58200000000000007</v>
      </c>
      <c r="AN4">
        <f t="shared" si="12"/>
        <v>0.55700000000000005</v>
      </c>
      <c r="AO4">
        <f t="shared" si="12"/>
        <v>0.60799999999999998</v>
      </c>
      <c r="AP4">
        <f t="shared" si="12"/>
        <v>0.55000000000000004</v>
      </c>
      <c r="AQ4">
        <f t="shared" si="12"/>
        <v>0.53</v>
      </c>
      <c r="AR4">
        <f t="shared" si="6"/>
        <v>0.61</v>
      </c>
      <c r="AS4">
        <f t="shared" si="6"/>
        <v>0.52700000000000002</v>
      </c>
      <c r="AT4">
        <f t="shared" si="6"/>
        <v>0.53799999999999992</v>
      </c>
      <c r="AU4">
        <f t="shared" si="6"/>
        <v>0.71</v>
      </c>
      <c r="AX4">
        <f t="shared" si="12"/>
        <v>0.95</v>
      </c>
    </row>
    <row r="5" spans="1:50" x14ac:dyDescent="0.35">
      <c r="A5" t="s">
        <v>947</v>
      </c>
      <c r="B5">
        <f>B15/100</f>
        <v>0.04</v>
      </c>
      <c r="C5">
        <f t="shared" si="0"/>
        <v>3.5000000000000003E-2</v>
      </c>
      <c r="D5">
        <f t="shared" si="0"/>
        <v>3.3000000000000002E-2</v>
      </c>
      <c r="E5">
        <f>E15/100</f>
        <v>3.4000000000000002E-2</v>
      </c>
      <c r="F5">
        <f t="shared" ref="F5:L5" si="13">F15/100</f>
        <v>3.3000000000000002E-2</v>
      </c>
      <c r="G5">
        <f t="shared" si="13"/>
        <v>3.5000000000000003E-2</v>
      </c>
      <c r="H5">
        <f t="shared" si="13"/>
        <v>3.3000000000000002E-2</v>
      </c>
      <c r="I5">
        <f t="shared" si="13"/>
        <v>3.4000000000000002E-2</v>
      </c>
      <c r="J5">
        <f t="shared" si="13"/>
        <v>3.5000000000000003E-2</v>
      </c>
      <c r="K5">
        <f t="shared" si="13"/>
        <v>3.7999999999999999E-2</v>
      </c>
      <c r="L5">
        <f t="shared" si="13"/>
        <v>3.7999999999999999E-2</v>
      </c>
      <c r="M5">
        <f t="shared" si="2"/>
        <v>3.6000000000000004E-2</v>
      </c>
      <c r="N5">
        <f t="shared" si="2"/>
        <v>3.6000000000000004E-2</v>
      </c>
      <c r="O5">
        <f t="shared" ref="O5:Z5" si="14">O15/100</f>
        <v>5.4000000000000006E-2</v>
      </c>
      <c r="P5">
        <f t="shared" si="14"/>
        <v>4.4000000000000004E-2</v>
      </c>
      <c r="Q5">
        <f t="shared" si="14"/>
        <v>4.4000000000000004E-2</v>
      </c>
      <c r="R5">
        <f t="shared" si="14"/>
        <v>6.7000000000000004E-2</v>
      </c>
      <c r="S5">
        <f t="shared" si="14"/>
        <v>4.2000000000000003E-2</v>
      </c>
      <c r="T5">
        <f t="shared" si="14"/>
        <v>6.3E-2</v>
      </c>
      <c r="U5">
        <f t="shared" si="14"/>
        <v>3.9E-2</v>
      </c>
      <c r="V5">
        <f t="shared" si="14"/>
        <v>3.9E-2</v>
      </c>
      <c r="W5">
        <f t="shared" si="14"/>
        <v>5.7999999999999996E-2</v>
      </c>
      <c r="X5">
        <f t="shared" si="14"/>
        <v>3.9E-2</v>
      </c>
      <c r="Y5">
        <f t="shared" si="14"/>
        <v>1.7000000000000001E-2</v>
      </c>
      <c r="Z5">
        <f t="shared" si="14"/>
        <v>0.1</v>
      </c>
      <c r="AA5">
        <f t="shared" si="4"/>
        <v>0.1</v>
      </c>
      <c r="AB5">
        <f t="shared" si="4"/>
        <v>3.7000000000000005E-2</v>
      </c>
      <c r="AC5">
        <f t="shared" si="4"/>
        <v>3.6000000000000004E-2</v>
      </c>
      <c r="AD5">
        <f t="shared" si="4"/>
        <v>0.48</v>
      </c>
      <c r="AF5">
        <f>AF15/100</f>
        <v>0</v>
      </c>
      <c r="AH5">
        <f t="shared" ref="AH5:AX5" si="15">AH15/100</f>
        <v>0</v>
      </c>
      <c r="AI5">
        <f t="shared" si="15"/>
        <v>0</v>
      </c>
      <c r="AJ5">
        <f t="shared" si="15"/>
        <v>0.27</v>
      </c>
      <c r="AK5">
        <f t="shared" si="15"/>
        <v>0.215</v>
      </c>
      <c r="AL5">
        <f t="shared" si="15"/>
        <v>0.25800000000000001</v>
      </c>
      <c r="AM5">
        <f t="shared" si="15"/>
        <v>0.20800000000000002</v>
      </c>
      <c r="AN5">
        <f t="shared" si="15"/>
        <v>0.27</v>
      </c>
      <c r="AO5">
        <f t="shared" si="15"/>
        <v>0.215</v>
      </c>
      <c r="AP5">
        <f t="shared" si="15"/>
        <v>0.25</v>
      </c>
      <c r="AQ5">
        <f t="shared" si="15"/>
        <v>0.24</v>
      </c>
      <c r="AR5">
        <f t="shared" si="6"/>
        <v>0.17199999999999999</v>
      </c>
      <c r="AS5">
        <f t="shared" si="6"/>
        <v>0.28300000000000003</v>
      </c>
      <c r="AT5">
        <f t="shared" si="6"/>
        <v>0.251</v>
      </c>
      <c r="AU5">
        <f t="shared" si="6"/>
        <v>6.7000000000000004E-2</v>
      </c>
      <c r="AX5">
        <f t="shared" si="15"/>
        <v>0</v>
      </c>
    </row>
    <row r="6" spans="1:50" x14ac:dyDescent="0.35">
      <c r="A6" t="s">
        <v>1005</v>
      </c>
      <c r="B6">
        <f>B16*conversie!$E4/100</f>
        <v>8.6956000000000012E-3</v>
      </c>
      <c r="C6">
        <f>C16*conversie!$E4/100</f>
        <v>8.6956000000000012E-3</v>
      </c>
      <c r="D6">
        <f>D16*conversie!$E4/100</f>
        <v>1.217384E-2</v>
      </c>
      <c r="E6">
        <f>E16*conversie!$E4/100</f>
        <v>8.6956000000000012E-3</v>
      </c>
      <c r="F6">
        <f>F16*conversie!$E4/100</f>
        <v>1.217384E-2</v>
      </c>
      <c r="G6">
        <f>G16*conversie!$E4/100</f>
        <v>9.5651599999999996E-3</v>
      </c>
      <c r="H6">
        <f>H16*conversie!$E4/100</f>
        <v>1.217384E-2</v>
      </c>
      <c r="I6">
        <f>I16*conversie!$E4/100</f>
        <v>1.391296E-2</v>
      </c>
      <c r="J6">
        <f>J16*conversie!$E4/100</f>
        <v>1.6086860000000001E-2</v>
      </c>
      <c r="K6">
        <f>K16*conversie!$E4/100</f>
        <v>1.2608620000000001E-2</v>
      </c>
      <c r="L6">
        <f>L16*conversie!$E4/100</f>
        <v>2.2173780000000001E-2</v>
      </c>
      <c r="M6">
        <f>M16*conversie!$E4/100</f>
        <v>7.8260400000000011E-3</v>
      </c>
      <c r="N6">
        <f>N16*conversie!$E4/100</f>
        <v>9.9999400000000006E-3</v>
      </c>
      <c r="O6">
        <f>O16*conversie!$E4/100</f>
        <v>1.0869500000000001E-2</v>
      </c>
      <c r="P6">
        <f>P16*conversie!$E4/100</f>
        <v>2.60868E-2</v>
      </c>
      <c r="Q6">
        <f>Q16*conversie!$E4/100</f>
        <v>2.60868E-2</v>
      </c>
      <c r="R6">
        <f>R16*conversie!$E4/100</f>
        <v>3.9130200000000004E-2</v>
      </c>
      <c r="S6">
        <f>S16*conversie!$E4/100</f>
        <v>3.4782400000000005E-2</v>
      </c>
      <c r="T6">
        <f>T16*conversie!$E4/100</f>
        <v>4.6521460000000001E-2</v>
      </c>
      <c r="U6">
        <f>U16*conversie!$E4/100</f>
        <v>4.3478000000000003E-2</v>
      </c>
      <c r="V6">
        <f>V16*conversie!$E4/100</f>
        <v>4.3478000000000003E-2</v>
      </c>
      <c r="W6">
        <f>W16*conversie!$E4/100</f>
        <v>5.826052000000001E-2</v>
      </c>
      <c r="X6">
        <f>X16*conversie!$E4/100</f>
        <v>4.3478000000000003E-2</v>
      </c>
      <c r="Y6">
        <f>Y16*conversie!$E4/100</f>
        <v>4.3478000000000003E-2</v>
      </c>
      <c r="Z6">
        <f>Z16*conversie!$E4/100</f>
        <v>4.3478000000000003E-2</v>
      </c>
      <c r="AA6">
        <f>AA16*conversie!$E4/100</f>
        <v>4.3478000000000003E-2</v>
      </c>
      <c r="AB6">
        <f>AB16*conversie!$E4/100</f>
        <v>8.6956000000000012E-3</v>
      </c>
      <c r="AC6">
        <f>AC16*conversie!$E4/100</f>
        <v>7.8260400000000011E-3</v>
      </c>
      <c r="AD6">
        <f>AD16*conversie!$E4/100</f>
        <v>0</v>
      </c>
      <c r="AF6">
        <f>AF16*conversie!$E4/100</f>
        <v>0</v>
      </c>
      <c r="AH6">
        <f>AH16*conversie!$E4/100</f>
        <v>0.10347764000000001</v>
      </c>
      <c r="AI6">
        <f>AI16*conversie!$E4/100</f>
        <v>0.1239123</v>
      </c>
      <c r="AJ6">
        <f>AJ16*conversie!$E4/100</f>
        <v>6.7390900000000004E-2</v>
      </c>
      <c r="AK6">
        <f>AK16*conversie!$E4/100</f>
        <v>7.8260400000000008E-2</v>
      </c>
      <c r="AL6">
        <f>AL16*conversie!$E4/100</f>
        <v>6.5216999999999997E-2</v>
      </c>
      <c r="AM6">
        <f>AM16*conversie!$E4/100</f>
        <v>7.6086500000000001E-2</v>
      </c>
      <c r="AN6">
        <f>AN16*conversie!$E4/100</f>
        <v>7.3912600000000009E-2</v>
      </c>
      <c r="AO6">
        <f>AO16*conversie!$E4/100</f>
        <v>7.8260400000000008E-2</v>
      </c>
      <c r="AP6">
        <f>AP16*conversie!$E4/100</f>
        <v>0.1043472</v>
      </c>
      <c r="AQ6">
        <f>AQ16*conversie!$E4/100</f>
        <v>0.108695</v>
      </c>
      <c r="AR6">
        <f>AR16*conversie!$E4/100</f>
        <v>9.9999400000000002E-2</v>
      </c>
      <c r="AS6">
        <f>AS16*conversie!$E4/100</f>
        <v>6.0869199999999998E-2</v>
      </c>
      <c r="AT6">
        <f>AT16*conversie!$E4/100</f>
        <v>6.956480000000001E-2</v>
      </c>
      <c r="AU6">
        <f>AU16*conversie!$E4/100</f>
        <v>0.17478156000000003</v>
      </c>
      <c r="AX6">
        <f>AX16*conversie!$E4/100</f>
        <v>0</v>
      </c>
    </row>
    <row r="7" spans="1:50" x14ac:dyDescent="0.35">
      <c r="A7" t="s">
        <v>1006</v>
      </c>
      <c r="B7">
        <f>B17*conversie!$E5/100</f>
        <v>1.2820500000000002E-2</v>
      </c>
      <c r="C7">
        <f>C17*conversie!$E5/100</f>
        <v>1.6666650000000002E-2</v>
      </c>
      <c r="D7">
        <f>D17*conversie!$E5/100</f>
        <v>2.1794850000000001E-2</v>
      </c>
      <c r="E7">
        <f>E17*conversie!$E5/100</f>
        <v>1.5897419999999999E-2</v>
      </c>
      <c r="F7">
        <f>F17*conversie!$E5/100</f>
        <v>2.1794850000000001E-2</v>
      </c>
      <c r="G7">
        <f>G17*conversie!$E5/100</f>
        <v>1.6666650000000002E-2</v>
      </c>
      <c r="H7">
        <f>H17*conversie!$E5/100</f>
        <v>2.1794850000000001E-2</v>
      </c>
      <c r="I7">
        <f>I17*conversie!$E5/100</f>
        <v>2.128203E-2</v>
      </c>
      <c r="J7">
        <f>J17*conversie!$E5/100</f>
        <v>2.256408E-2</v>
      </c>
      <c r="K7">
        <f>K17*conversie!$E5/100</f>
        <v>1.8974339999999999E-2</v>
      </c>
      <c r="L7">
        <f>L17*conversie!$E5/100</f>
        <v>2.4358950000000001E-2</v>
      </c>
      <c r="M7">
        <f>M17*conversie!$E5/100</f>
        <v>1.6666650000000002E-2</v>
      </c>
      <c r="N7">
        <f>N17*conversie!$E5/100</f>
        <v>2.5641000000000004E-2</v>
      </c>
      <c r="O7">
        <f>O17*conversie!$E5/100</f>
        <v>2.5641000000000004E-2</v>
      </c>
      <c r="P7">
        <f>P17*conversie!$E5/100</f>
        <v>2.82051E-2</v>
      </c>
      <c r="Q7">
        <f>Q17*conversie!$E5/100</f>
        <v>2.82051E-2</v>
      </c>
      <c r="R7">
        <f>R17*conversie!$E5/100</f>
        <v>4.2307650000000002E-2</v>
      </c>
      <c r="S7">
        <f>S17*conversie!$E5/100</f>
        <v>3.3333300000000003E-2</v>
      </c>
      <c r="T7">
        <f>T17*conversie!$E5/100</f>
        <v>4.4615340000000003E-2</v>
      </c>
      <c r="U7">
        <f>U17*conversie!$E5/100</f>
        <v>3.8461500000000003E-2</v>
      </c>
      <c r="V7">
        <f>V17*conversie!$E5/100</f>
        <v>3.8461500000000003E-2</v>
      </c>
      <c r="W7">
        <f>W17*conversie!$E5/100</f>
        <v>5.153841E-2</v>
      </c>
      <c r="X7">
        <f>X17*conversie!$E5/100</f>
        <v>3.8461500000000003E-2</v>
      </c>
      <c r="Y7">
        <f>Y17*conversie!$E5/100</f>
        <v>3.8461500000000003E-2</v>
      </c>
      <c r="Z7">
        <f>Z17*conversie!$E5/100</f>
        <v>3.8461500000000003E-2</v>
      </c>
      <c r="AA7">
        <f>AA17*conversie!$E5/100</f>
        <v>4.6153800000000002E-2</v>
      </c>
      <c r="AB7">
        <f>AB17*conversie!$E5/100</f>
        <v>1.7179470000000002E-2</v>
      </c>
      <c r="AC7">
        <f>AC17*conversie!$E5/100</f>
        <v>1.6666650000000002E-2</v>
      </c>
      <c r="AD7">
        <f>AD17*conversie!$E5/100</f>
        <v>0</v>
      </c>
      <c r="AF7">
        <f>AF17*conversie!$E5/100</f>
        <v>0</v>
      </c>
      <c r="AH7">
        <f>AH17*conversie!$E5/100</f>
        <v>4.8717900000000001E-2</v>
      </c>
      <c r="AI7">
        <f>AI17*conversie!$E5/100</f>
        <v>7.3076849999999999E-2</v>
      </c>
      <c r="AJ7">
        <f>AJ17*conversie!$E5/100</f>
        <v>0.12820500000000001</v>
      </c>
      <c r="AK7">
        <f>AK17*conversie!$E5/100</f>
        <v>0.14230755</v>
      </c>
      <c r="AL7">
        <f>AL17*conversie!$E5/100</f>
        <v>0.12179475000000001</v>
      </c>
      <c r="AM7">
        <f>AM17*conversie!$E5/100</f>
        <v>0.14230755</v>
      </c>
      <c r="AN7">
        <f>AN17*conversie!$E5/100</f>
        <v>0.12820500000000001</v>
      </c>
      <c r="AO7">
        <f>AO17*conversie!$E5/100</f>
        <v>0.14230755</v>
      </c>
      <c r="AP7">
        <f>AP17*conversie!$E5/100</f>
        <v>0.1564101</v>
      </c>
      <c r="AQ7">
        <f>AQ17*conversie!$E5/100</f>
        <v>0.15384600000000001</v>
      </c>
      <c r="AR7">
        <f>AR17*conversie!$E5/100</f>
        <v>0.1102563</v>
      </c>
      <c r="AS7">
        <f>AS17*conversie!$E5/100</f>
        <v>0.13461524999999999</v>
      </c>
      <c r="AT7">
        <f>AT17*conversie!$E5/100</f>
        <v>0.17948699999999998</v>
      </c>
      <c r="AU7">
        <f>AU17*conversie!$E5/100</f>
        <v>0.15461522999999999</v>
      </c>
      <c r="AX7">
        <f>AX17*conversie!$E5/100</f>
        <v>0</v>
      </c>
    </row>
    <row r="8" spans="1:50" x14ac:dyDescent="0.35">
      <c r="A8" t="s">
        <v>1007</v>
      </c>
      <c r="B8">
        <f>B18*conversie!$E6/100</f>
        <v>7.4999999999999997E-3</v>
      </c>
      <c r="C8">
        <f>C18*conversie!$E6/100</f>
        <v>1.2500000000000001E-2</v>
      </c>
      <c r="D8">
        <f>D18*conversie!$E6/100</f>
        <v>0.02</v>
      </c>
      <c r="E8">
        <f>E18*conversie!$E6/100</f>
        <v>1.175E-2</v>
      </c>
      <c r="F8">
        <f>F18*conversie!$E6/100</f>
        <v>0.02</v>
      </c>
      <c r="G8">
        <f>G18*conversie!$E6/100</f>
        <v>1.2500000000000001E-2</v>
      </c>
      <c r="H8">
        <f>H18*conversie!$E6/100</f>
        <v>2.1000000000000001E-2</v>
      </c>
      <c r="I8">
        <f>I18*conversie!$E6/100</f>
        <v>1.6E-2</v>
      </c>
      <c r="J8">
        <f>J18*conversie!$E6/100</f>
        <v>2.2499999999999999E-2</v>
      </c>
      <c r="K8">
        <f>K18*conversie!$E6/100</f>
        <v>1.9500000000000003E-2</v>
      </c>
      <c r="L8">
        <f>L18*conversie!$E6/100</f>
        <v>0.04</v>
      </c>
      <c r="M8">
        <f>M18*conversie!$E6/100</f>
        <v>1.3500000000000002E-2</v>
      </c>
      <c r="N8">
        <f>N18*conversie!$E6/100</f>
        <v>2.3250000000000003E-2</v>
      </c>
      <c r="O8">
        <f>O18*conversie!$E6/100</f>
        <v>0.02</v>
      </c>
      <c r="P8">
        <f>P18*conversie!$E6/100</f>
        <v>1.4999999999999999E-2</v>
      </c>
      <c r="Q8">
        <f>Q18*conversie!$E6/100</f>
        <v>1.4999999999999999E-2</v>
      </c>
      <c r="R8">
        <f>R18*conversie!$E6/100</f>
        <v>2.2499999999999999E-2</v>
      </c>
      <c r="S8">
        <f>S18*conversie!$E6/100</f>
        <v>1.7500000000000002E-2</v>
      </c>
      <c r="T8">
        <f>T18*conversie!$E6/100</f>
        <v>2.375E-2</v>
      </c>
      <c r="U8">
        <f>U18*conversie!$E6/100</f>
        <v>0.02</v>
      </c>
      <c r="V8">
        <f>V18*conversie!$E6/100</f>
        <v>0.02</v>
      </c>
      <c r="W8">
        <f>W18*conversie!$E6/100</f>
        <v>2.7000000000000003E-2</v>
      </c>
      <c r="X8">
        <f>X18*conversie!$E6/100</f>
        <v>0.02</v>
      </c>
      <c r="Y8">
        <f>Y18*conversie!$E6/100</f>
        <v>0.02</v>
      </c>
      <c r="Z8">
        <f>Z18*conversie!$E6/100</f>
        <v>0.02</v>
      </c>
      <c r="AA8">
        <f>AA18*conversie!$E6/100</f>
        <v>0.02</v>
      </c>
      <c r="AB8">
        <f>AB18*conversie!$E6/100</f>
        <v>1.3500000000000002E-2</v>
      </c>
      <c r="AC8">
        <f>AC18*conversie!$E6/100</f>
        <v>1.3500000000000002E-2</v>
      </c>
      <c r="AD8">
        <f>AD18*conversie!$E6/100</f>
        <v>0</v>
      </c>
      <c r="AF8">
        <f>AF18*conversie!$E6/100</f>
        <v>0</v>
      </c>
      <c r="AH8">
        <f>AH18*conversie!$E6/100</f>
        <v>0.38700000000000001</v>
      </c>
      <c r="AI8">
        <f>AI18*conversie!$E6/100</f>
        <v>0.42875000000000002</v>
      </c>
      <c r="AJ8">
        <f>AJ18*conversie!$E6/100</f>
        <v>9.6250000000000002E-2</v>
      </c>
      <c r="AK8">
        <f>AK18*conversie!$E6/100</f>
        <v>0.13125000000000001</v>
      </c>
      <c r="AL8">
        <f>AL18*conversie!$E6/100</f>
        <v>9.1249999999999998E-2</v>
      </c>
      <c r="AM8">
        <f>AM18*conversie!$E6/100</f>
        <v>0.13125000000000001</v>
      </c>
      <c r="AN8">
        <f>AN18*conversie!$E6/100</f>
        <v>9.6250000000000002E-2</v>
      </c>
      <c r="AO8">
        <f>AO18*conversie!$E6/100</f>
        <v>0.13750000000000001</v>
      </c>
      <c r="AP8">
        <f>AP18*conversie!$E6/100</f>
        <v>0.11749999999999999</v>
      </c>
      <c r="AQ8">
        <f>AQ18*conversie!$E6/100</f>
        <v>0.155</v>
      </c>
      <c r="AR8">
        <f>AR18*conversie!$E6/100</f>
        <v>0.18</v>
      </c>
      <c r="AS8">
        <f>AS18*conversie!$E6/100</f>
        <v>0.105</v>
      </c>
      <c r="AT8">
        <f>AT18*conversie!$E6/100</f>
        <v>0.16250000000000001</v>
      </c>
      <c r="AU8">
        <f>AU18*conversie!$E6/100</f>
        <v>8.0500000000000002E-2</v>
      </c>
      <c r="AX8">
        <f>AX18*conversie!$E6/100</f>
        <v>0</v>
      </c>
    </row>
    <row r="9" spans="1:50" x14ac:dyDescent="0.35">
      <c r="A9" t="s">
        <v>1014</v>
      </c>
      <c r="B9">
        <f>B19*conversie!$E7/100</f>
        <v>4.8433499999999997E-3</v>
      </c>
      <c r="C9">
        <f>C19*conversie!$E7/100</f>
        <v>9.6866999999999995E-3</v>
      </c>
      <c r="D9">
        <f>D19*conversie!$E7/100</f>
        <v>1.7758949999999999E-2</v>
      </c>
      <c r="E9">
        <f>E19*conversie!$E7/100</f>
        <v>9.3638099999999985E-3</v>
      </c>
      <c r="F9">
        <f>F19*conversie!$E7/100</f>
        <v>1.7758949999999999E-2</v>
      </c>
      <c r="G9">
        <f>G19*conversie!$E7/100</f>
        <v>9.6866999999999995E-3</v>
      </c>
      <c r="H9">
        <f>H19*conversie!$E7/100</f>
        <v>1.9373399999999999E-2</v>
      </c>
      <c r="I9">
        <f>I19*conversie!$E7/100</f>
        <v>1.711317E-2</v>
      </c>
      <c r="J9">
        <f>J19*conversie!$E7/100</f>
        <v>1.7758949999999999E-2</v>
      </c>
      <c r="K9">
        <f>K19*conversie!$E7/100</f>
        <v>1.6467389999999998E-2</v>
      </c>
      <c r="L9">
        <f>L19*conversie!$E7/100</f>
        <v>2.518542E-2</v>
      </c>
      <c r="M9">
        <f>M19*conversie!$E7/100</f>
        <v>8.7180299999999999E-3</v>
      </c>
      <c r="N9">
        <f>N19*conversie!$E7/100</f>
        <v>1.8404729999999998E-2</v>
      </c>
      <c r="O9">
        <f>O19*conversie!$E7/100</f>
        <v>1.2915600000000001E-2</v>
      </c>
      <c r="P9">
        <f>P19*conversie!$E7/100</f>
        <v>1.6144499999999999E-2</v>
      </c>
      <c r="Q9">
        <f>Q19*conversie!$E7/100</f>
        <v>1.6144499999999999E-2</v>
      </c>
      <c r="R9">
        <f>R19*conversie!$E7/100</f>
        <v>2.4216749999999999E-2</v>
      </c>
      <c r="S9">
        <f>S19*conversie!$E7/100</f>
        <v>1.9373399999999999E-2</v>
      </c>
      <c r="T9">
        <f>T19*conversie!$E7/100</f>
        <v>2.9060099999999998E-2</v>
      </c>
      <c r="U9">
        <f>U19*conversie!$E7/100</f>
        <v>2.3248080000000001E-2</v>
      </c>
      <c r="V9">
        <f>V19*conversie!$E7/100</f>
        <v>2.3248080000000001E-2</v>
      </c>
      <c r="W9">
        <f>W19*conversie!$E7/100</f>
        <v>3.487212E-2</v>
      </c>
      <c r="X9">
        <f>X19*conversie!$E7/100</f>
        <v>2.3248080000000001E-2</v>
      </c>
      <c r="Y9">
        <f>Y19*conversie!$E7/100</f>
        <v>2.1310739999999998E-2</v>
      </c>
      <c r="Z9">
        <f>Z19*conversie!$E7/100</f>
        <v>2.4216749999999999E-2</v>
      </c>
      <c r="AA9">
        <f>AA19*conversie!$E7/100</f>
        <v>2.4216749999999999E-2</v>
      </c>
      <c r="AB9">
        <f>AB19*conversie!$E7/100</f>
        <v>8.7180299999999999E-3</v>
      </c>
      <c r="AC9">
        <f>AC19*conversie!$E7/100</f>
        <v>8.7180299999999999E-3</v>
      </c>
      <c r="AD9">
        <f>AD19*conversie!$E7/100</f>
        <v>0</v>
      </c>
      <c r="AF9">
        <f>AF19*conversie!$E7/100</f>
        <v>0</v>
      </c>
      <c r="AH9">
        <f>AH19*conversie!$E7/100</f>
        <v>0.34581518999999999</v>
      </c>
      <c r="AI9">
        <f>AI19*conversie!$E7/100</f>
        <v>0.32289000000000001</v>
      </c>
      <c r="AJ9">
        <f>AJ19*conversie!$E7/100</f>
        <v>7.4264699999999989E-2</v>
      </c>
      <c r="AK9">
        <f>AK19*conversie!$E7/100</f>
        <v>0.11624039999999999</v>
      </c>
      <c r="AL9">
        <f>AL19*conversie!$E7/100</f>
        <v>7.1035799999999996E-2</v>
      </c>
      <c r="AM9">
        <f>AM19*conversie!$E7/100</f>
        <v>0.11624039999999999</v>
      </c>
      <c r="AN9">
        <f>AN19*conversie!$E7/100</f>
        <v>7.4264699999999989E-2</v>
      </c>
      <c r="AO9">
        <f>AO19*conversie!$E7/100</f>
        <v>0.12592709999999999</v>
      </c>
      <c r="AP9">
        <f>AP19*conversie!$E7/100</f>
        <v>0.12592709999999999</v>
      </c>
      <c r="AQ9">
        <f>AQ19*conversie!$E7/100</f>
        <v>0.12269819999999999</v>
      </c>
      <c r="AR9">
        <f>AR19*conversie!$E7/100</f>
        <v>0.1130115</v>
      </c>
      <c r="AS9">
        <f>AS19*conversie!$E7/100</f>
        <v>6.7806900000000003E-2</v>
      </c>
      <c r="AT9">
        <f>AT19*conversie!$E7/100</f>
        <v>0.12915599999999999</v>
      </c>
      <c r="AU9">
        <f>AU19*conversie!$E7/100</f>
        <v>8.6211629999999997E-2</v>
      </c>
      <c r="AX9">
        <f>AX19*conversie!$E7/100</f>
        <v>0</v>
      </c>
    </row>
    <row r="10" spans="1:50" x14ac:dyDescent="0.35">
      <c r="A10" t="s">
        <v>1008</v>
      </c>
      <c r="B10">
        <f>B20*conversie!$E8/100</f>
        <v>1.23423E-3</v>
      </c>
      <c r="C10">
        <f>C20*conversie!$E8/100</f>
        <v>2.46846E-3</v>
      </c>
      <c r="D10">
        <f>D20*conversie!$E8/100</f>
        <v>3.2912799999999997E-3</v>
      </c>
      <c r="E10">
        <f>E20*conversie!$E8/100</f>
        <v>2.46846E-3</v>
      </c>
      <c r="F10">
        <f>F20*conversie!$E8/100</f>
        <v>3.2912799999999997E-3</v>
      </c>
      <c r="G10">
        <f>G20*conversie!$E8/100</f>
        <v>2.46846E-3</v>
      </c>
      <c r="H10">
        <f>H20*conversie!$E8/100</f>
        <v>3.2912799999999997E-3</v>
      </c>
      <c r="I10">
        <f>I20*conversie!$E8/100</f>
        <v>2.8798700000000001E-3</v>
      </c>
      <c r="J10">
        <f>J20*conversie!$E8/100</f>
        <v>2.8798700000000001E-3</v>
      </c>
      <c r="K10">
        <f>K20*conversie!$E8/100</f>
        <v>2.8798700000000001E-3</v>
      </c>
      <c r="L10">
        <f>L20*conversie!$E8/100</f>
        <v>8.228199999999998E-3</v>
      </c>
      <c r="M10">
        <f>M20*conversie!$E8/100</f>
        <v>2.0570499999999995E-3</v>
      </c>
      <c r="N10">
        <f>N20*conversie!$E8/100</f>
        <v>2.8798700000000001E-3</v>
      </c>
      <c r="O10">
        <f>O20*conversie!$E8/100</f>
        <v>3.2912799999999997E-3</v>
      </c>
      <c r="P10">
        <f>P20*conversie!$E8/100</f>
        <v>4.5255099999999999E-3</v>
      </c>
      <c r="Q10">
        <f>Q20*conversie!$E8/100</f>
        <v>4.5255099999999999E-3</v>
      </c>
      <c r="R10">
        <f>R20*conversie!$E8/100</f>
        <v>6.9939699999999995E-3</v>
      </c>
      <c r="S10">
        <f>S20*conversie!$E8/100</f>
        <v>6.9939699999999995E-3</v>
      </c>
      <c r="T10">
        <f>T20*conversie!$E8/100</f>
        <v>1.069666E-2</v>
      </c>
      <c r="U10">
        <f>U20*conversie!$E8/100</f>
        <v>9.4624299999999991E-3</v>
      </c>
      <c r="V10">
        <f>V20*conversie!$E8/100</f>
        <v>9.4624299999999991E-3</v>
      </c>
      <c r="W10">
        <f>W20*conversie!$E8/100</f>
        <v>1.3987939999999999E-2</v>
      </c>
      <c r="X10">
        <f>X20*conversie!$E8/100</f>
        <v>9.4624299999999991E-3</v>
      </c>
      <c r="Y10">
        <f>Y20*conversie!$E8/100</f>
        <v>8.639609999999999E-3</v>
      </c>
      <c r="Z10">
        <f>Z20*conversie!$E8/100</f>
        <v>1.8513449999999997E-2</v>
      </c>
      <c r="AA10">
        <f>AA20*conversie!$E8/100</f>
        <v>1.8513449999999997E-2</v>
      </c>
      <c r="AB10">
        <f>AB20*conversie!$E8/100</f>
        <v>3.2912799999999997E-3</v>
      </c>
      <c r="AC10">
        <f>AC20*conversie!$E8/100</f>
        <v>2.0570499999999995E-3</v>
      </c>
      <c r="AD10">
        <f>AD20*conversie!$E8/100</f>
        <v>0</v>
      </c>
      <c r="AF10">
        <f>AF20*conversie!$E8/100</f>
        <v>0</v>
      </c>
      <c r="AH10">
        <f>AH20*conversie!$E8/100</f>
        <v>5.8831629999999996E-2</v>
      </c>
      <c r="AI10">
        <f>AI20*conversie!$E8/100</f>
        <v>5.75974E-2</v>
      </c>
      <c r="AJ10">
        <f>AJ20*conversie!$E8/100</f>
        <v>1.8924859999999998E-2</v>
      </c>
      <c r="AK10">
        <f>AK20*conversie!$E8/100</f>
        <v>2.2216139999999999E-2</v>
      </c>
      <c r="AL10">
        <f>AL20*conversie!$E8/100</f>
        <v>1.810204E-2</v>
      </c>
      <c r="AM10">
        <f>AM20*conversie!$E8/100</f>
        <v>2.2216139999999999E-2</v>
      </c>
      <c r="AN10">
        <f>AN20*conversie!$E8/100</f>
        <v>1.8924859999999998E-2</v>
      </c>
      <c r="AO10">
        <f>AO20*conversie!$E8/100</f>
        <v>2.2216139999999999E-2</v>
      </c>
      <c r="AP10">
        <f>AP20*conversie!$E8/100</f>
        <v>2.0570499999999999E-2</v>
      </c>
      <c r="AQ10">
        <f>AQ20*conversie!$E8/100</f>
        <v>2.262755E-2</v>
      </c>
      <c r="AR10">
        <f>AR20*conversie!$E8/100</f>
        <v>3.7026899999999995E-2</v>
      </c>
      <c r="AS10">
        <f>AS20*conversie!$E8/100</f>
        <v>1.6456399999999996E-2</v>
      </c>
      <c r="AT10">
        <f>AT20*conversie!$E8/100</f>
        <v>2.0570499999999999E-2</v>
      </c>
      <c r="AU10">
        <f>AU20*conversie!$E8/100</f>
        <v>3.4558439999999996E-2</v>
      </c>
      <c r="AX10">
        <f>AX20*conversie!$E8/100</f>
        <v>0</v>
      </c>
    </row>
    <row r="12" spans="1:50" x14ac:dyDescent="0.35">
      <c r="A12" t="s">
        <v>1012</v>
      </c>
      <c r="B12">
        <v>68</v>
      </c>
      <c r="C12">
        <v>67</v>
      </c>
      <c r="D12">
        <v>74</v>
      </c>
      <c r="E12">
        <v>64</v>
      </c>
      <c r="F12">
        <v>72</v>
      </c>
      <c r="G12">
        <v>67</v>
      </c>
      <c r="H12">
        <v>74</v>
      </c>
      <c r="I12">
        <v>68</v>
      </c>
      <c r="J12">
        <v>72</v>
      </c>
      <c r="K12">
        <v>68</v>
      </c>
      <c r="L12">
        <v>100</v>
      </c>
      <c r="M12">
        <v>66</v>
      </c>
      <c r="N12">
        <v>72</v>
      </c>
      <c r="O12">
        <v>100</v>
      </c>
      <c r="P12">
        <v>100</v>
      </c>
      <c r="Q12">
        <v>100</v>
      </c>
      <c r="R12">
        <v>150</v>
      </c>
      <c r="S12">
        <v>100</v>
      </c>
      <c r="T12">
        <v>150</v>
      </c>
      <c r="U12">
        <v>100</v>
      </c>
      <c r="V12">
        <v>100</v>
      </c>
      <c r="W12">
        <v>150</v>
      </c>
      <c r="X12">
        <v>100</v>
      </c>
      <c r="Y12">
        <v>100</v>
      </c>
      <c r="Z12">
        <v>200</v>
      </c>
      <c r="AA12">
        <v>200</v>
      </c>
      <c r="AB12">
        <v>66</v>
      </c>
      <c r="AC12">
        <v>66</v>
      </c>
      <c r="AD12">
        <v>432</v>
      </c>
      <c r="AE12">
        <v>450</v>
      </c>
      <c r="AH12">
        <v>357</v>
      </c>
      <c r="AI12">
        <v>340</v>
      </c>
      <c r="AJ12">
        <v>515</v>
      </c>
      <c r="AK12">
        <v>485</v>
      </c>
      <c r="AL12">
        <v>495</v>
      </c>
      <c r="AM12">
        <v>470</v>
      </c>
      <c r="AN12">
        <v>515</v>
      </c>
      <c r="AO12">
        <v>485</v>
      </c>
      <c r="AP12">
        <v>500</v>
      </c>
      <c r="AQ12">
        <v>490</v>
      </c>
      <c r="AR12">
        <v>450</v>
      </c>
      <c r="AS12">
        <v>522</v>
      </c>
      <c r="AT12">
        <v>503</v>
      </c>
      <c r="AU12">
        <v>402</v>
      </c>
      <c r="AV12">
        <v>516</v>
      </c>
      <c r="AW12">
        <v>52</v>
      </c>
      <c r="AX12">
        <v>380</v>
      </c>
    </row>
    <row r="13" spans="1:50" x14ac:dyDescent="0.35">
      <c r="A13" t="s">
        <v>946</v>
      </c>
      <c r="B13">
        <v>1</v>
      </c>
      <c r="C13">
        <v>1.4</v>
      </c>
      <c r="D13">
        <v>1.8</v>
      </c>
      <c r="E13">
        <v>1.4</v>
      </c>
      <c r="F13">
        <v>1.8</v>
      </c>
      <c r="G13">
        <v>1.5</v>
      </c>
      <c r="H13">
        <v>1.8</v>
      </c>
      <c r="I13">
        <v>1.9</v>
      </c>
      <c r="J13">
        <v>2.2999999999999998</v>
      </c>
      <c r="K13">
        <v>1.9</v>
      </c>
      <c r="L13">
        <v>3.2</v>
      </c>
      <c r="M13">
        <v>1.8</v>
      </c>
      <c r="N13">
        <v>2.2000000000000002</v>
      </c>
      <c r="O13">
        <v>2.6</v>
      </c>
      <c r="P13">
        <v>2.8</v>
      </c>
      <c r="Q13">
        <v>2.8</v>
      </c>
      <c r="R13">
        <v>4.0999999999999996</v>
      </c>
      <c r="S13">
        <v>3.3</v>
      </c>
      <c r="T13">
        <v>4.9000000000000004</v>
      </c>
      <c r="U13">
        <v>4</v>
      </c>
      <c r="V13">
        <v>4</v>
      </c>
      <c r="W13">
        <v>6</v>
      </c>
      <c r="X13">
        <v>4</v>
      </c>
      <c r="Y13">
        <v>3.7</v>
      </c>
      <c r="Z13">
        <v>4.0999999999999996</v>
      </c>
      <c r="AA13">
        <v>7.5</v>
      </c>
      <c r="AB13">
        <v>1.9</v>
      </c>
      <c r="AC13">
        <v>1.5</v>
      </c>
      <c r="AH13">
        <v>19</v>
      </c>
      <c r="AI13">
        <v>20</v>
      </c>
      <c r="AJ13">
        <v>10.8</v>
      </c>
      <c r="AK13">
        <v>11.8</v>
      </c>
      <c r="AL13">
        <v>10.5</v>
      </c>
      <c r="AM13">
        <v>11.6</v>
      </c>
      <c r="AN13">
        <v>11.7</v>
      </c>
      <c r="AO13">
        <v>11.8</v>
      </c>
      <c r="AP13">
        <v>14</v>
      </c>
      <c r="AQ13">
        <v>15.8</v>
      </c>
      <c r="AR13">
        <v>14.4</v>
      </c>
      <c r="AS13">
        <v>14.2</v>
      </c>
      <c r="AT13">
        <v>15.4</v>
      </c>
      <c r="AU13">
        <v>14.7</v>
      </c>
      <c r="AV13">
        <v>14.3</v>
      </c>
      <c r="AW13">
        <v>11.8</v>
      </c>
    </row>
    <row r="14" spans="1:50" x14ac:dyDescent="0.35">
      <c r="A14" t="s">
        <v>1013</v>
      </c>
      <c r="B14">
        <v>7</v>
      </c>
      <c r="C14">
        <v>7.4</v>
      </c>
      <c r="D14">
        <v>9.1999999999999993</v>
      </c>
      <c r="E14">
        <v>7.1</v>
      </c>
      <c r="F14">
        <v>8.9</v>
      </c>
      <c r="G14">
        <v>7.2</v>
      </c>
      <c r="H14">
        <v>9.3000000000000007</v>
      </c>
      <c r="I14">
        <v>7.5</v>
      </c>
      <c r="J14">
        <v>7.8</v>
      </c>
      <c r="K14">
        <v>6.9</v>
      </c>
      <c r="L14">
        <v>13.6</v>
      </c>
      <c r="M14">
        <v>6.7</v>
      </c>
      <c r="N14">
        <v>7.7</v>
      </c>
      <c r="O14">
        <v>10.3</v>
      </c>
      <c r="P14">
        <v>12.3</v>
      </c>
      <c r="Q14">
        <v>12.3</v>
      </c>
      <c r="R14">
        <v>18.5</v>
      </c>
      <c r="S14">
        <v>12.3</v>
      </c>
      <c r="T14">
        <v>18.5</v>
      </c>
      <c r="U14">
        <v>12.3</v>
      </c>
      <c r="V14">
        <v>12.3</v>
      </c>
      <c r="W14">
        <v>18.5</v>
      </c>
      <c r="X14">
        <v>12.3</v>
      </c>
      <c r="Y14">
        <v>17.7</v>
      </c>
      <c r="Z14">
        <v>23.6</v>
      </c>
      <c r="AA14">
        <v>20.100000000000001</v>
      </c>
      <c r="AB14">
        <v>6.7</v>
      </c>
      <c r="AC14">
        <v>7</v>
      </c>
      <c r="AH14">
        <v>71.400000000000006</v>
      </c>
      <c r="AI14">
        <v>62.3</v>
      </c>
      <c r="AJ14">
        <v>57</v>
      </c>
      <c r="AK14">
        <v>60.4</v>
      </c>
      <c r="AL14">
        <v>54.6</v>
      </c>
      <c r="AM14">
        <v>58.2</v>
      </c>
      <c r="AN14">
        <v>55.7</v>
      </c>
      <c r="AO14">
        <v>60.8</v>
      </c>
      <c r="AP14">
        <v>55</v>
      </c>
      <c r="AQ14">
        <v>53</v>
      </c>
      <c r="AR14">
        <v>61</v>
      </c>
      <c r="AS14">
        <v>52.7</v>
      </c>
      <c r="AT14">
        <v>53.8</v>
      </c>
      <c r="AU14">
        <v>71</v>
      </c>
      <c r="AV14">
        <v>51.3</v>
      </c>
      <c r="AW14">
        <v>55.1</v>
      </c>
      <c r="AX14">
        <v>95</v>
      </c>
    </row>
    <row r="15" spans="1:50" x14ac:dyDescent="0.35">
      <c r="A15" t="s">
        <v>947</v>
      </c>
      <c r="B15">
        <v>4</v>
      </c>
      <c r="C15">
        <v>3.5</v>
      </c>
      <c r="D15">
        <v>3.3</v>
      </c>
      <c r="E15">
        <v>3.4</v>
      </c>
      <c r="F15">
        <v>3.3</v>
      </c>
      <c r="G15">
        <v>3.5</v>
      </c>
      <c r="H15">
        <v>3.3</v>
      </c>
      <c r="I15">
        <v>3.4</v>
      </c>
      <c r="J15">
        <v>3.5</v>
      </c>
      <c r="K15">
        <v>3.8</v>
      </c>
      <c r="L15">
        <v>3.8</v>
      </c>
      <c r="M15">
        <v>3.6</v>
      </c>
      <c r="N15">
        <v>3.6</v>
      </c>
      <c r="O15">
        <v>5.4</v>
      </c>
      <c r="P15">
        <v>4.4000000000000004</v>
      </c>
      <c r="Q15">
        <v>4.4000000000000004</v>
      </c>
      <c r="R15">
        <v>6.7</v>
      </c>
      <c r="S15">
        <v>4.2</v>
      </c>
      <c r="T15">
        <v>6.3</v>
      </c>
      <c r="U15">
        <v>3.9</v>
      </c>
      <c r="V15">
        <v>3.9</v>
      </c>
      <c r="W15">
        <v>5.8</v>
      </c>
      <c r="X15">
        <v>3.9</v>
      </c>
      <c r="Y15">
        <v>1.7</v>
      </c>
      <c r="Z15">
        <v>10</v>
      </c>
      <c r="AA15">
        <v>10</v>
      </c>
      <c r="AB15">
        <v>3.7</v>
      </c>
      <c r="AC15">
        <v>3.6</v>
      </c>
      <c r="AD15">
        <v>48</v>
      </c>
      <c r="AE15">
        <v>50</v>
      </c>
      <c r="AJ15">
        <v>27</v>
      </c>
      <c r="AK15">
        <v>21.5</v>
      </c>
      <c r="AL15">
        <v>25.8</v>
      </c>
      <c r="AM15">
        <v>20.8</v>
      </c>
      <c r="AN15">
        <v>27</v>
      </c>
      <c r="AO15">
        <v>21.5</v>
      </c>
      <c r="AP15">
        <v>25</v>
      </c>
      <c r="AQ15">
        <v>24</v>
      </c>
      <c r="AR15">
        <v>17.2</v>
      </c>
      <c r="AS15">
        <v>28.3</v>
      </c>
      <c r="AT15">
        <v>25.1</v>
      </c>
      <c r="AU15">
        <v>6.7</v>
      </c>
      <c r="AV15">
        <v>28.3</v>
      </c>
      <c r="AW15">
        <v>28.3</v>
      </c>
    </row>
    <row r="16" spans="1:50" x14ac:dyDescent="0.35">
      <c r="A16" t="s">
        <v>1005</v>
      </c>
      <c r="B16">
        <v>20</v>
      </c>
      <c r="C16">
        <v>20</v>
      </c>
      <c r="D16">
        <v>28</v>
      </c>
      <c r="E16">
        <v>20</v>
      </c>
      <c r="F16">
        <v>28</v>
      </c>
      <c r="G16">
        <v>22</v>
      </c>
      <c r="H16">
        <v>28</v>
      </c>
      <c r="I16">
        <v>32</v>
      </c>
      <c r="J16">
        <v>37</v>
      </c>
      <c r="K16">
        <v>29</v>
      </c>
      <c r="L16">
        <v>51</v>
      </c>
      <c r="M16">
        <v>18</v>
      </c>
      <c r="N16">
        <v>23</v>
      </c>
      <c r="O16">
        <v>25</v>
      </c>
      <c r="P16">
        <v>60</v>
      </c>
      <c r="Q16">
        <v>60</v>
      </c>
      <c r="R16">
        <v>90</v>
      </c>
      <c r="S16">
        <v>80</v>
      </c>
      <c r="T16">
        <v>107</v>
      </c>
      <c r="U16">
        <v>100</v>
      </c>
      <c r="V16">
        <v>100</v>
      </c>
      <c r="W16">
        <v>134</v>
      </c>
      <c r="X16">
        <v>100</v>
      </c>
      <c r="Y16">
        <v>100</v>
      </c>
      <c r="Z16">
        <v>100</v>
      </c>
      <c r="AA16">
        <v>100</v>
      </c>
      <c r="AB16">
        <v>20</v>
      </c>
      <c r="AC16">
        <v>18</v>
      </c>
      <c r="AH16">
        <v>238</v>
      </c>
      <c r="AI16">
        <v>285</v>
      </c>
      <c r="AJ16">
        <v>155</v>
      </c>
      <c r="AK16">
        <v>180</v>
      </c>
      <c r="AL16">
        <v>150</v>
      </c>
      <c r="AM16">
        <v>175</v>
      </c>
      <c r="AN16">
        <v>170</v>
      </c>
      <c r="AO16">
        <v>180</v>
      </c>
      <c r="AP16">
        <v>240</v>
      </c>
      <c r="AQ16">
        <v>250</v>
      </c>
      <c r="AR16">
        <v>230</v>
      </c>
      <c r="AS16">
        <v>140</v>
      </c>
      <c r="AT16">
        <v>160</v>
      </c>
      <c r="AU16">
        <v>402</v>
      </c>
      <c r="AV16">
        <v>155</v>
      </c>
      <c r="AW16">
        <v>140</v>
      </c>
    </row>
    <row r="17" spans="1:49" x14ac:dyDescent="0.35">
      <c r="A17" t="s">
        <v>1006</v>
      </c>
      <c r="B17">
        <v>50</v>
      </c>
      <c r="C17">
        <v>65</v>
      </c>
      <c r="D17">
        <v>85</v>
      </c>
      <c r="E17">
        <v>62</v>
      </c>
      <c r="F17">
        <v>85</v>
      </c>
      <c r="G17">
        <v>65</v>
      </c>
      <c r="H17">
        <v>85</v>
      </c>
      <c r="I17">
        <v>83</v>
      </c>
      <c r="J17">
        <v>88</v>
      </c>
      <c r="K17">
        <v>74</v>
      </c>
      <c r="L17">
        <v>95</v>
      </c>
      <c r="M17">
        <v>65</v>
      </c>
      <c r="N17">
        <v>100</v>
      </c>
      <c r="O17">
        <v>100</v>
      </c>
      <c r="P17">
        <v>110</v>
      </c>
      <c r="Q17">
        <v>110</v>
      </c>
      <c r="R17">
        <v>165</v>
      </c>
      <c r="S17">
        <v>130</v>
      </c>
      <c r="T17">
        <v>174</v>
      </c>
      <c r="U17">
        <v>150</v>
      </c>
      <c r="V17">
        <v>150</v>
      </c>
      <c r="W17">
        <v>201</v>
      </c>
      <c r="X17">
        <v>150</v>
      </c>
      <c r="Y17">
        <v>150</v>
      </c>
      <c r="Z17">
        <v>150</v>
      </c>
      <c r="AA17">
        <v>180</v>
      </c>
      <c r="AB17">
        <v>67</v>
      </c>
      <c r="AC17">
        <v>65</v>
      </c>
      <c r="AH17">
        <v>190</v>
      </c>
      <c r="AI17">
        <v>285</v>
      </c>
      <c r="AJ17">
        <v>500</v>
      </c>
      <c r="AK17">
        <v>555</v>
      </c>
      <c r="AL17">
        <v>475</v>
      </c>
      <c r="AM17">
        <v>555</v>
      </c>
      <c r="AN17">
        <v>500</v>
      </c>
      <c r="AO17">
        <v>555</v>
      </c>
      <c r="AP17">
        <v>610</v>
      </c>
      <c r="AQ17">
        <v>600</v>
      </c>
      <c r="AR17">
        <v>430</v>
      </c>
      <c r="AS17">
        <v>525</v>
      </c>
      <c r="AT17">
        <v>700</v>
      </c>
      <c r="AU17">
        <v>603</v>
      </c>
      <c r="AV17">
        <v>515</v>
      </c>
      <c r="AW17">
        <v>525</v>
      </c>
    </row>
    <row r="18" spans="1:49" x14ac:dyDescent="0.35">
      <c r="A18" t="s">
        <v>1007</v>
      </c>
      <c r="B18">
        <v>30</v>
      </c>
      <c r="C18">
        <v>50</v>
      </c>
      <c r="D18">
        <v>80</v>
      </c>
      <c r="E18">
        <v>47</v>
      </c>
      <c r="F18">
        <v>80</v>
      </c>
      <c r="G18">
        <v>50</v>
      </c>
      <c r="H18">
        <v>84</v>
      </c>
      <c r="I18">
        <v>64</v>
      </c>
      <c r="J18">
        <v>90</v>
      </c>
      <c r="K18">
        <v>78</v>
      </c>
      <c r="L18">
        <v>160</v>
      </c>
      <c r="M18">
        <v>54</v>
      </c>
      <c r="N18">
        <v>93</v>
      </c>
      <c r="O18">
        <v>80</v>
      </c>
      <c r="P18">
        <v>60</v>
      </c>
      <c r="Q18">
        <v>60</v>
      </c>
      <c r="R18">
        <v>90</v>
      </c>
      <c r="S18">
        <v>70</v>
      </c>
      <c r="T18">
        <v>95</v>
      </c>
      <c r="U18">
        <v>80</v>
      </c>
      <c r="V18">
        <v>80</v>
      </c>
      <c r="W18">
        <v>108</v>
      </c>
      <c r="X18">
        <v>80</v>
      </c>
      <c r="Y18">
        <v>80</v>
      </c>
      <c r="Z18">
        <v>80</v>
      </c>
      <c r="AA18">
        <v>80</v>
      </c>
      <c r="AB18">
        <v>54</v>
      </c>
      <c r="AC18">
        <v>54</v>
      </c>
      <c r="AH18">
        <v>1548</v>
      </c>
      <c r="AI18">
        <v>1715</v>
      </c>
      <c r="AJ18">
        <v>385</v>
      </c>
      <c r="AK18">
        <v>525</v>
      </c>
      <c r="AL18">
        <v>365</v>
      </c>
      <c r="AM18">
        <v>525</v>
      </c>
      <c r="AN18">
        <v>385</v>
      </c>
      <c r="AO18">
        <v>550</v>
      </c>
      <c r="AP18">
        <v>470</v>
      </c>
      <c r="AQ18">
        <v>620</v>
      </c>
      <c r="AR18">
        <v>720</v>
      </c>
      <c r="AS18">
        <v>420</v>
      </c>
      <c r="AT18">
        <v>650</v>
      </c>
      <c r="AU18">
        <v>322</v>
      </c>
      <c r="AV18">
        <v>420</v>
      </c>
      <c r="AW18">
        <v>420</v>
      </c>
    </row>
    <row r="19" spans="1:49" x14ac:dyDescent="0.35">
      <c r="A19" t="s">
        <v>1014</v>
      </c>
      <c r="B19">
        <v>15</v>
      </c>
      <c r="C19">
        <v>30</v>
      </c>
      <c r="D19">
        <v>55</v>
      </c>
      <c r="E19">
        <v>29</v>
      </c>
      <c r="F19">
        <v>55</v>
      </c>
      <c r="G19">
        <v>30</v>
      </c>
      <c r="H19">
        <v>60</v>
      </c>
      <c r="I19">
        <v>53</v>
      </c>
      <c r="J19">
        <v>55</v>
      </c>
      <c r="K19">
        <v>51</v>
      </c>
      <c r="L19">
        <v>78</v>
      </c>
      <c r="M19">
        <v>27</v>
      </c>
      <c r="N19">
        <v>57</v>
      </c>
      <c r="O19">
        <v>40</v>
      </c>
      <c r="P19">
        <v>50</v>
      </c>
      <c r="Q19">
        <v>50</v>
      </c>
      <c r="R19">
        <v>75</v>
      </c>
      <c r="S19">
        <v>60</v>
      </c>
      <c r="T19">
        <v>90</v>
      </c>
      <c r="U19">
        <v>72</v>
      </c>
      <c r="V19">
        <v>72</v>
      </c>
      <c r="W19">
        <v>108</v>
      </c>
      <c r="X19">
        <v>72</v>
      </c>
      <c r="Y19">
        <v>66</v>
      </c>
      <c r="Z19">
        <v>75</v>
      </c>
      <c r="AA19">
        <v>75</v>
      </c>
      <c r="AB19">
        <v>27</v>
      </c>
      <c r="AC19">
        <v>27</v>
      </c>
      <c r="AH19">
        <v>1071</v>
      </c>
      <c r="AI19">
        <v>1000</v>
      </c>
      <c r="AJ19">
        <v>230</v>
      </c>
      <c r="AK19">
        <v>360</v>
      </c>
      <c r="AL19">
        <v>220</v>
      </c>
      <c r="AM19">
        <v>360</v>
      </c>
      <c r="AN19">
        <v>230</v>
      </c>
      <c r="AO19">
        <v>390</v>
      </c>
      <c r="AP19">
        <v>390</v>
      </c>
      <c r="AQ19">
        <v>380</v>
      </c>
      <c r="AR19">
        <v>350</v>
      </c>
      <c r="AS19">
        <v>210</v>
      </c>
      <c r="AT19">
        <v>400</v>
      </c>
      <c r="AU19">
        <v>267</v>
      </c>
      <c r="AV19">
        <v>210</v>
      </c>
      <c r="AW19">
        <v>210</v>
      </c>
    </row>
    <row r="20" spans="1:49" x14ac:dyDescent="0.35">
      <c r="A20" t="s">
        <v>1008</v>
      </c>
      <c r="B20">
        <v>3</v>
      </c>
      <c r="C20">
        <v>6</v>
      </c>
      <c r="D20">
        <v>8</v>
      </c>
      <c r="E20">
        <v>6</v>
      </c>
      <c r="F20">
        <v>8</v>
      </c>
      <c r="G20">
        <v>6</v>
      </c>
      <c r="H20">
        <v>8</v>
      </c>
      <c r="I20">
        <v>7</v>
      </c>
      <c r="J20">
        <v>7</v>
      </c>
      <c r="K20">
        <v>7</v>
      </c>
      <c r="L20">
        <v>20</v>
      </c>
      <c r="M20">
        <v>5</v>
      </c>
      <c r="N20">
        <v>7</v>
      </c>
      <c r="O20">
        <v>8</v>
      </c>
      <c r="P20">
        <v>11</v>
      </c>
      <c r="Q20">
        <v>11</v>
      </c>
      <c r="R20">
        <v>17</v>
      </c>
      <c r="S20">
        <v>17</v>
      </c>
      <c r="T20">
        <v>26</v>
      </c>
      <c r="U20">
        <v>23</v>
      </c>
      <c r="V20">
        <v>23</v>
      </c>
      <c r="W20">
        <v>34</v>
      </c>
      <c r="X20">
        <v>23</v>
      </c>
      <c r="Y20">
        <v>21</v>
      </c>
      <c r="Z20">
        <v>45</v>
      </c>
      <c r="AA20">
        <v>45</v>
      </c>
      <c r="AB20">
        <v>8</v>
      </c>
      <c r="AC20">
        <v>5</v>
      </c>
      <c r="AH20">
        <v>143</v>
      </c>
      <c r="AI20">
        <v>140</v>
      </c>
      <c r="AJ20">
        <v>46</v>
      </c>
      <c r="AK20">
        <v>54</v>
      </c>
      <c r="AL20">
        <v>44</v>
      </c>
      <c r="AM20">
        <v>54</v>
      </c>
      <c r="AN20">
        <v>46</v>
      </c>
      <c r="AO20">
        <v>54</v>
      </c>
      <c r="AP20">
        <v>50</v>
      </c>
      <c r="AQ20">
        <v>55</v>
      </c>
      <c r="AR20">
        <v>90</v>
      </c>
      <c r="AS20">
        <v>40</v>
      </c>
      <c r="AT20">
        <v>50</v>
      </c>
      <c r="AU20">
        <v>84</v>
      </c>
      <c r="AV20">
        <v>60</v>
      </c>
      <c r="AW20">
        <v>40</v>
      </c>
    </row>
    <row r="21" spans="1:49" x14ac:dyDescent="0.35">
      <c r="L21" t="s">
        <v>600</v>
      </c>
      <c r="M21" t="s">
        <v>470</v>
      </c>
      <c r="O21" t="s">
        <v>1312</v>
      </c>
      <c r="P21" t="s">
        <v>1081</v>
      </c>
    </row>
    <row r="22" spans="1:49" x14ac:dyDescent="0.35">
      <c r="E22" s="38">
        <v>1</v>
      </c>
      <c r="F22" s="38" t="s">
        <v>1012</v>
      </c>
      <c r="G22" s="38">
        <f>IF(ber_PO!$O$22&lt;&gt;0,INDEX(tblBerPO,E22,KeuzePO_1-1)*ber_PO!$O$22,0)</f>
        <v>0</v>
      </c>
      <c r="H22" s="38">
        <f>IF(ber_PO!$O$23&lt;&gt;0,INDEX(tblBerPoeder,E22,ber_PO!$P$23-1)*ber_PO!$O$23,0)</f>
        <v>0</v>
      </c>
      <c r="I22" s="38">
        <f>IF(ber_PO!$O$24&lt;&gt;0,INDEX(tblBerPoeder,E22,ber_PO!$P$24-1)*ber_PO!$O$24,0)</f>
        <v>0</v>
      </c>
      <c r="J22" s="38">
        <f>IF(ber_PO!$O$25&lt;&gt;0,INDEX(tblBerPoeder,E22,ber_PO!$P$25-1)*ber_PO!$O$25,0)</f>
        <v>0</v>
      </c>
      <c r="K22">
        <f>SUM(G22:J22)</f>
        <v>0</v>
      </c>
      <c r="L22" s="38">
        <v>1</v>
      </c>
      <c r="M22" s="38">
        <v>0</v>
      </c>
      <c r="N22">
        <f>IF(M22&lt;51,M22/10,IF(M22&lt;66,(M22-49)+4,IF(M22&lt;82,(M22-61)*5,IF(M22&lt;122,(M22-71)*10,(M22-111)*50))))</f>
        <v>0</v>
      </c>
      <c r="O22" s="38">
        <f>IF(P22&gt;1,L22*N22,0)</f>
        <v>0</v>
      </c>
      <c r="P22">
        <v>1</v>
      </c>
    </row>
    <row r="23" spans="1:49" x14ac:dyDescent="0.35">
      <c r="A23" s="37" t="s">
        <v>855</v>
      </c>
      <c r="B23" s="37" t="s">
        <v>235</v>
      </c>
      <c r="E23" s="38"/>
      <c r="F23" s="38"/>
      <c r="G23" s="38"/>
      <c r="H23" s="38"/>
      <c r="I23" s="38"/>
      <c r="J23" s="38"/>
      <c r="N23">
        <f>IF(M23&lt;51,M23/10,IF(M23&lt;66,(M23-49)+4,IF(M23&lt;82,(M23-61)*5,IF(M23&lt;122,(M23-71)*10,(M23-111)*50))))</f>
        <v>0</v>
      </c>
      <c r="O23" s="38">
        <f>IF(P23&gt;1,L23*N23,0)</f>
        <v>0</v>
      </c>
    </row>
    <row r="24" spans="1:49" x14ac:dyDescent="0.35">
      <c r="A24" s="37" t="s">
        <v>46</v>
      </c>
      <c r="B24" s="37" t="s">
        <v>236</v>
      </c>
      <c r="E24" s="38">
        <v>2</v>
      </c>
      <c r="F24" s="38" t="s">
        <v>946</v>
      </c>
      <c r="G24" s="38">
        <f>IF(ber_PO!$O$22&lt;&gt;0,INDEX(tblBerPO,E24,KeuzePO_1-1)*ber_PO!$O$22,0)</f>
        <v>0</v>
      </c>
      <c r="H24" s="38">
        <f>IF(ber_PO!$O$23&lt;&gt;0,INDEX(tblBerPoeder,E24,ber_PO!$P$23-1)*ber_PO!$O$23,0)</f>
        <v>0</v>
      </c>
      <c r="I24" s="38">
        <f>IF(ber_PO!$O$24&lt;&gt;0,INDEX(tblBerPoeder,E24,ber_PO!$P$24-1)*ber_PO!$O$24,0)</f>
        <v>0</v>
      </c>
      <c r="J24" s="38">
        <f>IF(ber_PO!$O$25&lt;&gt;0,INDEX(tblBerPoeder,E24,ber_PO!$P$25-1)*ber_PO!$O$25,0)</f>
        <v>0</v>
      </c>
      <c r="K24">
        <f t="shared" ref="K24:K31" si="16">SUM(G24:J24)</f>
        <v>0</v>
      </c>
      <c r="N24">
        <f>IF(M24&lt;51,M24/10,IF(M24&lt;66,(M24-49)+4,IF(M24&lt;82,(M24-61)*5,IF(M24&lt;122,(M24-71)*10,(M24-111)*50))))</f>
        <v>0</v>
      </c>
      <c r="O24" s="38">
        <f>IF(P24&gt;1,L24*N24,0)</f>
        <v>0</v>
      </c>
    </row>
    <row r="25" spans="1:49" x14ac:dyDescent="0.35">
      <c r="A25" s="37" t="s">
        <v>45</v>
      </c>
      <c r="B25" s="37" t="s">
        <v>237</v>
      </c>
      <c r="C25">
        <f>3*4.4</f>
        <v>13.200000000000001</v>
      </c>
      <c r="E25" s="38">
        <v>3</v>
      </c>
      <c r="F25" s="38" t="s">
        <v>1013</v>
      </c>
      <c r="G25" s="38">
        <f>IF(ber_PO!$O$22&lt;&gt;0,INDEX(tblBerPO,E25,KeuzePO_1-1)*ber_PO!$O$22,0)</f>
        <v>0</v>
      </c>
      <c r="H25" s="38">
        <f>IF(ber_PO!$O$23&lt;&gt;0,INDEX(tblBerPoeder,E25,ber_PO!$P$23-1)*ber_PO!$O$23,0)</f>
        <v>0</v>
      </c>
      <c r="I25" s="38">
        <f>IF(ber_PO!$O$24&lt;&gt;0,INDEX(tblBerPoeder,E25,ber_PO!$P$24-1)*ber_PO!$O$24,0)</f>
        <v>0</v>
      </c>
      <c r="J25" s="38">
        <f>IF(ber_PO!$O$25&lt;&gt;0,INDEX(tblBerPoeder,E25,ber_PO!$P$25-1)*ber_PO!$O$25,0)</f>
        <v>0</v>
      </c>
      <c r="K25">
        <f t="shared" si="16"/>
        <v>0</v>
      </c>
      <c r="N25">
        <f>IF(M25&lt;51,M25/10,IF(M25&lt;66,(M25-49)+4,IF(M25&lt;82,(M25-61)*5,IF(M25&lt;122,(M25-71)*10,(M25-111)*50))))</f>
        <v>0</v>
      </c>
      <c r="O25" s="38">
        <f>IF(P25&gt;1,L25*N25,0)</f>
        <v>0</v>
      </c>
    </row>
    <row r="26" spans="1:49" x14ac:dyDescent="0.35">
      <c r="A26" s="37" t="s">
        <v>44</v>
      </c>
      <c r="B26" s="37" t="s">
        <v>238</v>
      </c>
      <c r="C26">
        <f>3*5.1</f>
        <v>15.299999999999999</v>
      </c>
      <c r="E26" s="38">
        <v>4</v>
      </c>
      <c r="F26" s="38" t="s">
        <v>947</v>
      </c>
      <c r="G26" s="38">
        <f>IF(ber_PO!$O$22&lt;&gt;0,INDEX(tblBerPO,E26,KeuzePO_1-1)*ber_PO!$O$22,0)</f>
        <v>0</v>
      </c>
      <c r="H26" s="38">
        <f>IF(ber_PO!$O$23&lt;&gt;0,INDEX(tblBerPoeder,E26,ber_PO!$P$23-1)*ber_PO!$O$23,0)</f>
        <v>0</v>
      </c>
      <c r="I26" s="38">
        <f>IF(ber_PO!$O$24&lt;&gt;0,INDEX(tblBerPoeder,E26,ber_PO!$P$24-1)*ber_PO!$O$24,0)</f>
        <v>0</v>
      </c>
      <c r="J26" s="38">
        <f>IF(ber_PO!$O$25&lt;&gt;0,INDEX(tblBerPoeder,E26,ber_PO!$P$25-1)*ber_PO!$O$25,0)</f>
        <v>0</v>
      </c>
      <c r="K26">
        <f t="shared" si="16"/>
        <v>0</v>
      </c>
    </row>
    <row r="27" spans="1:49" x14ac:dyDescent="0.35">
      <c r="A27" s="37" t="s">
        <v>47</v>
      </c>
      <c r="B27" s="37" t="s">
        <v>239</v>
      </c>
      <c r="C27">
        <f>3*4.7</f>
        <v>14.100000000000001</v>
      </c>
      <c r="E27" s="38">
        <v>5</v>
      </c>
      <c r="F27" s="38" t="s">
        <v>1005</v>
      </c>
      <c r="G27" s="38">
        <f>IF(ber_PO!$O$22&lt;&gt;0,INDEX(tblBerPO,E27,KeuzePO_1-1)*ber_PO!$O$22,0)</f>
        <v>0</v>
      </c>
      <c r="H27" s="38">
        <f>IF(ber_PO!$O$23&lt;&gt;0,INDEX(tblBerPoeder,E27,ber_PO!$P$23-1)*ber_PO!$O$23,0)</f>
        <v>0</v>
      </c>
      <c r="I27" s="38">
        <f>IF(ber_PO!$O$24&lt;&gt;0,INDEX(tblBerPoeder,E27,ber_PO!$P$24-1)*ber_PO!$O$24,0)</f>
        <v>0</v>
      </c>
      <c r="J27" s="38">
        <f>IF(ber_PO!$O$25&lt;&gt;0,INDEX(tblBerPoeder,E27,ber_PO!$P$25-1)*ber_PO!$O$25,0)</f>
        <v>0</v>
      </c>
      <c r="K27">
        <f t="shared" si="16"/>
        <v>0</v>
      </c>
    </row>
    <row r="28" spans="1:49" x14ac:dyDescent="0.35">
      <c r="A28" s="37" t="s">
        <v>48</v>
      </c>
      <c r="B28" s="37" t="s">
        <v>240</v>
      </c>
      <c r="C28">
        <f>3*4.4</f>
        <v>13.200000000000001</v>
      </c>
      <c r="E28" s="38">
        <v>6</v>
      </c>
      <c r="F28" s="38" t="s">
        <v>1006</v>
      </c>
      <c r="G28" s="38">
        <f>IF(ber_PO!$O$22&lt;&gt;0,INDEX(tblBerPO,E28,KeuzePO_1-1)*ber_PO!$O$22,0)</f>
        <v>0</v>
      </c>
      <c r="H28" s="38">
        <f>IF(ber_PO!$O$23&lt;&gt;0,INDEX(tblBerPoeder,E28,ber_PO!$P$23-1)*ber_PO!$O$23,0)</f>
        <v>0</v>
      </c>
      <c r="I28" s="38">
        <f>IF(ber_PO!$O$24&lt;&gt;0,INDEX(tblBerPoeder,E28,ber_PO!$P$24-1)*ber_PO!$O$24,0)</f>
        <v>0</v>
      </c>
      <c r="J28" s="38">
        <f>IF(ber_PO!$O$25&lt;&gt;0,INDEX(tblBerPoeder,E28,ber_PO!$P$25-1)*ber_PO!$O$25,0)</f>
        <v>0</v>
      </c>
      <c r="K28">
        <f t="shared" si="16"/>
        <v>0</v>
      </c>
    </row>
    <row r="29" spans="1:49" x14ac:dyDescent="0.35">
      <c r="A29" s="37" t="s">
        <v>49</v>
      </c>
      <c r="B29" s="37" t="s">
        <v>241</v>
      </c>
      <c r="C29">
        <f>3*4.3</f>
        <v>12.899999999999999</v>
      </c>
      <c r="E29" s="38">
        <v>7</v>
      </c>
      <c r="F29" s="38" t="s">
        <v>1007</v>
      </c>
      <c r="G29" s="38">
        <f>IF(ber_PO!$O$22&lt;&gt;0,INDEX(tblBerPO,E29,KeuzePO_1-1)*ber_PO!$O$22,0)</f>
        <v>0</v>
      </c>
      <c r="H29" s="38">
        <f>IF(ber_PO!$O$23&lt;&gt;0,INDEX(tblBerPoeder,E29,ber_PO!$P$23-1)*ber_PO!$O$23,0)</f>
        <v>0</v>
      </c>
      <c r="I29" s="38">
        <f>IF(ber_PO!$O$24&lt;&gt;0,INDEX(tblBerPoeder,E29,ber_PO!$P$24-1)*ber_PO!$O$24,0)</f>
        <v>0</v>
      </c>
      <c r="J29" s="38">
        <f>IF(ber_PO!$O$25&lt;&gt;0,INDEX(tblBerPoeder,E29,ber_PO!$P$25-1)*ber_PO!$O$25,0)</f>
        <v>0</v>
      </c>
      <c r="K29">
        <f t="shared" si="16"/>
        <v>0</v>
      </c>
    </row>
    <row r="30" spans="1:49" x14ac:dyDescent="0.35">
      <c r="A30" s="37" t="s">
        <v>856</v>
      </c>
      <c r="B30" s="37" t="s">
        <v>242</v>
      </c>
      <c r="C30">
        <f>3*4.2</f>
        <v>12.600000000000001</v>
      </c>
      <c r="E30" s="38">
        <v>8</v>
      </c>
      <c r="F30" s="38" t="s">
        <v>1014</v>
      </c>
      <c r="G30" s="38">
        <f>IF(ber_PO!$O$22&lt;&gt;0,INDEX(tblBerPO,E30,KeuzePO_1-1)*ber_PO!$O$22,0)</f>
        <v>0</v>
      </c>
      <c r="H30" s="38">
        <f>IF(ber_PO!$O$23&lt;&gt;0,INDEX(tblBerPoeder,E30,ber_PO!$P$23-1)*ber_PO!$O$23,0)</f>
        <v>0</v>
      </c>
      <c r="I30" s="38">
        <f>IF(ber_PO!$O$24&lt;&gt;0,INDEX(tblBerPoeder,E30,ber_PO!$P$24-1)*ber_PO!$O$24,0)</f>
        <v>0</v>
      </c>
      <c r="J30" s="38">
        <f>IF(ber_PO!$O$25&lt;&gt;0,INDEX(tblBerPoeder,E30,ber_PO!$P$25-1)*ber_PO!$O$25,0)</f>
        <v>0</v>
      </c>
      <c r="K30">
        <f t="shared" si="16"/>
        <v>0</v>
      </c>
    </row>
    <row r="31" spans="1:49" x14ac:dyDescent="0.35">
      <c r="A31" s="37" t="s">
        <v>50</v>
      </c>
      <c r="B31" s="37" t="s">
        <v>243</v>
      </c>
      <c r="C31">
        <f>3*4.3</f>
        <v>12.899999999999999</v>
      </c>
      <c r="E31" s="38">
        <v>9</v>
      </c>
      <c r="F31" s="38" t="s">
        <v>1008</v>
      </c>
      <c r="G31" s="38">
        <f>IF(ber_PO!$O$22&lt;&gt;0,INDEX(tblBerPO,E31,KeuzePO_1-1)*ber_PO!$O$22,0)</f>
        <v>0</v>
      </c>
      <c r="H31" s="38">
        <f>IF(ber_PO!$O$23&lt;&gt;0,INDEX(tblBerPoeder,E31,ber_PO!$P$23-1)*ber_PO!$O$23,0)</f>
        <v>0</v>
      </c>
      <c r="I31" s="38">
        <f>IF(ber_PO!$O$24&lt;&gt;0,INDEX(tblBerPoeder,E31,ber_PO!$P$24-1)*ber_PO!$O$24,0)</f>
        <v>0</v>
      </c>
      <c r="J31" s="38">
        <f>IF(ber_PO!$O$25&lt;&gt;0,INDEX(tblBerPoeder,E31,ber_PO!$P$25-1)*ber_PO!$O$25,0)</f>
        <v>0</v>
      </c>
      <c r="K31">
        <f t="shared" si="16"/>
        <v>0</v>
      </c>
    </row>
    <row r="32" spans="1:49" x14ac:dyDescent="0.35">
      <c r="A32" s="37" t="s">
        <v>51</v>
      </c>
      <c r="B32" s="37" t="s">
        <v>244</v>
      </c>
      <c r="C32">
        <f>3*4.3</f>
        <v>12.899999999999999</v>
      </c>
    </row>
    <row r="33" spans="1:3" x14ac:dyDescent="0.35">
      <c r="A33" s="37" t="s">
        <v>52</v>
      </c>
      <c r="B33" s="37" t="s">
        <v>245</v>
      </c>
      <c r="C33">
        <f>3*2.15</f>
        <v>6.4499999999999993</v>
      </c>
    </row>
    <row r="34" spans="1:3" x14ac:dyDescent="0.35">
      <c r="A34" s="37" t="s">
        <v>53</v>
      </c>
      <c r="B34" s="37" t="s">
        <v>246</v>
      </c>
    </row>
    <row r="35" spans="1:3" x14ac:dyDescent="0.35">
      <c r="A35" s="37" t="s">
        <v>54</v>
      </c>
      <c r="B35" s="37" t="s">
        <v>247</v>
      </c>
    </row>
    <row r="36" spans="1:3" x14ac:dyDescent="0.35">
      <c r="A36" s="37" t="s">
        <v>55</v>
      </c>
      <c r="B36" s="37" t="s">
        <v>248</v>
      </c>
    </row>
    <row r="37" spans="1:3" x14ac:dyDescent="0.35">
      <c r="A37" s="37" t="s">
        <v>56</v>
      </c>
      <c r="B37" s="37" t="s">
        <v>249</v>
      </c>
    </row>
    <row r="38" spans="1:3" x14ac:dyDescent="0.35">
      <c r="A38" s="37" t="s">
        <v>57</v>
      </c>
      <c r="B38" s="37" t="s">
        <v>250</v>
      </c>
    </row>
    <row r="39" spans="1:3" x14ac:dyDescent="0.35">
      <c r="A39" s="37" t="s">
        <v>58</v>
      </c>
      <c r="B39" s="37" t="s">
        <v>251</v>
      </c>
    </row>
    <row r="40" spans="1:3" x14ac:dyDescent="0.35">
      <c r="A40" s="37" t="s">
        <v>59</v>
      </c>
    </row>
    <row r="41" spans="1:3" x14ac:dyDescent="0.35">
      <c r="A41" s="37" t="s">
        <v>60</v>
      </c>
    </row>
    <row r="42" spans="1:3" x14ac:dyDescent="0.35">
      <c r="A42" s="37" t="s">
        <v>1444</v>
      </c>
    </row>
    <row r="43" spans="1:3" x14ac:dyDescent="0.35">
      <c r="A43" s="37" t="s">
        <v>61</v>
      </c>
    </row>
    <row r="44" spans="1:3" x14ac:dyDescent="0.35">
      <c r="A44" s="37" t="s">
        <v>1445</v>
      </c>
    </row>
    <row r="45" spans="1:3" x14ac:dyDescent="0.35">
      <c r="A45" s="37" t="s">
        <v>227</v>
      </c>
    </row>
    <row r="46" spans="1:3" x14ac:dyDescent="0.35">
      <c r="A46" s="37" t="s">
        <v>228</v>
      </c>
    </row>
    <row r="47" spans="1:3" x14ac:dyDescent="0.35">
      <c r="A47" s="37" t="s">
        <v>229</v>
      </c>
    </row>
    <row r="48" spans="1:3" x14ac:dyDescent="0.35">
      <c r="A48" s="37" t="s">
        <v>230</v>
      </c>
    </row>
    <row r="49" spans="1:1" x14ac:dyDescent="0.35">
      <c r="A49" s="37" t="s">
        <v>231</v>
      </c>
    </row>
    <row r="50" spans="1:1" x14ac:dyDescent="0.35">
      <c r="A50" s="37" t="s">
        <v>232</v>
      </c>
    </row>
    <row r="51" spans="1:1" x14ac:dyDescent="0.35">
      <c r="A51" s="37" t="s">
        <v>233</v>
      </c>
    </row>
    <row r="52" spans="1:1" x14ac:dyDescent="0.35">
      <c r="A52" s="37" t="s">
        <v>234</v>
      </c>
    </row>
    <row r="53" spans="1:1" x14ac:dyDescent="0.35">
      <c r="A53" s="37" t="s">
        <v>857</v>
      </c>
    </row>
  </sheetData>
  <phoneticPr fontId="26" type="noConversion"/>
  <pageMargins left="0" right="0" top="0" bottom="0" header="0" footer="0"/>
  <pageSetup paperSize="9" orientation="landscape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PN2tot6kg"/>
  <dimension ref="A1:H49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1164</v>
      </c>
      <c r="F1" s="3" t="s">
        <v>285</v>
      </c>
    </row>
    <row r="3" spans="1:8" x14ac:dyDescent="0.35">
      <c r="A3" s="11" t="s">
        <v>1165</v>
      </c>
      <c r="B3" s="55">
        <f ca="1">TODAY()</f>
        <v>42191</v>
      </c>
      <c r="F3" s="94">
        <f>PatNummer</f>
        <v>0</v>
      </c>
      <c r="G3" s="95"/>
      <c r="H3" s="96"/>
    </row>
    <row r="4" spans="1:8" x14ac:dyDescent="0.35">
      <c r="F4" s="97" t="str">
        <f>AchterNaam&amp;",  "&amp;VoorNaam</f>
        <v>Achternaam,  Voornaam</v>
      </c>
      <c r="G4" s="98"/>
      <c r="H4" s="99"/>
    </row>
    <row r="5" spans="1:8" x14ac:dyDescent="0.35">
      <c r="A5" s="11" t="s">
        <v>1166</v>
      </c>
      <c r="B5" s="11" t="s">
        <v>1872</v>
      </c>
      <c r="F5" s="100">
        <f>GebDatum</f>
        <v>40909</v>
      </c>
      <c r="G5" s="98"/>
      <c r="H5" s="99"/>
    </row>
    <row r="6" spans="1:8" x14ac:dyDescent="0.35">
      <c r="F6" s="97" t="s">
        <v>1303</v>
      </c>
      <c r="G6" s="98" t="str">
        <f>Gewicht/10&amp;" kg"</f>
        <v>10 kg</v>
      </c>
      <c r="H6" s="99"/>
    </row>
    <row r="7" spans="1:8" x14ac:dyDescent="0.35">
      <c r="A7" s="11" t="s">
        <v>1517</v>
      </c>
      <c r="B7" s="11" t="s">
        <v>1167</v>
      </c>
      <c r="F7" s="101"/>
      <c r="G7" s="85"/>
      <c r="H7" s="102"/>
    </row>
    <row r="8" spans="1:8" x14ac:dyDescent="0.35">
      <c r="A8" s="11" t="s">
        <v>1368</v>
      </c>
      <c r="B8" s="11" t="s">
        <v>1167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1518</v>
      </c>
    </row>
    <row r="11" spans="1:8" ht="13.2" thickTop="1" x14ac:dyDescent="0.35">
      <c r="A11" s="398" t="s">
        <v>43</v>
      </c>
      <c r="B11" s="399"/>
      <c r="C11" s="399"/>
      <c r="D11" s="399"/>
      <c r="E11" s="399"/>
      <c r="F11" s="399"/>
      <c r="G11" s="399"/>
      <c r="H11" s="400"/>
    </row>
    <row r="12" spans="1:8" ht="25.65" x14ac:dyDescent="0.35">
      <c r="A12" s="44" t="s">
        <v>1454</v>
      </c>
      <c r="B12" s="401" t="s">
        <v>866</v>
      </c>
      <c r="C12" s="403"/>
      <c r="D12" s="405" t="s">
        <v>867</v>
      </c>
      <c r="E12" s="405" t="s">
        <v>868</v>
      </c>
      <c r="F12" s="405" t="s">
        <v>869</v>
      </c>
      <c r="G12" s="45"/>
      <c r="H12" s="45" t="s">
        <v>870</v>
      </c>
    </row>
    <row r="13" spans="1:8" x14ac:dyDescent="0.35">
      <c r="A13" s="46" t="s">
        <v>871</v>
      </c>
      <c r="B13" s="402"/>
      <c r="C13" s="404"/>
      <c r="D13" s="406"/>
      <c r="E13" s="406"/>
      <c r="F13" s="406"/>
      <c r="G13" s="45" t="s">
        <v>872</v>
      </c>
      <c r="H13" s="47" t="s">
        <v>873</v>
      </c>
    </row>
    <row r="14" spans="1:8" ht="20.100000000000001" customHeight="1" x14ac:dyDescent="0.35">
      <c r="A14" s="412" t="str">
        <f>IF(TPN&lt;&gt;1,ROUND(G21/24,1)&amp;" ml/u","")</f>
        <v/>
      </c>
      <c r="B14" s="126" t="s">
        <v>202</v>
      </c>
      <c r="C14" s="127"/>
      <c r="D14" s="127" t="s">
        <v>874</v>
      </c>
      <c r="E14" s="127" t="s">
        <v>874</v>
      </c>
      <c r="F14" s="128" t="s">
        <v>874</v>
      </c>
      <c r="G14" s="129" t="str">
        <f>IF(AND(TPN&lt;&gt;1,G16&lt;&gt;0,Gewicht/10&lt;=50),ROUND(ber_TPN!F7,0),"")</f>
        <v/>
      </c>
      <c r="H14" s="112"/>
    </row>
    <row r="15" spans="1:8" ht="20.100000000000001" customHeight="1" x14ac:dyDescent="0.35">
      <c r="A15" s="413"/>
      <c r="B15" s="130" t="s">
        <v>2065</v>
      </c>
      <c r="C15" s="131"/>
      <c r="D15" s="131" t="s">
        <v>281</v>
      </c>
      <c r="E15" s="131" t="s">
        <v>458</v>
      </c>
      <c r="F15" s="132" t="s">
        <v>458</v>
      </c>
      <c r="G15" s="129" t="str">
        <f>IF(AND(TPN&lt;&gt;1,G16&lt;&gt;0,Gewicht/10&lt;=50),ROUND(ber_TPN!F8,0),"")</f>
        <v/>
      </c>
      <c r="H15" s="112"/>
    </row>
    <row r="16" spans="1:8" ht="20.100000000000001" customHeight="1" x14ac:dyDescent="0.35">
      <c r="A16" s="44"/>
      <c r="B16" s="130" t="s">
        <v>2066</v>
      </c>
      <c r="C16" s="131"/>
      <c r="D16" s="131" t="s">
        <v>875</v>
      </c>
      <c r="E16" s="131" t="s">
        <v>282</v>
      </c>
      <c r="F16" s="132" t="s">
        <v>283</v>
      </c>
      <c r="G16" s="133" t="str">
        <f>IF(TPN&lt;&gt;1,ber_TPN!F4,"")</f>
        <v/>
      </c>
      <c r="H16" s="112"/>
    </row>
    <row r="17" spans="1:8" ht="20.100000000000001" customHeight="1" x14ac:dyDescent="0.35">
      <c r="A17" s="44"/>
      <c r="B17" s="130" t="s">
        <v>1433</v>
      </c>
      <c r="C17" s="131"/>
      <c r="D17" s="131" t="s">
        <v>284</v>
      </c>
      <c r="E17" s="131"/>
      <c r="F17" s="132"/>
      <c r="G17" s="133" t="str">
        <f>IF(AND(SSTglucose=2,TPN&lt;&gt;1,Gewicht/10&lt;=50),ROUND(ber_TPN!F6,0),"")</f>
        <v/>
      </c>
      <c r="H17" s="112"/>
    </row>
    <row r="18" spans="1:8" ht="20.100000000000001" customHeight="1" x14ac:dyDescent="0.35">
      <c r="A18" s="44"/>
      <c r="B18" s="130" t="s">
        <v>2067</v>
      </c>
      <c r="C18" s="131"/>
      <c r="D18" s="131"/>
      <c r="E18" s="131" t="s">
        <v>286</v>
      </c>
      <c r="F18" s="132"/>
      <c r="G18" s="133" t="str">
        <f>IF(AND(SSTglucose=3,TPN&lt;&gt;1,Gewicht/10&lt;=50),ROUND(ber_TPN!F6,0),"")</f>
        <v/>
      </c>
      <c r="H18" s="112"/>
    </row>
    <row r="19" spans="1:8" ht="20.100000000000001" customHeight="1" x14ac:dyDescent="0.35">
      <c r="A19" s="44"/>
      <c r="B19" s="130" t="s">
        <v>464</v>
      </c>
      <c r="C19" s="131"/>
      <c r="D19" s="131"/>
      <c r="E19" s="131"/>
      <c r="F19" s="132" t="s">
        <v>287</v>
      </c>
      <c r="G19" s="133" t="str">
        <f>IF(AND(SSTglucose=5,TPN&lt;&gt;1,Gewicht/10&lt;=50),ROUND(ber_TPN!F6,0),"")</f>
        <v/>
      </c>
      <c r="H19" s="112"/>
    </row>
    <row r="20" spans="1:8" ht="20.100000000000001" customHeight="1" x14ac:dyDescent="0.35">
      <c r="A20" s="44"/>
      <c r="B20" s="130" t="str">
        <f>IF(AND(TPN=2,SSTglucose&lt;&gt;2,SSTglucose&lt;&gt;3,SSTglucose&lt;&gt;5,SSTglucose&lt;11),INDEX(tblSSTGlucose,SSTglucose,1),"Glucose       %")</f>
        <v>Glucose       %</v>
      </c>
      <c r="C20" s="131"/>
      <c r="D20" s="131"/>
      <c r="E20" s="131"/>
      <c r="F20" s="132"/>
      <c r="G20" s="133" t="str">
        <f>IF(AND(TPN&lt;&gt;1,B20&lt;&gt;"",Gewicht/10&lt;=50),IF(AND(SSTglucose&lt;&gt;2,SSTglucose&lt;&gt;3,SSTglucose&lt;&gt;5,SSTglucose&lt;11),ROUND(ber_TPN!F6,0),""),"")</f>
        <v/>
      </c>
      <c r="H20" s="112"/>
    </row>
    <row r="21" spans="1:8" ht="15.95" customHeight="1" x14ac:dyDescent="0.35">
      <c r="A21" s="44"/>
      <c r="B21" s="54"/>
      <c r="C21" s="54"/>
      <c r="D21" s="54"/>
      <c r="E21" s="416" t="s">
        <v>993</v>
      </c>
      <c r="F21" s="416"/>
      <c r="G21" s="113">
        <f>SUM(G14:G20)+IF(AND(Gewicht/10&gt;=16,Gewicht/10&lt;=50),ber_TPN!F5,0)</f>
        <v>0</v>
      </c>
      <c r="H21" s="112"/>
    </row>
    <row r="22" spans="1:8" ht="15.95" customHeight="1" x14ac:dyDescent="0.35">
      <c r="A22" s="44"/>
      <c r="B22" s="49"/>
      <c r="C22" s="49"/>
      <c r="D22" s="49"/>
      <c r="E22" s="49"/>
      <c r="F22" s="49"/>
      <c r="G22" s="49"/>
      <c r="H22" s="45"/>
    </row>
    <row r="23" spans="1:8" ht="20.100000000000001" customHeight="1" x14ac:dyDescent="0.35">
      <c r="A23" s="410" t="str">
        <f>IF(G26&gt;0,ROUND(G26/24,1)&amp;" ml/u","")</f>
        <v/>
      </c>
      <c r="B23" s="126" t="s">
        <v>949</v>
      </c>
      <c r="C23" s="127"/>
      <c r="D23" s="127" t="s">
        <v>1947</v>
      </c>
      <c r="E23" s="127" t="s">
        <v>1948</v>
      </c>
      <c r="F23" s="128" t="s">
        <v>875</v>
      </c>
      <c r="G23" s="129">
        <f>ROUND(ber_TPN!F13,0)</f>
        <v>0</v>
      </c>
      <c r="H23" s="50"/>
    </row>
    <row r="24" spans="1:8" ht="20.100000000000001" customHeight="1" x14ac:dyDescent="0.35">
      <c r="A24" s="411"/>
      <c r="B24" s="130" t="s">
        <v>950</v>
      </c>
      <c r="C24" s="131"/>
      <c r="D24" s="131"/>
      <c r="E24" s="417" t="s">
        <v>1369</v>
      </c>
      <c r="F24" s="418"/>
      <c r="G24" s="133">
        <f>ROUND(ber_TPN!F14,0)</f>
        <v>0</v>
      </c>
      <c r="H24" s="45"/>
    </row>
    <row r="25" spans="1:8" ht="20.100000000000001" customHeight="1" x14ac:dyDescent="0.35">
      <c r="A25" s="44"/>
      <c r="B25" s="130"/>
      <c r="C25" s="131"/>
      <c r="D25" s="131"/>
      <c r="E25" s="417"/>
      <c r="F25" s="418"/>
      <c r="G25" s="133"/>
      <c r="H25" s="45"/>
    </row>
    <row r="26" spans="1:8" ht="15.95" customHeight="1" x14ac:dyDescent="0.35">
      <c r="A26" s="44"/>
      <c r="B26" s="110"/>
      <c r="C26" s="110"/>
      <c r="D26" s="110"/>
      <c r="E26" s="419" t="s">
        <v>993</v>
      </c>
      <c r="F26" s="419"/>
      <c r="G26" s="115">
        <f>SUM(G23:G25)</f>
        <v>0</v>
      </c>
      <c r="H26" s="111"/>
    </row>
    <row r="27" spans="1:8" ht="15.95" customHeight="1" thickBot="1" x14ac:dyDescent="0.4">
      <c r="A27" s="44"/>
      <c r="B27" s="110"/>
      <c r="C27" s="110"/>
      <c r="D27" s="110"/>
      <c r="E27" s="110"/>
      <c r="F27" s="110"/>
      <c r="G27" s="49"/>
      <c r="H27" s="45"/>
    </row>
    <row r="28" spans="1:8" ht="15.95" customHeight="1" thickTop="1" x14ac:dyDescent="0.35">
      <c r="A28" s="51"/>
      <c r="B28" s="414" t="s">
        <v>602</v>
      </c>
      <c r="C28" s="415"/>
      <c r="D28" s="415"/>
      <c r="E28" s="415"/>
      <c r="F28" s="415"/>
      <c r="G28" s="103"/>
      <c r="H28" s="52"/>
    </row>
    <row r="29" spans="1:8" ht="20.100000000000001" customHeight="1" x14ac:dyDescent="0.35">
      <c r="A29" s="410" t="str">
        <f>IF(G36&gt;0,ROUND(G36/24,1)&amp;" ml/u","")</f>
        <v/>
      </c>
      <c r="B29" s="137" t="s">
        <v>202</v>
      </c>
      <c r="C29" s="139"/>
      <c r="D29" s="139"/>
      <c r="E29" s="139"/>
      <c r="F29" s="140"/>
      <c r="G29" s="129">
        <f>IF(AND(OR(TPN=1,AND(TPN=2,SSTglucose&gt;10),Gewicht/10&gt;50)),ROUND(ber_TPN!F7,0),0)</f>
        <v>0</v>
      </c>
      <c r="H29" s="45"/>
    </row>
    <row r="30" spans="1:8" ht="20.100000000000001" customHeight="1" x14ac:dyDescent="0.35">
      <c r="A30" s="411"/>
      <c r="B30" s="138" t="s">
        <v>2068</v>
      </c>
      <c r="C30" s="141"/>
      <c r="D30" s="141"/>
      <c r="E30" s="141"/>
      <c r="F30" s="142"/>
      <c r="G30" s="133">
        <f>IF(AND(OR(TPN=1,AND(TPN=2,SSTglucose&gt;10),Gewicht/10&gt;50)),ROUND(ber_TPN!F8,0),0)</f>
        <v>0</v>
      </c>
      <c r="H30" s="45"/>
    </row>
    <row r="31" spans="1:8" ht="20.100000000000001" customHeight="1" x14ac:dyDescent="0.35">
      <c r="A31" s="44"/>
      <c r="B31" s="138" t="s">
        <v>2100</v>
      </c>
      <c r="C31" s="141"/>
      <c r="D31" s="141"/>
      <c r="E31" s="141"/>
      <c r="F31" s="142"/>
      <c r="G31" s="133">
        <f>ber_TPN!F9</f>
        <v>0</v>
      </c>
      <c r="H31" s="45"/>
    </row>
    <row r="32" spans="1:8" ht="20.100000000000001" customHeight="1" x14ac:dyDescent="0.35">
      <c r="A32" s="44"/>
      <c r="B32" s="138" t="s">
        <v>2101</v>
      </c>
      <c r="C32" s="141"/>
      <c r="D32" s="141"/>
      <c r="E32" s="141"/>
      <c r="F32" s="142"/>
      <c r="G32" s="133">
        <f>ber_TPN!F10</f>
        <v>0</v>
      </c>
      <c r="H32" s="45"/>
    </row>
    <row r="33" spans="1:8" ht="20.100000000000001" customHeight="1" x14ac:dyDescent="0.35">
      <c r="A33" s="44"/>
      <c r="B33" s="138" t="s">
        <v>1433</v>
      </c>
      <c r="C33" s="141"/>
      <c r="D33" s="141"/>
      <c r="E33" s="141"/>
      <c r="F33" s="142"/>
      <c r="G33" s="133">
        <f>IF(Gewicht/10&lt;=50,ber_TPN!F16,0)+IF(AND(SSTglucose=2,TPN=1,Gewicht/10&lt;=50),ROUND(ber_TPN!F6,0),0)</f>
        <v>0</v>
      </c>
      <c r="H33" s="45"/>
    </row>
    <row r="34" spans="1:8" ht="20.100000000000001" customHeight="1" x14ac:dyDescent="0.35">
      <c r="A34" s="44"/>
      <c r="B34" s="138" t="str">
        <f>IF(AND(OR(TPN=1,AND(TPN=2,SSTglucose&gt;10)),SSTglucose&lt;&gt;11,SSTglucose&lt;&gt;2),INDEX(tblSSTGlucose,SSTglucose,1),"Glucose       %")</f>
        <v>Glucose 5%</v>
      </c>
      <c r="C34" s="141"/>
      <c r="D34" s="141"/>
      <c r="E34" s="141"/>
      <c r="F34" s="142"/>
      <c r="G34" s="133">
        <f>IF(AND(OR(TPN=1,AND(TPN=2,SSTglucose&gt;10),Gewicht/10&gt;50),SSTglucose&lt;&gt;2,SSTglucose&lt;&gt;11),ROUND(ber_TPN!F6,0),"")</f>
        <v>0</v>
      </c>
      <c r="H34" s="45"/>
    </row>
    <row r="35" spans="1:8" ht="20.100000000000001" customHeight="1" x14ac:dyDescent="0.35">
      <c r="A35" s="44"/>
      <c r="B35" s="137" t="s">
        <v>2069</v>
      </c>
      <c r="C35" s="139"/>
      <c r="D35" s="139"/>
      <c r="E35" s="139"/>
      <c r="F35" s="140"/>
      <c r="G35" s="133" t="str">
        <f>IF(AND(SSTglucose=11),ROUND(ber_TPN!F6,0),"")</f>
        <v/>
      </c>
      <c r="H35" s="45"/>
    </row>
    <row r="36" spans="1:8" ht="15.95" customHeight="1" x14ac:dyDescent="0.35">
      <c r="A36" s="44"/>
      <c r="B36" s="110"/>
      <c r="C36" s="110"/>
      <c r="D36" s="110"/>
      <c r="E36" s="419" t="s">
        <v>995</v>
      </c>
      <c r="F36" s="419"/>
      <c r="G36" s="114">
        <f>SUM(G29:G35)</f>
        <v>0</v>
      </c>
      <c r="H36" s="45"/>
    </row>
    <row r="37" spans="1:8" ht="15.95" customHeight="1" thickBot="1" x14ac:dyDescent="0.4">
      <c r="A37" s="44"/>
      <c r="B37" s="110"/>
      <c r="C37" s="110"/>
      <c r="D37" s="110"/>
      <c r="E37" s="110"/>
      <c r="F37" s="110"/>
      <c r="G37" s="49"/>
      <c r="H37" s="45"/>
    </row>
    <row r="38" spans="1:8" ht="15.95" customHeight="1" thickTop="1" x14ac:dyDescent="0.35">
      <c r="A38" s="51"/>
      <c r="B38" s="420" t="s">
        <v>1123</v>
      </c>
      <c r="C38" s="421"/>
      <c r="D38" s="421"/>
      <c r="E38" s="421"/>
      <c r="F38" s="422"/>
      <c r="G38" s="52" t="s">
        <v>1124</v>
      </c>
      <c r="H38" s="52"/>
    </row>
    <row r="39" spans="1:8" ht="15.95" customHeight="1" x14ac:dyDescent="0.35">
      <c r="A39" s="53"/>
      <c r="B39" s="407" t="s">
        <v>1125</v>
      </c>
      <c r="C39" s="408"/>
      <c r="D39" s="408"/>
      <c r="E39" s="408"/>
      <c r="F39" s="409"/>
      <c r="G39" s="47" t="s">
        <v>1126</v>
      </c>
      <c r="H39" s="45"/>
    </row>
    <row r="40" spans="1:8" ht="15.95" customHeight="1" x14ac:dyDescent="0.35">
      <c r="A40" s="53"/>
      <c r="B40" s="407" t="s">
        <v>1127</v>
      </c>
      <c r="C40" s="408"/>
      <c r="D40" s="408"/>
      <c r="E40" s="408"/>
      <c r="F40" s="409"/>
      <c r="G40" s="47" t="s">
        <v>1124</v>
      </c>
      <c r="H40" s="48"/>
    </row>
    <row r="42" spans="1:8" x14ac:dyDescent="0.35">
      <c r="A42" s="11" t="s">
        <v>1128</v>
      </c>
    </row>
    <row r="43" spans="1:8" x14ac:dyDescent="0.35">
      <c r="A43" s="11" t="s">
        <v>994</v>
      </c>
    </row>
    <row r="45" spans="1:8" x14ac:dyDescent="0.35">
      <c r="A45" s="11" t="s">
        <v>1129</v>
      </c>
    </row>
    <row r="47" spans="1:8" x14ac:dyDescent="0.35">
      <c r="A47" s="11" t="s">
        <v>457</v>
      </c>
    </row>
    <row r="49" spans="6:6" ht="13.2" x14ac:dyDescent="0.4">
      <c r="F49" s="3"/>
    </row>
  </sheetData>
  <sheetProtection password="CC20" sheet="1" objects="1" scenarios="1" selectLockedCells="1" selectUnlockedCells="1"/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6" type="noConversion"/>
  <pageMargins left="0.39" right="0.26" top="0.42" bottom="0.49" header="0.22" footer="0.24"/>
  <pageSetup paperSize="9" orientation="portrait" horizontalDpi="300" r:id="rId1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PN7tot15kg">
    <outlinePr showOutlineSymbols="0"/>
  </sheetPr>
  <dimension ref="A1:H51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1164</v>
      </c>
      <c r="F1" s="3" t="s">
        <v>562</v>
      </c>
    </row>
    <row r="3" spans="1:8" x14ac:dyDescent="0.35">
      <c r="A3" s="11" t="s">
        <v>1165</v>
      </c>
      <c r="B3" s="55">
        <f ca="1">TODAY()</f>
        <v>42191</v>
      </c>
      <c r="F3" s="94">
        <f>PatNummer</f>
        <v>0</v>
      </c>
      <c r="G3" s="95"/>
      <c r="H3" s="96"/>
    </row>
    <row r="4" spans="1:8" x14ac:dyDescent="0.35">
      <c r="F4" s="97" t="str">
        <f>AchterNaam&amp;",  "&amp;VoorNaam</f>
        <v>Achternaam,  Voornaam</v>
      </c>
      <c r="G4" s="98"/>
      <c r="H4" s="99"/>
    </row>
    <row r="5" spans="1:8" x14ac:dyDescent="0.35">
      <c r="A5" s="11" t="s">
        <v>1166</v>
      </c>
      <c r="B5" s="11" t="s">
        <v>1872</v>
      </c>
      <c r="F5" s="100">
        <f>GebDatum</f>
        <v>40909</v>
      </c>
      <c r="G5" s="98"/>
      <c r="H5" s="99"/>
    </row>
    <row r="6" spans="1:8" x14ac:dyDescent="0.35">
      <c r="F6" s="97" t="s">
        <v>1303</v>
      </c>
      <c r="G6" s="98" t="str">
        <f>Gewicht/10&amp;" kg"</f>
        <v>10 kg</v>
      </c>
      <c r="H6" s="99"/>
    </row>
    <row r="7" spans="1:8" x14ac:dyDescent="0.35">
      <c r="A7" s="11" t="s">
        <v>1517</v>
      </c>
      <c r="B7" s="11" t="s">
        <v>1167</v>
      </c>
      <c r="F7" s="101"/>
      <c r="G7" s="85"/>
      <c r="H7" s="102"/>
    </row>
    <row r="8" spans="1:8" x14ac:dyDescent="0.35">
      <c r="A8" s="11" t="s">
        <v>1368</v>
      </c>
      <c r="B8" s="11" t="s">
        <v>1167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1518</v>
      </c>
    </row>
    <row r="11" spans="1:8" ht="13.2" thickTop="1" x14ac:dyDescent="0.35">
      <c r="A11" s="398" t="s">
        <v>43</v>
      </c>
      <c r="B11" s="399"/>
      <c r="C11" s="399"/>
      <c r="D11" s="399"/>
      <c r="E11" s="399"/>
      <c r="F11" s="399"/>
      <c r="G11" s="399"/>
      <c r="H11" s="400"/>
    </row>
    <row r="12" spans="1:8" ht="25.65" x14ac:dyDescent="0.35">
      <c r="A12" s="44" t="s">
        <v>1454</v>
      </c>
      <c r="B12" s="401" t="s">
        <v>866</v>
      </c>
      <c r="C12" s="403"/>
      <c r="D12" s="405" t="s">
        <v>867</v>
      </c>
      <c r="E12" s="405" t="s">
        <v>868</v>
      </c>
      <c r="F12" s="405" t="s">
        <v>869</v>
      </c>
      <c r="G12" s="45"/>
      <c r="H12" s="45" t="s">
        <v>870</v>
      </c>
    </row>
    <row r="13" spans="1:8" ht="15" customHeight="1" x14ac:dyDescent="0.35">
      <c r="A13" s="46" t="s">
        <v>871</v>
      </c>
      <c r="B13" s="402"/>
      <c r="C13" s="404"/>
      <c r="D13" s="406"/>
      <c r="E13" s="406"/>
      <c r="F13" s="406"/>
      <c r="G13" s="45" t="s">
        <v>872</v>
      </c>
      <c r="H13" s="47" t="s">
        <v>873</v>
      </c>
    </row>
    <row r="14" spans="1:8" ht="20.100000000000001" customHeight="1" x14ac:dyDescent="0.35">
      <c r="A14" s="412" t="str">
        <f>IF(TPN&lt;&gt;1,ROUND(G22/24,1)&amp;" ml/u","")</f>
        <v/>
      </c>
      <c r="B14" s="126" t="s">
        <v>202</v>
      </c>
      <c r="C14" s="127"/>
      <c r="D14" s="127" t="s">
        <v>874</v>
      </c>
      <c r="E14" s="127" t="s">
        <v>874</v>
      </c>
      <c r="F14" s="128" t="s">
        <v>874</v>
      </c>
      <c r="G14" s="129" t="str">
        <f>IF(AND(TPN&lt;&gt;1,G16&lt;&gt;0),ROUND(ber_TPN!F7,0),"")</f>
        <v/>
      </c>
      <c r="H14" s="45"/>
    </row>
    <row r="15" spans="1:8" ht="20.100000000000001" customHeight="1" x14ac:dyDescent="0.35">
      <c r="A15" s="413"/>
      <c r="B15" s="130" t="s">
        <v>2065</v>
      </c>
      <c r="C15" s="131"/>
      <c r="D15" s="131" t="s">
        <v>2070</v>
      </c>
      <c r="E15" s="131" t="s">
        <v>281</v>
      </c>
      <c r="F15" s="132" t="s">
        <v>281</v>
      </c>
      <c r="G15" s="129" t="str">
        <f>IF(AND(TPN&lt;&gt;1,G16&lt;&gt;0),ROUND(ber_TPN!F8,0),"")</f>
        <v/>
      </c>
      <c r="H15" s="45"/>
    </row>
    <row r="16" spans="1:8" ht="20.100000000000001" customHeight="1" x14ac:dyDescent="0.35">
      <c r="A16" s="44"/>
      <c r="B16" s="130" t="s">
        <v>2071</v>
      </c>
      <c r="C16" s="131"/>
      <c r="D16" s="131" t="s">
        <v>1948</v>
      </c>
      <c r="E16" s="131" t="s">
        <v>2072</v>
      </c>
      <c r="F16" s="132" t="s">
        <v>282</v>
      </c>
      <c r="G16" s="133" t="str">
        <f>IF(TPN&lt;&gt;1,ber_TPN!F4,"")</f>
        <v/>
      </c>
      <c r="H16" s="45"/>
    </row>
    <row r="17" spans="1:8" ht="20.100000000000001" customHeight="1" x14ac:dyDescent="0.35">
      <c r="A17" s="44"/>
      <c r="B17" s="130" t="s">
        <v>1433</v>
      </c>
      <c r="C17" s="131"/>
      <c r="D17" s="131" t="s">
        <v>2073</v>
      </c>
      <c r="E17" s="131"/>
      <c r="F17" s="132"/>
      <c r="G17" s="133" t="str">
        <f>IF(AND(SSTglucose=2,TPN&lt;&gt;1),ROUND(ber_TPN!F6,0),"")</f>
        <v/>
      </c>
      <c r="H17" s="45"/>
    </row>
    <row r="18" spans="1:8" ht="20.100000000000001" customHeight="1" x14ac:dyDescent="0.35">
      <c r="A18" s="44"/>
      <c r="B18" s="130" t="s">
        <v>481</v>
      </c>
      <c r="C18" s="131"/>
      <c r="D18" s="131"/>
      <c r="E18" s="131" t="s">
        <v>2074</v>
      </c>
      <c r="F18" s="132"/>
      <c r="G18" s="133" t="str">
        <f>IF(AND(SSTglucose=6,TPN&lt;&gt;1),ROUND(ber_TPN!F6,0),"")</f>
        <v/>
      </c>
      <c r="H18" s="45"/>
    </row>
    <row r="19" spans="1:8" ht="20.100000000000001" customHeight="1" x14ac:dyDescent="0.35">
      <c r="A19" s="44"/>
      <c r="B19" s="130" t="s">
        <v>2075</v>
      </c>
      <c r="C19" s="131"/>
      <c r="D19" s="131"/>
      <c r="E19" s="131"/>
      <c r="F19" s="132" t="s">
        <v>2076</v>
      </c>
      <c r="G19" s="133" t="str">
        <f>IF(AND(SSTglucose=8,TPN&lt;&gt;1,Gewicht/10&lt;=10),ROUND(ber_TPN!F6,0),"")</f>
        <v/>
      </c>
      <c r="H19" s="45"/>
    </row>
    <row r="20" spans="1:8" ht="20.100000000000001" customHeight="1" x14ac:dyDescent="0.35">
      <c r="A20" s="44"/>
      <c r="B20" s="130" t="s">
        <v>2077</v>
      </c>
      <c r="C20" s="131"/>
      <c r="D20" s="131"/>
      <c r="E20" s="131"/>
      <c r="F20" s="132" t="s">
        <v>2078</v>
      </c>
      <c r="G20" s="133" t="str">
        <f>IF(AND(SSTglucose=8,TPN&lt;&gt;1,Gewicht/10&gt;10),ROUND(ber_TPN!F6,0),"")</f>
        <v/>
      </c>
      <c r="H20" s="45"/>
    </row>
    <row r="21" spans="1:8" ht="20.100000000000001" customHeight="1" x14ac:dyDescent="0.35">
      <c r="A21" s="44"/>
      <c r="B21" s="130" t="str">
        <f>IF(AND(TPN=2,SSTglucose&lt;&gt;2,SSTglucose&lt;&gt;6,SSTglucose&lt;&gt;8,SSTglucose&lt;11),INDEX(tblSSTGlucose,SSTglucose,1),"Glucose       %")</f>
        <v>Glucose       %</v>
      </c>
      <c r="C21" s="131"/>
      <c r="D21" s="131"/>
      <c r="E21" s="131"/>
      <c r="F21" s="132"/>
      <c r="G21" s="133" t="str">
        <f>IF(AND(TPN&lt;&gt;1,B20&lt;&gt;""),IF(AND(SSTglucose&lt;&gt;2,SSTglucose&lt;&gt;6,SSTglucose&lt;&gt;8,SSTglucose&lt;11),ROUND(ber_TPN!F6,0),""),"")</f>
        <v/>
      </c>
      <c r="H21" s="45"/>
    </row>
    <row r="22" spans="1:8" ht="15.95" customHeight="1" x14ac:dyDescent="0.35">
      <c r="A22" s="44"/>
      <c r="B22" s="54"/>
      <c r="C22" s="54"/>
      <c r="D22" s="54"/>
      <c r="E22" s="416" t="s">
        <v>993</v>
      </c>
      <c r="F22" s="416"/>
      <c r="G22" s="113">
        <f>SUM(G14:G21)</f>
        <v>0</v>
      </c>
      <c r="H22" s="111"/>
    </row>
    <row r="23" spans="1:8" ht="10.5" customHeight="1" x14ac:dyDescent="0.35">
      <c r="A23" s="44"/>
      <c r="B23" s="49"/>
      <c r="C23" s="49"/>
      <c r="D23" s="49"/>
      <c r="E23" s="49"/>
      <c r="F23" s="49"/>
      <c r="G23" s="49"/>
      <c r="H23" s="45"/>
    </row>
    <row r="24" spans="1:8" ht="20.100000000000001" customHeight="1" x14ac:dyDescent="0.35">
      <c r="A24" s="410" t="str">
        <f>IF(G27&gt;0,ROUND(G27/24,1)&amp;" ml/u","")</f>
        <v/>
      </c>
      <c r="B24" s="126" t="s">
        <v>949</v>
      </c>
      <c r="C24" s="127"/>
      <c r="D24" s="127" t="s">
        <v>1947</v>
      </c>
      <c r="E24" s="127" t="s">
        <v>1948</v>
      </c>
      <c r="F24" s="128" t="s">
        <v>875</v>
      </c>
      <c r="G24" s="129">
        <f>ROUND(ber_TPN!F13,0)</f>
        <v>0</v>
      </c>
      <c r="H24" s="50"/>
    </row>
    <row r="25" spans="1:8" ht="20.100000000000001" customHeight="1" x14ac:dyDescent="0.35">
      <c r="A25" s="411"/>
      <c r="B25" s="130" t="s">
        <v>950</v>
      </c>
      <c r="C25" s="131"/>
      <c r="D25" s="131"/>
      <c r="E25" s="433" t="s">
        <v>1841</v>
      </c>
      <c r="F25" s="434"/>
      <c r="G25" s="129">
        <f>ROUND(ber_TPN!F14,0)</f>
        <v>0</v>
      </c>
      <c r="H25" s="45"/>
    </row>
    <row r="26" spans="1:8" ht="20.100000000000001" customHeight="1" x14ac:dyDescent="0.35">
      <c r="A26" s="44"/>
      <c r="B26" s="130" t="s">
        <v>986</v>
      </c>
      <c r="C26" s="131"/>
      <c r="D26" s="131"/>
      <c r="E26" s="433" t="s">
        <v>1841</v>
      </c>
      <c r="F26" s="434"/>
      <c r="G26" s="129">
        <f>ROUND(ber_TPN!F15,0)</f>
        <v>0</v>
      </c>
      <c r="H26" s="45"/>
    </row>
    <row r="27" spans="1:8" ht="15.95" customHeight="1" x14ac:dyDescent="0.35">
      <c r="A27" s="44"/>
      <c r="B27" s="49"/>
      <c r="C27" s="49"/>
      <c r="D27" s="49"/>
      <c r="E27" s="416" t="s">
        <v>993</v>
      </c>
      <c r="F27" s="416"/>
      <c r="G27" s="115">
        <f>SUM(G24:G26)</f>
        <v>0</v>
      </c>
      <c r="H27" s="111"/>
    </row>
    <row r="28" spans="1:8" ht="10.5" customHeight="1" thickBot="1" x14ac:dyDescent="0.4">
      <c r="A28" s="44"/>
      <c r="B28" s="49"/>
      <c r="C28" s="49"/>
      <c r="D28" s="49"/>
      <c r="E28" s="49"/>
      <c r="F28" s="49"/>
      <c r="G28" s="49"/>
      <c r="H28" s="45"/>
    </row>
    <row r="29" spans="1:8" ht="15.95" customHeight="1" thickTop="1" x14ac:dyDescent="0.35">
      <c r="A29" s="51"/>
      <c r="B29" s="431" t="s">
        <v>602</v>
      </c>
      <c r="C29" s="432"/>
      <c r="D29" s="432"/>
      <c r="E29" s="432"/>
      <c r="F29" s="432"/>
      <c r="G29" s="103"/>
      <c r="H29" s="52"/>
    </row>
    <row r="30" spans="1:8" ht="20.100000000000001" customHeight="1" x14ac:dyDescent="0.35">
      <c r="A30" s="410" t="str">
        <f>IF(G33&gt;0,ROUND(G39/24,1)&amp;" ml/u","")</f>
        <v/>
      </c>
      <c r="B30" s="137" t="s">
        <v>202</v>
      </c>
      <c r="C30" s="139"/>
      <c r="D30" s="139"/>
      <c r="E30" s="139"/>
      <c r="F30" s="143"/>
      <c r="G30" s="144">
        <f>IF(AND(OR(TPN=1,AND(TPN=2,SSTglucose&gt;10))),ROUND(ber_TPN!F7,0),0)</f>
        <v>0</v>
      </c>
      <c r="H30" s="45"/>
    </row>
    <row r="31" spans="1:8" ht="20.100000000000001" customHeight="1" x14ac:dyDescent="0.35">
      <c r="A31" s="411"/>
      <c r="B31" s="138" t="s">
        <v>2068</v>
      </c>
      <c r="C31" s="141"/>
      <c r="D31" s="141"/>
      <c r="E31" s="141"/>
      <c r="F31" s="145"/>
      <c r="G31" s="146">
        <f>IF(AND(OR(TPN=1,AND(TPN=2,SSTglucose&gt;10))),ROUND(ber_TPN!F8,0),0)</f>
        <v>0</v>
      </c>
      <c r="H31" s="45"/>
    </row>
    <row r="32" spans="1:8" ht="20.100000000000001" customHeight="1" x14ac:dyDescent="0.35">
      <c r="A32" s="108"/>
      <c r="B32" s="138" t="s">
        <v>2100</v>
      </c>
      <c r="C32" s="141"/>
      <c r="D32" s="141"/>
      <c r="E32" s="141"/>
      <c r="F32" s="145"/>
      <c r="G32" s="146">
        <f>ber_TPN!F9</f>
        <v>0</v>
      </c>
      <c r="H32" s="45"/>
    </row>
    <row r="33" spans="1:8" ht="20.100000000000001" customHeight="1" x14ac:dyDescent="0.35">
      <c r="A33" s="108"/>
      <c r="B33" s="138" t="s">
        <v>2101</v>
      </c>
      <c r="C33" s="141"/>
      <c r="D33" s="141"/>
      <c r="E33" s="141"/>
      <c r="F33" s="145"/>
      <c r="G33" s="146">
        <f>ber_TPN!F10</f>
        <v>0</v>
      </c>
      <c r="H33" s="45"/>
    </row>
    <row r="34" spans="1:8" ht="20.100000000000001" customHeight="1" x14ac:dyDescent="0.35">
      <c r="A34" s="108"/>
      <c r="B34" s="138" t="s">
        <v>1433</v>
      </c>
      <c r="C34" s="141"/>
      <c r="D34" s="141"/>
      <c r="E34" s="141"/>
      <c r="F34" s="145"/>
      <c r="G34" s="146">
        <f>ber_TPN!F16+IF(AND(SSTglucose=2,TPN=1),ROUND(ber_TPN!F6,0),0)</f>
        <v>0</v>
      </c>
      <c r="H34" s="45"/>
    </row>
    <row r="35" spans="1:8" ht="20.100000000000001" customHeight="1" x14ac:dyDescent="0.35">
      <c r="A35" s="44"/>
      <c r="B35" s="138" t="str">
        <f>IF(AND(OR(TPN=1,AND(TPN=2,SSTglucose&gt;10)),SSTglucose&lt;&gt;2,SSTglucose&lt;&gt;11,SSTglucose&lt;&gt;12,SSTglucose&lt;&gt;13),INDEX(tblSSTGlucose,SSTglucose,1),"Glucose       %")</f>
        <v>Glucose 5%</v>
      </c>
      <c r="C35" s="141"/>
      <c r="D35" s="141"/>
      <c r="E35" s="141"/>
      <c r="F35" s="145"/>
      <c r="G35" s="146">
        <f>IF(AND(OR(TPN=1,AND(TPN=2,SSTglucose&gt;10)),SSTglucose&lt;&gt;2,SSTglucose&lt;&gt;11,SSTglucose&lt;&gt;12,SSTglucose&lt;&gt;13),ROUND(ber_TPN!F6,0),"")</f>
        <v>0</v>
      </c>
      <c r="H35" s="45"/>
    </row>
    <row r="36" spans="1:8" ht="20.100000000000001" customHeight="1" x14ac:dyDescent="0.35">
      <c r="A36" s="44"/>
      <c r="B36" s="429" t="s">
        <v>2069</v>
      </c>
      <c r="C36" s="430"/>
      <c r="D36" s="430"/>
      <c r="E36" s="430"/>
      <c r="F36" s="145"/>
      <c r="G36" s="146" t="str">
        <f>IF(OR(SSTglucose=11),ROUND(ber_TPN!F6,0),"")</f>
        <v/>
      </c>
      <c r="H36" s="45"/>
    </row>
    <row r="37" spans="1:8" ht="20.100000000000001" customHeight="1" x14ac:dyDescent="0.35">
      <c r="A37" s="44"/>
      <c r="B37" s="429" t="s">
        <v>203</v>
      </c>
      <c r="C37" s="430"/>
      <c r="D37" s="430"/>
      <c r="E37" s="430"/>
      <c r="F37" s="145"/>
      <c r="G37" s="146" t="str">
        <f>IF(AND(SSTglucose=12),ROUND(ber_TPN!F6,0),"")</f>
        <v/>
      </c>
      <c r="H37" s="45"/>
    </row>
    <row r="38" spans="1:8" ht="20.100000000000001" customHeight="1" x14ac:dyDescent="0.35">
      <c r="A38" s="44"/>
      <c r="B38" s="429" t="s">
        <v>204</v>
      </c>
      <c r="C38" s="430"/>
      <c r="D38" s="430"/>
      <c r="E38" s="430"/>
      <c r="F38" s="143"/>
      <c r="G38" s="146" t="str">
        <f>IF(AND(SSTglucose=13),ROUND(ber_TPN!F6,0),"")</f>
        <v/>
      </c>
      <c r="H38" s="45"/>
    </row>
    <row r="39" spans="1:8" ht="15.95" customHeight="1" x14ac:dyDescent="0.35">
      <c r="A39" s="44"/>
      <c r="B39" s="49"/>
      <c r="C39" s="49"/>
      <c r="D39" s="49"/>
      <c r="E39" s="416" t="s">
        <v>995</v>
      </c>
      <c r="F39" s="416"/>
      <c r="G39" s="114">
        <f>SUM(G30:G38)</f>
        <v>0</v>
      </c>
      <c r="H39" s="45"/>
    </row>
    <row r="40" spans="1:8" ht="10.5" customHeight="1" thickBot="1" x14ac:dyDescent="0.4">
      <c r="A40" s="44"/>
      <c r="B40" s="49"/>
      <c r="C40" s="49"/>
      <c r="D40" s="49"/>
      <c r="E40" s="49"/>
      <c r="F40" s="49"/>
      <c r="G40" s="49"/>
      <c r="H40" s="45"/>
    </row>
    <row r="41" spans="1:8" ht="15.95" customHeight="1" thickTop="1" x14ac:dyDescent="0.35">
      <c r="A41" s="51"/>
      <c r="B41" s="423" t="s">
        <v>1123</v>
      </c>
      <c r="C41" s="424"/>
      <c r="D41" s="424"/>
      <c r="E41" s="424"/>
      <c r="F41" s="425"/>
      <c r="G41" s="52" t="s">
        <v>1124</v>
      </c>
      <c r="H41" s="52"/>
    </row>
    <row r="42" spans="1:8" ht="15.95" customHeight="1" x14ac:dyDescent="0.35">
      <c r="A42" s="53"/>
      <c r="B42" s="426" t="s">
        <v>1125</v>
      </c>
      <c r="C42" s="427"/>
      <c r="D42" s="427"/>
      <c r="E42" s="427"/>
      <c r="F42" s="428"/>
      <c r="G42" s="47" t="s">
        <v>1126</v>
      </c>
      <c r="H42" s="45"/>
    </row>
    <row r="43" spans="1:8" ht="15.95" customHeight="1" x14ac:dyDescent="0.35">
      <c r="A43" s="53"/>
      <c r="B43" s="426" t="s">
        <v>1127</v>
      </c>
      <c r="C43" s="427"/>
      <c r="D43" s="427"/>
      <c r="E43" s="427"/>
      <c r="F43" s="428"/>
      <c r="G43" s="47" t="s">
        <v>1124</v>
      </c>
      <c r="H43" s="48"/>
    </row>
    <row r="45" spans="1:8" x14ac:dyDescent="0.35">
      <c r="A45" s="11" t="s">
        <v>1128</v>
      </c>
    </row>
    <row r="46" spans="1:8" x14ac:dyDescent="0.35">
      <c r="A46" s="11" t="s">
        <v>994</v>
      </c>
    </row>
    <row r="47" spans="1:8" x14ac:dyDescent="0.35">
      <c r="A47" s="11" t="s">
        <v>1129</v>
      </c>
    </row>
    <row r="49" spans="1:6" x14ac:dyDescent="0.35">
      <c r="A49" s="11" t="s">
        <v>457</v>
      </c>
    </row>
    <row r="51" spans="1:6" ht="13.2" x14ac:dyDescent="0.4">
      <c r="F51" s="3"/>
    </row>
  </sheetData>
  <sheetProtection password="CC20" sheet="1" objects="1" scenarios="1" selectLockedCells="1" selectUnlockedCells="1"/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6" type="noConversion"/>
  <pageMargins left="0.44" right="0.26" top="0.35" bottom="0.34" header="0.17" footer="0.17"/>
  <pageSetup paperSize="9" orientation="portrait" horizontalDpi="300" r:id="rId1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PN16tot30kg"/>
  <dimension ref="A1:H50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1164</v>
      </c>
      <c r="F1" s="3" t="s">
        <v>563</v>
      </c>
    </row>
    <row r="3" spans="1:8" x14ac:dyDescent="0.35">
      <c r="A3" s="11" t="s">
        <v>1165</v>
      </c>
      <c r="B3" s="55">
        <f ca="1">TODAY()</f>
        <v>42191</v>
      </c>
      <c r="F3" s="94">
        <f>PatNummer</f>
        <v>0</v>
      </c>
      <c r="G3" s="95"/>
      <c r="H3" s="96"/>
    </row>
    <row r="4" spans="1:8" x14ac:dyDescent="0.35">
      <c r="F4" s="97" t="str">
        <f>AchterNaam&amp;",  "&amp;VoorNaam</f>
        <v>Achternaam,  Voornaam</v>
      </c>
      <c r="G4" s="98"/>
      <c r="H4" s="99"/>
    </row>
    <row r="5" spans="1:8" x14ac:dyDescent="0.35">
      <c r="A5" s="11" t="s">
        <v>1166</v>
      </c>
      <c r="B5" s="11" t="s">
        <v>1872</v>
      </c>
      <c r="F5" s="100">
        <f>GebDatum</f>
        <v>40909</v>
      </c>
      <c r="G5" s="98"/>
      <c r="H5" s="99"/>
    </row>
    <row r="6" spans="1:8" x14ac:dyDescent="0.35">
      <c r="F6" s="97" t="s">
        <v>1303</v>
      </c>
      <c r="G6" s="98" t="str">
        <f>Gewicht/10&amp;" kg"</f>
        <v>10 kg</v>
      </c>
      <c r="H6" s="99"/>
    </row>
    <row r="7" spans="1:8" x14ac:dyDescent="0.35">
      <c r="A7" s="11" t="s">
        <v>1517</v>
      </c>
      <c r="B7" s="11" t="s">
        <v>1167</v>
      </c>
      <c r="F7" s="101"/>
      <c r="G7" s="85"/>
      <c r="H7" s="102"/>
    </row>
    <row r="8" spans="1:8" x14ac:dyDescent="0.35">
      <c r="A8" s="11" t="s">
        <v>1368</v>
      </c>
      <c r="B8" s="11" t="s">
        <v>1167</v>
      </c>
    </row>
    <row r="10" spans="1:8" ht="13.2" thickBot="1" x14ac:dyDescent="0.4">
      <c r="A10" s="11" t="s">
        <v>1718</v>
      </c>
      <c r="C10" s="11">
        <f>ber_TPN!F23</f>
        <v>0</v>
      </c>
      <c r="D10" s="11" t="s">
        <v>1518</v>
      </c>
    </row>
    <row r="11" spans="1:8" ht="13.2" thickTop="1" x14ac:dyDescent="0.35">
      <c r="A11" s="398" t="s">
        <v>43</v>
      </c>
      <c r="B11" s="399"/>
      <c r="C11" s="399"/>
      <c r="D11" s="399"/>
      <c r="E11" s="399"/>
      <c r="F11" s="399"/>
      <c r="G11" s="399"/>
      <c r="H11" s="400"/>
    </row>
    <row r="12" spans="1:8" ht="25.65" x14ac:dyDescent="0.35">
      <c r="A12" s="44" t="s">
        <v>1454</v>
      </c>
      <c r="B12" s="401" t="s">
        <v>866</v>
      </c>
      <c r="C12" s="403"/>
      <c r="D12" s="405" t="s">
        <v>867</v>
      </c>
      <c r="E12" s="405" t="s">
        <v>868</v>
      </c>
      <c r="F12" s="405" t="s">
        <v>869</v>
      </c>
      <c r="G12" s="45"/>
      <c r="H12" s="45" t="s">
        <v>870</v>
      </c>
    </row>
    <row r="13" spans="1:8" x14ac:dyDescent="0.35">
      <c r="A13" s="46" t="s">
        <v>871</v>
      </c>
      <c r="B13" s="402"/>
      <c r="C13" s="404"/>
      <c r="D13" s="406"/>
      <c r="E13" s="406"/>
      <c r="F13" s="406"/>
      <c r="G13" s="45" t="s">
        <v>872</v>
      </c>
      <c r="H13" s="47" t="s">
        <v>873</v>
      </c>
    </row>
    <row r="14" spans="1:8" ht="20.100000000000001" customHeight="1" x14ac:dyDescent="0.35">
      <c r="A14" s="412" t="str">
        <f>IF(TPN&lt;&gt;1,ROUND(G22/24,1)&amp;" ml/u","")</f>
        <v/>
      </c>
      <c r="B14" s="126" t="s">
        <v>202</v>
      </c>
      <c r="C14" s="127"/>
      <c r="D14" s="127" t="s">
        <v>874</v>
      </c>
      <c r="E14" s="127" t="s">
        <v>874</v>
      </c>
      <c r="F14" s="128" t="s">
        <v>874</v>
      </c>
      <c r="G14" s="129" t="str">
        <f>IF(AND(TPN&lt;&gt;1,G16&lt;&gt;0),ROUND(ber_TPN!F7,0),"")</f>
        <v/>
      </c>
      <c r="H14" s="45"/>
    </row>
    <row r="15" spans="1:8" ht="20.100000000000001" customHeight="1" x14ac:dyDescent="0.35">
      <c r="A15" s="413"/>
      <c r="B15" s="130" t="s">
        <v>2065</v>
      </c>
      <c r="C15" s="131"/>
      <c r="D15" s="131" t="s">
        <v>2070</v>
      </c>
      <c r="E15" s="131" t="s">
        <v>281</v>
      </c>
      <c r="F15" s="132" t="s">
        <v>281</v>
      </c>
      <c r="G15" s="129" t="str">
        <f>IF(AND(TPN&lt;&gt;1,G16&lt;&gt;0),ROUND(ber_TPN!F8,0),"")</f>
        <v/>
      </c>
      <c r="H15" s="45"/>
    </row>
    <row r="16" spans="1:8" ht="20.100000000000001" customHeight="1" x14ac:dyDescent="0.35">
      <c r="A16" s="44"/>
      <c r="B16" s="130" t="s">
        <v>2079</v>
      </c>
      <c r="C16" s="131"/>
      <c r="D16" s="131" t="s">
        <v>1948</v>
      </c>
      <c r="E16" s="131" t="s">
        <v>875</v>
      </c>
      <c r="F16" s="132" t="s">
        <v>2072</v>
      </c>
      <c r="G16" s="133" t="str">
        <f>IF(TPN&lt;&gt;1,ber_TPN!F4,"")</f>
        <v/>
      </c>
      <c r="H16" s="45"/>
    </row>
    <row r="17" spans="1:8" ht="20.100000000000001" customHeight="1" x14ac:dyDescent="0.35">
      <c r="A17" s="44"/>
      <c r="B17" s="130" t="s">
        <v>1465</v>
      </c>
      <c r="C17" s="131"/>
      <c r="D17" s="131"/>
      <c r="E17" s="433" t="s">
        <v>635</v>
      </c>
      <c r="F17" s="434"/>
      <c r="G17" s="133">
        <f>ROUND(ber_TPN!F5,0)</f>
        <v>0</v>
      </c>
      <c r="H17" s="45"/>
    </row>
    <row r="18" spans="1:8" ht="20.100000000000001" customHeight="1" x14ac:dyDescent="0.35">
      <c r="A18" s="44"/>
      <c r="B18" s="130" t="s">
        <v>1433</v>
      </c>
      <c r="C18" s="131"/>
      <c r="D18" s="131" t="s">
        <v>636</v>
      </c>
      <c r="E18" s="131"/>
      <c r="F18" s="132"/>
      <c r="G18" s="133" t="str">
        <f>IF(AND(SSTglucose=2,TPN&lt;&gt;1),ROUND(ber_TPN!F6,0),"")</f>
        <v/>
      </c>
      <c r="H18" s="45"/>
    </row>
    <row r="19" spans="1:8" ht="20.100000000000001" customHeight="1" x14ac:dyDescent="0.35">
      <c r="A19" s="44"/>
      <c r="B19" s="130" t="s">
        <v>481</v>
      </c>
      <c r="C19" s="131"/>
      <c r="D19" s="131"/>
      <c r="E19" s="131" t="s">
        <v>637</v>
      </c>
      <c r="F19" s="132"/>
      <c r="G19" s="133" t="str">
        <f>IF(AND(SSTglucose=6,TPN&lt;&gt;1),ROUND(ber_TPN!F6,0),"")</f>
        <v/>
      </c>
      <c r="H19" s="45"/>
    </row>
    <row r="20" spans="1:8" ht="20.100000000000001" customHeight="1" x14ac:dyDescent="0.35">
      <c r="A20" s="44"/>
      <c r="B20" s="130" t="s">
        <v>991</v>
      </c>
      <c r="C20" s="131"/>
      <c r="D20" s="131"/>
      <c r="E20" s="131"/>
      <c r="F20" s="132" t="s">
        <v>638</v>
      </c>
      <c r="G20" s="133" t="str">
        <f>IF(AND(SSTglucose=8,TPN&lt;&gt;1),ROUND(ber_TPN!F6,0),"")</f>
        <v/>
      </c>
      <c r="H20" s="45"/>
    </row>
    <row r="21" spans="1:8" ht="20.100000000000001" customHeight="1" x14ac:dyDescent="0.35">
      <c r="A21" s="44"/>
      <c r="B21" s="130" t="str">
        <f>IF(AND(TPN=2,SSTglucose&lt;&gt;2,SSTglucose&lt;&gt;6,SSTglucose&lt;&gt;8,SSTglucose&lt;11),INDEX(tblSSTGlucose,SSTglucose,1),"Glucose       %")</f>
        <v>Glucose       %</v>
      </c>
      <c r="C21" s="131"/>
      <c r="D21" s="131"/>
      <c r="E21" s="131"/>
      <c r="F21" s="132"/>
      <c r="G21" s="133" t="str">
        <f>IF(AND(TPN&lt;&gt;1,B20&lt;&gt;""),IF(AND(SSTglucose&lt;&gt;2,SSTglucose&lt;&gt;6,SSTglucose&lt;&gt;8,SSTglucose&lt;11),ROUND(ber_TPN!F6,0),""),"")</f>
        <v/>
      </c>
      <c r="H21" s="45"/>
    </row>
    <row r="22" spans="1:8" ht="15.95" customHeight="1" x14ac:dyDescent="0.35">
      <c r="A22" s="44"/>
      <c r="B22" s="116"/>
      <c r="C22" s="116"/>
      <c r="D22" s="116"/>
      <c r="E22" s="419" t="s">
        <v>993</v>
      </c>
      <c r="F22" s="419"/>
      <c r="G22" s="113">
        <f>SUM(G14:G21)</f>
        <v>0</v>
      </c>
      <c r="H22" s="111"/>
    </row>
    <row r="23" spans="1:8" ht="10.5" customHeight="1" x14ac:dyDescent="0.35">
      <c r="A23" s="44"/>
      <c r="B23" s="110"/>
      <c r="C23" s="110"/>
      <c r="D23" s="110"/>
      <c r="E23" s="110"/>
      <c r="F23" s="110"/>
      <c r="G23" s="49"/>
      <c r="H23" s="45"/>
    </row>
    <row r="24" spans="1:8" ht="20.100000000000001" customHeight="1" x14ac:dyDescent="0.35">
      <c r="A24" s="412" t="str">
        <f>IF(TPN&lt;&gt;1,ROUND(G27/24,1)&amp;" ml/u","")</f>
        <v/>
      </c>
      <c r="B24" s="126" t="s">
        <v>949</v>
      </c>
      <c r="C24" s="127"/>
      <c r="D24" s="127" t="s">
        <v>1947</v>
      </c>
      <c r="E24" s="127" t="s">
        <v>1948</v>
      </c>
      <c r="F24" s="128" t="s">
        <v>875</v>
      </c>
      <c r="G24" s="129">
        <f>ROUND(ber_TPN!F13,0)</f>
        <v>0</v>
      </c>
      <c r="H24" s="50"/>
    </row>
    <row r="25" spans="1:8" ht="20.100000000000001" customHeight="1" x14ac:dyDescent="0.35">
      <c r="A25" s="413"/>
      <c r="B25" s="130" t="s">
        <v>950</v>
      </c>
      <c r="C25" s="131"/>
      <c r="D25" s="131"/>
      <c r="E25" s="433" t="s">
        <v>1841</v>
      </c>
      <c r="F25" s="434"/>
      <c r="G25" s="133">
        <f>ROUND(ber_TPN!F14,0)</f>
        <v>0</v>
      </c>
      <c r="H25" s="45"/>
    </row>
    <row r="26" spans="1:8" ht="20.100000000000001" customHeight="1" x14ac:dyDescent="0.35">
      <c r="A26" s="44"/>
      <c r="B26" s="130" t="s">
        <v>986</v>
      </c>
      <c r="C26" s="131"/>
      <c r="D26" s="131"/>
      <c r="E26" s="433" t="s">
        <v>1841</v>
      </c>
      <c r="F26" s="434"/>
      <c r="G26" s="133">
        <f>ROUND(ber_TPN!F15,0)</f>
        <v>0</v>
      </c>
      <c r="H26" s="45"/>
    </row>
    <row r="27" spans="1:8" ht="15.95" customHeight="1" x14ac:dyDescent="0.35">
      <c r="A27" s="44"/>
      <c r="B27" s="110"/>
      <c r="C27" s="110"/>
      <c r="D27" s="110"/>
      <c r="E27" s="419" t="s">
        <v>993</v>
      </c>
      <c r="F27" s="419"/>
      <c r="G27" s="115">
        <f>SUM(G24:G26)</f>
        <v>0</v>
      </c>
      <c r="H27" s="111"/>
    </row>
    <row r="28" spans="1:8" ht="10.5" customHeight="1" thickBot="1" x14ac:dyDescent="0.4">
      <c r="A28" s="44"/>
      <c r="B28" s="110"/>
      <c r="C28" s="110"/>
      <c r="D28" s="110"/>
      <c r="E28" s="110"/>
      <c r="F28" s="110"/>
      <c r="G28" s="49"/>
      <c r="H28" s="45"/>
    </row>
    <row r="29" spans="1:8" ht="15.95" customHeight="1" thickTop="1" x14ac:dyDescent="0.35">
      <c r="A29" s="51"/>
      <c r="B29" s="414" t="s">
        <v>602</v>
      </c>
      <c r="C29" s="415"/>
      <c r="D29" s="415"/>
      <c r="E29" s="415"/>
      <c r="F29" s="415"/>
      <c r="G29" s="103"/>
      <c r="H29" s="52"/>
    </row>
    <row r="30" spans="1:8" ht="20.100000000000001" customHeight="1" x14ac:dyDescent="0.35">
      <c r="A30" s="412" t="str">
        <f>ROUND(G38/24,1)&amp;" ml/u"</f>
        <v>0 ml/u</v>
      </c>
      <c r="B30" s="137" t="s">
        <v>202</v>
      </c>
      <c r="C30" s="139"/>
      <c r="D30" s="139"/>
      <c r="E30" s="139"/>
      <c r="F30" s="140"/>
      <c r="G30" s="144">
        <f>IF(AND(OR(TPN=1,AND(TPN=2,SSTglucose&gt;10))),ROUND(ber_TPN!F7,0),"")</f>
        <v>0</v>
      </c>
      <c r="H30" s="45"/>
    </row>
    <row r="31" spans="1:8" ht="20.100000000000001" customHeight="1" x14ac:dyDescent="0.35">
      <c r="A31" s="413"/>
      <c r="B31" s="138" t="s">
        <v>2068</v>
      </c>
      <c r="C31" s="141"/>
      <c r="D31" s="141"/>
      <c r="E31" s="141"/>
      <c r="F31" s="142"/>
      <c r="G31" s="146">
        <f>IF(AND(OR(TPN=1,AND(TPN=2,SSTglucose&gt;10))),ROUND(ber_TPN!F8,0),"")</f>
        <v>0</v>
      </c>
      <c r="H31" s="45"/>
    </row>
    <row r="32" spans="1:8" ht="20.100000000000001" customHeight="1" x14ac:dyDescent="0.35">
      <c r="A32" s="108"/>
      <c r="B32" s="138" t="s">
        <v>2100</v>
      </c>
      <c r="C32" s="141"/>
      <c r="D32" s="141"/>
      <c r="E32" s="141"/>
      <c r="F32" s="142"/>
      <c r="G32" s="146">
        <f>ber_TPN!F9</f>
        <v>0</v>
      </c>
      <c r="H32" s="45"/>
    </row>
    <row r="33" spans="1:8" ht="20.100000000000001" customHeight="1" x14ac:dyDescent="0.35">
      <c r="A33" s="108"/>
      <c r="B33" s="138" t="s">
        <v>2101</v>
      </c>
      <c r="C33" s="141"/>
      <c r="D33" s="141"/>
      <c r="E33" s="141"/>
      <c r="F33" s="142"/>
      <c r="G33" s="146">
        <f>ber_TPN!F10</f>
        <v>0</v>
      </c>
      <c r="H33" s="45"/>
    </row>
    <row r="34" spans="1:8" ht="20.100000000000001" customHeight="1" x14ac:dyDescent="0.35">
      <c r="A34" s="108"/>
      <c r="B34" s="138" t="s">
        <v>1433</v>
      </c>
      <c r="C34" s="141"/>
      <c r="D34" s="141"/>
      <c r="E34" s="141"/>
      <c r="F34" s="142"/>
      <c r="G34" s="146">
        <f>ber_TPN!F16+IF(AND(SSTglucose=2,TPN=1),ROUND(ber_TPN!F6,0),0)</f>
        <v>0</v>
      </c>
      <c r="H34" s="45"/>
    </row>
    <row r="35" spans="1:8" ht="20.100000000000001" customHeight="1" x14ac:dyDescent="0.35">
      <c r="A35" s="108"/>
      <c r="B35" s="138" t="str">
        <f>IF(AND(OR(TPN=1,AND(TPN=2,SSTglucose&gt;10)),SSTglucose&lt;&gt;2,SSTglucose&lt;&gt;12,SSTglucose&lt;&gt;13),INDEX(tblSSTGlucose,SSTglucose,1),"Glucose       %")</f>
        <v>Glucose 5%</v>
      </c>
      <c r="C35" s="141"/>
      <c r="D35" s="141"/>
      <c r="E35" s="141"/>
      <c r="F35" s="142"/>
      <c r="G35" s="146">
        <f>IF(AND(OR(TPN=1,AND(TPN=2,SSTglucose&gt;10)),SSTglucose&lt;&gt;2,SSTglucose&lt;&gt;12,SSTglucose&lt;&gt;13),ROUND(ber_TPN!F6,0),"")</f>
        <v>0</v>
      </c>
      <c r="H35" s="45"/>
    </row>
    <row r="36" spans="1:8" ht="20.100000000000001" customHeight="1" x14ac:dyDescent="0.35">
      <c r="A36" s="108"/>
      <c r="B36" s="429" t="s">
        <v>203</v>
      </c>
      <c r="C36" s="430"/>
      <c r="D36" s="430"/>
      <c r="E36" s="430"/>
      <c r="F36" s="142"/>
      <c r="G36" s="146" t="str">
        <f>IF(AND(SSTglucose=12),ROUND(ber_TPN!F6,0),"")</f>
        <v/>
      </c>
      <c r="H36" s="45"/>
    </row>
    <row r="37" spans="1:8" ht="20.100000000000001" customHeight="1" x14ac:dyDescent="0.35">
      <c r="A37" s="44"/>
      <c r="B37" s="429" t="s">
        <v>204</v>
      </c>
      <c r="C37" s="430"/>
      <c r="D37" s="430"/>
      <c r="E37" s="430"/>
      <c r="F37" s="142"/>
      <c r="G37" s="146" t="str">
        <f>IF(AND(SSTglucose=13),ROUND(ber_TPN!F6,0),"")</f>
        <v/>
      </c>
      <c r="H37" s="45"/>
    </row>
    <row r="38" spans="1:8" ht="15.95" customHeight="1" x14ac:dyDescent="0.35">
      <c r="A38" s="44"/>
      <c r="B38" s="110"/>
      <c r="C38" s="110"/>
      <c r="D38" s="110"/>
      <c r="E38" s="419" t="s">
        <v>995</v>
      </c>
      <c r="F38" s="419"/>
      <c r="G38" s="114">
        <f>SUM(G30:G37)</f>
        <v>0</v>
      </c>
      <c r="H38" s="45"/>
    </row>
    <row r="39" spans="1:8" ht="15.95" customHeight="1" thickBot="1" x14ac:dyDescent="0.4">
      <c r="A39" s="44"/>
      <c r="B39" s="110"/>
      <c r="C39" s="110"/>
      <c r="D39" s="110"/>
      <c r="E39" s="110"/>
      <c r="F39" s="110"/>
      <c r="G39" s="49"/>
      <c r="H39" s="45"/>
    </row>
    <row r="40" spans="1:8" ht="15.95" customHeight="1" thickTop="1" x14ac:dyDescent="0.35">
      <c r="A40" s="51"/>
      <c r="B40" s="420" t="s">
        <v>1123</v>
      </c>
      <c r="C40" s="421"/>
      <c r="D40" s="421"/>
      <c r="E40" s="421"/>
      <c r="F40" s="422"/>
      <c r="G40" s="52" t="s">
        <v>1124</v>
      </c>
      <c r="H40" s="52"/>
    </row>
    <row r="41" spans="1:8" ht="15.95" customHeight="1" x14ac:dyDescent="0.35">
      <c r="A41" s="53"/>
      <c r="B41" s="407" t="s">
        <v>1125</v>
      </c>
      <c r="C41" s="408"/>
      <c r="D41" s="408"/>
      <c r="E41" s="408"/>
      <c r="F41" s="409"/>
      <c r="G41" s="47" t="s">
        <v>1126</v>
      </c>
      <c r="H41" s="45"/>
    </row>
    <row r="42" spans="1:8" ht="15.95" customHeight="1" x14ac:dyDescent="0.35">
      <c r="A42" s="53"/>
      <c r="B42" s="407" t="s">
        <v>1127</v>
      </c>
      <c r="C42" s="408"/>
      <c r="D42" s="408"/>
      <c r="E42" s="408"/>
      <c r="F42" s="409"/>
      <c r="G42" s="47" t="s">
        <v>1124</v>
      </c>
      <c r="H42" s="48"/>
    </row>
    <row r="44" spans="1:8" x14ac:dyDescent="0.35">
      <c r="A44" s="11" t="s">
        <v>1128</v>
      </c>
    </row>
    <row r="45" spans="1:8" x14ac:dyDescent="0.35">
      <c r="A45" s="11" t="s">
        <v>994</v>
      </c>
    </row>
    <row r="46" spans="1:8" x14ac:dyDescent="0.35">
      <c r="A46" s="11" t="s">
        <v>1129</v>
      </c>
    </row>
    <row r="48" spans="1:8" x14ac:dyDescent="0.35">
      <c r="A48" s="11" t="s">
        <v>457</v>
      </c>
    </row>
    <row r="50" spans="6:6" ht="13.2" x14ac:dyDescent="0.4">
      <c r="F50" s="3"/>
    </row>
  </sheetData>
  <sheetProtection password="CC20" sheet="1" objects="1" scenarios="1" selectLockedCells="1" selectUnlockedCells="1"/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6" type="noConversion"/>
  <pageMargins left="0.39" right="0.26" top="0.42" bottom="0.37" header="0.23" footer="0.17"/>
  <pageSetup paperSize="9" orientation="portrait" horizontalDpi="300" r:id="rId1"/>
  <headerFooter alignWithMargins="0">
    <oddHeader>&amp;CBed 0</oddHeader>
  </headerFooter>
  <rowBreaks count="1" manualBreakCount="1">
    <brk id="49" max="7" man="1"/>
  </row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PN31tot50kg"/>
  <dimension ref="A1:H51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1164</v>
      </c>
      <c r="F1" s="3" t="s">
        <v>564</v>
      </c>
    </row>
    <row r="3" spans="1:8" x14ac:dyDescent="0.35">
      <c r="A3" s="11" t="s">
        <v>1165</v>
      </c>
      <c r="B3" s="55">
        <f ca="1">TODAY()</f>
        <v>42191</v>
      </c>
      <c r="F3" s="94">
        <f>PatNummer</f>
        <v>0</v>
      </c>
      <c r="G3" s="95"/>
      <c r="H3" s="96"/>
    </row>
    <row r="4" spans="1:8" x14ac:dyDescent="0.35">
      <c r="F4" s="97" t="str">
        <f>AchterNaam&amp;",  "&amp;VoorNaam</f>
        <v>Achternaam,  Voornaam</v>
      </c>
      <c r="G4" s="98"/>
      <c r="H4" s="99"/>
    </row>
    <row r="5" spans="1:8" x14ac:dyDescent="0.35">
      <c r="A5" s="11" t="s">
        <v>1166</v>
      </c>
      <c r="B5" s="11" t="s">
        <v>1872</v>
      </c>
      <c r="F5" s="100">
        <f>GebDatum</f>
        <v>40909</v>
      </c>
      <c r="G5" s="98"/>
      <c r="H5" s="99"/>
    </row>
    <row r="6" spans="1:8" x14ac:dyDescent="0.35">
      <c r="F6" s="97" t="s">
        <v>1303</v>
      </c>
      <c r="G6" s="98" t="str">
        <f>Gewicht/10&amp;" kg"</f>
        <v>10 kg</v>
      </c>
      <c r="H6" s="99"/>
    </row>
    <row r="7" spans="1:8" x14ac:dyDescent="0.35">
      <c r="A7" s="11" t="s">
        <v>1517</v>
      </c>
      <c r="B7" s="11" t="s">
        <v>1167</v>
      </c>
      <c r="F7" s="101"/>
      <c r="G7" s="85"/>
      <c r="H7" s="102"/>
    </row>
    <row r="8" spans="1:8" x14ac:dyDescent="0.35">
      <c r="A8" s="11" t="s">
        <v>1368</v>
      </c>
      <c r="B8" s="11" t="s">
        <v>1167</v>
      </c>
    </row>
    <row r="9" spans="1:8" ht="13.2" thickBot="1" x14ac:dyDescent="0.4">
      <c r="A9" s="11" t="s">
        <v>1717</v>
      </c>
      <c r="C9" s="11">
        <f>ber_TPN!F23</f>
        <v>0</v>
      </c>
      <c r="D9" s="11" t="s">
        <v>1518</v>
      </c>
    </row>
    <row r="10" spans="1:8" ht="13.2" thickTop="1" x14ac:dyDescent="0.35">
      <c r="A10" s="398" t="s">
        <v>43</v>
      </c>
      <c r="B10" s="399"/>
      <c r="C10" s="399"/>
      <c r="D10" s="399"/>
      <c r="E10" s="399"/>
      <c r="F10" s="399"/>
      <c r="G10" s="399"/>
      <c r="H10" s="400"/>
    </row>
    <row r="11" spans="1:8" ht="25.65" x14ac:dyDescent="0.35">
      <c r="A11" s="44" t="s">
        <v>1454</v>
      </c>
      <c r="B11" s="401" t="s">
        <v>866</v>
      </c>
      <c r="C11" s="403"/>
      <c r="D11" s="405" t="s">
        <v>867</v>
      </c>
      <c r="E11" s="405" t="s">
        <v>868</v>
      </c>
      <c r="F11" s="405" t="s">
        <v>869</v>
      </c>
      <c r="G11" s="45"/>
      <c r="H11" s="45" t="s">
        <v>870</v>
      </c>
    </row>
    <row r="12" spans="1:8" x14ac:dyDescent="0.35">
      <c r="A12" s="46" t="s">
        <v>871</v>
      </c>
      <c r="B12" s="402"/>
      <c r="C12" s="404"/>
      <c r="D12" s="406"/>
      <c r="E12" s="406"/>
      <c r="F12" s="406"/>
      <c r="G12" s="45" t="s">
        <v>872</v>
      </c>
      <c r="H12" s="47" t="s">
        <v>873</v>
      </c>
    </row>
    <row r="13" spans="1:8" ht="20.100000000000001" customHeight="1" x14ac:dyDescent="0.35">
      <c r="A13" s="412" t="str">
        <f>IF(G22&lt;&gt;0,ROUND(G22/24,1)&amp;" ml/u","")</f>
        <v/>
      </c>
      <c r="B13" s="126" t="s">
        <v>202</v>
      </c>
      <c r="C13" s="127"/>
      <c r="D13" s="127" t="s">
        <v>874</v>
      </c>
      <c r="E13" s="127" t="s">
        <v>874</v>
      </c>
      <c r="F13" s="128" t="s">
        <v>874</v>
      </c>
      <c r="G13" s="129" t="str">
        <f>IF(AND(TPN&lt;&gt;1,G15&lt;&gt;0),ROUND(ber_TPN!F7,0),"")</f>
        <v/>
      </c>
      <c r="H13" s="45"/>
    </row>
    <row r="14" spans="1:8" ht="20.100000000000001" customHeight="1" x14ac:dyDescent="0.35">
      <c r="A14" s="413"/>
      <c r="B14" s="130" t="s">
        <v>2065</v>
      </c>
      <c r="C14" s="131"/>
      <c r="D14" s="131" t="s">
        <v>2070</v>
      </c>
      <c r="E14" s="131" t="s">
        <v>281</v>
      </c>
      <c r="F14" s="132" t="s">
        <v>281</v>
      </c>
      <c r="G14" s="129" t="str">
        <f>IF(AND(TPN&lt;&gt;1,G15&lt;&gt;0),ROUND(ber_TPN!F8,0),"")</f>
        <v/>
      </c>
      <c r="H14" s="45"/>
    </row>
    <row r="15" spans="1:8" ht="20.100000000000001" customHeight="1" x14ac:dyDescent="0.35">
      <c r="A15" s="44"/>
      <c r="B15" s="130" t="s">
        <v>639</v>
      </c>
      <c r="C15" s="131"/>
      <c r="D15" s="131" t="s">
        <v>1947</v>
      </c>
      <c r="E15" s="131" t="s">
        <v>640</v>
      </c>
      <c r="F15" s="132" t="s">
        <v>645</v>
      </c>
      <c r="G15" s="133" t="str">
        <f>IF(TPN&lt;&gt;1,ber_TPN!F4,"")</f>
        <v/>
      </c>
      <c r="H15" s="45"/>
    </row>
    <row r="16" spans="1:8" ht="20.100000000000001" customHeight="1" x14ac:dyDescent="0.35">
      <c r="A16" s="44"/>
      <c r="B16" s="130" t="s">
        <v>1465</v>
      </c>
      <c r="C16" s="131"/>
      <c r="D16" s="131"/>
      <c r="E16" s="433" t="s">
        <v>635</v>
      </c>
      <c r="F16" s="434"/>
      <c r="G16" s="133" t="str">
        <f>IF(AND(SSTglucose&lt;11,TPN&lt;&gt;1),ROUND(ber_TPN!F5,0),"")</f>
        <v/>
      </c>
      <c r="H16" s="45"/>
    </row>
    <row r="17" spans="1:8" ht="20.100000000000001" customHeight="1" x14ac:dyDescent="0.35">
      <c r="A17" s="44"/>
      <c r="B17" s="130" t="s">
        <v>1433</v>
      </c>
      <c r="C17" s="131"/>
      <c r="D17" s="131" t="s">
        <v>641</v>
      </c>
      <c r="E17" s="131"/>
      <c r="F17" s="132"/>
      <c r="G17" s="133" t="str">
        <f>IF(AND(SSTglucose=2,TPN&lt;&gt;1),ROUND(ber_TPN!F6,0),"")</f>
        <v/>
      </c>
      <c r="H17" s="45"/>
    </row>
    <row r="18" spans="1:8" ht="20.100000000000001" customHeight="1" x14ac:dyDescent="0.35">
      <c r="A18" s="44"/>
      <c r="B18" s="130" t="s">
        <v>481</v>
      </c>
      <c r="C18" s="131"/>
      <c r="D18" s="131"/>
      <c r="E18" s="131" t="s">
        <v>642</v>
      </c>
      <c r="F18" s="132"/>
      <c r="G18" s="133" t="str">
        <f>IF(AND(SSTglucose=6,TPN&lt;&gt;1),ROUND(ber_TPN!F6,0),"")</f>
        <v/>
      </c>
      <c r="H18" s="45"/>
    </row>
    <row r="19" spans="1:8" ht="20.100000000000001" customHeight="1" x14ac:dyDescent="0.35">
      <c r="A19" s="44"/>
      <c r="B19" s="130" t="s">
        <v>643</v>
      </c>
      <c r="C19" s="131" t="s">
        <v>1015</v>
      </c>
      <c r="D19" s="131"/>
      <c r="E19" s="131"/>
      <c r="F19" s="132" t="s">
        <v>2078</v>
      </c>
      <c r="G19" s="133" t="str">
        <f>IF(AND(SSTglucose=7,TPN&lt;&gt;1),ROUND(ber_TPN!F6,0),"")</f>
        <v/>
      </c>
      <c r="H19" s="45"/>
    </row>
    <row r="20" spans="1:8" ht="20.100000000000001" customHeight="1" x14ac:dyDescent="0.35">
      <c r="A20" s="44"/>
      <c r="B20" s="130" t="s">
        <v>644</v>
      </c>
      <c r="C20" s="131"/>
      <c r="D20" s="131"/>
      <c r="E20" s="131"/>
      <c r="F20" s="132" t="s">
        <v>2072</v>
      </c>
      <c r="G20" s="133" t="str">
        <f>IF(AND(SSTglucose=9,TPN&lt;&gt;1),ROUND(ber_TPN!F6,0),"")</f>
        <v/>
      </c>
      <c r="H20" s="45"/>
    </row>
    <row r="21" spans="1:8" ht="20.100000000000001" customHeight="1" x14ac:dyDescent="0.35">
      <c r="A21" s="44"/>
      <c r="B21" s="134" t="str">
        <f>IF(AND(TPN=2,SSTglucose&lt;&gt;2,SSTglucose&lt;&gt;6,SSTglucose&lt;&gt;7,SSTglucose&lt;&gt;9,SSTglucose&lt;11),INDEX(tblSSTGlucose,SSTglucose,1),"Glucose       %")</f>
        <v>Glucose       %</v>
      </c>
      <c r="C21" s="135"/>
      <c r="D21" s="135"/>
      <c r="E21" s="135"/>
      <c r="F21" s="136"/>
      <c r="G21" s="133" t="str">
        <f>IF(AND(TPN&lt;&gt;1,B19&lt;&gt;""),IF(AND(SSTglucose&lt;&gt;2,SSTglucose&lt;&gt;6,SSTglucose&lt;&gt;7,SSTglucose&lt;&gt;9,SSTglucose&lt;11),ROUND(ber_TPN!F6,0),""),"")</f>
        <v/>
      </c>
      <c r="H21" s="45"/>
    </row>
    <row r="22" spans="1:8" ht="15.95" customHeight="1" x14ac:dyDescent="0.35">
      <c r="A22" s="44"/>
      <c r="B22" s="116"/>
      <c r="C22" s="116"/>
      <c r="D22" s="116"/>
      <c r="E22" s="419" t="s">
        <v>993</v>
      </c>
      <c r="F22" s="419"/>
      <c r="G22" s="113">
        <f>SUM(G13:G21)</f>
        <v>0</v>
      </c>
      <c r="H22" s="111"/>
    </row>
    <row r="23" spans="1:8" ht="10.5" customHeight="1" x14ac:dyDescent="0.35">
      <c r="A23" s="44"/>
      <c r="B23" s="110"/>
      <c r="C23" s="110"/>
      <c r="D23" s="110"/>
      <c r="E23" s="110"/>
      <c r="F23" s="110"/>
      <c r="G23" s="49"/>
      <c r="H23" s="45"/>
    </row>
    <row r="24" spans="1:8" ht="20.100000000000001" customHeight="1" x14ac:dyDescent="0.35">
      <c r="A24" s="412" t="str">
        <f>IF(G27&lt;&gt;0,ROUND(G27/24,1)&amp;" ml/u","")</f>
        <v/>
      </c>
      <c r="B24" s="126" t="s">
        <v>949</v>
      </c>
      <c r="C24" s="127"/>
      <c r="D24" s="127" t="s">
        <v>1716</v>
      </c>
      <c r="E24" s="127" t="s">
        <v>874</v>
      </c>
      <c r="F24" s="128" t="s">
        <v>1948</v>
      </c>
      <c r="G24" s="129">
        <f>ROUND(ber_TPN!F13,0)</f>
        <v>0</v>
      </c>
      <c r="H24" s="50"/>
    </row>
    <row r="25" spans="1:8" ht="20.100000000000001" customHeight="1" x14ac:dyDescent="0.35">
      <c r="A25" s="413"/>
      <c r="B25" s="130" t="s">
        <v>950</v>
      </c>
      <c r="C25" s="131"/>
      <c r="D25" s="131"/>
      <c r="E25" s="433" t="s">
        <v>1841</v>
      </c>
      <c r="F25" s="434"/>
      <c r="G25" s="133">
        <f>ROUND(ber_TPN!F14,0)</f>
        <v>0</v>
      </c>
      <c r="H25" s="45"/>
    </row>
    <row r="26" spans="1:8" ht="20.100000000000001" customHeight="1" x14ac:dyDescent="0.35">
      <c r="A26" s="44"/>
      <c r="B26" s="130" t="s">
        <v>986</v>
      </c>
      <c r="C26" s="131"/>
      <c r="D26" s="131"/>
      <c r="E26" s="433" t="s">
        <v>1841</v>
      </c>
      <c r="F26" s="434"/>
      <c r="G26" s="133">
        <f>ROUND(ber_TPN!F15,0)</f>
        <v>0</v>
      </c>
      <c r="H26" s="45"/>
    </row>
    <row r="27" spans="1:8" ht="15.95" customHeight="1" x14ac:dyDescent="0.35">
      <c r="A27" s="44"/>
      <c r="B27" s="110"/>
      <c r="C27" s="110"/>
      <c r="D27" s="110"/>
      <c r="E27" s="419" t="s">
        <v>993</v>
      </c>
      <c r="F27" s="419"/>
      <c r="G27" s="115">
        <f>SUM(G24:G26)</f>
        <v>0</v>
      </c>
      <c r="H27" s="111"/>
    </row>
    <row r="28" spans="1:8" ht="10.5" customHeight="1" thickBot="1" x14ac:dyDescent="0.4">
      <c r="A28" s="44"/>
      <c r="B28" s="110"/>
      <c r="C28" s="110"/>
      <c r="D28" s="110"/>
      <c r="E28" s="110"/>
      <c r="F28" s="110"/>
      <c r="G28" s="49"/>
      <c r="H28" s="45"/>
    </row>
    <row r="29" spans="1:8" ht="15.95" customHeight="1" thickTop="1" x14ac:dyDescent="0.35">
      <c r="A29" s="51"/>
      <c r="B29" s="431" t="s">
        <v>602</v>
      </c>
      <c r="C29" s="432"/>
      <c r="D29" s="432"/>
      <c r="E29" s="432"/>
      <c r="F29" s="432"/>
      <c r="G29" s="103"/>
      <c r="H29" s="52"/>
    </row>
    <row r="30" spans="1:8" ht="20.100000000000001" customHeight="1" x14ac:dyDescent="0.35">
      <c r="A30" s="412" t="str">
        <f>IF(G38&lt;&gt;0,ROUND(G38/24,1)&amp;" ml/u","")</f>
        <v/>
      </c>
      <c r="B30" s="137" t="s">
        <v>202</v>
      </c>
      <c r="C30" s="139"/>
      <c r="D30" s="139"/>
      <c r="E30" s="139"/>
      <c r="F30" s="143"/>
      <c r="G30" s="144">
        <f>IF(AND(OR(TPN=1,AND(TPN=2,SSTglucose&gt;10))),ROUND(ber_TPN!F7,0),"")</f>
        <v>0</v>
      </c>
      <c r="H30" s="45"/>
    </row>
    <row r="31" spans="1:8" ht="20.100000000000001" customHeight="1" x14ac:dyDescent="0.35">
      <c r="A31" s="413"/>
      <c r="B31" s="138" t="s">
        <v>2068</v>
      </c>
      <c r="C31" s="141"/>
      <c r="D31" s="141"/>
      <c r="E31" s="141"/>
      <c r="F31" s="145"/>
      <c r="G31" s="146">
        <f>IF(AND(OR(TPN=1,AND(TPN=2,SSTglucose&gt;10))),ROUND(ber_TPN!F8,0),"")</f>
        <v>0</v>
      </c>
      <c r="H31" s="45"/>
    </row>
    <row r="32" spans="1:8" ht="20.100000000000001" customHeight="1" x14ac:dyDescent="0.35">
      <c r="A32" s="108"/>
      <c r="B32" s="138" t="s">
        <v>2100</v>
      </c>
      <c r="C32" s="141"/>
      <c r="D32" s="141"/>
      <c r="E32" s="141"/>
      <c r="F32" s="145"/>
      <c r="G32" s="146">
        <f>ber_TPN!F9</f>
        <v>0</v>
      </c>
      <c r="H32" s="45"/>
    </row>
    <row r="33" spans="1:8" ht="20.100000000000001" customHeight="1" x14ac:dyDescent="0.35">
      <c r="A33" s="108"/>
      <c r="B33" s="138" t="s">
        <v>2101</v>
      </c>
      <c r="C33" s="141"/>
      <c r="D33" s="141"/>
      <c r="E33" s="141"/>
      <c r="F33" s="145"/>
      <c r="G33" s="146">
        <f>ber_TPN!F10</f>
        <v>0</v>
      </c>
      <c r="H33" s="45"/>
    </row>
    <row r="34" spans="1:8" ht="20.100000000000001" customHeight="1" x14ac:dyDescent="0.35">
      <c r="A34" s="108"/>
      <c r="B34" s="138" t="s">
        <v>1433</v>
      </c>
      <c r="C34" s="141"/>
      <c r="D34" s="141"/>
      <c r="E34" s="141"/>
      <c r="F34" s="145"/>
      <c r="G34" s="146">
        <f>ber_TPN!F16+IF(AND(SSTglucose=2,TPN=1),ROUND(ber_TPN!F6,0),0)</f>
        <v>0</v>
      </c>
      <c r="H34" s="45"/>
    </row>
    <row r="35" spans="1:8" ht="20.100000000000001" customHeight="1" x14ac:dyDescent="0.35">
      <c r="A35" s="108"/>
      <c r="B35" s="138" t="str">
        <f>IF(AND(OR(TPN=1,AND(TPN=2,SSTglucose&gt;10)),SSTglucose&lt;&gt;2,SSTglucose&lt;&gt;12,SSTglucose&lt;&gt;13),INDEX(tblSSTGlucose,SSTglucose,1),"Glucose       %")</f>
        <v>Glucose 5%</v>
      </c>
      <c r="C35" s="141"/>
      <c r="D35" s="141"/>
      <c r="E35" s="141"/>
      <c r="F35" s="145"/>
      <c r="G35" s="146">
        <f>IF(AND(OR(TPN=1,AND(TPN=2,SSTglucose&gt;10)),SSTglucose&lt;&gt;2,SSTglucose&lt;&gt;12,SSTglucose&lt;&gt;13),ber_TPN!F6,"")</f>
        <v>0</v>
      </c>
      <c r="H35" s="45"/>
    </row>
    <row r="36" spans="1:8" ht="20.100000000000001" customHeight="1" x14ac:dyDescent="0.35">
      <c r="A36" s="108"/>
      <c r="B36" s="429" t="s">
        <v>203</v>
      </c>
      <c r="C36" s="430"/>
      <c r="D36" s="430"/>
      <c r="E36" s="430"/>
      <c r="F36" s="145"/>
      <c r="G36" s="146" t="str">
        <f>IF(AND(SSTglucose=12),ROUND(ber_TPN!F6,0),"")</f>
        <v/>
      </c>
      <c r="H36" s="45"/>
    </row>
    <row r="37" spans="1:8" ht="20.100000000000001" customHeight="1" x14ac:dyDescent="0.35">
      <c r="A37" s="44"/>
      <c r="B37" s="429" t="s">
        <v>204</v>
      </c>
      <c r="C37" s="430"/>
      <c r="D37" s="430"/>
      <c r="E37" s="430"/>
      <c r="F37" s="145"/>
      <c r="G37" s="146" t="str">
        <f>IF(AND(SSTglucose=13),ROUND(ber_TPN!F6,0),"")</f>
        <v/>
      </c>
      <c r="H37" s="45"/>
    </row>
    <row r="38" spans="1:8" ht="15.95" customHeight="1" x14ac:dyDescent="0.35">
      <c r="A38" s="44"/>
      <c r="B38" s="49"/>
      <c r="C38" s="49"/>
      <c r="D38" s="49"/>
      <c r="E38" s="416" t="s">
        <v>995</v>
      </c>
      <c r="F38" s="416"/>
      <c r="G38" s="114">
        <f>SUM(G30:G37)</f>
        <v>0</v>
      </c>
      <c r="H38" s="45"/>
    </row>
    <row r="39" spans="1:8" ht="10.5" customHeight="1" thickBot="1" x14ac:dyDescent="0.4">
      <c r="A39" s="44"/>
      <c r="B39" s="49"/>
      <c r="C39" s="49"/>
      <c r="D39" s="49"/>
      <c r="E39" s="49"/>
      <c r="F39" s="49"/>
      <c r="G39" s="49"/>
      <c r="H39" s="45"/>
    </row>
    <row r="40" spans="1:8" ht="15.95" customHeight="1" thickTop="1" x14ac:dyDescent="0.35">
      <c r="A40" s="51"/>
      <c r="B40" s="420" t="s">
        <v>1123</v>
      </c>
      <c r="C40" s="421"/>
      <c r="D40" s="421"/>
      <c r="E40" s="421"/>
      <c r="F40" s="422"/>
      <c r="G40" s="52" t="s">
        <v>1124</v>
      </c>
      <c r="H40" s="52"/>
    </row>
    <row r="41" spans="1:8" ht="15.95" customHeight="1" x14ac:dyDescent="0.35">
      <c r="A41" s="53"/>
      <c r="B41" s="407" t="s">
        <v>1125</v>
      </c>
      <c r="C41" s="408"/>
      <c r="D41" s="408"/>
      <c r="E41" s="408"/>
      <c r="F41" s="409"/>
      <c r="G41" s="47" t="s">
        <v>1126</v>
      </c>
      <c r="H41" s="45"/>
    </row>
    <row r="42" spans="1:8" ht="15.95" customHeight="1" x14ac:dyDescent="0.35">
      <c r="A42" s="53"/>
      <c r="B42" s="407" t="s">
        <v>1127</v>
      </c>
      <c r="C42" s="408"/>
      <c r="D42" s="408"/>
      <c r="E42" s="408"/>
      <c r="F42" s="409"/>
      <c r="G42" s="47" t="s">
        <v>1124</v>
      </c>
      <c r="H42" s="48"/>
    </row>
    <row r="44" spans="1:8" x14ac:dyDescent="0.35">
      <c r="A44" s="11" t="s">
        <v>1128</v>
      </c>
    </row>
    <row r="45" spans="1:8" x14ac:dyDescent="0.35">
      <c r="A45" s="11" t="s">
        <v>994</v>
      </c>
    </row>
    <row r="47" spans="1:8" x14ac:dyDescent="0.35">
      <c r="A47" s="11" t="s">
        <v>1129</v>
      </c>
    </row>
    <row r="49" spans="1:6" x14ac:dyDescent="0.35">
      <c r="A49" s="11" t="s">
        <v>457</v>
      </c>
    </row>
    <row r="51" spans="1:6" ht="13.2" x14ac:dyDescent="0.4">
      <c r="F51" s="3"/>
    </row>
  </sheetData>
  <sheetProtection password="CC20" sheet="1" objects="1" scenarios="1" selectLockedCells="1" selectUnlockedCells="1"/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0</oddHeader>
  </headerFooter>
  <rowBreaks count="1" manualBreakCount="1">
    <brk id="50" max="7" man="1"/>
  </row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PNboven50kg"/>
  <dimension ref="A1:H48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1164</v>
      </c>
      <c r="F1" s="3" t="s">
        <v>1925</v>
      </c>
    </row>
    <row r="3" spans="1:8" x14ac:dyDescent="0.35">
      <c r="A3" s="11" t="s">
        <v>1165</v>
      </c>
      <c r="B3" s="55">
        <f ca="1">TODAY()</f>
        <v>42191</v>
      </c>
      <c r="F3" s="94">
        <f>PatNummer</f>
        <v>0</v>
      </c>
      <c r="G3" s="95"/>
      <c r="H3" s="96"/>
    </row>
    <row r="4" spans="1:8" x14ac:dyDescent="0.35">
      <c r="F4" s="97" t="str">
        <f>AchterNaam&amp;",  "&amp;VoorNaam</f>
        <v>Achternaam,  Voornaam</v>
      </c>
      <c r="G4" s="98"/>
      <c r="H4" s="99"/>
    </row>
    <row r="5" spans="1:8" x14ac:dyDescent="0.35">
      <c r="A5" s="11" t="s">
        <v>1166</v>
      </c>
      <c r="B5" s="11" t="s">
        <v>1872</v>
      </c>
      <c r="F5" s="100">
        <f>GebDatum</f>
        <v>40909</v>
      </c>
      <c r="G5" s="98"/>
      <c r="H5" s="99"/>
    </row>
    <row r="6" spans="1:8" x14ac:dyDescent="0.35">
      <c r="F6" s="97" t="s">
        <v>1303</v>
      </c>
      <c r="G6" s="98" t="str">
        <f>Gewicht/10&amp;" kg"</f>
        <v>10 kg</v>
      </c>
      <c r="H6" s="99"/>
    </row>
    <row r="7" spans="1:8" x14ac:dyDescent="0.35">
      <c r="A7" s="11" t="s">
        <v>1517</v>
      </c>
      <c r="B7" s="11" t="s">
        <v>1167</v>
      </c>
      <c r="F7" s="101"/>
      <c r="G7" s="85"/>
      <c r="H7" s="102"/>
    </row>
    <row r="8" spans="1:8" x14ac:dyDescent="0.35">
      <c r="A8" s="11" t="s">
        <v>1368</v>
      </c>
      <c r="B8" s="11" t="s">
        <v>1167</v>
      </c>
    </row>
    <row r="9" spans="1:8" ht="13.2" thickBot="1" x14ac:dyDescent="0.4">
      <c r="A9" s="11" t="str">
        <f>IF(Gewicht/10&lt;7,"Tot. hoev. vocht* (150 ml/kg/24 uur):","Tot. hoev. vocht* (110-90 ml/kg/24 uur):")</f>
        <v>Tot. hoev. vocht* (110-90 ml/kg/24 uur):</v>
      </c>
      <c r="C9" s="11">
        <f>ber_TPN!F23</f>
        <v>0</v>
      </c>
      <c r="D9" s="11" t="s">
        <v>1518</v>
      </c>
    </row>
    <row r="10" spans="1:8" ht="13.2" thickTop="1" x14ac:dyDescent="0.35">
      <c r="A10" s="398" t="s">
        <v>43</v>
      </c>
      <c r="B10" s="399"/>
      <c r="C10" s="399"/>
      <c r="D10" s="399"/>
      <c r="E10" s="399"/>
      <c r="F10" s="399"/>
      <c r="G10" s="399"/>
      <c r="H10" s="400"/>
    </row>
    <row r="11" spans="1:8" ht="25.65" x14ac:dyDescent="0.35">
      <c r="A11" s="44" t="s">
        <v>1454</v>
      </c>
      <c r="B11" s="401" t="s">
        <v>866</v>
      </c>
      <c r="C11" s="403"/>
      <c r="D11" s="405" t="s">
        <v>867</v>
      </c>
      <c r="E11" s="405" t="s">
        <v>868</v>
      </c>
      <c r="F11" s="405" t="s">
        <v>869</v>
      </c>
      <c r="G11" s="45"/>
      <c r="H11" s="45" t="s">
        <v>870</v>
      </c>
    </row>
    <row r="12" spans="1:8" x14ac:dyDescent="0.35">
      <c r="A12" s="46" t="s">
        <v>871</v>
      </c>
      <c r="B12" s="402"/>
      <c r="C12" s="404"/>
      <c r="D12" s="406"/>
      <c r="E12" s="406"/>
      <c r="F12" s="406"/>
      <c r="G12" s="45" t="s">
        <v>872</v>
      </c>
      <c r="H12" s="47" t="s">
        <v>873</v>
      </c>
    </row>
    <row r="13" spans="1:8" ht="20.100000000000001" customHeight="1" x14ac:dyDescent="0.35">
      <c r="A13" s="159" t="str">
        <f>IF(G15&lt;&gt;0,ROUND(G15/24,1)&amp;" ml/u","")</f>
        <v/>
      </c>
      <c r="B13" s="130" t="s">
        <v>448</v>
      </c>
      <c r="C13" s="131"/>
      <c r="D13" s="131" t="s">
        <v>449</v>
      </c>
      <c r="E13" s="131" t="s">
        <v>450</v>
      </c>
      <c r="F13" s="132" t="s">
        <v>451</v>
      </c>
      <c r="G13" s="164" t="str">
        <f>IF(TPN&lt;&gt;1,ber_TPN!F4,"")</f>
        <v/>
      </c>
      <c r="H13" s="45"/>
    </row>
    <row r="14" spans="1:8" ht="20.100000000000001" customHeight="1" x14ac:dyDescent="0.35">
      <c r="A14" s="160"/>
      <c r="B14" s="130"/>
      <c r="C14" s="131"/>
      <c r="D14" s="131"/>
      <c r="E14" s="131"/>
      <c r="F14" s="132"/>
      <c r="G14" s="133"/>
      <c r="H14" s="45"/>
    </row>
    <row r="15" spans="1:8" ht="20.100000000000001" customHeight="1" x14ac:dyDescent="0.35">
      <c r="A15" s="44"/>
      <c r="B15" s="162"/>
      <c r="C15" s="162"/>
      <c r="D15" s="162"/>
      <c r="E15" s="162"/>
      <c r="F15" s="162" t="s">
        <v>995</v>
      </c>
      <c r="G15" s="163">
        <f>SUM(G13:G14)</f>
        <v>0</v>
      </c>
      <c r="H15" s="45"/>
    </row>
    <row r="16" spans="1:8" ht="20.100000000000001" customHeight="1" x14ac:dyDescent="0.35">
      <c r="A16" s="44"/>
      <c r="B16" s="131"/>
      <c r="C16" s="131"/>
      <c r="D16" s="131"/>
      <c r="E16" s="131"/>
      <c r="F16" s="131"/>
      <c r="G16" s="161"/>
      <c r="H16" s="45"/>
    </row>
    <row r="17" spans="1:8" ht="20.100000000000001" customHeight="1" x14ac:dyDescent="0.35">
      <c r="A17" s="160" t="str">
        <f>IF(G19&lt;&gt;0,ROUND(G19/24,1)&amp;" ml/u","")</f>
        <v/>
      </c>
      <c r="B17" s="130" t="s">
        <v>1465</v>
      </c>
      <c r="C17" s="131"/>
      <c r="D17" s="131"/>
      <c r="E17" s="127"/>
      <c r="F17" s="128" t="s">
        <v>875</v>
      </c>
      <c r="G17" s="133">
        <f>IF(AND(OR(SSTglucose&lt;11,Gewicht/10&gt;50),TPN&lt;&gt;1),ROUND(ber_TPN!F5,0),0)</f>
        <v>0</v>
      </c>
      <c r="H17" s="45"/>
    </row>
    <row r="18" spans="1:8" ht="20.100000000000001" customHeight="1" x14ac:dyDescent="0.35">
      <c r="A18" s="44"/>
      <c r="B18" s="130" t="s">
        <v>1433</v>
      </c>
      <c r="C18" s="131"/>
      <c r="D18" s="131"/>
      <c r="E18" s="131"/>
      <c r="F18" s="132" t="s">
        <v>447</v>
      </c>
      <c r="G18" s="133">
        <f>IF(G17&gt;0,100,0)</f>
        <v>0</v>
      </c>
      <c r="H18" s="45"/>
    </row>
    <row r="19" spans="1:8" ht="20.100000000000001" customHeight="1" x14ac:dyDescent="0.35">
      <c r="A19" s="44"/>
      <c r="B19" s="116"/>
      <c r="C19" s="116"/>
      <c r="D19" s="116"/>
      <c r="E19" s="419" t="s">
        <v>993</v>
      </c>
      <c r="F19" s="419"/>
      <c r="G19" s="113">
        <f>SUM(G17:G18)</f>
        <v>0</v>
      </c>
      <c r="H19" s="45"/>
    </row>
    <row r="20" spans="1:8" ht="20.100000000000001" customHeight="1" x14ac:dyDescent="0.35">
      <c r="A20" s="44"/>
      <c r="B20" s="110"/>
      <c r="C20" s="110"/>
      <c r="D20" s="110"/>
      <c r="E20" s="110"/>
      <c r="F20" s="110"/>
      <c r="G20" s="49"/>
      <c r="H20" s="45"/>
    </row>
    <row r="21" spans="1:8" ht="20.100000000000001" customHeight="1" x14ac:dyDescent="0.35">
      <c r="A21" s="44" t="str">
        <f>IF(G24&lt;&gt;0,ROUND(G24/24,1)&amp;" ml/u","")</f>
        <v/>
      </c>
      <c r="B21" s="126" t="s">
        <v>949</v>
      </c>
      <c r="C21" s="127"/>
      <c r="D21" s="127" t="s">
        <v>452</v>
      </c>
      <c r="E21" s="127" t="s">
        <v>453</v>
      </c>
      <c r="F21" s="128" t="s">
        <v>454</v>
      </c>
      <c r="G21" s="129">
        <f>ROUND(ber_TPN!F13,0)</f>
        <v>0</v>
      </c>
      <c r="H21" s="45"/>
    </row>
    <row r="22" spans="1:8" ht="20.100000000000001" customHeight="1" x14ac:dyDescent="0.35">
      <c r="A22" s="44"/>
      <c r="B22" s="130" t="s">
        <v>950</v>
      </c>
      <c r="C22" s="131"/>
      <c r="D22" s="131"/>
      <c r="E22" s="127"/>
      <c r="F22" s="128" t="s">
        <v>455</v>
      </c>
      <c r="G22" s="133">
        <f>ROUND(ber_TPN!F14,0)</f>
        <v>0</v>
      </c>
      <c r="H22" s="45"/>
    </row>
    <row r="23" spans="1:8" ht="20.100000000000001" customHeight="1" x14ac:dyDescent="0.35">
      <c r="A23" s="44"/>
      <c r="B23" s="130" t="s">
        <v>986</v>
      </c>
      <c r="C23" s="131"/>
      <c r="D23" s="131"/>
      <c r="E23" s="127"/>
      <c r="F23" s="128" t="s">
        <v>455</v>
      </c>
      <c r="G23" s="133">
        <f>ROUND(ber_TPN!F15,0)</f>
        <v>0</v>
      </c>
      <c r="H23" s="45"/>
    </row>
    <row r="24" spans="1:8" ht="20.100000000000001" customHeight="1" x14ac:dyDescent="0.35">
      <c r="A24" s="44"/>
      <c r="B24" s="110"/>
      <c r="C24" s="110"/>
      <c r="D24" s="110"/>
      <c r="E24" s="419" t="s">
        <v>993</v>
      </c>
      <c r="F24" s="419"/>
      <c r="G24" s="115">
        <f>SUM(G21:G23)</f>
        <v>0</v>
      </c>
      <c r="H24" s="111"/>
    </row>
    <row r="25" spans="1:8" ht="15.95" customHeight="1" thickBot="1" x14ac:dyDescent="0.4">
      <c r="A25" s="44"/>
      <c r="B25" s="110"/>
      <c r="C25" s="110"/>
      <c r="D25" s="110"/>
      <c r="E25" s="110"/>
      <c r="F25" s="110"/>
      <c r="G25" s="49"/>
      <c r="H25" s="45"/>
    </row>
    <row r="26" spans="1:8" ht="15.95" customHeight="1" thickTop="1" x14ac:dyDescent="0.35">
      <c r="A26" s="51"/>
      <c r="B26" s="431" t="s">
        <v>602</v>
      </c>
      <c r="C26" s="432"/>
      <c r="D26" s="432"/>
      <c r="E26" s="432"/>
      <c r="F26" s="432"/>
      <c r="G26" s="103"/>
      <c r="H26" s="52"/>
    </row>
    <row r="27" spans="1:8" ht="20.100000000000001" customHeight="1" x14ac:dyDescent="0.35">
      <c r="A27" s="412" t="str">
        <f>IF(G35&lt;&gt;0,ROUND(G35/24,1)&amp;" ml/u","")</f>
        <v/>
      </c>
      <c r="B27" s="137" t="s">
        <v>202</v>
      </c>
      <c r="C27" s="139"/>
      <c r="D27" s="139"/>
      <c r="E27" s="139"/>
      <c r="F27" s="143"/>
      <c r="G27" s="144">
        <f>IF(AND(OR(TPN=1,Gewicht/10&gt;50,AND(TPN=2,SSTglucose&gt;10))),ROUND(ber_TPN!F7,0),"")</f>
        <v>0</v>
      </c>
      <c r="H27" s="45"/>
    </row>
    <row r="28" spans="1:8" ht="20.100000000000001" customHeight="1" x14ac:dyDescent="0.35">
      <c r="A28" s="413"/>
      <c r="B28" s="138" t="s">
        <v>2068</v>
      </c>
      <c r="C28" s="141"/>
      <c r="D28" s="141"/>
      <c r="E28" s="141"/>
      <c r="F28" s="145"/>
      <c r="G28" s="146">
        <f>IF(AND(OR(TPN=1,Gewicht/10&gt;50,AND(TPN=2,SSTglucose&gt;10))),ROUND(ber_TPN!F8,0),"")</f>
        <v>0</v>
      </c>
      <c r="H28" s="45"/>
    </row>
    <row r="29" spans="1:8" ht="15.95" customHeight="1" x14ac:dyDescent="0.35">
      <c r="A29" s="108"/>
      <c r="B29" s="138" t="s">
        <v>2100</v>
      </c>
      <c r="C29" s="141"/>
      <c r="D29" s="141"/>
      <c r="E29" s="141"/>
      <c r="F29" s="145"/>
      <c r="G29" s="146">
        <f>ber_TPN!F9</f>
        <v>0</v>
      </c>
      <c r="H29" s="45"/>
    </row>
    <row r="30" spans="1:8" ht="15.95" customHeight="1" x14ac:dyDescent="0.35">
      <c r="A30" s="108"/>
      <c r="B30" s="138" t="s">
        <v>2101</v>
      </c>
      <c r="C30" s="141"/>
      <c r="D30" s="141"/>
      <c r="E30" s="141"/>
      <c r="F30" s="145"/>
      <c r="G30" s="146">
        <f>ber_TPN!F10</f>
        <v>0</v>
      </c>
      <c r="H30" s="45"/>
    </row>
    <row r="31" spans="1:8" ht="15.95" customHeight="1" x14ac:dyDescent="0.35">
      <c r="A31" s="108"/>
      <c r="B31" s="138" t="s">
        <v>1433</v>
      </c>
      <c r="C31" s="141"/>
      <c r="D31" s="141"/>
      <c r="E31" s="141"/>
      <c r="F31" s="145"/>
      <c r="G31" s="146">
        <f>IF(Gewicht/10&lt;=50,ber_TPN!F16,0)+IF(OR(AND(SSTglucose=2,TPN=1),AND(SSTglucose=2,Gewicht/10&gt;50)),ROUND(ber_TPN!F6,0),0)</f>
        <v>0</v>
      </c>
      <c r="H31" s="45"/>
    </row>
    <row r="32" spans="1:8" ht="15.95" customHeight="1" x14ac:dyDescent="0.35">
      <c r="A32" s="108"/>
      <c r="B32" s="138" t="str">
        <f>IF(AND(OR(TPN=1,AND(TPN=2,SSTglucose&gt;10)),SSTglucose&lt;&gt;2,SSTglucose&lt;&gt;12,SSTglucose&lt;&gt;13),INDEX(tblSSTGlucose,SSTglucose,1),"Glucose       %")</f>
        <v>Glucose 5%</v>
      </c>
      <c r="C32" s="141"/>
      <c r="D32" s="141"/>
      <c r="E32" s="141"/>
      <c r="F32" s="145"/>
      <c r="G32" s="146">
        <f>IF(AND(SSTglucose&lt;&gt;2,SSTglucose&lt;&gt;12,SSTglucose&lt;&gt;13),ber_TPN!F6,"")</f>
        <v>0</v>
      </c>
      <c r="H32" s="45"/>
    </row>
    <row r="33" spans="1:8" ht="15.95" customHeight="1" x14ac:dyDescent="0.35">
      <c r="A33" s="108"/>
      <c r="B33" s="429" t="s">
        <v>203</v>
      </c>
      <c r="C33" s="430"/>
      <c r="D33" s="430"/>
      <c r="E33" s="430"/>
      <c r="F33" s="145"/>
      <c r="G33" s="146" t="str">
        <f>IF(AND(SSTglucose=12),ROUND(ber_TPN!F6,0),"")</f>
        <v/>
      </c>
      <c r="H33" s="45"/>
    </row>
    <row r="34" spans="1:8" ht="20.100000000000001" customHeight="1" x14ac:dyDescent="0.35">
      <c r="A34" s="44"/>
      <c r="B34" s="429" t="s">
        <v>204</v>
      </c>
      <c r="C34" s="430"/>
      <c r="D34" s="430"/>
      <c r="E34" s="430"/>
      <c r="F34" s="145"/>
      <c r="G34" s="146" t="str">
        <f>IF(AND(SSTglucose=13),ROUND(ber_TPN!F6,0),"")</f>
        <v/>
      </c>
      <c r="H34" s="45"/>
    </row>
    <row r="35" spans="1:8" ht="20.100000000000001" customHeight="1" x14ac:dyDescent="0.35">
      <c r="A35" s="44"/>
      <c r="B35" s="49"/>
      <c r="C35" s="49"/>
      <c r="D35" s="49"/>
      <c r="E35" s="416" t="s">
        <v>995</v>
      </c>
      <c r="F35" s="416"/>
      <c r="G35" s="114">
        <f>SUM(G27:G34)</f>
        <v>0</v>
      </c>
      <c r="H35" s="45"/>
    </row>
    <row r="36" spans="1:8" ht="20.100000000000001" customHeight="1" thickBot="1" x14ac:dyDescent="0.4">
      <c r="A36" s="44"/>
      <c r="B36" s="49"/>
      <c r="C36" s="49"/>
      <c r="D36" s="49"/>
      <c r="E36" s="49"/>
      <c r="F36" s="49"/>
      <c r="G36" s="49"/>
      <c r="H36" s="45"/>
    </row>
    <row r="37" spans="1:8" ht="20.100000000000001" customHeight="1" thickTop="1" x14ac:dyDescent="0.35">
      <c r="A37" s="51"/>
      <c r="B37" s="420" t="s">
        <v>1123</v>
      </c>
      <c r="C37" s="421"/>
      <c r="D37" s="421"/>
      <c r="E37" s="421"/>
      <c r="F37" s="422"/>
      <c r="G37" s="52" t="s">
        <v>1124</v>
      </c>
      <c r="H37" s="52"/>
    </row>
    <row r="38" spans="1:8" ht="20.100000000000001" customHeight="1" x14ac:dyDescent="0.35">
      <c r="A38" s="53"/>
      <c r="B38" s="407" t="s">
        <v>1125</v>
      </c>
      <c r="C38" s="408"/>
      <c r="D38" s="408"/>
      <c r="E38" s="408"/>
      <c r="F38" s="409"/>
      <c r="G38" s="47" t="s">
        <v>1126</v>
      </c>
      <c r="H38" s="45"/>
    </row>
    <row r="39" spans="1:8" ht="20.100000000000001" customHeight="1" x14ac:dyDescent="0.35">
      <c r="A39" s="53"/>
      <c r="B39" s="407" t="s">
        <v>1127</v>
      </c>
      <c r="C39" s="408"/>
      <c r="D39" s="408"/>
      <c r="E39" s="408"/>
      <c r="F39" s="409"/>
      <c r="G39" s="47" t="s">
        <v>1124</v>
      </c>
      <c r="H39" s="48"/>
    </row>
    <row r="40" spans="1:8" ht="20.100000000000001" customHeight="1" x14ac:dyDescent="0.35"/>
    <row r="41" spans="1:8" ht="15.95" customHeight="1" x14ac:dyDescent="0.35">
      <c r="A41" s="11" t="s">
        <v>1128</v>
      </c>
    </row>
    <row r="42" spans="1:8" ht="10.5" customHeight="1" x14ac:dyDescent="0.35">
      <c r="A42" s="11" t="s">
        <v>994</v>
      </c>
    </row>
    <row r="43" spans="1:8" ht="15.95" customHeight="1" x14ac:dyDescent="0.35"/>
    <row r="44" spans="1:8" ht="15.95" customHeight="1" x14ac:dyDescent="0.35">
      <c r="A44" s="11" t="s">
        <v>1129</v>
      </c>
    </row>
    <row r="45" spans="1:8" ht="15.95" customHeight="1" x14ac:dyDescent="0.35"/>
    <row r="46" spans="1:8" x14ac:dyDescent="0.35">
      <c r="A46" s="11" t="s">
        <v>457</v>
      </c>
    </row>
    <row r="48" spans="1:8" ht="13.2" x14ac:dyDescent="0.4">
      <c r="F48" s="3"/>
    </row>
  </sheetData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1.7</oddHeader>
  </headerFooter>
  <rowBreaks count="1" manualBreakCount="1">
    <brk id="53" max="7" man="1"/>
  </rowBreaks>
</worksheet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Afspraken" label="Afspraken">
        <group id="Group1" label="Afspraken">
          <button id="btnAfsluiten" label="Afsluiten" onAction="ButtonOnAction"/>
          <button id="btnAfsprakenVerwijderen" label="Afspraken verwijderen" onAction="ButtonOnAction"/>
          <button id="btnPrinten" label="Printen" onAction="ButtonOnAction"/>
        </group>
        <group id="Group2" label="Bedden">
          <button id="btnBedOpenen" label="Openen" onAction="ButtonOnAction"/>
          <button id="btnBedSluiten" label="Opslaan" onAction="ButtonOnAction"/>
        </group>
        <group id="grpGaNaar" label="Ga naar ...">
          <button id="btnContinueivmedicatie" label="Continue iv medicatie" onAction="ButtonOnAction"/>
          <button id="btnIVmedicatieinstellen" label="IV medicatie instellen" onAction="ButtonOnAction"/>
          <button id="btnDiscontinuemedicatie" label="Discontinue medicatie" onAction="ButtonOnAction"/>
          <button id="btnInfusenencontroles" label="Infusen en controles" onAction="ButtonOnAction"/>
          <button id="btnIntake" label="Intake" onAction="ButtonOnAction"/>
          <button id="btnLaboratoriumbepalingen" label="Laboratorium bepalingen" onAction="ButtonOnAction"/>
          <button id="btnAcuteblad" label="Acute blad" onAction="ButtonOnAction"/>
          <button id="btnAfsprakenblad" label="Afspraken blad" onAction="ButtonOnAction"/>
          <button id="btnMedicatieblad" label="Medicatie blad" onAction="ButtonOnAction"/>
          <button id="btnTPNblad" label="TPN blad" onAction="ButtonOnAction"/>
        </group>
        <group id="grpExtra" label="Extra">
          <button id="btnInstellingenKlein" label="Instellingen Klein" onAction="ButtonOnAction"/>
          <button id="btnInstellingenGroot" label="Instellingen Groot" onAction="ButtonOnAction"/>
          <button id="btnLabVerwijderen" label="Lab Verwijderen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21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818</vt:i4>
      </vt:variant>
    </vt:vector>
  </HeadingPairs>
  <TitlesOfParts>
    <vt:vector size="841" baseType="lpstr">
      <vt:lpstr>GewMeisje</vt:lpstr>
      <vt:lpstr>GewJongen</vt:lpstr>
      <vt:lpstr>HEIGHTNL.CRF</vt:lpstr>
      <vt:lpstr>WEIGHTNL.CRF</vt:lpstr>
      <vt:lpstr>AcuteOpvang</vt:lpstr>
      <vt:lpstr>AfsprakenCMV</vt:lpstr>
      <vt:lpstr>AfsprakenPLV</vt:lpstr>
      <vt:lpstr>AfsprakenHFO</vt:lpstr>
      <vt:lpstr>AfsprakenTekst</vt:lpstr>
      <vt:lpstr>MedicatieIV</vt:lpstr>
      <vt:lpstr>Instellen</vt:lpstr>
      <vt:lpstr>Med_disc</vt:lpstr>
      <vt:lpstr>Medicatie</vt:lpstr>
      <vt:lpstr>Infusen</vt:lpstr>
      <vt:lpstr>Intake</vt:lpstr>
      <vt:lpstr>Lab</vt:lpstr>
      <vt:lpstr>TPN2tot6kg</vt:lpstr>
      <vt:lpstr>TPN7tot15kg</vt:lpstr>
      <vt:lpstr>TPN16tot30kg</vt:lpstr>
      <vt:lpstr>TPN31tot50kg</vt:lpstr>
      <vt:lpstr>TPNboven50kg</vt:lpstr>
      <vt:lpstr>GrafGewMeisje</vt:lpstr>
      <vt:lpstr>GrafGewJongen</vt:lpstr>
      <vt:lpstr>_FiO2</vt:lpstr>
      <vt:lpstr>AchterNaam</vt:lpstr>
      <vt:lpstr>Afrond_1</vt:lpstr>
      <vt:lpstr>Afrond_10</vt:lpstr>
      <vt:lpstr>Afrond_11</vt:lpstr>
      <vt:lpstr>Afrond_12</vt:lpstr>
      <vt:lpstr>Afrond_13</vt:lpstr>
      <vt:lpstr>Afrond_14</vt:lpstr>
      <vt:lpstr>Afrond_15</vt:lpstr>
      <vt:lpstr>Afrond_16</vt:lpstr>
      <vt:lpstr>Afrond_17</vt:lpstr>
      <vt:lpstr>Afrond_18</vt:lpstr>
      <vt:lpstr>Afrond_19</vt:lpstr>
      <vt:lpstr>Afrond_2</vt:lpstr>
      <vt:lpstr>Afrond_20</vt:lpstr>
      <vt:lpstr>Afrond_21</vt:lpstr>
      <vt:lpstr>Afrond_22</vt:lpstr>
      <vt:lpstr>Afrond_23</vt:lpstr>
      <vt:lpstr>Afrond_3</vt:lpstr>
      <vt:lpstr>Afrond_4</vt:lpstr>
      <vt:lpstr>Afrond_5</vt:lpstr>
      <vt:lpstr>Afrond_6</vt:lpstr>
      <vt:lpstr>Afrond_7</vt:lpstr>
      <vt:lpstr>Afrond_8</vt:lpstr>
      <vt:lpstr>Afrond_9</vt:lpstr>
      <vt:lpstr>AfspraakDatum</vt:lpstr>
      <vt:lpstr>AfsprakenVersie</vt:lpstr>
      <vt:lpstr>ApparaatCV</vt:lpstr>
      <vt:lpstr>AutoMode</vt:lpstr>
      <vt:lpstr>Beademing</vt:lpstr>
      <vt:lpstr>BedNummer</vt:lpstr>
      <vt:lpstr>CaGluc</vt:lpstr>
      <vt:lpstr>CaGlucVol</vt:lpstr>
      <vt:lpstr>CDP</vt:lpstr>
      <vt:lpstr>Comfort</vt:lpstr>
      <vt:lpstr>Controle_1</vt:lpstr>
      <vt:lpstr>Controle_10</vt:lpstr>
      <vt:lpstr>Controle_2</vt:lpstr>
      <vt:lpstr>Controle_3</vt:lpstr>
      <vt:lpstr>Controle_4</vt:lpstr>
      <vt:lpstr>Controle_5</vt:lpstr>
      <vt:lpstr>Controle_6</vt:lpstr>
      <vt:lpstr>Controle_7</vt:lpstr>
      <vt:lpstr>Controle_8</vt:lpstr>
      <vt:lpstr>Controle_9</vt:lpstr>
      <vt:lpstr>dbPatientSave</vt:lpstr>
      <vt:lpstr>DeltaP</vt:lpstr>
      <vt:lpstr>DiscAlarm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DosHoev_3</vt:lpstr>
      <vt:lpstr>DosHoev_4</vt:lpstr>
      <vt:lpstr>DosHoev_5</vt:lpstr>
      <vt:lpstr>DosHoev_6</vt:lpstr>
      <vt:lpstr>DosHoev_7</vt:lpstr>
      <vt:lpstr>DosHoev_8</vt:lpstr>
      <vt:lpstr>DosHoev_9</vt:lpstr>
      <vt:lpstr>DrukCV</vt:lpstr>
      <vt:lpstr>DrukPLV</vt:lpstr>
      <vt:lpstr>Druppelen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Eenheid_3</vt:lpstr>
      <vt:lpstr>Eenheid_4</vt:lpstr>
      <vt:lpstr>Eenheid_5</vt:lpstr>
      <vt:lpstr>Eenheid_6</vt:lpstr>
      <vt:lpstr>Eenheid_7</vt:lpstr>
      <vt:lpstr>Eenheid_8</vt:lpstr>
      <vt:lpstr>Eenheid_9</vt:lpstr>
      <vt:lpstr>EndInspCycl</vt:lpstr>
      <vt:lpstr>FreqCV</vt:lpstr>
      <vt:lpstr>FreqHFO</vt:lpstr>
      <vt:lpstr>FreqPLV</vt:lpstr>
      <vt:lpstr>FreqPO_1</vt:lpstr>
      <vt:lpstr>FreqPO_2</vt:lpstr>
      <vt:lpstr>FreqPO_3</vt:lpstr>
      <vt:lpstr>FreqPO_4</vt:lpstr>
      <vt:lpstr>GebDatum</vt:lpstr>
      <vt:lpstr>Gewicht</vt:lpstr>
      <vt:lpstr>HoudingsDrainage</vt:lpstr>
      <vt:lpstr>Infuus_1</vt:lpstr>
      <vt:lpstr>Infuus_2</vt:lpstr>
      <vt:lpstr>Infuus_3</vt:lpstr>
      <vt:lpstr>Infuus_4</vt:lpstr>
      <vt:lpstr>Infuus_5</vt:lpstr>
      <vt:lpstr>Infuus_6</vt:lpstr>
      <vt:lpstr>InspFlow</vt:lpstr>
      <vt:lpstr>InstMedIVDos_1</vt:lpstr>
      <vt:lpstr>InstMedIVDos_10</vt:lpstr>
      <vt:lpstr>InstMedIVDos_11</vt:lpstr>
      <vt:lpstr>InstMedIVDos_12</vt:lpstr>
      <vt:lpstr>InstMedIVDos_13</vt:lpstr>
      <vt:lpstr>InstMedIVDos_14</vt:lpstr>
      <vt:lpstr>InstMedIVDos_15</vt:lpstr>
      <vt:lpstr>InstMedIVDos_16</vt:lpstr>
      <vt:lpstr>InstMedIVDos_17</vt:lpstr>
      <vt:lpstr>InstMedIVDos_18</vt:lpstr>
      <vt:lpstr>InstMedIVDos_19</vt:lpstr>
      <vt:lpstr>InstMedIVDos_2</vt:lpstr>
      <vt:lpstr>InstMedIVDos_20</vt:lpstr>
      <vt:lpstr>InstMedIVDos_21</vt:lpstr>
      <vt:lpstr>InstMedIVDos_22</vt:lpstr>
      <vt:lpstr>InstMedIVDos_23</vt:lpstr>
      <vt:lpstr>InstMedIVDos_3</vt:lpstr>
      <vt:lpstr>InstMedIVDos_4</vt:lpstr>
      <vt:lpstr>InstMedIVDos_5</vt:lpstr>
      <vt:lpstr>InstMedIVDos_6</vt:lpstr>
      <vt:lpstr>InstMedIVDos_7</vt:lpstr>
      <vt:lpstr>InstMedIVDos_8</vt:lpstr>
      <vt:lpstr>InstMedIVDos_9</vt:lpstr>
      <vt:lpstr>InstMedIVStand_1</vt:lpstr>
      <vt:lpstr>InstMedIVStand_10</vt:lpstr>
      <vt:lpstr>InstMedIVStand_11</vt:lpstr>
      <vt:lpstr>InstMedIVStand_12</vt:lpstr>
      <vt:lpstr>InstMedIVStand_13</vt:lpstr>
      <vt:lpstr>InstMedIVStand_14</vt:lpstr>
      <vt:lpstr>InstMedIVStand_15</vt:lpstr>
      <vt:lpstr>InstMedIVStand_16</vt:lpstr>
      <vt:lpstr>InstMedIVStand_17</vt:lpstr>
      <vt:lpstr>InstMedIVStand_18</vt:lpstr>
      <vt:lpstr>InstMedIVStand_19</vt:lpstr>
      <vt:lpstr>InstMedIVStand_2</vt:lpstr>
      <vt:lpstr>InstMedIVStand_20</vt:lpstr>
      <vt:lpstr>InstMedIVStand_21</vt:lpstr>
      <vt:lpstr>InstMedIVStand_22</vt:lpstr>
      <vt:lpstr>InstMedIVStand_23</vt:lpstr>
      <vt:lpstr>InstMedIVStand_3</vt:lpstr>
      <vt:lpstr>InstMedIVStand_4</vt:lpstr>
      <vt:lpstr>InstMedIVStand_5</vt:lpstr>
      <vt:lpstr>InstMedIVStand_6</vt:lpstr>
      <vt:lpstr>InstMedIVStand_7</vt:lpstr>
      <vt:lpstr>InstMedIVStand_8</vt:lpstr>
      <vt:lpstr>InstMedIVStand_9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Lab12__1</vt:lpstr>
      <vt:lpstr>Lab12__10</vt:lpstr>
      <vt:lpstr>Lab12__11</vt:lpstr>
      <vt:lpstr>Lab12__12</vt:lpstr>
      <vt:lpstr>Lab12__13</vt:lpstr>
      <vt:lpstr>Lab12__14</vt:lpstr>
      <vt:lpstr>Lab12__15</vt:lpstr>
      <vt:lpstr>Lab12__16</vt:lpstr>
      <vt:lpstr>Lab12__17</vt:lpstr>
      <vt:lpstr>Lab12__18</vt:lpstr>
      <vt:lpstr>Lab12__19</vt:lpstr>
      <vt:lpstr>Lab12__2</vt:lpstr>
      <vt:lpstr>Lab12__20</vt:lpstr>
      <vt:lpstr>Lab12__21</vt:lpstr>
      <vt:lpstr>Lab12__22</vt:lpstr>
      <vt:lpstr>Lab12__23</vt:lpstr>
      <vt:lpstr>Lab12__24</vt:lpstr>
      <vt:lpstr>Lab12__25</vt:lpstr>
      <vt:lpstr>Lab12__26</vt:lpstr>
      <vt:lpstr>Lab12__27</vt:lpstr>
      <vt:lpstr>Lab12__3</vt:lpstr>
      <vt:lpstr>Lab12__4</vt:lpstr>
      <vt:lpstr>Lab12__5</vt:lpstr>
      <vt:lpstr>Lab12__6</vt:lpstr>
      <vt:lpstr>Lab12__7</vt:lpstr>
      <vt:lpstr>Lab12__8</vt:lpstr>
      <vt:lpstr>Lab12__9</vt:lpstr>
      <vt:lpstr>Lab16__1</vt:lpstr>
      <vt:lpstr>Lab16__10</vt:lpstr>
      <vt:lpstr>Lab16__11</vt:lpstr>
      <vt:lpstr>Lab16__12</vt:lpstr>
      <vt:lpstr>Lab16__13</vt:lpstr>
      <vt:lpstr>Lab16__14</vt:lpstr>
      <vt:lpstr>Lab16__15</vt:lpstr>
      <vt:lpstr>Lab16__16</vt:lpstr>
      <vt:lpstr>Lab16__17</vt:lpstr>
      <vt:lpstr>Lab16__18</vt:lpstr>
      <vt:lpstr>Lab16__19</vt:lpstr>
      <vt:lpstr>Lab16__2</vt:lpstr>
      <vt:lpstr>Lab16__20</vt:lpstr>
      <vt:lpstr>Lab16__21</vt:lpstr>
      <vt:lpstr>Lab16__22</vt:lpstr>
      <vt:lpstr>Lab16__23</vt:lpstr>
      <vt:lpstr>Lab16__24</vt:lpstr>
      <vt:lpstr>Lab16__25</vt:lpstr>
      <vt:lpstr>Lab16__26</vt:lpstr>
      <vt:lpstr>Lab16__27</vt:lpstr>
      <vt:lpstr>Lab16__3</vt:lpstr>
      <vt:lpstr>Lab16__4</vt:lpstr>
      <vt:lpstr>Lab16__5</vt:lpstr>
      <vt:lpstr>Lab16__6</vt:lpstr>
      <vt:lpstr>Lab16__7</vt:lpstr>
      <vt:lpstr>Lab16__8</vt:lpstr>
      <vt:lpstr>Lab16__9</vt:lpstr>
      <vt:lpstr>Lab20__1</vt:lpstr>
      <vt:lpstr>Lab20__10</vt:lpstr>
      <vt:lpstr>Lab20__11</vt:lpstr>
      <vt:lpstr>Lab20__12</vt:lpstr>
      <vt:lpstr>Lab20__13</vt:lpstr>
      <vt:lpstr>Lab20__14</vt:lpstr>
      <vt:lpstr>Lab20__15</vt:lpstr>
      <vt:lpstr>Lab20__16</vt:lpstr>
      <vt:lpstr>Lab20__17</vt:lpstr>
      <vt:lpstr>Lab20__18</vt:lpstr>
      <vt:lpstr>Lab20__19</vt:lpstr>
      <vt:lpstr>Lab20__2</vt:lpstr>
      <vt:lpstr>Lab20__20</vt:lpstr>
      <vt:lpstr>Lab20__21</vt:lpstr>
      <vt:lpstr>Lab20__22</vt:lpstr>
      <vt:lpstr>Lab20__23</vt:lpstr>
      <vt:lpstr>Lab20__24</vt:lpstr>
      <vt:lpstr>Lab20__25</vt:lpstr>
      <vt:lpstr>Lab20__26</vt:lpstr>
      <vt:lpstr>Lab20__27</vt:lpstr>
      <vt:lpstr>Lab20__3</vt:lpstr>
      <vt:lpstr>Lab20__4</vt:lpstr>
      <vt:lpstr>Lab20__5</vt:lpstr>
      <vt:lpstr>Lab20__6</vt:lpstr>
      <vt:lpstr>Lab20__7</vt:lpstr>
      <vt:lpstr>Lab20__8</vt:lpstr>
      <vt:lpstr>Lab20__9</vt:lpstr>
      <vt:lpstr>Lab24__1</vt:lpstr>
      <vt:lpstr>Lab24__10</vt:lpstr>
      <vt:lpstr>Lab24__11</vt:lpstr>
      <vt:lpstr>Lab24__12</vt:lpstr>
      <vt:lpstr>Lab24__13</vt:lpstr>
      <vt:lpstr>Lab24__14</vt:lpstr>
      <vt:lpstr>Lab24__15</vt:lpstr>
      <vt:lpstr>Lab24__16</vt:lpstr>
      <vt:lpstr>Lab24__17</vt:lpstr>
      <vt:lpstr>Lab24__18</vt:lpstr>
      <vt:lpstr>Lab24__19</vt:lpstr>
      <vt:lpstr>Lab24__2</vt:lpstr>
      <vt:lpstr>Lab24__20</vt:lpstr>
      <vt:lpstr>Lab24__21</vt:lpstr>
      <vt:lpstr>Lab24__22</vt:lpstr>
      <vt:lpstr>Lab24__23</vt:lpstr>
      <vt:lpstr>Lab24__24</vt:lpstr>
      <vt:lpstr>Lab24__25</vt:lpstr>
      <vt:lpstr>Lab24__26</vt:lpstr>
      <vt:lpstr>Lab24__27</vt:lpstr>
      <vt:lpstr>Lab24__3</vt:lpstr>
      <vt:lpstr>Lab24__4</vt:lpstr>
      <vt:lpstr>Lab24__5</vt:lpstr>
      <vt:lpstr>Lab24__6</vt:lpstr>
      <vt:lpstr>Lab24__7</vt:lpstr>
      <vt:lpstr>Lab24__8</vt:lpstr>
      <vt:lpstr>Lab24__9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LabDag1_3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LabDag2_3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LabDag3_3</vt:lpstr>
      <vt:lpstr>LabDag3_4</vt:lpstr>
      <vt:lpstr>LabDag3_5</vt:lpstr>
      <vt:lpstr>LabDag3_6</vt:lpstr>
      <vt:lpstr>LabDag3_7</vt:lpstr>
      <vt:lpstr>LabDag3_8</vt:lpstr>
      <vt:lpstr>LabDag3_9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LabOpn_3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MedInloop_3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MedIVMlOpl_11</vt:lpstr>
      <vt:lpstr>MedIVMlOpl_12</vt:lpstr>
      <vt:lpstr>MedIVMlOpl_13</vt:lpstr>
      <vt:lpstr>MedIVMlOpl_14</vt:lpstr>
      <vt:lpstr>MedIVMlOpl_15</vt:lpstr>
      <vt:lpstr>MedIVMlOpl_16</vt:lpstr>
      <vt:lpstr>MedIVMlSpuit_1</vt:lpstr>
      <vt:lpstr>MedIVMlSpuit_10</vt:lpstr>
      <vt:lpstr>MedIVMlSpuit_11</vt:lpstr>
      <vt:lpstr>MedIVMlSpuit_12</vt:lpstr>
      <vt:lpstr>MedIVMlSpuit_13</vt:lpstr>
      <vt:lpstr>MedIVMlSpuit_14</vt:lpstr>
      <vt:lpstr>MedIVMlSpuit_15</vt:lpstr>
      <vt:lpstr>MedIVMlSpuit_16</vt:lpstr>
      <vt:lpstr>MedIVMlSpuit_17</vt:lpstr>
      <vt:lpstr>MedIVMlSpuit_18</vt:lpstr>
      <vt:lpstr>MedIVMlSpuit_19</vt:lpstr>
      <vt:lpstr>MedIVMlSpuit_2</vt:lpstr>
      <vt:lpstr>MedIVMlSpuit_20</vt:lpstr>
      <vt:lpstr>MedIVMlSpuit_21</vt:lpstr>
      <vt:lpstr>MedIVMlSpuit_22</vt:lpstr>
      <vt:lpstr>MedIVMlSpuit_23</vt:lpstr>
      <vt:lpstr>MedIVMlSpuit_3</vt:lpstr>
      <vt:lpstr>MedIVMlSpuit_4</vt:lpstr>
      <vt:lpstr>MedIVMlSpuit_5</vt:lpstr>
      <vt:lpstr>MedIVMlSpuit_6</vt:lpstr>
      <vt:lpstr>MedIVMlSpuit_7</vt:lpstr>
      <vt:lpstr>MedIVMlSpuit_8</vt:lpstr>
      <vt:lpstr>MedIVMlSpuit_9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MedIVSterkte_11</vt:lpstr>
      <vt:lpstr>MedIVSterkte_12</vt:lpstr>
      <vt:lpstr>MedIVSterkte_13</vt:lpstr>
      <vt:lpstr>MedIVSterkte_14</vt:lpstr>
      <vt:lpstr>MedIVSterkte_15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MedKeuze_3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MedOpl_3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MedOplVol_3</vt:lpstr>
      <vt:lpstr>MedOplVol_4</vt:lpstr>
      <vt:lpstr>MedOplVol_5</vt:lpstr>
      <vt:lpstr>MedOplVol_6</vt:lpstr>
      <vt:lpstr>MedOplVol_7</vt:lpstr>
      <vt:lpstr>MedOplVol_8</vt:lpstr>
      <vt:lpstr>MedOplVol_9</vt:lpstr>
      <vt:lpstr>MedStart_1</vt:lpstr>
      <vt:lpstr>MedStart_10</vt:lpstr>
      <vt:lpstr>MedStart_11</vt:lpstr>
      <vt:lpstr>MedStart_12</vt:lpstr>
      <vt:lpstr>MedStart_13</vt:lpstr>
      <vt:lpstr>MedStart_14</vt:lpstr>
      <vt:lpstr>MedStart_15</vt:lpstr>
      <vt:lpstr>MedStart_16</vt:lpstr>
      <vt:lpstr>MedStart_17</vt:lpstr>
      <vt:lpstr>MedStart_18</vt:lpstr>
      <vt:lpstr>MedStart_19</vt:lpstr>
      <vt:lpstr>MedStart_2</vt:lpstr>
      <vt:lpstr>MedStart_20</vt:lpstr>
      <vt:lpstr>MedStart_3</vt:lpstr>
      <vt:lpstr>MedStart_4</vt:lpstr>
      <vt:lpstr>MedStart_5</vt:lpstr>
      <vt:lpstr>MedStart_6</vt:lpstr>
      <vt:lpstr>MedStart_7</vt:lpstr>
      <vt:lpstr>MedStart_8</vt:lpstr>
      <vt:lpstr>MedStart_9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MedTijden_3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MedToed_3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ModeCV</vt:lpstr>
      <vt:lpstr>NaCl</vt:lpstr>
      <vt:lpstr>NaCl_2</vt:lpstr>
      <vt:lpstr>NaClVol</vt:lpstr>
      <vt:lpstr>NaClVol_2</vt:lpstr>
      <vt:lpstr>O2_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opmMedDisc__3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Overige_1</vt:lpstr>
      <vt:lpstr>Overige_2</vt:lpstr>
      <vt:lpstr>Overige_3</vt:lpstr>
      <vt:lpstr>Overige_4</vt:lpstr>
      <vt:lpstr>Overige_5</vt:lpstr>
      <vt:lpstr>Overige_6</vt:lpstr>
      <vt:lpstr>PatNummer</vt:lpstr>
      <vt:lpstr>patRec</vt:lpstr>
      <vt:lpstr>Peditrace</vt:lpstr>
      <vt:lpstr>Peep</vt:lpstr>
      <vt:lpstr>PM</vt:lpstr>
      <vt:lpstr>PM_AO</vt:lpstr>
      <vt:lpstr>PM_AS</vt:lpstr>
      <vt:lpstr>PM_AV</vt:lpstr>
      <vt:lpstr>PM_Freq</vt:lpstr>
      <vt:lpstr>PM_Mod</vt:lpstr>
      <vt:lpstr>PM_VO</vt:lpstr>
      <vt:lpstr>PM_VS</vt:lpstr>
      <vt:lpstr>PresCon</vt:lpstr>
      <vt:lpstr>PresSup</vt:lpstr>
      <vt:lpstr>AcuteOpvang!Print_Area</vt:lpstr>
      <vt:lpstr>AfsprakenCMV!Print_Area</vt:lpstr>
      <vt:lpstr>AfsprakenHFO!Print_Area</vt:lpstr>
      <vt:lpstr>AfsprakenPLV!Print_Area</vt:lpstr>
      <vt:lpstr>Medicatie!Print_Area</vt:lpstr>
      <vt:lpstr>TPN16tot30kg!Print_Area</vt:lpstr>
      <vt:lpstr>TPN2tot6kg!Print_Area</vt:lpstr>
      <vt:lpstr>TPN31tot50kg!Print_Area</vt:lpstr>
      <vt:lpstr>TPN7tot15kg!Print_Area</vt:lpstr>
      <vt:lpstr>TPNboven50kg!Print_Area</vt:lpstr>
      <vt:lpstr>RecNo_0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RecNo_3</vt:lpstr>
      <vt:lpstr>RecNo_4</vt:lpstr>
      <vt:lpstr>RecNo_5</vt:lpstr>
      <vt:lpstr>RecNo_6</vt:lpstr>
      <vt:lpstr>RecNo_7</vt:lpstr>
      <vt:lpstr>RecNo_8</vt:lpstr>
      <vt:lpstr>RecNo_9</vt:lpstr>
      <vt:lpstr>reservePat</vt:lpstr>
      <vt:lpstr>Risetime</vt:lpstr>
      <vt:lpstr>Soluvit</vt:lpstr>
      <vt:lpstr>SoluvitVol</vt:lpstr>
      <vt:lpstr>Sonde</vt:lpstr>
      <vt:lpstr>SpecVoed_1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StandDos_3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StartDatum_3</vt:lpstr>
      <vt:lpstr>StartDatum_4</vt:lpstr>
      <vt:lpstr>StartDatum_5</vt:lpstr>
      <vt:lpstr>StartDatum_6</vt:lpstr>
      <vt:lpstr>StartDatum_7</vt:lpstr>
      <vt:lpstr>StartDatum_8</vt:lpstr>
      <vt:lpstr>StartDatum_9</vt:lpstr>
      <vt:lpstr>tblAanvAfspr</vt:lpstr>
      <vt:lpstr>tblApparaat</vt:lpstr>
      <vt:lpstr>tblBerPO</vt:lpstr>
      <vt:lpstr>tblBerPoeder</vt:lpstr>
      <vt:lpstr>tblDoseringen</vt:lpstr>
      <vt:lpstr>tblDruppelen</vt:lpstr>
      <vt:lpstr>tblHFO</vt:lpstr>
      <vt:lpstr>tblInfusen</vt:lpstr>
      <vt:lpstr>tblInstellen</vt:lpstr>
      <vt:lpstr>tblMedicatieIV</vt:lpstr>
      <vt:lpstr>tblMode</vt:lpstr>
      <vt:lpstr>tblOplossing</vt:lpstr>
      <vt:lpstr>tblPLV</vt:lpstr>
      <vt:lpstr>tblSonde</vt:lpstr>
      <vt:lpstr>tblSSTGlucose</vt:lpstr>
      <vt:lpstr>tblTijden</vt:lpstr>
      <vt:lpstr>tblToegang</vt:lpstr>
      <vt:lpstr>tblTPN</vt:lpstr>
      <vt:lpstr>tblVoedingPO</vt:lpstr>
      <vt:lpstr>tblZuurstof</vt:lpstr>
      <vt:lpstr>TePLV</vt:lpstr>
      <vt:lpstr>TiCV</vt:lpstr>
      <vt:lpstr>TidalVolCV</vt:lpstr>
      <vt:lpstr>TidalVolPLV</vt:lpstr>
      <vt:lpstr>TiHFO</vt:lpstr>
      <vt:lpstr>TiPLV</vt:lpstr>
      <vt:lpstr>Toegang</vt:lpstr>
      <vt:lpstr>Tp</vt:lpstr>
      <vt:lpstr>TPN</vt:lpstr>
      <vt:lpstr>TPNVol</vt:lpstr>
      <vt:lpstr>Trigger</vt:lpstr>
      <vt:lpstr>TrigTimeOut</vt:lpstr>
      <vt:lpstr>TubeLengte</vt:lpstr>
      <vt:lpstr>TubeMaat</vt:lpstr>
      <vt:lpstr>VitIntra</vt:lpstr>
      <vt:lpstr>VitIntraVol</vt:lpstr>
      <vt:lpstr>VolPO_1</vt:lpstr>
      <vt:lpstr>VolPO_2</vt:lpstr>
      <vt:lpstr>VolPO_3</vt:lpstr>
      <vt:lpstr>VolPO_4</vt:lpstr>
      <vt:lpstr>VoorNaam</vt:lpstr>
      <vt:lpstr>WisselLigging</vt:lpstr>
      <vt:lpstr>Zuurstof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2013-03-30T09:24:32Z</cp:lastPrinted>
  <dcterms:created xsi:type="dcterms:W3CDTF">2000-03-04T00:29:05Z</dcterms:created>
  <dcterms:modified xsi:type="dcterms:W3CDTF">2015-07-06T07:39:48Z</dcterms:modified>
</cp:coreProperties>
</file>