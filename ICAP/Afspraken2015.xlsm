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drawings/drawing5.xml" ContentType="application/vnd.openxmlformats-officedocument.drawing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6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drawings/drawing7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8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xWindow="1847" yWindow="-15" windowWidth="9718" windowHeight="7321" tabRatio="819" firstSheet="9" activeTab="9"/>
  </bookViews>
  <sheets>
    <sheet name="HEIGHTNL.CRF" sheetId="62" r:id="rId1"/>
    <sheet name="WEIGHTNL.CRF" sheetId="61" r:id="rId2"/>
    <sheet name="AcuteOpvang" sheetId="32" r:id="rId3"/>
    <sheet name="ber_Opm" sheetId="35" r:id="rId4"/>
    <sheet name="AfsprakenCMV" sheetId="15" r:id="rId5"/>
    <sheet name="dbBead" sheetId="14" r:id="rId6"/>
    <sheet name="Temp" sheetId="39" r:id="rId7"/>
    <sheet name="Patienten" sheetId="33" r:id="rId8"/>
    <sheet name="AfsprakenTekst" sheetId="70" r:id="rId9"/>
    <sheet name="MedicatieIV" sheetId="2" r:id="rId10"/>
    <sheet name="tblMedicatieIV" sheetId="71" r:id="rId11"/>
    <sheet name="ber_IVmed" sheetId="7" r:id="rId12"/>
    <sheet name="Instellen" sheetId="6" r:id="rId13"/>
    <sheet name="Med_disc" sheetId="25" r:id="rId14"/>
    <sheet name="ber_Med_disc" sheetId="34" r:id="rId15"/>
    <sheet name="ber_tijden" sheetId="26" r:id="rId16"/>
    <sheet name="Medicatie" sheetId="28" r:id="rId17"/>
    <sheet name="Infusen" sheetId="16" r:id="rId18"/>
    <sheet name="ber_Infusen" sheetId="17" r:id="rId19"/>
    <sheet name="ber_normaal" sheetId="31" r:id="rId20"/>
    <sheet name="Intake" sheetId="9" r:id="rId21"/>
    <sheet name="ber_TPN" sheetId="11" r:id="rId22"/>
    <sheet name="Ber_Lab" sheetId="69" r:id="rId23"/>
    <sheet name="Lab" sheetId="18" r:id="rId24"/>
    <sheet name="ber_totalen" sheetId="10" r:id="rId25"/>
    <sheet name="ber_bead" sheetId="3" r:id="rId26"/>
    <sheet name="conversie" sheetId="13" r:id="rId27"/>
    <sheet name="ber_PO" sheetId="12" r:id="rId28"/>
    <sheet name="TPN2tot6kg" sheetId="46" r:id="rId29"/>
    <sheet name="TPN7tot15kg" sheetId="54" r:id="rId30"/>
    <sheet name="TPN16tot30kg" sheetId="55" r:id="rId31"/>
    <sheet name="TPN31tot50kg" sheetId="56" r:id="rId32"/>
    <sheet name="TPNboven50kg" sheetId="60" r:id="rId33"/>
  </sheets>
  <functionGroups builtInGroupCount="18"/>
  <definedNames>
    <definedName name="_xlnm._FilterDatabase" localSheetId="7" hidden="1">Patienten!$A$1:$Q$750</definedName>
    <definedName name="_xlnm._FilterDatabase" localSheetId="6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DrukCV">dbBead!$AD$2</definedName>
    <definedName name="DrukPLV">dbBead!$AL$2</definedName>
    <definedName name="Druppelen">dbBead!$L$2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2">AcuteOpvang!$B$2:$G$44</definedName>
    <definedName name="_xlnm.Print_Area" localSheetId="4">AfsprakenCMV!$A$2:$J$134</definedName>
    <definedName name="_xlnm.Print_Area" localSheetId="16">Medicatie!$B$1:$AG$22</definedName>
    <definedName name="_xlnm.Print_Area" localSheetId="30">TPN16tot30kg!$A$1:$H$48</definedName>
    <definedName name="_xlnm.Print_Area" localSheetId="28">TPN2tot6kg!$A$1:$H$48</definedName>
    <definedName name="_xlnm.Print_Area" localSheetId="31">TPN31tot50kg!$A$1:$H$49</definedName>
    <definedName name="_xlnm.Print_Area" localSheetId="29">TPN7tot15kg!$A$1:$H$50</definedName>
    <definedName name="_xlnm.Print_Area" localSheetId="32">TPNboven50kg!$A$1:$H$52</definedName>
    <definedName name="RecNo_0">ber_Med_disc!$E$25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dicationContIV">tblMedicatieIV!$A$3:$A$32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P29" i="71" l="1"/>
  <c r="O31" i="71"/>
  <c r="P31" i="71"/>
  <c r="R31" i="71" s="1"/>
  <c r="P4" i="71"/>
  <c r="R4" i="71" s="1"/>
  <c r="O4" i="71"/>
  <c r="K5" i="71"/>
  <c r="O5" i="71" s="1"/>
  <c r="L5" i="71"/>
  <c r="P5" i="71" s="1"/>
  <c r="K6" i="71"/>
  <c r="O6" i="71" s="1"/>
  <c r="L6" i="71"/>
  <c r="P6" i="71" s="1"/>
  <c r="R6" i="71" s="1"/>
  <c r="K7" i="71"/>
  <c r="O7" i="71" s="1"/>
  <c r="L7" i="71"/>
  <c r="P7" i="71" s="1"/>
  <c r="K8" i="71"/>
  <c r="O8" i="71" s="1"/>
  <c r="L8" i="71"/>
  <c r="P8" i="71" s="1"/>
  <c r="K9" i="71"/>
  <c r="O9" i="71" s="1"/>
  <c r="L9" i="71"/>
  <c r="P9" i="71" s="1"/>
  <c r="R9" i="71" s="1"/>
  <c r="K10" i="71"/>
  <c r="O10" i="71" s="1"/>
  <c r="L10" i="71"/>
  <c r="P10" i="71" s="1"/>
  <c r="K11" i="71"/>
  <c r="O11" i="71" s="1"/>
  <c r="L11" i="71"/>
  <c r="P11" i="71" s="1"/>
  <c r="K12" i="71"/>
  <c r="O12" i="71" s="1"/>
  <c r="L12" i="71"/>
  <c r="P12" i="71" s="1"/>
  <c r="K13" i="71"/>
  <c r="O13" i="71" s="1"/>
  <c r="L13" i="71"/>
  <c r="P13" i="71" s="1"/>
  <c r="R13" i="71" s="1"/>
  <c r="K14" i="71"/>
  <c r="O14" i="71" s="1"/>
  <c r="L14" i="71"/>
  <c r="P14" i="71" s="1"/>
  <c r="K15" i="71"/>
  <c r="O15" i="71" s="1"/>
  <c r="L15" i="71"/>
  <c r="P15" i="71" s="1"/>
  <c r="R15" i="71" s="1"/>
  <c r="K16" i="71"/>
  <c r="O16" i="71" s="1"/>
  <c r="L16" i="71"/>
  <c r="P16" i="71" s="1"/>
  <c r="K17" i="71"/>
  <c r="O17" i="71" s="1"/>
  <c r="L17" i="71"/>
  <c r="P17" i="71" s="1"/>
  <c r="R17" i="71" s="1"/>
  <c r="K18" i="71"/>
  <c r="O18" i="71" s="1"/>
  <c r="L18" i="71"/>
  <c r="P18" i="71" s="1"/>
  <c r="K19" i="71"/>
  <c r="O19" i="71" s="1"/>
  <c r="L19" i="71"/>
  <c r="P19" i="71" s="1"/>
  <c r="R19" i="71" s="1"/>
  <c r="K20" i="71"/>
  <c r="O20" i="71" s="1"/>
  <c r="L20" i="71"/>
  <c r="P20" i="71" s="1"/>
  <c r="K21" i="71"/>
  <c r="O21" i="71" s="1"/>
  <c r="L21" i="71"/>
  <c r="P21" i="71" s="1"/>
  <c r="K22" i="71"/>
  <c r="O22" i="71" s="1"/>
  <c r="L22" i="71"/>
  <c r="P22" i="71" s="1"/>
  <c r="K23" i="71"/>
  <c r="O23" i="71" s="1"/>
  <c r="L23" i="71"/>
  <c r="P23" i="71" s="1"/>
  <c r="R23" i="71" s="1"/>
  <c r="K24" i="71"/>
  <c r="O24" i="71" s="1"/>
  <c r="L24" i="71"/>
  <c r="P24" i="71" s="1"/>
  <c r="K25" i="71"/>
  <c r="O25" i="71" s="1"/>
  <c r="L25" i="71"/>
  <c r="P25" i="71" s="1"/>
  <c r="K26" i="71"/>
  <c r="O26" i="71" s="1"/>
  <c r="L26" i="71"/>
  <c r="P26" i="71" s="1"/>
  <c r="K27" i="71"/>
  <c r="O27" i="71" s="1"/>
  <c r="L27" i="71"/>
  <c r="P27" i="71" s="1"/>
  <c r="R27" i="71" s="1"/>
  <c r="K28" i="71"/>
  <c r="O28" i="71" s="1"/>
  <c r="L28" i="71"/>
  <c r="P28" i="71" s="1"/>
  <c r="K29" i="71"/>
  <c r="O29" i="71" s="1"/>
  <c r="L29" i="71"/>
  <c r="K30" i="71"/>
  <c r="O30" i="71" s="1"/>
  <c r="L30" i="71"/>
  <c r="P30" i="71" s="1"/>
  <c r="K31" i="71"/>
  <c r="L31" i="71"/>
  <c r="K32" i="71"/>
  <c r="O32" i="71" s="1"/>
  <c r="L32" i="71"/>
  <c r="P32" i="71" s="1"/>
  <c r="L4" i="71"/>
  <c r="K4" i="71"/>
  <c r="B2" i="14"/>
  <c r="R7" i="71" l="1"/>
  <c r="R32" i="71"/>
  <c r="R30" i="71"/>
  <c r="R26" i="71"/>
  <c r="R22" i="71"/>
  <c r="R18" i="71"/>
  <c r="R16" i="71"/>
  <c r="R14" i="71"/>
  <c r="R10" i="71"/>
  <c r="R8" i="71"/>
  <c r="R29" i="71"/>
  <c r="R5" i="71"/>
  <c r="R28" i="71"/>
  <c r="C3" i="7"/>
  <c r="V3" i="34" l="1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K20" i="7"/>
  <c r="C20" i="7" s="1"/>
  <c r="G20" i="7" s="1"/>
  <c r="C4" i="70"/>
  <c r="D29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C7" i="7"/>
  <c r="G7" i="7" s="1"/>
  <c r="C12" i="7"/>
  <c r="G12" i="7" s="1"/>
  <c r="G19" i="7"/>
  <c r="C11" i="2"/>
  <c r="G3" i="7"/>
  <c r="C12" i="2"/>
  <c r="C62" i="15" s="1"/>
  <c r="C6" i="7"/>
  <c r="G6" i="7" s="1"/>
  <c r="C13" i="2"/>
  <c r="C14" i="2"/>
  <c r="C8" i="7"/>
  <c r="C8" i="6" s="1"/>
  <c r="C15" i="2"/>
  <c r="C16" i="2"/>
  <c r="H16" i="2" s="1"/>
  <c r="G23" i="7"/>
  <c r="C17" i="2"/>
  <c r="C8" i="2"/>
  <c r="H3" i="34"/>
  <c r="J3" i="34"/>
  <c r="H4" i="34"/>
  <c r="J4" i="34"/>
  <c r="H5" i="34"/>
  <c r="J5" i="34"/>
  <c r="H6" i="34"/>
  <c r="I14" i="25" s="1"/>
  <c r="J6" i="34"/>
  <c r="H7" i="34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8" i="15"/>
  <c r="F9" i="15"/>
  <c r="E6" i="15"/>
  <c r="D11" i="11"/>
  <c r="F11" i="11"/>
  <c r="M11" i="11" s="1"/>
  <c r="E23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4" i="7"/>
  <c r="G35" i="7"/>
  <c r="G37" i="7"/>
  <c r="G38" i="7"/>
  <c r="G39" i="7"/>
  <c r="G40" i="7"/>
  <c r="G41" i="7"/>
  <c r="G42" i="7"/>
  <c r="G43" i="7"/>
  <c r="G44" i="7"/>
  <c r="G45" i="7"/>
  <c r="H31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97" i="15" s="1"/>
  <c r="D97" i="15" s="1"/>
  <c r="L97" i="15" s="1"/>
  <c r="E26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F10" i="2"/>
  <c r="F11" i="2"/>
  <c r="D12" i="2"/>
  <c r="F12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C33" i="18"/>
  <c r="N23" i="12"/>
  <c r="O2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78" i="15"/>
  <c r="C15" i="7"/>
  <c r="C14" i="7"/>
  <c r="C14" i="6" s="1"/>
  <c r="C25" i="7"/>
  <c r="G25" i="7" s="1"/>
  <c r="C10" i="7"/>
  <c r="G10" i="7" s="1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I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D13" i="2" l="1"/>
  <c r="I10" i="25"/>
  <c r="AA13" i="2"/>
  <c r="AB13" i="2" s="1"/>
  <c r="D11" i="2"/>
  <c r="H30" i="12"/>
  <c r="H9" i="9"/>
  <c r="C27" i="15"/>
  <c r="C46" i="70" s="1"/>
  <c r="D10" i="2"/>
  <c r="I8" i="25"/>
  <c r="K19" i="25"/>
  <c r="K25" i="25"/>
  <c r="AA17" i="2"/>
  <c r="AB17" i="2" s="1"/>
  <c r="I14" i="2"/>
  <c r="J64" i="15" s="1"/>
  <c r="H14" i="2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G23" i="2"/>
  <c r="G72" i="15" s="1"/>
  <c r="D8" i="2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H29" i="12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I28" i="12"/>
  <c r="G17" i="7"/>
  <c r="AA10" i="2" s="1"/>
  <c r="AB10" i="2" s="1"/>
  <c r="G29" i="1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51" i="15"/>
  <c r="L48" i="15"/>
  <c r="L46" i="15"/>
  <c r="G26" i="56"/>
  <c r="G26" i="54"/>
  <c r="D31" i="32"/>
  <c r="J25" i="12"/>
  <c r="J31" i="12"/>
  <c r="H22" i="12"/>
  <c r="H27" i="12"/>
  <c r="H26" i="12"/>
  <c r="H24" i="12"/>
  <c r="H31" i="12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AC11" i="34"/>
  <c r="C31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G14" i="7"/>
  <c r="E23" i="2"/>
  <c r="G21" i="2"/>
  <c r="E20" i="2"/>
  <c r="G20" i="2"/>
  <c r="D18" i="15"/>
  <c r="C68" i="70" s="1"/>
  <c r="D16" i="15"/>
  <c r="C66" i="70" s="1"/>
  <c r="G23" i="9"/>
  <c r="J11" i="11"/>
  <c r="J27" i="12"/>
  <c r="I26" i="12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G11" i="7"/>
  <c r="N4" i="11"/>
  <c r="J4" i="11"/>
  <c r="C1" i="70"/>
  <c r="J24" i="12"/>
  <c r="J22" i="12"/>
  <c r="J28" i="12"/>
  <c r="C21" i="6"/>
  <c r="C20" i="6"/>
  <c r="K9" i="11"/>
  <c r="G32" i="54"/>
  <c r="G32" i="55"/>
  <c r="G31" i="46"/>
  <c r="G32" i="56"/>
  <c r="C6" i="6"/>
  <c r="C7" i="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C9" i="6"/>
  <c r="C4" i="6"/>
  <c r="K10" i="34"/>
  <c r="K4" i="34"/>
  <c r="M4" i="34" s="1"/>
  <c r="G29" i="60"/>
  <c r="G16" i="11"/>
  <c r="C10" i="6"/>
  <c r="G8" i="7"/>
  <c r="AA9" i="2" s="1"/>
  <c r="AB9" i="2" s="1"/>
  <c r="C5" i="6"/>
  <c r="C19" i="6"/>
  <c r="I9" i="2"/>
  <c r="J59" i="15" s="1"/>
  <c r="C18" i="6"/>
  <c r="E10" i="2"/>
  <c r="I10" i="2"/>
  <c r="J60" i="15" s="1"/>
  <c r="G10" i="2"/>
  <c r="C59" i="15"/>
  <c r="L59" i="15" s="1"/>
  <c r="C60" i="15"/>
  <c r="F33" i="7"/>
  <c r="G16" i="7"/>
  <c r="C63" i="15"/>
  <c r="I8" i="2"/>
  <c r="J58" i="15" s="1"/>
  <c r="F36" i="7"/>
  <c r="G36" i="7" s="1"/>
  <c r="E8" i="2"/>
  <c r="G62" i="15"/>
  <c r="E62" i="15"/>
  <c r="G8" i="2"/>
  <c r="G15" i="2"/>
  <c r="I12" i="2"/>
  <c r="E12" i="2"/>
  <c r="E9" i="2"/>
  <c r="F32" i="7"/>
  <c r="G32" i="7" s="1"/>
  <c r="H12" i="2"/>
  <c r="C58" i="15"/>
  <c r="I13" i="2"/>
  <c r="E13" i="2"/>
  <c r="G12" i="2"/>
  <c r="F31" i="7"/>
  <c r="G13" i="2"/>
  <c r="G9" i="2"/>
  <c r="C67" i="15"/>
  <c r="L46" i="7"/>
  <c r="B12" i="10" s="1"/>
  <c r="C10" i="70"/>
  <c r="G13" i="7"/>
  <c r="C61" i="15"/>
  <c r="F34" i="7"/>
  <c r="I34" i="7" s="1"/>
  <c r="G16" i="2"/>
  <c r="I11" i="2"/>
  <c r="E11" i="2"/>
  <c r="C12" i="6"/>
  <c r="L62" i="15"/>
  <c r="G11" i="2"/>
  <c r="G17" i="2"/>
  <c r="E16" i="2"/>
  <c r="I15" i="2"/>
  <c r="E15" i="2"/>
  <c r="G14" i="2"/>
  <c r="F39" i="7"/>
  <c r="AA15" i="2"/>
  <c r="C66" i="15"/>
  <c r="C65" i="15"/>
  <c r="F38" i="7"/>
  <c r="H15" i="2"/>
  <c r="I17" i="2"/>
  <c r="E17" i="2"/>
  <c r="I16" i="2"/>
  <c r="F40" i="7"/>
  <c r="AA16" i="2"/>
  <c r="H4" i="2"/>
  <c r="G4" i="9"/>
  <c r="J4" i="25"/>
  <c r="K2" i="25"/>
  <c r="F4" i="16"/>
  <c r="D2" i="2"/>
  <c r="C2" i="16"/>
  <c r="D2" i="9"/>
  <c r="A18" i="31"/>
  <c r="E31" i="9" s="1"/>
  <c r="E25" i="2" s="1"/>
  <c r="H2" i="9"/>
  <c r="D5" i="32"/>
  <c r="I2" i="2"/>
  <c r="E2" i="25"/>
  <c r="G2" i="16"/>
  <c r="D3" i="15"/>
  <c r="J70" i="15"/>
  <c r="Q23" i="34"/>
  <c r="B20" i="10" s="1"/>
  <c r="C20" i="10" s="1"/>
  <c r="F41" i="7"/>
  <c r="I19" i="2" s="1"/>
  <c r="C68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G21" i="28"/>
  <c r="O42" i="25"/>
  <c r="M42" i="25"/>
  <c r="D14" i="15"/>
  <c r="C64" i="70" s="1"/>
  <c r="D15" i="15"/>
  <c r="C65" i="70" s="1"/>
  <c r="F45" i="7"/>
  <c r="I23" i="2" s="1"/>
  <c r="C72" i="15"/>
  <c r="D15" i="28"/>
  <c r="L30" i="25"/>
  <c r="M31" i="25"/>
  <c r="M6" i="25"/>
  <c r="O6" i="25"/>
  <c r="J69" i="1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5" i="7"/>
  <c r="C15" i="6"/>
  <c r="G19" i="2"/>
  <c r="D17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64" i="15"/>
  <c r="E14" i="2"/>
  <c r="F44" i="7"/>
  <c r="I22" i="2" s="1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I27" i="12"/>
  <c r="I31" i="12"/>
  <c r="I22" i="12"/>
  <c r="E7" i="28"/>
  <c r="F7" i="28"/>
  <c r="L18" i="25"/>
  <c r="D9" i="28"/>
  <c r="AA12" i="2"/>
  <c r="F35" i="7"/>
  <c r="F3" i="28"/>
  <c r="E3" i="28"/>
  <c r="AC21" i="34"/>
  <c r="C41" i="70" s="1"/>
  <c r="F20" i="11"/>
  <c r="I20" i="11" s="1"/>
  <c r="AC13" i="2" l="1"/>
  <c r="H13" i="2" s="1"/>
  <c r="G63" i="15" s="1"/>
  <c r="L168" i="15"/>
  <c r="I33" i="7"/>
  <c r="G33" i="7"/>
  <c r="I31" i="7"/>
  <c r="G31" i="7"/>
  <c r="AA11" i="2"/>
  <c r="AB11" i="2" s="1"/>
  <c r="AC11" i="2" s="1"/>
  <c r="H11" i="2" s="1"/>
  <c r="AC10" i="2"/>
  <c r="H10" i="2" s="1"/>
  <c r="G60" i="15" s="1"/>
  <c r="AC17" i="2"/>
  <c r="H17" i="2" s="1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I32" i="7"/>
  <c r="H32" i="7"/>
  <c r="H46" i="7" s="1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K30" i="12"/>
  <c r="B31" i="10" s="1"/>
  <c r="C31" i="10" s="1"/>
  <c r="C30" i="10" s="1"/>
  <c r="I35" i="9" s="1"/>
  <c r="AE4" i="34"/>
  <c r="AD4" i="34" s="1"/>
  <c r="AC4" i="34" s="1"/>
  <c r="C24" i="70" s="1"/>
  <c r="K24" i="12"/>
  <c r="B10" i="10" s="1"/>
  <c r="B9" i="10" s="1"/>
  <c r="C9" i="10" s="1"/>
  <c r="I31" i="9" s="1"/>
  <c r="H25" i="2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M5" i="34"/>
  <c r="AE3" i="34"/>
  <c r="AD3" i="34" s="1"/>
  <c r="AC3" i="34" s="1"/>
  <c r="C23" i="70" s="1"/>
  <c r="M19" i="34"/>
  <c r="M17" i="34"/>
  <c r="M15" i="34"/>
  <c r="K25" i="12"/>
  <c r="B6" i="10" s="1"/>
  <c r="I7" i="15"/>
  <c r="F89" i="15"/>
  <c r="D89" i="15" s="1"/>
  <c r="L89" i="15" s="1"/>
  <c r="I9" i="15"/>
  <c r="K26" i="12"/>
  <c r="B14" i="10" s="1"/>
  <c r="C14" i="10" s="1"/>
  <c r="I8" i="15"/>
  <c r="K28" i="12"/>
  <c r="B24" i="10" s="1"/>
  <c r="C24" i="10" s="1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K27" i="12"/>
  <c r="B18" i="10" s="1"/>
  <c r="C18" i="10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J63" i="15"/>
  <c r="L67" i="15"/>
  <c r="E67" i="15"/>
  <c r="G61" i="15"/>
  <c r="L61" i="15"/>
  <c r="E61" i="15"/>
  <c r="J67" i="15"/>
  <c r="G65" i="15"/>
  <c r="C13" i="70"/>
  <c r="E65" i="15"/>
  <c r="L65" i="15"/>
  <c r="AB16" i="2"/>
  <c r="AC16" i="2" s="1"/>
  <c r="AB15" i="2"/>
  <c r="AC15" i="2" s="1"/>
  <c r="L66" i="15"/>
  <c r="E66" i="15"/>
  <c r="C14" i="70"/>
  <c r="G66" i="15"/>
  <c r="F46" i="7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J72" i="15"/>
  <c r="J68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C16" i="70"/>
  <c r="AB12" i="2"/>
  <c r="AC12" i="2" s="1"/>
  <c r="J71" i="15"/>
  <c r="AB14" i="2"/>
  <c r="AC14" i="2" s="1"/>
  <c r="K22" i="12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G64" i="15"/>
  <c r="C12" i="70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G46" i="7" l="1"/>
  <c r="B7" i="10" s="1"/>
  <c r="D7" i="10" s="1"/>
  <c r="D5" i="10" s="1"/>
  <c r="E5" i="10" s="1"/>
  <c r="J46" i="7"/>
  <c r="B21" i="10" s="1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3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5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4" i="9" s="1"/>
  <c r="D28" i="2" s="1"/>
  <c r="H104" i="15"/>
  <c r="C76" i="70" s="1"/>
  <c r="F84" i="15"/>
  <c r="D84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78" i="15"/>
  <c r="H78" i="15" s="1"/>
  <c r="L78" i="15" s="1"/>
  <c r="E84" i="15"/>
  <c r="D29" i="2"/>
  <c r="H105" i="15"/>
  <c r="C77" i="70" s="1"/>
  <c r="H28" i="2"/>
  <c r="D31" i="9"/>
  <c r="F31" i="9"/>
  <c r="D95" i="15"/>
  <c r="L95" i="15" s="1"/>
  <c r="C61" i="70"/>
  <c r="C15" i="10"/>
  <c r="C13" i="10" s="1"/>
  <c r="I32" i="9" s="1"/>
  <c r="B13" i="10"/>
  <c r="J103" i="15" l="1"/>
  <c r="C78" i="70" s="1"/>
  <c r="C59" i="70"/>
  <c r="F33" i="9"/>
  <c r="F103" i="15"/>
  <c r="C73" i="70" s="1"/>
  <c r="D26" i="2"/>
  <c r="C62" i="70"/>
  <c r="D103" i="15"/>
  <c r="C70" i="70" s="1"/>
  <c r="D25" i="2"/>
  <c r="D105" i="15"/>
  <c r="C72" i="70" s="1"/>
  <c r="D27" i="2"/>
  <c r="F104" i="15"/>
  <c r="C74" i="70" s="1"/>
  <c r="H26" i="2"/>
</calcChain>
</file>

<file path=xl/sharedStrings.xml><?xml version="1.0" encoding="utf-8"?>
<sst xmlns="http://schemas.openxmlformats.org/spreadsheetml/2006/main" count="3171" uniqueCount="1457">
  <si>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</si>
  <si>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</si>
  <si>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</si>
  <si>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</si>
  <si>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</si>
  <si>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</si>
  <si>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</si>
  <si>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</si>
  <si>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</si>
  <si>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</si>
  <si>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</si>
  <si>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</si>
  <si>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</si>
  <si>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</si>
  <si>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</si>
  <si>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</si>
  <si>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</si>
  <si>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</si>
  <si>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</si>
  <si>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</si>
  <si>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</si>
  <si>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</si>
  <si>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</si>
  <si>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</si>
  <si>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</si>
  <si>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</si>
  <si>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</si>
  <si>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</si>
  <si>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</si>
  <si>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</si>
  <si>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</si>
  <si>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</si>
  <si>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</si>
  <si>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</si>
  <si>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</si>
  <si>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</si>
  <si>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</si>
  <si>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</si>
  <si>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</si>
  <si>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</si>
  <si>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</si>
  <si>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</si>
  <si>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</si>
  <si>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</si>
  <si>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</si>
  <si>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</si>
  <si>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</si>
  <si>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</si>
  <si>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</si>
  <si>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</si>
  <si>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</si>
  <si>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</si>
  <si>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</si>
  <si>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</si>
  <si>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</si>
  <si>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</si>
  <si>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</si>
  <si>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</si>
  <si>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</si>
  <si>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</si>
  <si>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</si>
  <si>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</si>
  <si>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</si>
  <si>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</si>
  <si>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</si>
  <si>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</si>
  <si>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</si>
  <si>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</si>
  <si>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</si>
  <si>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</si>
  <si>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</si>
  <si>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</si>
  <si>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</si>
  <si>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</si>
  <si>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</si>
  <si>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</si>
  <si>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</si>
  <si>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</si>
  <si>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</si>
  <si>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</si>
  <si>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</si>
  <si>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</si>
  <si>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</si>
  <si>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</si>
  <si>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</si>
  <si>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</si>
  <si>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</si>
  <si>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</si>
  <si>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</si>
  <si>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</si>
  <si>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</si>
  <si>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</si>
  <si>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</si>
  <si>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</si>
  <si>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</si>
  <si>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</si>
  <si>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</si>
  <si>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</si>
  <si>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</si>
  <si>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</si>
  <si>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</si>
  <si>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</si>
  <si>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</si>
  <si>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</si>
  <si>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</si>
  <si>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</si>
  <si>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</si>
  <si>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</si>
  <si>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</si>
  <si>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</si>
  <si>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</si>
  <si>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</si>
  <si>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</si>
  <si>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</si>
  <si>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</si>
  <si>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</si>
  <si>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</si>
  <si>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</si>
  <si>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</si>
  <si>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</si>
  <si>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</si>
  <si>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</si>
  <si>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</si>
  <si>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</si>
  <si>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</si>
  <si>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</si>
  <si>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</si>
  <si>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</si>
  <si>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</si>
  <si>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</si>
  <si>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</si>
  <si>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</si>
  <si>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</si>
  <si>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</si>
  <si>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</si>
  <si>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</si>
  <si>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</si>
  <si>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</si>
  <si>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</si>
  <si>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</si>
  <si>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</si>
  <si>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</si>
  <si>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</si>
  <si>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</si>
  <si>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</si>
  <si>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</si>
  <si>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</si>
  <si>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</si>
  <si>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</si>
  <si>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</si>
  <si>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</si>
  <si>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</si>
  <si>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</si>
  <si>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</si>
  <si>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</si>
  <si>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</si>
  <si>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</si>
  <si>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</si>
  <si>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</si>
  <si>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</si>
  <si>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</si>
  <si>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</si>
  <si>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</si>
  <si>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</si>
  <si>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</si>
  <si>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</si>
  <si>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</si>
  <si>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</si>
  <si>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</si>
  <si>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</si>
  <si>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</si>
  <si>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</si>
  <si>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</si>
  <si>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</si>
  <si>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</si>
  <si>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</si>
  <si>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</si>
  <si>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</si>
  <si>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</si>
  <si>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</si>
  <si>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</si>
  <si>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</si>
  <si>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</si>
  <si>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</si>
  <si>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</si>
  <si>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</si>
  <si>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</si>
  <si>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</si>
  <si>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</si>
  <si>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</si>
  <si>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</si>
  <si>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</si>
  <si>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</si>
  <si>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</si>
  <si>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</si>
  <si>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</si>
  <si>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</si>
  <si>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</si>
  <si>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</si>
  <si>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</si>
  <si>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</si>
  <si>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</si>
  <si>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</si>
  <si>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</si>
  <si>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</si>
  <si>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</si>
  <si>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</si>
  <si>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</si>
  <si>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</si>
  <si>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</si>
  <si>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</si>
  <si>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</si>
  <si>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</si>
  <si>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</si>
  <si>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</si>
  <si>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</si>
  <si>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</si>
  <si>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</si>
  <si>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</si>
  <si>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</si>
  <si>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</si>
  <si>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</si>
  <si>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</si>
  <si>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</si>
  <si>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</si>
  <si>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</si>
  <si>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</si>
  <si>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</si>
  <si>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</si>
  <si>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</si>
  <si>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</si>
  <si>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</si>
  <si>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</si>
  <si>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</si>
  <si>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</si>
  <si>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</si>
  <si>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</si>
  <si>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</si>
  <si>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</si>
  <si>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</si>
  <si>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</si>
  <si>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</si>
  <si>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</si>
  <si>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</si>
  <si>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</si>
  <si>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</si>
  <si>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</si>
  <si>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</si>
  <si>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</si>
  <si>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</si>
  <si>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</si>
  <si>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</si>
  <si>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</si>
  <si>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</si>
  <si>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</si>
  <si>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</si>
  <si>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</si>
  <si>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</si>
  <si>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</si>
  <si>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</si>
  <si>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</si>
  <si>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</si>
  <si>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</si>
  <si>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</si>
  <si>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</si>
  <si>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</si>
  <si>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</si>
  <si>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</si>
  <si>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</si>
  <si>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</si>
  <si>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</si>
  <si>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</si>
  <si>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</si>
  <si>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</si>
  <si>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</si>
  <si>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</si>
  <si>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</si>
  <si>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</si>
  <si>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</si>
  <si>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</si>
  <si>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</si>
  <si>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</si>
  <si>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</si>
  <si>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</si>
  <si>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</si>
  <si>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</si>
  <si>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</si>
  <si>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</si>
  <si>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</si>
  <si>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</si>
  <si>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</si>
  <si>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</si>
  <si>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</si>
  <si>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</si>
  <si>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</si>
  <si>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</si>
  <si>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</si>
  <si>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</si>
  <si>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</si>
  <si>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</si>
  <si>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</si>
  <si>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</si>
  <si>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</si>
  <si>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</si>
  <si>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</si>
  <si>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</si>
  <si>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</si>
  <si>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</si>
  <si>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</si>
  <si>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</si>
  <si>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</si>
  <si>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</si>
  <si>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</si>
  <si>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</si>
  <si>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</si>
  <si>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</si>
  <si>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</si>
  <si>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</si>
  <si>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</si>
  <si>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</si>
  <si>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</si>
  <si>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</si>
  <si>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</si>
  <si>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</si>
  <si>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</si>
  <si>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</si>
  <si>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</si>
  <si>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</si>
  <si>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</si>
  <si>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</si>
  <si>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</si>
  <si>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</si>
  <si>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</si>
  <si>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</si>
  <si>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</si>
  <si>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</si>
  <si>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</si>
  <si>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</si>
  <si>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</si>
  <si>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</si>
  <si>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</si>
  <si>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</si>
  <si>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</si>
  <si>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</si>
  <si>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</si>
  <si>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</si>
  <si>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</si>
  <si>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</si>
  <si>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</si>
  <si>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</si>
  <si>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</si>
  <si>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</si>
  <si>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</si>
  <si>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</si>
  <si>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</si>
  <si>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</si>
  <si>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</si>
  <si>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</si>
  <si>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</si>
  <si>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</si>
  <si>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</si>
  <si>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</si>
  <si>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</si>
  <si>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</si>
  <si>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</si>
  <si>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</si>
  <si>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</si>
  <si>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</si>
  <si>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</si>
  <si>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</si>
  <si>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</si>
  <si>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</si>
  <si>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</si>
  <si>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</si>
  <si>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</si>
  <si>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</si>
  <si>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</si>
  <si>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</si>
  <si>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</si>
  <si>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</si>
  <si>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</si>
  <si>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</si>
  <si>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</si>
  <si>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</si>
  <si>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</si>
  <si>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</si>
  <si>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</si>
  <si>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</si>
  <si>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</si>
  <si>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</si>
  <si>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</si>
  <si>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</si>
  <si>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</si>
  <si>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</si>
  <si>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</si>
  <si>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</si>
  <si>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</si>
  <si>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</si>
  <si>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</si>
  <si>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</si>
  <si>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</si>
  <si>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</si>
  <si>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</si>
  <si>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</si>
  <si>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</si>
  <si>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</si>
  <si>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</si>
  <si>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</si>
  <si>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</si>
  <si>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</si>
  <si>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</si>
  <si>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</si>
  <si>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</si>
  <si>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</si>
  <si>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</si>
  <si>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</si>
  <si>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</si>
  <si>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</si>
  <si>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</si>
  <si>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</si>
  <si>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</si>
  <si>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</si>
  <si>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</si>
  <si>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</si>
  <si>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</si>
  <si>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</si>
  <si>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</si>
  <si>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</si>
  <si>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</si>
  <si>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</si>
  <si>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</si>
  <si>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</si>
  <si>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</si>
  <si>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</si>
  <si>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</si>
  <si>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</si>
  <si>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</si>
  <si>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</si>
  <si>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</si>
  <si>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</si>
  <si>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</si>
  <si>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</si>
  <si>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</si>
  <si>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</si>
  <si>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</si>
  <si>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</si>
  <si>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</si>
  <si>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</si>
  <si>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</si>
  <si>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</si>
  <si>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</si>
  <si>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</si>
  <si>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</si>
  <si>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</si>
  <si>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</si>
  <si>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</si>
  <si>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</si>
  <si>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</si>
  <si>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</si>
  <si>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</si>
  <si>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</si>
  <si>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</si>
  <si>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</si>
  <si>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</si>
  <si>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</si>
  <si>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</si>
  <si>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</si>
  <si>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</si>
  <si>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</si>
  <si>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</si>
  <si>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</si>
  <si>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</si>
  <si>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</si>
  <si>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</si>
  <si>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</si>
  <si>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</si>
  <si>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</si>
  <si>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</si>
  <si>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</si>
  <si>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</si>
  <si>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</si>
  <si>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</si>
  <si>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</si>
  <si>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</si>
  <si>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</si>
  <si>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</si>
  <si>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</si>
  <si>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</si>
  <si>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</si>
  <si>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</si>
  <si>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</si>
  <si>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</si>
  <si>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</si>
  <si>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</si>
  <si>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</si>
  <si>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</si>
  <si>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</si>
  <si>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</si>
  <si>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</si>
  <si>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</si>
  <si>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</si>
  <si>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</si>
  <si>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</si>
  <si>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</si>
  <si>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</si>
  <si>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</si>
  <si>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</si>
  <si>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</si>
  <si>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</si>
  <si>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</si>
  <si>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</si>
  <si>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</si>
  <si>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</si>
  <si>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</si>
  <si>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</si>
  <si>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</si>
  <si>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</si>
  <si>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</si>
  <si>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</si>
  <si>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</si>
  <si>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</si>
  <si>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</si>
  <si>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</si>
  <si>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</si>
  <si>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</si>
  <si>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</si>
  <si>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</si>
  <si>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</si>
  <si>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</si>
  <si>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</si>
  <si>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</si>
  <si>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</si>
  <si>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</si>
  <si>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</si>
  <si>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</si>
  <si>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</si>
  <si>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</si>
  <si>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</si>
  <si>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</si>
  <si>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</si>
  <si>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</si>
  <si>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</si>
  <si>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</si>
  <si>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</si>
  <si>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</si>
  <si>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</si>
  <si>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</si>
  <si>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</si>
  <si>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</si>
  <si>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</si>
  <si>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</si>
  <si>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</si>
  <si>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</si>
  <si>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</si>
  <si>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</si>
  <si>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</si>
  <si>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</si>
  <si>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</si>
  <si>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</si>
  <si>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</si>
  <si>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</si>
  <si>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</si>
  <si>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</si>
  <si>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</si>
  <si>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</si>
  <si>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</si>
  <si>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</si>
  <si>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</si>
  <si>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</si>
  <si>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</si>
  <si>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</si>
  <si>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</si>
  <si>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</si>
  <si>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</si>
  <si>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</si>
  <si>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</si>
  <si>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</si>
  <si>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</si>
  <si>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</si>
  <si>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</si>
  <si>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</si>
  <si>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</si>
  <si>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</si>
  <si>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</si>
  <si>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</si>
  <si>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</si>
  <si>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</si>
  <si>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</si>
  <si>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</si>
  <si>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</si>
  <si>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</si>
  <si>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</si>
  <si>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</si>
  <si>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</si>
  <si>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</si>
  <si>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</si>
  <si>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</si>
  <si>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</si>
  <si>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</si>
  <si>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</si>
  <si>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</si>
  <si>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</si>
  <si>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</si>
  <si>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</si>
  <si>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</si>
  <si>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</si>
  <si>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</si>
  <si>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</si>
  <si>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</si>
  <si>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</si>
  <si>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</si>
  <si>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</si>
  <si>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</si>
  <si>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</si>
  <si>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</si>
  <si>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</si>
  <si>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</si>
  <si>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</si>
  <si>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</si>
  <si>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</si>
  <si>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</si>
  <si>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</si>
  <si>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</si>
  <si>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</si>
  <si>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</si>
  <si>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</si>
  <si>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</si>
  <si>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</si>
  <si>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</si>
  <si>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</si>
  <si>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</si>
  <si>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</si>
  <si>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</si>
  <si>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</si>
  <si>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</si>
  <si>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</si>
  <si>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</si>
  <si>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</si>
  <si>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</si>
  <si>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</si>
  <si>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</si>
  <si>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</si>
  <si>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</si>
  <si>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</si>
  <si>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</si>
  <si>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</si>
  <si>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</si>
  <si>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</si>
  <si>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</si>
  <si>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</si>
  <si>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</si>
  <si>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</si>
  <si>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</si>
  <si>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</si>
  <si>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</si>
  <si>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</si>
  <si>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</si>
  <si>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</si>
  <si>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</si>
  <si>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</si>
  <si>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</si>
  <si>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</si>
  <si>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</si>
  <si>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</si>
  <si>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</si>
  <si>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</si>
  <si>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</si>
  <si>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</si>
  <si>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</si>
  <si>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</si>
  <si>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</si>
  <si>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</si>
  <si>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</si>
  <si>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</si>
  <si>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</si>
  <si>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</si>
  <si>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</si>
  <si>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</si>
  <si>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</si>
  <si>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</si>
  <si>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</si>
  <si>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</si>
  <si>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</si>
  <si>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</si>
  <si>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</si>
  <si>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</si>
  <si>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</si>
  <si>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</si>
  <si>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</si>
  <si>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</si>
  <si>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</si>
  <si>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</si>
  <si>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</si>
  <si>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</si>
  <si>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</si>
  <si>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</si>
  <si>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</si>
  <si>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</si>
  <si>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</si>
  <si>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</si>
  <si>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</si>
  <si>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</si>
  <si>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</si>
  <si>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</si>
  <si>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</si>
  <si>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</si>
  <si>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</si>
  <si>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</si>
  <si>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</si>
  <si>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</si>
  <si>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</si>
  <si>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</si>
  <si>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</si>
  <si>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</si>
  <si>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</si>
  <si>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</si>
  <si>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</si>
  <si>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</si>
  <si>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</si>
  <si>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</si>
  <si>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</si>
  <si>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</si>
  <si>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</si>
  <si>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</si>
  <si>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</si>
  <si>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</si>
  <si>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</si>
  <si>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</si>
  <si>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</si>
  <si>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</si>
  <si>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</si>
  <si>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</si>
  <si>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</si>
  <si>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</si>
  <si>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</si>
  <si>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</si>
  <si>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</si>
  <si>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</si>
  <si>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</si>
  <si>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</si>
  <si>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</si>
  <si>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</si>
  <si>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</si>
  <si>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</si>
  <si>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</si>
  <si>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</si>
  <si>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</si>
  <si>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</si>
  <si>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</si>
  <si>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</si>
  <si>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</si>
  <si>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</si>
  <si>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</si>
  <si>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</si>
  <si>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</si>
  <si>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</si>
  <si>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</si>
  <si>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</si>
  <si>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</si>
  <si>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</si>
  <si>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</si>
  <si>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</si>
  <si>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</si>
  <si>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</si>
  <si>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</si>
  <si>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</si>
  <si>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</si>
  <si>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</si>
  <si>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</si>
  <si>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</si>
  <si>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</si>
  <si>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</si>
  <si>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</si>
  <si>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</si>
  <si>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</si>
  <si>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</si>
  <si>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</si>
  <si>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</si>
  <si>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</si>
  <si>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</si>
  <si>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</si>
  <si>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</si>
  <si>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</si>
  <si>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</si>
  <si>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</si>
  <si>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</si>
  <si>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</si>
  <si>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</si>
  <si>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</si>
  <si>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</si>
  <si>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</si>
  <si>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</si>
  <si>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</si>
  <si>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</si>
  <si>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</si>
  <si>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</si>
  <si>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</si>
  <si>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</si>
  <si>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</si>
  <si>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</si>
  <si>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</si>
  <si>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</si>
  <si>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</si>
  <si>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</si>
  <si>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</si>
  <si>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</si>
  <si>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</si>
  <si>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</si>
  <si>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</si>
  <si>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</si>
  <si>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</si>
  <si>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</si>
  <si>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</si>
  <si>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</si>
  <si>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</si>
  <si>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</si>
  <si>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</si>
  <si>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</si>
  <si>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</si>
  <si>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</si>
  <si>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</si>
  <si>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</si>
  <si>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</si>
  <si>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</si>
  <si>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</si>
  <si>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</si>
  <si>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</si>
  <si>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</si>
  <si>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</si>
  <si>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</si>
  <si>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</si>
  <si>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</si>
  <si>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</si>
  <si>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</si>
  <si>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</si>
  <si>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</si>
  <si>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</si>
  <si>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</si>
  <si>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</si>
  <si>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</si>
  <si>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</si>
  <si>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</si>
  <si>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</si>
  <si>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</si>
  <si>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</si>
  <si>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</si>
  <si>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</si>
  <si>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</si>
  <si>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</si>
  <si>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</si>
  <si>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</si>
  <si>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</si>
  <si>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</si>
  <si>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</si>
  <si>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</si>
  <si>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</si>
  <si>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</si>
  <si>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</si>
  <si>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</si>
  <si>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</si>
  <si>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</si>
  <si>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</si>
  <si>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</si>
  <si>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</si>
  <si>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</si>
  <si>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</si>
  <si>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</si>
  <si>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</si>
  <si>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</si>
  <si>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</si>
  <si>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</si>
  <si>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</si>
  <si>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</si>
  <si>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</si>
  <si>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</si>
  <si>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</si>
  <si>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</si>
  <si>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</si>
  <si>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</si>
  <si>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</si>
  <si>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</si>
  <si>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</si>
  <si>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</si>
  <si>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</si>
  <si>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</si>
  <si>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</si>
  <si>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</si>
  <si>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</si>
  <si>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</si>
  <si>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</si>
  <si>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</si>
  <si>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</si>
  <si>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</si>
  <si>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</si>
  <si>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</si>
  <si>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</si>
  <si>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</si>
  <si>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</si>
  <si>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</si>
  <si>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</si>
  <si>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</si>
  <si>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</si>
  <si>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</si>
  <si>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</si>
  <si>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</si>
  <si>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</si>
  <si>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</si>
  <si>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</si>
  <si>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</si>
  <si>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</si>
  <si>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</si>
  <si>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</si>
  <si>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</si>
  <si>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</si>
  <si>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</si>
  <si>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</si>
  <si>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</si>
  <si>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</si>
  <si>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</si>
  <si>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</si>
  <si>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</si>
  <si>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</si>
  <si>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</si>
  <si>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</si>
  <si>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</si>
  <si>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</si>
  <si>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</si>
  <si>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</si>
  <si>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</si>
  <si>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</si>
  <si>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</si>
  <si>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</si>
  <si>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</si>
  <si>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</si>
  <si>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</si>
  <si>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</si>
  <si>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</si>
  <si>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</si>
  <si>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</si>
  <si>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</si>
  <si>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</si>
  <si>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</si>
  <si>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</si>
  <si>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</si>
  <si>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</si>
  <si>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</si>
  <si>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</si>
  <si>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</si>
  <si>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</si>
  <si>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</si>
  <si>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</si>
  <si>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</si>
  <si>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</si>
  <si>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</si>
  <si>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</si>
  <si>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</si>
  <si>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</si>
  <si>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</si>
  <si>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</si>
  <si>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</si>
  <si>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</si>
  <si>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</si>
  <si>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</si>
  <si>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</si>
  <si>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</si>
  <si>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</si>
  <si>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</si>
  <si>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</si>
  <si>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</si>
  <si>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</si>
  <si>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</si>
  <si>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</si>
  <si>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</si>
  <si>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</si>
  <si>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</si>
  <si>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</si>
  <si>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</si>
  <si>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</si>
  <si>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</si>
  <si>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</si>
  <si>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</si>
  <si>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</si>
  <si>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</si>
  <si>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</si>
  <si>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</si>
  <si>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</si>
  <si>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</si>
  <si>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</si>
  <si>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</si>
  <si>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</si>
  <si>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</si>
  <si>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</si>
  <si>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</si>
  <si>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</si>
  <si>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</si>
  <si>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</si>
  <si>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</si>
  <si>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</si>
  <si>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</si>
  <si>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</si>
  <si>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</si>
  <si>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</si>
  <si>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</si>
  <si>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</si>
  <si>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</si>
  <si>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</si>
  <si>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</si>
  <si>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</si>
  <si>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</si>
  <si>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</si>
  <si>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</si>
  <si>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</si>
  <si>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</si>
  <si>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</si>
  <si>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</si>
  <si>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</si>
  <si>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</si>
  <si>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</si>
  <si>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</si>
  <si>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</si>
  <si>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</si>
  <si>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</si>
  <si>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</si>
  <si>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</si>
  <si>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</si>
  <si>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</si>
  <si>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</si>
  <si>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</si>
  <si>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</si>
  <si>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</si>
  <si>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</si>
  <si>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</si>
  <si>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</si>
  <si>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</si>
  <si>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</si>
  <si>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</si>
  <si>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</si>
  <si>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</si>
  <si>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</si>
  <si>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</si>
  <si>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</si>
  <si>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</si>
  <si>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</si>
  <si>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</si>
  <si>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</si>
  <si>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</si>
  <si>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</si>
  <si>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</si>
  <si>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</si>
  <si>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</si>
  <si>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</si>
  <si>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</si>
  <si>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</si>
  <si>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</si>
  <si>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</si>
  <si>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</si>
  <si>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</si>
  <si>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</si>
  <si>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</si>
  <si>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</si>
  <si>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</si>
  <si>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</si>
  <si>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</si>
  <si>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</si>
  <si>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</si>
  <si>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</si>
  <si>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</si>
  <si>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</si>
  <si>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</si>
  <si>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</si>
  <si>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</si>
  <si>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</si>
  <si>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</si>
  <si>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</si>
  <si>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</si>
  <si>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</si>
  <si>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</si>
  <si>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</si>
  <si>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</si>
  <si>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</si>
  <si>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</si>
  <si>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</si>
  <si>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</si>
  <si>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</si>
  <si>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</si>
  <si>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</si>
  <si>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</si>
  <si>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</si>
  <si>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</si>
  <si>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</si>
  <si>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</si>
  <si>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</si>
  <si>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</si>
  <si>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</si>
  <si>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</si>
  <si>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</si>
  <si>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</si>
  <si>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</si>
  <si>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</si>
  <si>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</si>
  <si>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</si>
  <si>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</si>
  <si>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</si>
  <si>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</si>
  <si>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</si>
  <si>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</si>
  <si>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</si>
  <si>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</si>
  <si>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</si>
  <si>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</si>
  <si>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</si>
  <si>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</si>
  <si>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</si>
  <si>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</si>
  <si>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</si>
  <si>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</si>
  <si>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</si>
  <si>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</si>
  <si>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</si>
  <si>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</si>
  <si>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</si>
  <si>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</si>
  <si>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</si>
  <si>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</si>
  <si>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</si>
  <si>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</si>
  <si>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</si>
  <si>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</si>
  <si>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</si>
  <si>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</si>
  <si>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</si>
  <si>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</si>
  <si>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</si>
  <si>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</si>
  <si>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</si>
  <si>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</si>
  <si>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</si>
  <si>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</si>
  <si>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</si>
  <si>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</si>
  <si>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</si>
  <si>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</si>
  <si>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</si>
  <si>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</si>
  <si>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</si>
  <si>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</si>
  <si>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</si>
  <si>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</si>
  <si>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</si>
  <si>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</si>
  <si>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</si>
  <si>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</si>
  <si>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</si>
  <si>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</si>
  <si>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</si>
  <si>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</si>
  <si>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</si>
  <si>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</si>
  <si>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</si>
  <si>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</si>
  <si>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</si>
  <si>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</si>
  <si>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</si>
  <si>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</si>
  <si>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</si>
  <si>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</si>
  <si>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</si>
  <si>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</si>
  <si>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</si>
  <si>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</si>
  <si>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</si>
  <si>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</si>
  <si>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</si>
  <si>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</si>
  <si>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</si>
  <si>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</si>
  <si>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</si>
  <si>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</si>
  <si>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</si>
  <si>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</si>
  <si>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</si>
  <si>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</si>
  <si>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</si>
  <si>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</si>
  <si>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</si>
  <si>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</si>
  <si>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</si>
  <si>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</si>
  <si>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</si>
  <si>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</si>
  <si>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</si>
  <si>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</si>
  <si>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</si>
  <si>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</si>
  <si>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</si>
  <si>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</si>
  <si>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</si>
  <si>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</si>
  <si>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</si>
  <si>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</si>
  <si>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</si>
  <si>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</si>
  <si>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</si>
  <si>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</si>
  <si>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</si>
  <si>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</si>
  <si>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</si>
  <si>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</si>
  <si>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</si>
  <si>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</si>
  <si>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</si>
  <si>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</si>
  <si>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</si>
  <si>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</si>
  <si>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</si>
  <si>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</si>
  <si>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</si>
  <si>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</si>
  <si>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</si>
  <si>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</si>
  <si>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</si>
  <si>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</si>
  <si>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</si>
  <si>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</si>
  <si>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</si>
  <si>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</si>
  <si>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</si>
  <si>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</si>
  <si>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</si>
  <si>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</si>
  <si>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</si>
  <si>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</si>
  <si>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</si>
  <si>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</si>
  <si>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</si>
  <si>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</si>
  <si>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</si>
  <si>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</si>
  <si>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</si>
  <si>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</si>
  <si>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</si>
  <si>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</si>
  <si>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</si>
  <si>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</si>
  <si>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</si>
  <si>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</si>
  <si>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</si>
  <si>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</si>
  <si>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</si>
  <si>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</si>
  <si>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</si>
  <si>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</si>
  <si>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</si>
  <si>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</si>
  <si>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</si>
  <si>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</si>
  <si>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</si>
  <si>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</si>
  <si>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</si>
  <si>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</si>
  <si>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</si>
  <si>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</si>
  <si>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</si>
  <si>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</si>
  <si>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</si>
  <si>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</si>
  <si>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</si>
  <si>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</si>
  <si>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</si>
  <si>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</si>
  <si>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</si>
  <si>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</si>
  <si>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</si>
  <si>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</si>
  <si>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</si>
  <si>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</si>
  <si>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</si>
  <si>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</si>
  <si>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</si>
  <si>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</si>
  <si>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</si>
  <si>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</si>
  <si>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</si>
  <si>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</si>
  <si>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</si>
  <si>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</si>
  <si>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</si>
  <si>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</si>
  <si>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</si>
  <si>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</si>
  <si>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</si>
  <si>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</si>
  <si>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</si>
  <si>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</si>
  <si>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</si>
  <si>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</si>
  <si>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</si>
  <si>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</si>
  <si>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</si>
  <si>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</si>
  <si>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</si>
  <si>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</si>
  <si>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</si>
  <si>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</si>
  <si>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</si>
  <si>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</si>
  <si>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</si>
  <si>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</si>
  <si>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</si>
  <si>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</si>
  <si>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</si>
  <si>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</si>
  <si>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</si>
  <si>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</si>
  <si>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</si>
  <si>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</si>
  <si>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</si>
  <si>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</si>
  <si>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</si>
  <si>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</si>
  <si>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</si>
  <si>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</si>
  <si>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</si>
  <si>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</si>
  <si>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</si>
  <si>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</si>
  <si>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</si>
  <si>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</si>
  <si>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</si>
  <si>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</si>
  <si>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</si>
  <si>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</si>
  <si>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</si>
  <si>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</si>
  <si>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</si>
  <si>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</si>
  <si>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</si>
  <si>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</si>
  <si>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</si>
  <si>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</si>
  <si>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</si>
  <si>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</si>
  <si>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</si>
  <si>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</si>
  <si>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</si>
  <si>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</si>
  <si>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</si>
  <si>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</si>
  <si>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</si>
  <si>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</si>
  <si>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</si>
  <si>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</si>
  <si>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</si>
  <si>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</si>
  <si>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</si>
  <si>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</si>
  <si>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</si>
  <si>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</si>
  <si>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</si>
  <si>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</si>
  <si>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</si>
  <si>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</si>
  <si>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</si>
  <si>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</si>
  <si>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</si>
  <si>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</si>
  <si>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</si>
  <si>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</si>
  <si>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</si>
  <si>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</si>
  <si>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</si>
  <si>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</si>
  <si>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</si>
  <si>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</si>
  <si>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</si>
  <si>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</si>
  <si>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</si>
  <si>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</si>
  <si>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</si>
  <si>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</si>
  <si>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</si>
  <si>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</si>
  <si>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</si>
  <si>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</si>
  <si>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</si>
  <si>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</si>
  <si>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</si>
  <si>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</si>
  <si>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</si>
  <si>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</si>
  <si>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</si>
  <si>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</si>
  <si>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</si>
  <si>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</si>
  <si>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</si>
  <si>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</si>
  <si>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</si>
  <si>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</si>
  <si>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</si>
  <si>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</si>
  <si>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</si>
  <si>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</si>
  <si>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</si>
  <si>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</si>
  <si>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</si>
  <si>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</si>
  <si>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</si>
  <si>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</si>
  <si>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</si>
  <si>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</si>
  <si>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</si>
  <si>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</si>
  <si>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</si>
  <si>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</si>
  <si>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</si>
  <si>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</si>
  <si>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</si>
  <si>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</si>
  <si>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</si>
  <si>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</si>
  <si>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</si>
  <si>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</si>
  <si>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</si>
  <si>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</si>
  <si>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</si>
  <si>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</si>
  <si>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</si>
  <si>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</si>
  <si>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</si>
  <si>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</si>
  <si>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</si>
  <si>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</si>
  <si>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</si>
  <si>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</si>
  <si>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</si>
  <si>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</si>
  <si>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</si>
  <si>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</si>
  <si>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</si>
  <si>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</si>
  <si>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epiduraal WKZ</t>
  </si>
  <si>
    <t>mL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</si>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</sst>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6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36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attachedToolbars" Target="attachedToolbars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1" fmlaRange="tblMedicationContIV" sel="1" val="0"/>
</file>

<file path=xl/ctrlProps/ctrlProp2.xml><?xml version="1.0" encoding="utf-8"?>
<formControlPr xmlns="http://schemas.microsoft.com/office/spreadsheetml/2009/9/main" objectType="Drop" dropStyle="combo" dx="16" fmlaLink="ber_IVmed!$B$32" fmlaRange="tblMedicationContIV" sel="1" val="0"/>
</file>

<file path=xl/ctrlProps/ctrlProp3.xml><?xml version="1.0" encoding="utf-8"?>
<formControlPr xmlns="http://schemas.microsoft.com/office/spreadsheetml/2009/9/main" objectType="Drop" dropStyle="combo" dx="16" fmlaLink="ber_IVmed!$B$33" fmlaRange="tblMedicationContIV" sel="1" val="0"/>
</file>

<file path=xl/ctrlProps/ctrlProp4.xml><?xml version="1.0" encoding="utf-8"?>
<formControlPr xmlns="http://schemas.microsoft.com/office/spreadsheetml/2009/9/main" objectType="Drop" dropStyle="combo" dx="16" fmlaLink="ber_IVmed!$B$34" fmlaRange="tblMedicationContIV" sel="1" val="16"/>
</file>

<file path=xl/ctrlProps/ctrlProp5.xml><?xml version="1.0" encoding="utf-8"?>
<formControlPr xmlns="http://schemas.microsoft.com/office/spreadsheetml/2009/9/main" objectType="Drop" dropStyle="combo" dx="16" fmlaLink="ber_IVmed!$B$35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36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37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38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39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31" max="1000" page="10"/>
</file>

<file path=xl/ctrlProps/ctrlProp51.xml><?xml version="1.0" encoding="utf-8"?>
<formControlPr xmlns="http://schemas.microsoft.com/office/spreadsheetml/2009/9/main" objectType="Spin" dx="15" fmlaLink="ber_IVmed!$E$32" max="1000" page="10" val="0"/>
</file>

<file path=xl/ctrlProps/ctrlProp52.xml><?xml version="1.0" encoding="utf-8"?>
<formControlPr xmlns="http://schemas.microsoft.com/office/spreadsheetml/2009/9/main" objectType="Spin" dx="15" fmlaLink="ber_IVmed!$E$33" max="1000" page="10" val="0"/>
</file>

<file path=xl/ctrlProps/ctrlProp53.xml><?xml version="1.0" encoding="utf-8"?>
<formControlPr xmlns="http://schemas.microsoft.com/office/spreadsheetml/2009/9/main" objectType="Spin" dx="15" fmlaLink="ber_IVmed!$E$34" max="1000" page="10" val="0"/>
</file>

<file path=xl/ctrlProps/ctrlProp54.xml><?xml version="1.0" encoding="utf-8"?>
<formControlPr xmlns="http://schemas.microsoft.com/office/spreadsheetml/2009/9/main" objectType="Spin" dx="15" fmlaLink="ber_IVmed!$E$35" max="1000" page="10" val="0"/>
</file>

<file path=xl/ctrlProps/ctrlProp55.xml><?xml version="1.0" encoding="utf-8"?>
<formControlPr xmlns="http://schemas.microsoft.com/office/spreadsheetml/2009/9/main" objectType="Spin" dx="15" fmlaLink="ber_IVmed!$E$36" max="1000" page="10" val="0"/>
</file>

<file path=xl/ctrlProps/ctrlProp56.xml><?xml version="1.0" encoding="utf-8"?>
<formControlPr xmlns="http://schemas.microsoft.com/office/spreadsheetml/2009/9/main" objectType="Spin" dx="15" fmlaLink="ber_IVmed!$E$37" max="1000" page="10" val="0"/>
</file>

<file path=xl/ctrlProps/ctrlProp57.xml><?xml version="1.0" encoding="utf-8"?>
<formControlPr xmlns="http://schemas.microsoft.com/office/spreadsheetml/2009/9/main" objectType="Spin" dx="15" fmlaLink="ber_IVmed!$E$38" max="1000" page="10" val="0"/>
</file>

<file path=xl/ctrlProps/ctrlProp58.xml><?xml version="1.0" encoding="utf-8"?>
<formControlPr xmlns="http://schemas.microsoft.com/office/spreadsheetml/2009/9/main" objectType="Spin" dx="15" fmlaLink="ber_IVmed!$E$39" max="1000" page="10" val="0"/>
</file>

<file path=xl/ctrlProps/ctrlProp59.xml><?xml version="1.0" encoding="utf-8"?>
<formControlPr xmlns="http://schemas.microsoft.com/office/spreadsheetml/2009/9/main" objectType="Spin" dx="15" fmlaLink="ber_IVmed!$E$40" max="1000" page="10" val="0"/>
</file>

<file path=xl/ctrlProps/ctrlProp60.xml><?xml version="1.0" encoding="utf-8"?>
<formControlPr xmlns="http://schemas.microsoft.com/office/spreadsheetml/2009/9/main" objectType="Spin" dx="15" fmlaLink="ber_IVmed!$E$31" max="1000" page="10"/>
</file>

<file path=xl/ctrlProps/ctrlProp61.xml><?xml version="1.0" encoding="utf-8"?>
<formControlPr xmlns="http://schemas.microsoft.com/office/spreadsheetml/2009/9/main" objectType="Spin" dx="15" fmlaLink="ber_IVmed!$E$32" max="1000" page="10" val="0"/>
</file>

<file path=xl/ctrlProps/ctrlProp62.xml><?xml version="1.0" encoding="utf-8"?>
<formControlPr xmlns="http://schemas.microsoft.com/office/spreadsheetml/2009/9/main" objectType="Spin" dx="15" fmlaLink="ber_IVmed!$E$33" max="1000" page="10" val="0"/>
</file>

<file path=xl/ctrlProps/ctrlProp63.xml><?xml version="1.0" encoding="utf-8"?>
<formControlPr xmlns="http://schemas.microsoft.com/office/spreadsheetml/2009/9/main" objectType="Spin" dx="15" fmlaLink="ber_IVmed!$E$34" max="1000" page="10" val="0"/>
</file>

<file path=xl/ctrlProps/ctrlProp64.xml><?xml version="1.0" encoding="utf-8"?>
<formControlPr xmlns="http://schemas.microsoft.com/office/spreadsheetml/2009/9/main" objectType="Spin" dx="15" fmlaLink="ber_IVmed!$E$35" max="1000" page="10" val="0"/>
</file>

<file path=xl/ctrlProps/ctrlProp65.xml><?xml version="1.0" encoding="utf-8"?>
<formControlPr xmlns="http://schemas.microsoft.com/office/spreadsheetml/2009/9/main" objectType="Spin" dx="15" fmlaLink="ber_IVmed!$E$36" max="1000" page="10" val="0"/>
</file>

<file path=xl/ctrlProps/ctrlProp66.xml><?xml version="1.0" encoding="utf-8"?>
<formControlPr xmlns="http://schemas.microsoft.com/office/spreadsheetml/2009/9/main" objectType="Spin" dx="15" fmlaLink="ber_IVmed!$E$37" max="1000" page="10" val="0"/>
</file>

<file path=xl/ctrlProps/ctrlProp67.xml><?xml version="1.0" encoding="utf-8"?>
<formControlPr xmlns="http://schemas.microsoft.com/office/spreadsheetml/2009/9/main" objectType="Spin" dx="15" fmlaLink="ber_IVmed!$E$38" max="1000" page="10" val="0"/>
</file>

<file path=xl/ctrlProps/ctrlProp68.xml><?xml version="1.0" encoding="utf-8"?>
<formControlPr xmlns="http://schemas.microsoft.com/office/spreadsheetml/2009/9/main" objectType="Spin" dx="15" fmlaLink="ber_IVmed!$E$39" max="1000" page="10" val="0"/>
</file>

<file path=xl/ctrlProps/ctrlProp69.xml><?xml version="1.0" encoding="utf-8"?>
<formControlPr xmlns="http://schemas.microsoft.com/office/spreadsheetml/2009/9/main" objectType="Spin" dx="15" fmlaLink="ber_IVmed!$E$40" max="1000" page="10" val="0"/>
</file>

<file path=xl/ctrlProps/ctrlProp70.xml><?xml version="1.0" encoding="utf-8"?>
<formControlPr xmlns="http://schemas.microsoft.com/office/spreadsheetml/2009/9/main" objectType="Spin" dx="15" fmlaLink="ber_IVmed!$E$14" max="100" page="10" val="10"/>
</file>

<file path=xl/ctrlProps/ctrlProp71.xml><?xml version="1.0" encoding="utf-8"?>
<formControlPr xmlns="http://schemas.microsoft.com/office/spreadsheetml/2009/9/main" objectType="Spin" dx="15" fmlaLink="ber_IVmed!$D$14" inc="12" max="50" min="12" page="10" val="50"/>
</file>

<file path=xl/ctrlProps/ctrlProp72.xml><?xml version="1.0" encoding="utf-8"?>
<formControlPr xmlns="http://schemas.microsoft.com/office/spreadsheetml/2009/9/main" objectType="Spin" dx="15" fmlaLink="ber_IVmed!$F$10" max="150" min="1" page="10" val="10"/>
</file>

<file path=xl/ctrlProps/ctrlProp73.xml><?xml version="1.0" encoding="utf-8"?>
<formControlPr xmlns="http://schemas.microsoft.com/office/spreadsheetml/2009/9/main" objectType="Spin" dx="15" fmlaLink="ber_IVmed!#REF!" max="100" page="10" val="0"/>
</file>

<file path=xl/ctrlProps/ctrlProp74.xml><?xml version="1.0" encoding="utf-8"?>
<formControlPr xmlns="http://schemas.microsoft.com/office/spreadsheetml/2009/9/main" objectType="Spin" dx="15" fmlaLink="ber_IVmed!#REF!" inc="12" max="50" min="12" page="10" val="12"/>
</file>

<file path=xl/ctrlProps/ctrlProp75.xml><?xml version="1.0" encoding="utf-8"?>
<formControlPr xmlns="http://schemas.microsoft.com/office/spreadsheetml/2009/9/main" objectType="Spin" dx="15" fmlaLink="ber_IVmed!$F$10" max="150" min="1" page="10" val="10"/>
</file>

<file path=xl/ctrlProps/ctrlProp76.xml><?xml version="1.0" encoding="utf-8"?>
<formControlPr xmlns="http://schemas.microsoft.com/office/spreadsheetml/2009/9/main" objectType="Spin" dx="15" fmlaLink="ber_IVmed!$F$14" max="150" min="1" page="10" val="10"/>
</file>

<file path=xl/ctrlProps/ctrlProp77.xml><?xml version="1.0" encoding="utf-8"?>
<formControlPr xmlns="http://schemas.microsoft.com/office/spreadsheetml/2009/9/main" objectType="Spin" dx="15" fmlaLink="ber_IVmed!#REF!" max="150" min="1" page="10" val="0"/>
</file>

<file path=xl/ctrlProps/ctrlProp78.xml><?xml version="1.0" encoding="utf-8"?>
<formControlPr xmlns="http://schemas.microsoft.com/office/spreadsheetml/2009/9/main" objectType="Spin" dx="15" fmlaLink="ber_IVmed!$D$14" inc="12" max="50" min="12" page="10" val="50"/>
</file>

<file path=xl/ctrlProps/ctrlProp79.xml><?xml version="1.0" encoding="utf-8"?>
<formControlPr xmlns="http://schemas.microsoft.com/office/spreadsheetml/2009/9/main" objectType="Spin" dx="15" fmlaLink="ber_IVmed!$D$12" inc="12" max="50" min="12" page="10" val="50"/>
</file>

<file path=xl/ctrlProps/ctrlProp80.xml><?xml version="1.0" encoding="utf-8"?>
<formControlPr xmlns="http://schemas.microsoft.com/office/spreadsheetml/2009/9/main" objectType="Spin" dx="15" fmlaLink="ber_IVmed!$F$14" max="15" min="3" page="10" val="10"/>
</file>

<file path=xl/ctrlProps/ctrlProp81.xml><?xml version="1.0" encoding="utf-8"?>
<formControlPr xmlns="http://schemas.microsoft.com/office/spreadsheetml/2009/9/main" objectType="Spin" dx="15" fmlaLink="ber_IVmed!$F$12" max="150" min="1" page="10" val="20"/>
</file>

<file path=xl/ctrlProps/ctrlProp82.xml><?xml version="1.0" encoding="utf-8"?>
<formControlPr xmlns="http://schemas.microsoft.com/office/spreadsheetml/2009/9/main" objectType="Spin" dx="15" fmlaLink="ber_IVmed!$E$14" max="100" page="10" val="10"/>
</file>

<file path=xl/ctrlProps/ctrlProp83.xml><?xml version="1.0" encoding="utf-8"?>
<formControlPr xmlns="http://schemas.microsoft.com/office/spreadsheetml/2009/9/main" objectType="Spin" dx="15" fmlaLink="ber_IVmed!$F$22" max="10" min="1" page="10"/>
</file>

<file path=xl/ctrlProps/ctrlProp84.xml><?xml version="1.0" encoding="utf-8"?>
<formControlPr xmlns="http://schemas.microsoft.com/office/spreadsheetml/2009/9/main" objectType="Spin" dx="15" fmlaLink="ber_IVmed!$D$4" max="60" min="1" page="10" val="50"/>
</file>

<file path=xl/ctrlProps/ctrlProp85.xml><?xml version="1.0" encoding="utf-8"?>
<formControlPr xmlns="http://schemas.microsoft.com/office/spreadsheetml/2009/9/main" objectType="Spin" dx="15" fmlaLink="ber_IVmed!$E$4" max="1000" min="1" page="10" val="10"/>
</file>

<file path=xl/ctrlProps/ctrlProp86.xml><?xml version="1.0" encoding="utf-8"?>
<formControlPr xmlns="http://schemas.microsoft.com/office/spreadsheetml/2009/9/main" objectType="Spin" dx="15" fmlaLink="ber_IVmed!$F$4" max="100" min="5" page="10" val="10"/>
</file>

<file path=xl/ctrlProps/ctrlProp87.xml><?xml version="1.0" encoding="utf-8"?>
<formControlPr xmlns="http://schemas.microsoft.com/office/spreadsheetml/2009/9/main" objectType="Spin" dx="15" fmlaLink="ber_IVmed!$F$6" inc="5" max="100" min="25" page="10" val="25"/>
</file>

<file path=xl/ctrlProps/ctrlProp88.xml><?xml version="1.0" encoding="utf-8"?>
<formControlPr xmlns="http://schemas.microsoft.com/office/spreadsheetml/2009/9/main" objectType="Spin" dx="15" fmlaLink="ber_IVmed!$F$7" inc="5" max="200" min="25" page="10" val="100"/>
</file>

<file path=xl/ctrlProps/ctrlProp89.xml><?xml version="1.0" encoding="utf-8"?>
<formControlPr xmlns="http://schemas.microsoft.com/office/spreadsheetml/2009/9/main" objectType="Spin" dx="15" fmlaLink="ber_IVmed!$F$8" max="20" min="1" page="10" val="10"/>
</file>

<file path=xl/ctrlProps/ctrlProp90.xml><?xml version="1.0" encoding="utf-8"?>
<formControlPr xmlns="http://schemas.microsoft.com/office/spreadsheetml/2009/9/main" objectType="Spin" dx="15" fmlaLink="ber_IVmed!$F$10" max="30" min="5" page="10" val="10"/>
</file>

<file path=xl/ctrlProps/ctrlProp91.xml><?xml version="1.0" encoding="utf-8"?>
<formControlPr xmlns="http://schemas.microsoft.com/office/spreadsheetml/2009/9/main" objectType="Spin" dx="15" fmlaLink="ber_IVmed!$F$11" max="10" min="5" page="10" val="5"/>
</file>

<file path=xl/ctrlProps/ctrlProp92.xml><?xml version="1.0" encoding="utf-8"?>
<formControlPr xmlns="http://schemas.microsoft.com/office/spreadsheetml/2009/9/main" objectType="Spin" dx="15" fmlaLink="ber_IVmed!$F$12" inc="5" max="40" min="10" page="10" val="20"/>
</file>

<file path=xl/ctrlProps/ctrlProp93.xml><?xml version="1.0" encoding="utf-8"?>
<formControlPr xmlns="http://schemas.microsoft.com/office/spreadsheetml/2009/9/main" objectType="Spin" dx="15" fmlaLink="ber_IVmed!$F$13" inc="5" max="40" min="10" page="10" val="15"/>
</file>

<file path=xl/ctrlProps/ctrlProp94.xml><?xml version="1.0" encoding="utf-8"?>
<formControlPr xmlns="http://schemas.microsoft.com/office/spreadsheetml/2009/9/main" objectType="Spin" dx="15" fmlaLink="ber_IVmed!$F$14" max="150" min="1" page="10" val="10"/>
</file>

<file path=xl/ctrlProps/ctrlProp95.xml><?xml version="1.0" encoding="utf-8"?>
<formControlPr xmlns="http://schemas.microsoft.com/office/spreadsheetml/2009/9/main" objectType="Spin" dx="15" max="30000" page="10" val="0"/>
</file>

<file path=xl/ctrlProps/ctrlProp96.xml><?xml version="1.0" encoding="utf-8"?>
<formControlPr xmlns="http://schemas.microsoft.com/office/spreadsheetml/2009/9/main" objectType="Spin" dx="15" fmlaLink="ber_IVmed!$F$16" inc="5" max="50" min="5" page="10" val="10"/>
</file>

<file path=xl/ctrlProps/ctrlProp97.xml><?xml version="1.0" encoding="utf-8"?>
<formControlPr xmlns="http://schemas.microsoft.com/office/spreadsheetml/2009/9/main" objectType="Spin" dx="15" fmlaLink="ber_IVmed!$F$17" inc="5" max="70" min="15" page="10" val="30"/>
</file>

<file path=xl/ctrlProps/ctrlProp98.xml><?xml version="1.0" encoding="utf-8"?>
<formControlPr xmlns="http://schemas.microsoft.com/office/spreadsheetml/2009/9/main" objectType="Spin" dx="15" fmlaLink="ber_IVmed!$F$18" inc="5" max="500" min="125" page="10" val="250"/>
</file>

<file path=xl/ctrlProps/ctrlProp99.xml><?xml version="1.0" encoding="utf-8"?>
<formControlPr xmlns="http://schemas.microsoft.com/office/spreadsheetml/2009/9/main" objectType="Spin" dx="15" fmlaLink="ber_IVmed!$F$21" inc="5" max="200" min="5" page="10" val="10"/>
</file>

<file path=xl/ctrlProps/ctrlProp100.xml><?xml version="1.0" encoding="utf-8"?>
<formControlPr xmlns="http://schemas.microsoft.com/office/spreadsheetml/2009/9/main" objectType="Spin" dx="15" fmlaLink="ber_IVmed!$F$24" max="12" min="6" page="10" val="6"/>
</file>

<file path=xl/ctrlProps/ctrlProp101.xml><?xml version="1.0" encoding="utf-8"?>
<formControlPr xmlns="http://schemas.microsoft.com/office/spreadsheetml/2009/9/main" objectType="Spin" dx="15" fmlaLink="ber_IVmed!$F$25" max="20" min="2" page="10" val="2"/>
</file>

<file path=xl/ctrlProps/ctrlProp102.xml><?xml version="1.0" encoding="utf-8"?>
<formControlPr xmlns="http://schemas.microsoft.com/office/spreadsheetml/2009/9/main" objectType="Spin" dx="15" fmlaLink="ber_IVmed!$F$26" inc="10" max="100" min="50" page="10" val="70"/>
</file>

<file path=xl/ctrlProps/ctrlProp103.xml><?xml version="1.0" encoding="utf-8"?>
<formControlPr xmlns="http://schemas.microsoft.com/office/spreadsheetml/2009/9/main" objectType="Spin" dx="15" fmlaLink="ber_IVmed!$K$4" max="100" min="1" page="10"/>
</file>

<file path=xl/ctrlProps/ctrlProp104.xml><?xml version="1.0" encoding="utf-8"?>
<formControlPr xmlns="http://schemas.microsoft.com/office/spreadsheetml/2009/9/main" objectType="Spin" dx="15" fmlaLink="ber_IVmed!$K$6" inc="5" max="50" min="5" page="10" val="50"/>
</file>

<file path=xl/ctrlProps/ctrlProp105.xml><?xml version="1.0" encoding="utf-8"?>
<formControlPr xmlns="http://schemas.microsoft.com/office/spreadsheetml/2009/9/main" objectType="Spin" dx="15" fmlaLink="ber_IVmed!$K$7" inc="5" max="150" min="15" page="10" val="150"/>
</file>

<file path=xl/ctrlProps/ctrlProp106.xml><?xml version="1.0" encoding="utf-8"?>
<formControlPr xmlns="http://schemas.microsoft.com/office/spreadsheetml/2009/9/main" objectType="Spin" dx="15" fmlaLink="ber_IVmed!$K$8" inc="125" max="2500" min="125" page="10" val="2500"/>
</file>

<file path=xl/ctrlProps/ctrlProp107.xml><?xml version="1.0" encoding="utf-8"?>
<formControlPr xmlns="http://schemas.microsoft.com/office/spreadsheetml/2009/9/main" objectType="Spin" dx="15" fmlaLink="ber_IVmed!$K$10" inc="5" max="50" min="5" page="10" val="50"/>
</file>

<file path=xl/ctrlProps/ctrlProp108.xml><?xml version="1.0" encoding="utf-8"?>
<formControlPr xmlns="http://schemas.microsoft.com/office/spreadsheetml/2009/9/main" objectType="Spin" dx="15" fmlaLink="ber_IVmed!$K$11" inc="5" max="100" min="5" page="10" val="100"/>
</file>

<file path=xl/ctrlProps/ctrlProp109.xml><?xml version="1.0" encoding="utf-8"?>
<formControlPr xmlns="http://schemas.microsoft.com/office/spreadsheetml/2009/9/main" objectType="Spin" dx="15" fmlaLink="ber_IVmed!$K$12" inc="10" max="250" min="10" page="10" val="20"/>
</file>

<file path=xl/ctrlProps/ctrlProp110.xml><?xml version="1.0" encoding="utf-8"?>
<formControlPr xmlns="http://schemas.microsoft.com/office/spreadsheetml/2009/9/main" objectType="Spin" dx="15" fmlaLink="ber_IVmed!$K$13" inc="100" max="5000" min="100" page="10" val="5000"/>
</file>

<file path=xl/ctrlProps/ctrlProp111.xml><?xml version="1.0" encoding="utf-8"?>
<formControlPr xmlns="http://schemas.microsoft.com/office/spreadsheetml/2009/9/main" objectType="Spin" dx="15" fmlaLink="ber_IVmed!$K$14" inc="2" max="20" min="2" page="10" val="2"/>
</file>

<file path=xl/ctrlProps/ctrlProp112.xml><?xml version="1.0" encoding="utf-8"?>
<formControlPr xmlns="http://schemas.microsoft.com/office/spreadsheetml/2009/9/main" objectType="Spin" dx="15" max="30000" page="10" val="0"/>
</file>

<file path=xl/ctrlProps/ctrlProp113.xml><?xml version="1.0" encoding="utf-8"?>
<formControlPr xmlns="http://schemas.microsoft.com/office/spreadsheetml/2009/9/main" objectType="Spin" dx="15" fmlaLink="ber_IVmed!$K$16" inc="5" max="50" min="5" page="10" val="5"/>
</file>

<file path=xl/ctrlProps/ctrlProp114.xml><?xml version="1.0" encoding="utf-8"?>
<formControlPr xmlns="http://schemas.microsoft.com/office/spreadsheetml/2009/9/main" objectType="Spin" dx="15" fmlaLink="ber_IVmed!$K$17" max="10" min="1" page="10" val="10"/>
</file>

<file path=xl/ctrlProps/ctrlProp115.xml><?xml version="1.0" encoding="utf-8"?>
<formControlPr xmlns="http://schemas.microsoft.com/office/spreadsheetml/2009/9/main" objectType="Spin" dx="15" fmlaLink="ber_IVmed!$K$18" max="10" min="1" page="10" val="10"/>
</file>

<file path=xl/ctrlProps/ctrlProp116.xml><?xml version="1.0" encoding="utf-8"?>
<formControlPr xmlns="http://schemas.microsoft.com/office/spreadsheetml/2009/9/main" objectType="Spin" dx="15" fmlaLink="ber_IVmed!$K$21" max="5" min="1" page="10" val="5"/>
</file>

<file path=xl/ctrlProps/ctrlProp117.xml><?xml version="1.0" encoding="utf-8"?>
<formControlPr xmlns="http://schemas.microsoft.com/office/spreadsheetml/2009/9/main" objectType="Spin" dx="15" fmlaLink="ber_IVmed!$K$24" inc="10" max="50" min="10" page="10" val="50"/>
</file>

<file path=xl/ctrlProps/ctrlProp118.xml><?xml version="1.0" encoding="utf-8"?>
<formControlPr xmlns="http://schemas.microsoft.com/office/spreadsheetml/2009/9/main" objectType="Spin" dx="15" fmlaLink="ber_IVmed!$K$25" max="5" min="1" page="10" val="5"/>
</file>

<file path=xl/ctrlProps/ctrlProp119.xml><?xml version="1.0" encoding="utf-8"?>
<formControlPr xmlns="http://schemas.microsoft.com/office/spreadsheetml/2009/9/main" objectType="Spin" dx="15" fmlaLink="ber_IVmed!$K$26" inc="25" max="500" min="25" page="10" val="500"/>
</file>

<file path=xl/ctrlProps/ctrlProp120.xml><?xml version="1.0" encoding="utf-8"?>
<formControlPr xmlns="http://schemas.microsoft.com/office/spreadsheetml/2009/9/main" objectType="Spin" dx="15" fmlaLink="ber_IVmed!$D$6" max="60" min="1" page="10" val="50"/>
</file>

<file path=xl/ctrlProps/ctrlProp121.xml><?xml version="1.0" encoding="utf-8"?>
<formControlPr xmlns="http://schemas.microsoft.com/office/spreadsheetml/2009/9/main" objectType="Spin" dx="15" fmlaLink="ber_IVmed!$E$6" max="1000" min="1" page="10" val="10"/>
</file>

<file path=xl/ctrlProps/ctrlProp122.xml><?xml version="1.0" encoding="utf-8"?>
<formControlPr xmlns="http://schemas.microsoft.com/office/spreadsheetml/2009/9/main" objectType="Spin" dx="15" fmlaLink="ber_IVmed!$D$7" max="60" min="1" page="10" val="50"/>
</file>

<file path=xl/ctrlProps/ctrlProp123.xml><?xml version="1.0" encoding="utf-8"?>
<formControlPr xmlns="http://schemas.microsoft.com/office/spreadsheetml/2009/9/main" objectType="Spin" dx="15" fmlaLink="ber_IVmed!$E$7" max="1000" min="1" page="10" val="10"/>
</file>

<file path=xl/ctrlProps/ctrlProp124.xml><?xml version="1.0" encoding="utf-8"?>
<formControlPr xmlns="http://schemas.microsoft.com/office/spreadsheetml/2009/9/main" objectType="Spin" dx="15" fmlaLink="ber_IVmed!$D$8" max="60" min="1" page="10" val="50"/>
</file>

<file path=xl/ctrlProps/ctrlProp125.xml><?xml version="1.0" encoding="utf-8"?>
<formControlPr xmlns="http://schemas.microsoft.com/office/spreadsheetml/2009/9/main" objectType="Spin" dx="15" fmlaLink="ber_IVmed!$E$8" max="1000" min="1" page="10" val="10"/>
</file>

<file path=xl/ctrlProps/ctrlProp126.xml><?xml version="1.0" encoding="utf-8"?>
<formControlPr xmlns="http://schemas.microsoft.com/office/spreadsheetml/2009/9/main" objectType="Spin" dx="15" fmlaLink="ber_IVmed!$E$10" max="1000" min="1" page="10" val="10"/>
</file>

<file path=xl/ctrlProps/ctrlProp127.xml><?xml version="1.0" encoding="utf-8"?>
<formControlPr xmlns="http://schemas.microsoft.com/office/spreadsheetml/2009/9/main" objectType="Spin" dx="15" fmlaLink="ber_IVmed!$D$11" max="60" min="1" page="10" val="50"/>
</file>

<file path=xl/ctrlProps/ctrlProp128.xml><?xml version="1.0" encoding="utf-8"?>
<formControlPr xmlns="http://schemas.microsoft.com/office/spreadsheetml/2009/9/main" objectType="Spin" dx="15" fmlaLink="ber_IVmed!$E$11" max="1000" min="1" page="10" val="10"/>
</file>

<file path=xl/ctrlProps/ctrlProp129.xml><?xml version="1.0" encoding="utf-8"?>
<formControlPr xmlns="http://schemas.microsoft.com/office/spreadsheetml/2009/9/main" objectType="Spin" dx="15" fmlaLink="ber_IVmed!$D$12" max="60" min="1" page="10" val="50"/>
</file>

<file path=xl/ctrlProps/ctrlProp130.xml><?xml version="1.0" encoding="utf-8"?>
<formControlPr xmlns="http://schemas.microsoft.com/office/spreadsheetml/2009/9/main" objectType="Spin" dx="15" fmlaLink="ber_IVmed!$E$12" max="1000" min="1" page="10" val="10"/>
</file>

<file path=xl/ctrlProps/ctrlProp131.xml><?xml version="1.0" encoding="utf-8"?>
<formControlPr xmlns="http://schemas.microsoft.com/office/spreadsheetml/2009/9/main" objectType="Spin" dx="15" fmlaLink="ber_IVmed!$D$13" max="60" min="1" page="10" val="50"/>
</file>

<file path=xl/ctrlProps/ctrlProp132.xml><?xml version="1.0" encoding="utf-8"?>
<formControlPr xmlns="http://schemas.microsoft.com/office/spreadsheetml/2009/9/main" objectType="Spin" dx="15" fmlaLink="ber_IVmed!$E$13" max="1000" min="1" page="10" val="10"/>
</file>

<file path=xl/ctrlProps/ctrlProp133.xml><?xml version="1.0" encoding="utf-8"?>
<formControlPr xmlns="http://schemas.microsoft.com/office/spreadsheetml/2009/9/main" objectType="Spin" dx="15" fmlaLink="ber_IVmed!$D$14" max="60" min="1" page="10" val="50"/>
</file>

<file path=xl/ctrlProps/ctrlProp134.xml><?xml version="1.0" encoding="utf-8"?>
<formControlPr xmlns="http://schemas.microsoft.com/office/spreadsheetml/2009/9/main" objectType="Spin" dx="15" fmlaLink="ber_IVmed!$E$14" max="1000" min="1" page="10" val="10"/>
</file>

<file path=xl/ctrlProps/ctrlProp135.xml><?xml version="1.0" encoding="utf-8"?>
<formControlPr xmlns="http://schemas.microsoft.com/office/spreadsheetml/2009/9/main" objectType="Spin" dx="15" fmlaLink="ber_IVmed!$D$15" max="60" min="1" page="10" val="50"/>
</file>

<file path=xl/ctrlProps/ctrlProp136.xml><?xml version="1.0" encoding="utf-8"?>
<formControlPr xmlns="http://schemas.microsoft.com/office/spreadsheetml/2009/9/main" objectType="Spin" dx="15" fmlaLink="ber_IVmed!$E$15" max="1000" min="1" page="10" val="10"/>
</file>

<file path=xl/ctrlProps/ctrlProp137.xml><?xml version="1.0" encoding="utf-8"?>
<formControlPr xmlns="http://schemas.microsoft.com/office/spreadsheetml/2009/9/main" objectType="Spin" dx="15" fmlaLink="ber_IVmed!$D$16" max="60" min="1" page="10" val="50"/>
</file>

<file path=xl/ctrlProps/ctrlProp138.xml><?xml version="1.0" encoding="utf-8"?>
<formControlPr xmlns="http://schemas.microsoft.com/office/spreadsheetml/2009/9/main" objectType="Spin" dx="15" fmlaLink="ber_IVmed!$E$16" max="1000" min="1" page="10" val="10"/>
</file>

<file path=xl/ctrlProps/ctrlProp139.xml><?xml version="1.0" encoding="utf-8"?>
<formControlPr xmlns="http://schemas.microsoft.com/office/spreadsheetml/2009/9/main" objectType="Spin" dx="15" fmlaLink="ber_IVmed!$D$17" max="60" min="1" page="10" val="50"/>
</file>

<file path=xl/ctrlProps/ctrlProp140.xml><?xml version="1.0" encoding="utf-8"?>
<formControlPr xmlns="http://schemas.microsoft.com/office/spreadsheetml/2009/9/main" objectType="Spin" dx="15" fmlaLink="ber_IVmed!$E$17" max="1000" min="1" page="10" val="10"/>
</file>

<file path=xl/ctrlProps/ctrlProp141.xml><?xml version="1.0" encoding="utf-8"?>
<formControlPr xmlns="http://schemas.microsoft.com/office/spreadsheetml/2009/9/main" objectType="Spin" dx="15" fmlaLink="ber_IVmed!$D$18" max="60" min="1" page="10" val="50"/>
</file>

<file path=xl/ctrlProps/ctrlProp142.xml><?xml version="1.0" encoding="utf-8"?>
<formControlPr xmlns="http://schemas.microsoft.com/office/spreadsheetml/2009/9/main" objectType="Spin" dx="15" fmlaLink="ber_IVmed!$E$18" max="1000" min="1" page="10" val="10"/>
</file>

<file path=xl/ctrlProps/ctrlProp143.xml><?xml version="1.0" encoding="utf-8"?>
<formControlPr xmlns="http://schemas.microsoft.com/office/spreadsheetml/2009/9/main" objectType="Spin" dx="15" fmlaLink="ber_IVmed!$D$21" max="60" min="1" page="10" val="50"/>
</file>

<file path=xl/ctrlProps/ctrlProp144.xml><?xml version="1.0" encoding="utf-8"?>
<formControlPr xmlns="http://schemas.microsoft.com/office/spreadsheetml/2009/9/main" objectType="Spin" dx="15" fmlaLink="ber_IVmed!$E$21" max="1000" min="1" page="10" val="10"/>
</file>

<file path=xl/ctrlProps/ctrlProp145.xml><?xml version="1.0" encoding="utf-8"?>
<formControlPr xmlns="http://schemas.microsoft.com/office/spreadsheetml/2009/9/main" objectType="Spin" dx="15" fmlaLink="ber_IVmed!$D$24" max="60" min="1" page="10" val="50"/>
</file>

<file path=xl/ctrlProps/ctrlProp146.xml><?xml version="1.0" encoding="utf-8"?>
<formControlPr xmlns="http://schemas.microsoft.com/office/spreadsheetml/2009/9/main" objectType="Spin" dx="15" fmlaLink="ber_IVmed!$E$24" max="1000" min="1" page="10" val="10"/>
</file>

<file path=xl/ctrlProps/ctrlProp147.xml><?xml version="1.0" encoding="utf-8"?>
<formControlPr xmlns="http://schemas.microsoft.com/office/spreadsheetml/2009/9/main" objectType="Spin" dx="15" fmlaLink="ber_IVmed!$D$25" max="60" min="1" page="10" val="50"/>
</file>

<file path=xl/ctrlProps/ctrlProp148.xml><?xml version="1.0" encoding="utf-8"?>
<formControlPr xmlns="http://schemas.microsoft.com/office/spreadsheetml/2009/9/main" objectType="Spin" dx="15" fmlaLink="ber_IVmed!$E$25" max="1000" min="1" page="10" val="10"/>
</file>

<file path=xl/ctrlProps/ctrlProp149.xml><?xml version="1.0" encoding="utf-8"?>
<formControlPr xmlns="http://schemas.microsoft.com/office/spreadsheetml/2009/9/main" objectType="Spin" dx="15" fmlaLink="ber_IVmed!$D$26" max="60" min="1" page="10" val="50"/>
</file>

<file path=xl/ctrlProps/ctrlProp150.xml><?xml version="1.0" encoding="utf-8"?>
<formControlPr xmlns="http://schemas.microsoft.com/office/spreadsheetml/2009/9/main" objectType="Spin" dx="15" fmlaLink="ber_IVmed!$E$26" max="1000" min="1" page="10" val="10"/>
</file>

<file path=xl/ctrlProps/ctrlProp151.xml><?xml version="1.0" encoding="utf-8"?>
<formControlPr xmlns="http://schemas.microsoft.com/office/spreadsheetml/2009/9/main" objectType="Spin" dx="15" fmlaLink="ber_IVmed!$D$3" max="60" min="1" page="10" val="50"/>
</file>

<file path=xl/ctrlProps/ctrlProp152.xml><?xml version="1.0" encoding="utf-8"?>
<formControlPr xmlns="http://schemas.microsoft.com/office/spreadsheetml/2009/9/main" objectType="Spin" dx="15" fmlaLink="ber_IVmed!$E$3" max="1000" min="1" page="10" val="10"/>
</file>

<file path=xl/ctrlProps/ctrlProp153.xml><?xml version="1.0" encoding="utf-8"?>
<formControlPr xmlns="http://schemas.microsoft.com/office/spreadsheetml/2009/9/main" objectType="Spin" dx="15" fmlaLink="ber_IVmed!$F$3" max="500" min="1" page="10" val="5"/>
</file>

<file path=xl/ctrlProps/ctrlProp154.xml><?xml version="1.0" encoding="utf-8"?>
<formControlPr xmlns="http://schemas.microsoft.com/office/spreadsheetml/2009/9/main" objectType="Spin" dx="15" fmlaLink="ber_IVmed!$K$3" max="100" min="10" page="10" val="10"/>
</file>

<file path=xl/ctrlProps/ctrlProp155.xml><?xml version="1.0" encoding="utf-8"?>
<formControlPr xmlns="http://schemas.microsoft.com/office/spreadsheetml/2009/9/main" objectType="Spin" dx="15" fmlaLink="ber_IVmed!$F$9" max="20" min="1" page="10" val="5"/>
</file>

<file path=xl/ctrlProps/ctrlProp156.xml><?xml version="1.0" encoding="utf-8"?>
<formControlPr xmlns="http://schemas.microsoft.com/office/spreadsheetml/2009/9/main" objectType="Spin" dx="15" fmlaLink="ber_IVmed!$K$9" inc="10" max="200" min="40" page="10" val="200"/>
</file>

<file path=xl/ctrlProps/ctrlProp157.xml><?xml version="1.0" encoding="utf-8"?>
<formControlPr xmlns="http://schemas.microsoft.com/office/spreadsheetml/2009/9/main" objectType="Spin" dx="15" fmlaLink="ber_IVmed!$D$9" max="60" min="1" page="10" val="50"/>
</file>

<file path=xl/ctrlProps/ctrlProp158.xml><?xml version="1.0" encoding="utf-8"?>
<formControlPr xmlns="http://schemas.microsoft.com/office/spreadsheetml/2009/9/main" objectType="Spin" dx="15" fmlaLink="ber_IVmed!$E$9" max="1000" min="1" page="10" val="10"/>
</file>

<file path=xl/ctrlProps/ctrlProp159.xml><?xml version="1.0" encoding="utf-8"?>
<formControlPr xmlns="http://schemas.microsoft.com/office/spreadsheetml/2009/9/main" objectType="Spin" dx="15" fmlaLink="ber_IVmed!$D$27" inc="24" max="100" min="24" page="10" val="100"/>
</file>

<file path=xl/ctrlProps/ctrlProp160.xml><?xml version="1.0" encoding="utf-8"?>
<formControlPr xmlns="http://schemas.microsoft.com/office/spreadsheetml/2009/9/main" objectType="Spin" dx="15" fmlaLink="ber_IVmed!$C$27" max="48" min="1" page="10"/>
</file>

<file path=xl/ctrlProps/ctrlProp161.xml><?xml version="1.0" encoding="utf-8"?>
<formControlPr xmlns="http://schemas.microsoft.com/office/spreadsheetml/2009/9/main" objectType="Spin" dx="15" fmlaLink="ber_Med_disc!$I$2" max="12" min="1" page="10"/>
</file>

<file path=xl/ctrlProps/ctrlProp162.xml><?xml version="1.0" encoding="utf-8"?>
<formControlPr xmlns="http://schemas.microsoft.com/office/spreadsheetml/2009/9/main" objectType="Spin" dx="15" fmlaLink="ber_Med_disc!$G$2" max="100" page="10" val="0"/>
</file>

<file path=xl/ctrlProps/ctrlProp163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164.xml><?xml version="1.0" encoding="utf-8"?>
<formControlPr xmlns="http://schemas.microsoft.com/office/spreadsheetml/2009/9/main" objectType="Spin" dx="15" fmlaLink="ber_Med_disc!$N$2" max="30000" page="10" val="0"/>
</file>

<file path=xl/ctrlProps/ctrlProp165.xml><?xml version="1.0" encoding="utf-8"?>
<formControlPr xmlns="http://schemas.microsoft.com/office/spreadsheetml/2009/9/main" objectType="Spin" dx="15" fmlaLink="ber_Med_disc!$G$3" max="100" page="10" val="0"/>
</file>

<file path=xl/ctrlProps/ctrlProp166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167.xml><?xml version="1.0" encoding="utf-8"?>
<formControlPr xmlns="http://schemas.microsoft.com/office/spreadsheetml/2009/9/main" objectType="Spin" dx="15" fmlaLink="ber_Med_disc!$N$3" max="30000" page="10" val="0"/>
</file>

<file path=xl/ctrlProps/ctrlProp168.xml><?xml version="1.0" encoding="utf-8"?>
<formControlPr xmlns="http://schemas.microsoft.com/office/spreadsheetml/2009/9/main" objectType="Spin" dx="15" fmlaLink="ber_Med_disc!$I$4" max="12" min="1" page="10"/>
</file>

<file path=xl/ctrlProps/ctrlProp169.xml><?xml version="1.0" encoding="utf-8"?>
<formControlPr xmlns="http://schemas.microsoft.com/office/spreadsheetml/2009/9/main" objectType="Spin" dx="15" fmlaLink="ber_Med_disc!$G$4" max="10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ber_Med_disc!$N$4" max="30000" page="10" val="0"/>
</file>

<file path=xl/ctrlProps/ctrlProp172.xml><?xml version="1.0" encoding="utf-8"?>
<formControlPr xmlns="http://schemas.microsoft.com/office/spreadsheetml/2009/9/main" objectType="Spin" dx="15" fmlaLink="ber_Med_disc!$I$5" max="12" min="1" page="10"/>
</file>

<file path=xl/ctrlProps/ctrlProp173.xml><?xml version="1.0" encoding="utf-8"?>
<formControlPr xmlns="http://schemas.microsoft.com/office/spreadsheetml/2009/9/main" objectType="Spin" dx="15" fmlaLink="ber_Med_disc!$G$5" max="100" page="10" val="0"/>
</file>

<file path=xl/ctrlProps/ctrlProp174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175.xml><?xml version="1.0" encoding="utf-8"?>
<formControlPr xmlns="http://schemas.microsoft.com/office/spreadsheetml/2009/9/main" objectType="Spin" dx="15" fmlaLink="ber_Med_disc!$N$5" max="30000" page="10" val="0"/>
</file>

<file path=xl/ctrlProps/ctrlProp176.xml><?xml version="1.0" encoding="utf-8"?>
<formControlPr xmlns="http://schemas.microsoft.com/office/spreadsheetml/2009/9/main" objectType="Spin" dx="15" fmlaLink="ber_Med_disc!$I$6" max="12" min="1" page="10"/>
</file>

<file path=xl/ctrlProps/ctrlProp177.xml><?xml version="1.0" encoding="utf-8"?>
<formControlPr xmlns="http://schemas.microsoft.com/office/spreadsheetml/2009/9/main" objectType="Spin" dx="15" fmlaLink="ber_Med_disc!$G$6" max="100" page="10" val="0"/>
</file>

<file path=xl/ctrlProps/ctrlProp178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N$6" max="30000" page="10" val="0"/>
</file>

<file path=xl/ctrlProps/ctrlProp180.xml><?xml version="1.0" encoding="utf-8"?>
<formControlPr xmlns="http://schemas.microsoft.com/office/spreadsheetml/2009/9/main" objectType="Spin" dx="15" fmlaLink="ber_Med_disc!$I$7" max="12" min="1" page="10"/>
</file>

<file path=xl/ctrlProps/ctrlProp181.xml><?xml version="1.0" encoding="utf-8"?>
<formControlPr xmlns="http://schemas.microsoft.com/office/spreadsheetml/2009/9/main" objectType="Spin" dx="15" fmlaLink="ber_Med_disc!$G$7" max="100" page="10" val="0"/>
</file>

<file path=xl/ctrlProps/ctrlProp182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183.xml><?xml version="1.0" encoding="utf-8"?>
<formControlPr xmlns="http://schemas.microsoft.com/office/spreadsheetml/2009/9/main" objectType="Spin" dx="15" fmlaLink="ber_Med_disc!$N$7" max="30000" page="10" val="0"/>
</file>

<file path=xl/ctrlProps/ctrlProp184.xml><?xml version="1.0" encoding="utf-8"?>
<formControlPr xmlns="http://schemas.microsoft.com/office/spreadsheetml/2009/9/main" objectType="Spin" dx="15" fmlaLink="ber_Med_disc!$I$8" max="12" min="1" page="10"/>
</file>

<file path=xl/ctrlProps/ctrlProp185.xml><?xml version="1.0" encoding="utf-8"?>
<formControlPr xmlns="http://schemas.microsoft.com/office/spreadsheetml/2009/9/main" objectType="Spin" dx="15" fmlaLink="ber_Med_disc!$G$8" max="100" page="10" val="0"/>
</file>

<file path=xl/ctrlProps/ctrlProp186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187.xml><?xml version="1.0" encoding="utf-8"?>
<formControlPr xmlns="http://schemas.microsoft.com/office/spreadsheetml/2009/9/main" objectType="Spin" dx="15" fmlaLink="ber_Med_disc!$N$8" max="30000" page="10" val="0"/>
</file>

<file path=xl/ctrlProps/ctrlProp188.xml><?xml version="1.0" encoding="utf-8"?>
<formControlPr xmlns="http://schemas.microsoft.com/office/spreadsheetml/2009/9/main" objectType="Spin" dx="15" fmlaLink="ber_Med_disc!$I$9" max="12" min="1" page="10"/>
</file>

<file path=xl/ctrlProps/ctrlProp189.xml><?xml version="1.0" encoding="utf-8"?>
<formControlPr xmlns="http://schemas.microsoft.com/office/spreadsheetml/2009/9/main" objectType="Spin" dx="15" fmlaLink="ber_Med_disc!$G$9" max="100" page="10" val="0"/>
</file>

<file path=xl/ctrlProps/ctrlProp190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91.xml><?xml version="1.0" encoding="utf-8"?>
<formControlPr xmlns="http://schemas.microsoft.com/office/spreadsheetml/2009/9/main" objectType="Spin" dx="15" fmlaLink="ber_Med_disc!$N$9" max="30000" page="10" val="0"/>
</file>

<file path=xl/ctrlProps/ctrlProp192.xml><?xml version="1.0" encoding="utf-8"?>
<formControlPr xmlns="http://schemas.microsoft.com/office/spreadsheetml/2009/9/main" objectType="Spin" dx="15" fmlaLink="ber_Med_disc!$I$10" max="12" min="1" page="10"/>
</file>

<file path=xl/ctrlProps/ctrlProp193.xml><?xml version="1.0" encoding="utf-8"?>
<formControlPr xmlns="http://schemas.microsoft.com/office/spreadsheetml/2009/9/main" objectType="Spin" dx="15" fmlaLink="ber_Med_disc!$G$10" max="100" page="10" val="0"/>
</file>

<file path=xl/ctrlProps/ctrlProp194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95.xml><?xml version="1.0" encoding="utf-8"?>
<formControlPr xmlns="http://schemas.microsoft.com/office/spreadsheetml/2009/9/main" objectType="Spin" dx="15" fmlaLink="ber_Med_disc!$N$10" max="30000" page="10" val="0"/>
</file>

<file path=xl/ctrlProps/ctrlProp196.xml><?xml version="1.0" encoding="utf-8"?>
<formControlPr xmlns="http://schemas.microsoft.com/office/spreadsheetml/2009/9/main" objectType="Spin" dx="15" fmlaLink="ber_Med_disc!$I$11" max="12" min="1" page="10"/>
</file>

<file path=xl/ctrlProps/ctrlProp197.xml><?xml version="1.0" encoding="utf-8"?>
<formControlPr xmlns="http://schemas.microsoft.com/office/spreadsheetml/2009/9/main" objectType="Spin" dx="15" fmlaLink="ber_Med_disc!$G$11" max="100" page="10" val="0"/>
</file>

<file path=xl/ctrlProps/ctrlProp198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N$11" max="30000" page="10" val="0"/>
</file>

<file path=xl/ctrlProps/ctrlProp200.xml><?xml version="1.0" encoding="utf-8"?>
<formControlPr xmlns="http://schemas.microsoft.com/office/spreadsheetml/2009/9/main" objectType="Spin" dx="15" fmlaLink="ber_Med_disc!$I$12" max="12" min="1" page="10"/>
</file>

<file path=xl/ctrlProps/ctrlProp201.xml><?xml version="1.0" encoding="utf-8"?>
<formControlPr xmlns="http://schemas.microsoft.com/office/spreadsheetml/2009/9/main" objectType="Spin" dx="15" fmlaLink="ber_Med_disc!$G$12" max="100" page="10" val="0"/>
</file>

<file path=xl/ctrlProps/ctrlProp202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203.xml><?xml version="1.0" encoding="utf-8"?>
<formControlPr xmlns="http://schemas.microsoft.com/office/spreadsheetml/2009/9/main" objectType="Spin" dx="15" fmlaLink="ber_Med_disc!$N$12" max="30000" page="10" val="0"/>
</file>

<file path=xl/ctrlProps/ctrlProp204.xml><?xml version="1.0" encoding="utf-8"?>
<formControlPr xmlns="http://schemas.microsoft.com/office/spreadsheetml/2009/9/main" objectType="Spin" dx="15" fmlaLink="ber_Med_disc!$I$13" max="12" min="1" page="10"/>
</file>

<file path=xl/ctrlProps/ctrlProp205.xml><?xml version="1.0" encoding="utf-8"?>
<formControlPr xmlns="http://schemas.microsoft.com/office/spreadsheetml/2009/9/main" objectType="Spin" dx="15" fmlaLink="ber_Med_disc!$G$13" max="100" page="10" val="0"/>
</file>

<file path=xl/ctrlProps/ctrlProp206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207.xml><?xml version="1.0" encoding="utf-8"?>
<formControlPr xmlns="http://schemas.microsoft.com/office/spreadsheetml/2009/9/main" objectType="Spin" dx="15" fmlaLink="ber_Med_disc!$N$13" max="30000" page="10" val="0"/>
</file>

<file path=xl/ctrlProps/ctrlProp208.xml><?xml version="1.0" encoding="utf-8"?>
<formControlPr xmlns="http://schemas.microsoft.com/office/spreadsheetml/2009/9/main" objectType="Spin" dx="15" fmlaLink="ber_Med_disc!$I$14" max="12" min="1" page="10"/>
</file>

<file path=xl/ctrlProps/ctrlProp209.xml><?xml version="1.0" encoding="utf-8"?>
<formControlPr xmlns="http://schemas.microsoft.com/office/spreadsheetml/2009/9/main" objectType="Spin" dx="15" fmlaLink="ber_Med_disc!$G$14" max="100" page="10" val="0"/>
</file>

<file path=xl/ctrlProps/ctrlProp210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211.xml><?xml version="1.0" encoding="utf-8"?>
<formControlPr xmlns="http://schemas.microsoft.com/office/spreadsheetml/2009/9/main" objectType="Spin" dx="15" fmlaLink="ber_Med_disc!$N$14" max="30000" page="10" val="0"/>
</file>

<file path=xl/ctrlProps/ctrlProp212.xml><?xml version="1.0" encoding="utf-8"?>
<formControlPr xmlns="http://schemas.microsoft.com/office/spreadsheetml/2009/9/main" objectType="Spin" dx="15" fmlaLink="ber_Med_disc!$I$15" max="12" min="1" page="10"/>
</file>

<file path=xl/ctrlProps/ctrlProp213.xml><?xml version="1.0" encoding="utf-8"?>
<formControlPr xmlns="http://schemas.microsoft.com/office/spreadsheetml/2009/9/main" objectType="Spin" dx="15" fmlaLink="ber_Med_disc!$G$15" max="100" page="10" val="0"/>
</file>

<file path=xl/ctrlProps/ctrlProp214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215.xml><?xml version="1.0" encoding="utf-8"?>
<formControlPr xmlns="http://schemas.microsoft.com/office/spreadsheetml/2009/9/main" objectType="Spin" dx="15" fmlaLink="ber_Med_disc!$N$15" max="30000" page="10" val="0"/>
</file>

<file path=xl/ctrlProps/ctrlProp216.xml><?xml version="1.0" encoding="utf-8"?>
<formControlPr xmlns="http://schemas.microsoft.com/office/spreadsheetml/2009/9/main" objectType="Spin" dx="15" fmlaLink="ber_Med_disc!$I$16" max="12" min="1" page="10"/>
</file>

<file path=xl/ctrlProps/ctrlProp217.xml><?xml version="1.0" encoding="utf-8"?>
<formControlPr xmlns="http://schemas.microsoft.com/office/spreadsheetml/2009/9/main" objectType="Spin" dx="15" fmlaLink="ber_Med_disc!$G$16" max="100" page="10" val="0"/>
</file>

<file path=xl/ctrlProps/ctrlProp218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N$16" max="30000" page="10" val="0"/>
</file>

<file path=xl/ctrlProps/ctrlProp220.xml><?xml version="1.0" encoding="utf-8"?>
<formControlPr xmlns="http://schemas.microsoft.com/office/spreadsheetml/2009/9/main" objectType="Spin" dx="15" fmlaLink="ber_Med_disc!$I$17" max="12" min="1" page="10"/>
</file>

<file path=xl/ctrlProps/ctrlProp221.xml><?xml version="1.0" encoding="utf-8"?>
<formControlPr xmlns="http://schemas.microsoft.com/office/spreadsheetml/2009/9/main" objectType="Spin" dx="15" fmlaLink="ber_Med_disc!$G$17" max="1000" page="10" val="0"/>
</file>

<file path=xl/ctrlProps/ctrlProp222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223.xml><?xml version="1.0" encoding="utf-8"?>
<formControlPr xmlns="http://schemas.microsoft.com/office/spreadsheetml/2009/9/main" objectType="Spin" dx="15" fmlaLink="ber_Med_disc!$N$17" max="30000" page="10" val="0"/>
</file>

<file path=xl/ctrlProps/ctrlProp224.xml><?xml version="1.0" encoding="utf-8"?>
<formControlPr xmlns="http://schemas.microsoft.com/office/spreadsheetml/2009/9/main" objectType="Spin" dx="15" fmlaLink="ber_Med_disc!$I$18" max="12" min="1" page="10"/>
</file>

<file path=xl/ctrlProps/ctrlProp225.xml><?xml version="1.0" encoding="utf-8"?>
<formControlPr xmlns="http://schemas.microsoft.com/office/spreadsheetml/2009/9/main" objectType="Spin" dx="15" fmlaLink="ber_Med_disc!$G$18" max="1000" page="10" val="0"/>
</file>

<file path=xl/ctrlProps/ctrlProp226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227.xml><?xml version="1.0" encoding="utf-8"?>
<formControlPr xmlns="http://schemas.microsoft.com/office/spreadsheetml/2009/9/main" objectType="Spin" dx="15" fmlaLink="ber_Med_disc!$N$18" max="30000" page="10" val="0"/>
</file>

<file path=xl/ctrlProps/ctrlProp228.xml><?xml version="1.0" encoding="utf-8"?>
<formControlPr xmlns="http://schemas.microsoft.com/office/spreadsheetml/2009/9/main" objectType="Spin" dx="15" fmlaLink="ber_Med_disc!$I$19" max="12" min="1" page="10"/>
</file>

<file path=xl/ctrlProps/ctrlProp229.xml><?xml version="1.0" encoding="utf-8"?>
<formControlPr xmlns="http://schemas.microsoft.com/office/spreadsheetml/2009/9/main" objectType="Spin" dx="15" fmlaLink="ber_Med_disc!$G$19" max="1000" page="10" val="0"/>
</file>

<file path=xl/ctrlProps/ctrlProp230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231.xml><?xml version="1.0" encoding="utf-8"?>
<formControlPr xmlns="http://schemas.microsoft.com/office/spreadsheetml/2009/9/main" objectType="Spin" dx="15" fmlaLink="ber_Med_disc!$N$19" max="30000" page="10" val="0"/>
</file>

<file path=xl/ctrlProps/ctrlProp232.xml><?xml version="1.0" encoding="utf-8"?>
<formControlPr xmlns="http://schemas.microsoft.com/office/spreadsheetml/2009/9/main" objectType="Spin" dx="15" fmlaLink="ber_Med_disc!$I$20" max="12" min="1" page="10"/>
</file>

<file path=xl/ctrlProps/ctrlProp233.xml><?xml version="1.0" encoding="utf-8"?>
<formControlPr xmlns="http://schemas.microsoft.com/office/spreadsheetml/2009/9/main" objectType="Spin" dx="15" fmlaLink="ber_Med_disc!$G$20" max="1000" page="10" val="0"/>
</file>

<file path=xl/ctrlProps/ctrlProp234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235.xml><?xml version="1.0" encoding="utf-8"?>
<formControlPr xmlns="http://schemas.microsoft.com/office/spreadsheetml/2009/9/main" objectType="Spin" dx="15" fmlaLink="ber_Med_disc!$N$20" max="30000" page="10" val="0"/>
</file>

<file path=xl/ctrlProps/ctrlProp236.xml><?xml version="1.0" encoding="utf-8"?>
<formControlPr xmlns="http://schemas.microsoft.com/office/spreadsheetml/2009/9/main" objectType="Spin" dx="15" fmlaLink="ber_Med_disc!$I$21" max="12" min="1" page="10"/>
</file>

<file path=xl/ctrlProps/ctrlProp237.xml><?xml version="1.0" encoding="utf-8"?>
<formControlPr xmlns="http://schemas.microsoft.com/office/spreadsheetml/2009/9/main" objectType="Spin" dx="15" fmlaLink="ber_Med_disc!$G$21" max="1000" page="10" val="0"/>
</file>

<file path=xl/ctrlProps/ctrlProp238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239.xml><?xml version="1.0" encoding="utf-8"?>
<formControlPr xmlns="http://schemas.microsoft.com/office/spreadsheetml/2009/9/main" objectType="Spin" dx="15" fmlaLink="ber_Med_disc!$N$21" max="30000" page="10" val="0"/>
</file>

<file path=xl/ctrlProps/ctrlProp240.xml><?xml version="1.0" encoding="utf-8"?>
<formControlPr xmlns="http://schemas.microsoft.com/office/spreadsheetml/2009/9/main" objectType="Spin" dx="15" fmlaLink="ber_Med_disc!$I$3" max="12" min="1" page="10"/>
</file>

<file path=xl/ctrlProps/ctrlProp241.xml><?xml version="1.0" encoding="utf-8"?>
<formControlPr xmlns="http://schemas.microsoft.com/office/spreadsheetml/2009/9/main" objectType="Spin" dx="15" fmlaLink="ber_Med_disc!$Q$2" inc="5" max="1440" page="10" val="0"/>
</file>

<file path=xl/ctrlProps/ctrlProp242.xml><?xml version="1.0" encoding="utf-8"?>
<formControlPr xmlns="http://schemas.microsoft.com/office/spreadsheetml/2009/9/main" objectType="Spin" dx="15" fmlaLink="ber_Med_disc!$Q$3" inc="5" max="1440" page="10" val="0"/>
</file>

<file path=xl/ctrlProps/ctrlProp243.xml><?xml version="1.0" encoding="utf-8"?>
<formControlPr xmlns="http://schemas.microsoft.com/office/spreadsheetml/2009/9/main" objectType="Spin" dx="15" fmlaLink="ber_Med_disc!$Q$4" inc="5" max="1440" page="10" val="0"/>
</file>

<file path=xl/ctrlProps/ctrlProp244.xml><?xml version="1.0" encoding="utf-8"?>
<formControlPr xmlns="http://schemas.microsoft.com/office/spreadsheetml/2009/9/main" objectType="Spin" dx="15" fmlaLink="ber_Med_disc!$Q$5" inc="5" max="1440" page="10" val="0"/>
</file>

<file path=xl/ctrlProps/ctrlProp245.xml><?xml version="1.0" encoding="utf-8"?>
<formControlPr xmlns="http://schemas.microsoft.com/office/spreadsheetml/2009/9/main" objectType="Spin" dx="15" fmlaLink="ber_Med_disc!$Q$6" inc="5" max="1440" page="10" val="0"/>
</file>

<file path=xl/ctrlProps/ctrlProp246.xml><?xml version="1.0" encoding="utf-8"?>
<formControlPr xmlns="http://schemas.microsoft.com/office/spreadsheetml/2009/9/main" objectType="Spin" dx="15" fmlaLink="ber_Med_disc!$Q$7" inc="5" max="1440" page="10" val="0"/>
</file>

<file path=xl/ctrlProps/ctrlProp247.xml><?xml version="1.0" encoding="utf-8"?>
<formControlPr xmlns="http://schemas.microsoft.com/office/spreadsheetml/2009/9/main" objectType="Spin" dx="15" fmlaLink="ber_Med_disc!$Q$8" inc="5" max="1440" page="10" val="0"/>
</file>

<file path=xl/ctrlProps/ctrlProp248.xml><?xml version="1.0" encoding="utf-8"?>
<formControlPr xmlns="http://schemas.microsoft.com/office/spreadsheetml/2009/9/main" objectType="Spin" dx="15" fmlaLink="ber_Med_disc!$Q$9" inc="5" max="1440" page="10" val="0"/>
</file>

<file path=xl/ctrlProps/ctrlProp249.xml><?xml version="1.0" encoding="utf-8"?>
<formControlPr xmlns="http://schemas.microsoft.com/office/spreadsheetml/2009/9/main" objectType="Spin" dx="15" fmlaLink="ber_Med_disc!$Q$10" inc="5" max="1440" page="10" val="0"/>
</file>

<file path=xl/ctrlProps/ctrlProp250.xml><?xml version="1.0" encoding="utf-8"?>
<formControlPr xmlns="http://schemas.microsoft.com/office/spreadsheetml/2009/9/main" objectType="Spin" dx="15" fmlaLink="ber_Med_disc!$Q$11" inc="5" max="1440" page="10" val="0"/>
</file>

<file path=xl/ctrlProps/ctrlProp251.xml><?xml version="1.0" encoding="utf-8"?>
<formControlPr xmlns="http://schemas.microsoft.com/office/spreadsheetml/2009/9/main" objectType="Spin" dx="15" fmlaLink="ber_Med_disc!$Q$12" inc="5" max="1440" page="10" val="0"/>
</file>

<file path=xl/ctrlProps/ctrlProp252.xml><?xml version="1.0" encoding="utf-8"?>
<formControlPr xmlns="http://schemas.microsoft.com/office/spreadsheetml/2009/9/main" objectType="Spin" dx="15" fmlaLink="ber_Med_disc!$Q$13" inc="5" max="1440" page="10" val="0"/>
</file>

<file path=xl/ctrlProps/ctrlProp253.xml><?xml version="1.0" encoding="utf-8"?>
<formControlPr xmlns="http://schemas.microsoft.com/office/spreadsheetml/2009/9/main" objectType="Spin" dx="15" fmlaLink="ber_Med_disc!$Q$14" inc="5" max="1440" page="10" val="0"/>
</file>

<file path=xl/ctrlProps/ctrlProp254.xml><?xml version="1.0" encoding="utf-8"?>
<formControlPr xmlns="http://schemas.microsoft.com/office/spreadsheetml/2009/9/main" objectType="Spin" dx="15" fmlaLink="ber_Med_disc!$Q$15" inc="5" max="1440" page="10" val="0"/>
</file>

<file path=xl/ctrlProps/ctrlProp255.xml><?xml version="1.0" encoding="utf-8"?>
<formControlPr xmlns="http://schemas.microsoft.com/office/spreadsheetml/2009/9/main" objectType="Spin" dx="15" fmlaLink="ber_Med_disc!$Q$16" inc="5" max="1440" page="10" val="0"/>
</file>

<file path=xl/ctrlProps/ctrlProp256.xml><?xml version="1.0" encoding="utf-8"?>
<formControlPr xmlns="http://schemas.microsoft.com/office/spreadsheetml/2009/9/main" objectType="Spin" dx="15" fmlaLink="ber_Med_disc!$Q$17" inc="5" max="1440" page="10" val="0"/>
</file>

<file path=xl/ctrlProps/ctrlProp257.xml><?xml version="1.0" encoding="utf-8"?>
<formControlPr xmlns="http://schemas.microsoft.com/office/spreadsheetml/2009/9/main" objectType="Spin" dx="15" fmlaLink="ber_Med_disc!$Q$18" inc="5" max="1440" page="10" val="0"/>
</file>

<file path=xl/ctrlProps/ctrlProp258.xml><?xml version="1.0" encoding="utf-8"?>
<formControlPr xmlns="http://schemas.microsoft.com/office/spreadsheetml/2009/9/main" objectType="Spin" dx="15" fmlaLink="ber_Med_disc!$Q$19" inc="5" max="1440" page="10" val="0"/>
</file>

<file path=xl/ctrlProps/ctrlProp259.xml><?xml version="1.0" encoding="utf-8"?>
<formControlPr xmlns="http://schemas.microsoft.com/office/spreadsheetml/2009/9/main" objectType="Spin" dx="15" fmlaLink="ber_Med_disc!$Q$20" inc="5" max="1440" page="10" val="0"/>
</file>

<file path=xl/ctrlProps/ctrlProp260.xml><?xml version="1.0" encoding="utf-8"?>
<formControlPr xmlns="http://schemas.microsoft.com/office/spreadsheetml/2009/9/main" objectType="Spin" dx="15" fmlaLink="ber_Med_disc!$Q$21" inc="5" max="1440" page="10" val="0"/>
</file>

<file path=xl/ctrlProps/ctrlProp261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262.xml><?xml version="1.0" encoding="utf-8"?>
<formControlPr xmlns="http://schemas.microsoft.com/office/spreadsheetml/2009/9/main" objectType="Spin" dx="15" fmlaLink="dbBead!$G$2" max="1000" min="25" page="10" val="100"/>
</file>

<file path=xl/ctrlProps/ctrlProp263.xml><?xml version="1.0" encoding="utf-8"?>
<formControlPr xmlns="http://schemas.microsoft.com/office/spreadsheetml/2009/9/main" objectType="Spin" dx="15" fmlaLink="dbBead!$H$2" max="200" min="40" page="10" val="80"/>
</file>

<file path=xl/ctrlProps/ctrlProp26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6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6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6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6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6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7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7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7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7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74.xml><?xml version="1.0" encoding="utf-8"?>
<formControlPr xmlns="http://schemas.microsoft.com/office/spreadsheetml/2009/9/main" objectType="Spin" dx="15" fmlaLink="dbBead!$G$2" max="1000" min="25" page="10" val="100"/>
</file>

<file path=xl/ctrlProps/ctrlProp275.xml><?xml version="1.0" encoding="utf-8"?>
<formControlPr xmlns="http://schemas.microsoft.com/office/spreadsheetml/2009/9/main" objectType="Spin" dx="15" fmlaLink="dbBead!$H$2" max="200" min="40" page="10" val="80"/>
</file>

<file path=xl/ctrlProps/ctrlProp27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7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78.xml><?xml version="1.0" encoding="utf-8"?>
<formControlPr xmlns="http://schemas.microsoft.com/office/spreadsheetml/2009/9/main" objectType="Spin" dx="15" fmlaLink="ber_Infusen!$R$1" max="200" min="30" page="10" val="30"/>
</file>

<file path=xl/ctrlProps/ctrlProp279.xml><?xml version="1.0" encoding="utf-8"?>
<formControlPr xmlns="http://schemas.microsoft.com/office/spreadsheetml/2009/9/main" objectType="Spin" dx="15" fmlaLink="ber_Infusen!$R$2" max="20" page="10" val="0"/>
</file>

<file path=xl/ctrlProps/ctrlProp280.xml><?xml version="1.0" encoding="utf-8"?>
<formControlPr xmlns="http://schemas.microsoft.com/office/spreadsheetml/2009/9/main" objectType="Spin" dx="15" fmlaLink="ber_Infusen!$R$3" max="20" page="10" val="0"/>
</file>

<file path=xl/ctrlProps/ctrlProp281.xml><?xml version="1.0" encoding="utf-8"?>
<formControlPr xmlns="http://schemas.microsoft.com/office/spreadsheetml/2009/9/main" objectType="Spin" dx="15" fmlaLink="ber_Infusen!$R$4" max="250" min="20" page="10" val="20"/>
</file>

<file path=xl/ctrlProps/ctrlProp282.xml><?xml version="1.0" encoding="utf-8"?>
<formControlPr xmlns="http://schemas.microsoft.com/office/spreadsheetml/2009/9/main" objectType="Spin" dx="15" fmlaLink="ber_Infusen!$R$5" max="100" min="4" page="10" val="4"/>
</file>

<file path=xl/ctrlProps/ctrlProp283.xml><?xml version="1.0" encoding="utf-8"?>
<formControlPr xmlns="http://schemas.microsoft.com/office/spreadsheetml/2009/9/main" objectType="Spin" dx="15" fmlaLink="ber_Infusen!$R$6" max="100" min="4" page="10" val="4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Spin" dx="15" fmlaLink="ber_Infusen!$H$3" max="24" page="10" val="0"/>
</file>

<file path=xl/ctrlProps/ctrlProp286.xml><?xml version="1.0" encoding="utf-8"?>
<formControlPr xmlns="http://schemas.microsoft.com/office/spreadsheetml/2009/9/main" objectType="Spin" dx="15" fmlaLink="ber_Infusen!$H$6" max="24" page="10" val="0"/>
</file>

<file path=xl/ctrlProps/ctrlProp287.xml><?xml version="1.0" encoding="utf-8"?>
<formControlPr xmlns="http://schemas.microsoft.com/office/spreadsheetml/2009/9/main" objectType="Spin" dx="15" fmlaLink="ber_Infusen!$H$2" max="24" page="10" val="0"/>
</file>

<file path=xl/ctrlProps/ctrlProp288.xml><?xml version="1.0" encoding="utf-8"?>
<formControlPr xmlns="http://schemas.microsoft.com/office/spreadsheetml/2009/9/main" objectType="Spin" dx="15" fmlaLink="ber_Infusen!$H$8" max="24" page="10" val="0"/>
</file>

<file path=xl/ctrlProps/ctrlProp289.xml><?xml version="1.0" encoding="utf-8"?>
<formControlPr xmlns="http://schemas.microsoft.com/office/spreadsheetml/2009/9/main" objectType="CheckBox" checked="Checked" fmlaLink="ber_Infusen!$P$8" lockText="1" noThreeD="1"/>
</file>

<file path=xl/ctrlProps/ctrlProp290.xml><?xml version="1.0" encoding="utf-8"?>
<formControlPr xmlns="http://schemas.microsoft.com/office/spreadsheetml/2009/9/main" objectType="Spin" dx="15" fmlaLink="ber_PO!$L$22" max="24" min="1" page="10"/>
</file>

<file path=xl/ctrlProps/ctrlProp291.xml><?xml version="1.0" encoding="utf-8"?>
<formControlPr xmlns="http://schemas.microsoft.com/office/spreadsheetml/2009/9/main" objectType="Spin" dx="15" fmlaLink="ber_PO!$M$22" max="10000" min="1" page="10"/>
</file>

<file path=xl/ctrlProps/ctrlProp29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93.xml><?xml version="1.0" encoding="utf-8"?>
<formControlPr xmlns="http://schemas.microsoft.com/office/spreadsheetml/2009/9/main" objectType="Spin" dx="15" fmlaLink="ber_TPN!$D$3" max="300" page="10" val="0"/>
</file>

<file path=xl/ctrlProps/ctrlProp294.xml><?xml version="1.0" encoding="utf-8"?>
<formControlPr xmlns="http://schemas.microsoft.com/office/spreadsheetml/2009/9/main" objectType="Spin" dx="15" fmlaLink="ber_TPN!$E$7" max="5000" min="1" page="10"/>
</file>

<file path=xl/ctrlProps/ctrlProp295.xml><?xml version="1.0" encoding="utf-8"?>
<formControlPr xmlns="http://schemas.microsoft.com/office/spreadsheetml/2009/9/main" objectType="Spin" dx="15" fmlaLink="ber_TPN!$E$8" max="5000" min="1" page="10"/>
</file>

<file path=xl/ctrlProps/ctrlProp296.xml><?xml version="1.0" encoding="utf-8"?>
<formControlPr xmlns="http://schemas.microsoft.com/office/spreadsheetml/2009/9/main" objectType="Spin" dx="15" fmlaLink="ber_TPN!$E$9" max="5000" min="1" page="10"/>
</file>

<file path=xl/ctrlProps/ctrlProp297.xml><?xml version="1.0" encoding="utf-8"?>
<formControlPr xmlns="http://schemas.microsoft.com/office/spreadsheetml/2009/9/main" objectType="CheckBox" fmlaLink="ber_TPN!$C$7" lockText="1"/>
</file>

<file path=xl/ctrlProps/ctrlProp298.xml><?xml version="1.0" encoding="utf-8"?>
<formControlPr xmlns="http://schemas.microsoft.com/office/spreadsheetml/2009/9/main" objectType="CheckBox" fmlaLink="ber_TPN!$C$8" lockText="1"/>
</file>

<file path=xl/ctrlProps/ctrlProp299.xml><?xml version="1.0" encoding="utf-8"?>
<formControlPr xmlns="http://schemas.microsoft.com/office/spreadsheetml/2009/9/main" objectType="CheckBox" fmlaLink="ber_TPN!$C$9" lockText="1"/>
</file>

<file path=xl/ctrlProps/ctrlProp300.xml><?xml version="1.0" encoding="utf-8"?>
<formControlPr xmlns="http://schemas.microsoft.com/office/spreadsheetml/2009/9/main" objectType="Spin" dx="15" fmlaLink="ber_TPN!$D$12" max="200" page="10" val="0"/>
</file>

<file path=xl/ctrlProps/ctrlProp301.xml><?xml version="1.0" encoding="utf-8"?>
<formControlPr xmlns="http://schemas.microsoft.com/office/spreadsheetml/2009/9/main" objectType="CheckBox" fmlaLink="ber_TPN!$C$14" lockText="1"/>
</file>

<file path=xl/ctrlProps/ctrlProp302.xml><?xml version="1.0" encoding="utf-8"?>
<formControlPr xmlns="http://schemas.microsoft.com/office/spreadsheetml/2009/9/main" objectType="CheckBox" fmlaLink="ber_TPN!$C$15" lockText="1"/>
</file>

<file path=xl/ctrlProps/ctrlProp303.xml><?xml version="1.0" encoding="utf-8"?>
<formControlPr xmlns="http://schemas.microsoft.com/office/spreadsheetml/2009/9/main" objectType="Spin" dx="15" fmlaLink="ber_TPN!$E$14" max="55" min="1" page="10"/>
</file>

<file path=xl/ctrlProps/ctrlProp304.xml><?xml version="1.0" encoding="utf-8"?>
<formControlPr xmlns="http://schemas.microsoft.com/office/spreadsheetml/2009/9/main" objectType="Spin" dx="15" fmlaLink="ber_TPN!$E$15" max="55" min="1" page="10"/>
</file>

<file path=xl/ctrlProps/ctrlProp305.xml><?xml version="1.0" encoding="utf-8"?>
<formControlPr xmlns="http://schemas.microsoft.com/office/spreadsheetml/2009/9/main" objectType="Drop" dropStyle="combo" dx="16" fmlaLink="ber_PO!$A$1" fmlaRange="tblSonde" sel="1" val="0"/>
</file>

<file path=xl/ctrlProps/ctrlProp306.xml><?xml version="1.0" encoding="utf-8"?>
<formControlPr xmlns="http://schemas.microsoft.com/office/spreadsheetml/2009/9/main" objectType="CheckBox" fmlaLink="ber_TPN!$C$10" lockText="1"/>
</file>

<file path=xl/ctrlProps/ctrlProp307.xml><?xml version="1.0" encoding="utf-8"?>
<formControlPr xmlns="http://schemas.microsoft.com/office/spreadsheetml/2009/9/main" objectType="CheckBox" fmlaLink="ber_TPN!$C$11" lockText="1"/>
</file>

<file path=xl/ctrlProps/ctrlProp308.xml><?xml version="1.0" encoding="utf-8"?>
<formControlPr xmlns="http://schemas.microsoft.com/office/spreadsheetml/2009/9/main" objectType="Spin" dx="15" fmlaLink="ber_TPN!$E$10" max="5000" min="1" page="10"/>
</file>

<file path=xl/ctrlProps/ctrlProp309.xml><?xml version="1.0" encoding="utf-8"?>
<formControlPr xmlns="http://schemas.microsoft.com/office/spreadsheetml/2009/9/main" objectType="Spin" dx="15" fmlaLink="ber_TPN!$E$11" max="200" min="1" page="10"/>
</file>

<file path=xl/ctrlProps/ctrlProp310.xml><?xml version="1.0" encoding="utf-8"?>
<formControlPr xmlns="http://schemas.microsoft.com/office/spreadsheetml/2009/9/main" objectType="Drop" dropStyle="combo" dx="16" fmlaLink="ber_TPN!$B$4" fmlaRange="tblTPN" sel="1" val="0"/>
</file>

<file path=xl/ctrlProps/ctrlProp31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12.xml><?xml version="1.0" encoding="utf-8"?>
<formControlPr xmlns="http://schemas.microsoft.com/office/spreadsheetml/2009/9/main" objectType="Spin" dx="15" fmlaLink="ber_TPN!$E$4" max="4000" page="10" val="0"/>
</file>

<file path=xl/ctrlProps/ctrlProp313.xml><?xml version="1.0" encoding="utf-8"?>
<formControlPr xmlns="http://schemas.microsoft.com/office/spreadsheetml/2009/9/main" objectType="Spin" dx="15" fmlaLink="ber_PO!$L$23" max="12" min="1" page="10"/>
</file>

<file path=xl/ctrlProps/ctrlProp314.xml><?xml version="1.0" encoding="utf-8"?>
<formControlPr xmlns="http://schemas.microsoft.com/office/spreadsheetml/2009/9/main" objectType="Spin" dx="15" fmlaLink="ber_PO!$M$23" max="100" page="10" val="0"/>
</file>

<file path=xl/ctrlProps/ctrlProp31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316.xml><?xml version="1.0" encoding="utf-8"?>
<formControlPr xmlns="http://schemas.microsoft.com/office/spreadsheetml/2009/9/main" objectType="Spin" dx="15" fmlaLink="ber_TPN!$E$5" max="15" page="10" val="0"/>
</file>

<file path=xl/ctrlProps/ctrlProp317.xml><?xml version="1.0" encoding="utf-8"?>
<formControlPr xmlns="http://schemas.microsoft.com/office/spreadsheetml/2009/9/main" objectType="Spin" dx="15" fmlaLink="ber_PO!$L$24" max="12" min="1" page="10"/>
</file>

<file path=xl/ctrlProps/ctrlProp318.xml><?xml version="1.0" encoding="utf-8"?>
<formControlPr xmlns="http://schemas.microsoft.com/office/spreadsheetml/2009/9/main" objectType="Spin" dx="15" fmlaLink="ber_PO!$M$24" max="100" page="10" val="0"/>
</file>

<file path=xl/ctrlProps/ctrlProp31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20.xml><?xml version="1.0" encoding="utf-8"?>
<formControlPr xmlns="http://schemas.microsoft.com/office/spreadsheetml/2009/9/main" objectType="Spin" dx="15" fmlaLink="ber_PO!$L$25" max="12" min="1" page="10"/>
</file>

<file path=xl/ctrlProps/ctrlProp321.xml><?xml version="1.0" encoding="utf-8"?>
<formControlPr xmlns="http://schemas.microsoft.com/office/spreadsheetml/2009/9/main" objectType="Spin" dx="15" fmlaLink="ber_PO!$M$25" max="100" page="10" val="0"/>
</file>

<file path=xl/ctrlProps/ctrlProp32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23.xml><?xml version="1.0" encoding="utf-8"?>
<formControlPr xmlns="http://schemas.microsoft.com/office/spreadsheetml/2009/9/main" objectType="Spin" dx="15" fmlaLink="ber_TPN!$D$18" max="200" page="10" val="0"/>
</file>

<file path=xl/ctrlProps/ctrlProp324.xml><?xml version="1.0" encoding="utf-8"?>
<formControlPr xmlns="http://schemas.microsoft.com/office/spreadsheetml/2009/9/main" objectType="Spin" dx="15" fmlaLink="ber_TPN!$E$20" max="1000" min="1" page="10"/>
</file>

<file path=xl/ctrlProps/ctrlProp325.xml><?xml version="1.0" encoding="utf-8"?>
<formControlPr xmlns="http://schemas.microsoft.com/office/spreadsheetml/2009/9/main" objectType="Spin" dx="15" fmlaLink="ber_TPN!$E$21" max="200" min="1" page="10"/>
</file>

<file path=xl/ctrlProps/ctrlProp326.xml><?xml version="1.0" encoding="utf-8"?>
<formControlPr xmlns="http://schemas.microsoft.com/office/spreadsheetml/2009/9/main" objectType="CheckBox" fmlaLink="ber_TPN!$C$20" lockText="1"/>
</file>

<file path=xl/ctrlProps/ctrlProp327.xml><?xml version="1.0" encoding="utf-8"?>
<formControlPr xmlns="http://schemas.microsoft.com/office/spreadsheetml/2009/9/main" objectType="CheckBox" fmlaLink="ber_TPN!$C$21" lockText="1"/>
</file>

<file path=xl/ctrlProps/ctrlProp32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29.xml><?xml version="1.0" encoding="utf-8"?>
<formControlPr xmlns="http://schemas.microsoft.com/office/spreadsheetml/2009/9/main" objectType="Spin" dx="15" fmlaLink="dbBead!$G$2" max="1000" min="25" page="10" val="100"/>
</file>

<file path=xl/ctrlProps/ctrlProp330.xml><?xml version="1.0" encoding="utf-8"?>
<formControlPr xmlns="http://schemas.microsoft.com/office/spreadsheetml/2009/9/main" objectType="Spin" dx="15" fmlaLink="dbBead!$H$2" max="200" min="40" page="10" val="80"/>
</file>

<file path=xl/ctrlProps/ctrlProp331.xml><?xml version="1.0" encoding="utf-8"?>
<formControlPr xmlns="http://schemas.microsoft.com/office/spreadsheetml/2009/9/main" objectType="CheckBox" fmlaLink="Ber_Lab!$C$5" lockText="1"/>
</file>

<file path=xl/ctrlProps/ctrlProp332.xml><?xml version="1.0" encoding="utf-8"?>
<formControlPr xmlns="http://schemas.microsoft.com/office/spreadsheetml/2009/9/main" objectType="CheckBox" fmlaLink="Ber_Lab!C6" lockText="1"/>
</file>

<file path=xl/ctrlProps/ctrlProp333.xml><?xml version="1.0" encoding="utf-8"?>
<formControlPr xmlns="http://schemas.microsoft.com/office/spreadsheetml/2009/9/main" objectType="CheckBox" fmlaLink="Ber_Lab!C8" lockText="1"/>
</file>

<file path=xl/ctrlProps/ctrlProp334.xml><?xml version="1.0" encoding="utf-8"?>
<formControlPr xmlns="http://schemas.microsoft.com/office/spreadsheetml/2009/9/main" objectType="CheckBox" fmlaLink="Ber_Lab!C9" lockText="1"/>
</file>

<file path=xl/ctrlProps/ctrlProp335.xml><?xml version="1.0" encoding="utf-8"?>
<formControlPr xmlns="http://schemas.microsoft.com/office/spreadsheetml/2009/9/main" objectType="CheckBox" fmlaLink="Ber_Lab!C14" lockText="1"/>
</file>

<file path=xl/ctrlProps/ctrlProp336.xml><?xml version="1.0" encoding="utf-8"?>
<formControlPr xmlns="http://schemas.microsoft.com/office/spreadsheetml/2009/9/main" objectType="CheckBox" fmlaLink="Ber_Lab!C13" lockText="1"/>
</file>

<file path=xl/ctrlProps/ctrlProp337.xml><?xml version="1.0" encoding="utf-8"?>
<formControlPr xmlns="http://schemas.microsoft.com/office/spreadsheetml/2009/9/main" objectType="CheckBox" fmlaLink="Ber_Lab!C27" lockText="1"/>
</file>

<file path=xl/ctrlProps/ctrlProp338.xml><?xml version="1.0" encoding="utf-8"?>
<formControlPr xmlns="http://schemas.microsoft.com/office/spreadsheetml/2009/9/main" objectType="CheckBox" fmlaLink="Ber_Lab!C16" lockText="1"/>
</file>

<file path=xl/ctrlProps/ctrlProp339.xml><?xml version="1.0" encoding="utf-8"?>
<formControlPr xmlns="http://schemas.microsoft.com/office/spreadsheetml/2009/9/main" objectType="CheckBox" fmlaLink="Ber_Lab!C18" lockText="1"/>
</file>

<file path=xl/ctrlProps/ctrlProp340.xml><?xml version="1.0" encoding="utf-8"?>
<formControlPr xmlns="http://schemas.microsoft.com/office/spreadsheetml/2009/9/main" objectType="CheckBox" fmlaLink="Ber_Lab!C19" lockText="1"/>
</file>

<file path=xl/ctrlProps/ctrlProp341.xml><?xml version="1.0" encoding="utf-8"?>
<formControlPr xmlns="http://schemas.microsoft.com/office/spreadsheetml/2009/9/main" objectType="CheckBox" fmlaLink="Ber_Lab!C20" lockText="1"/>
</file>

<file path=xl/ctrlProps/ctrlProp342.xml><?xml version="1.0" encoding="utf-8"?>
<formControlPr xmlns="http://schemas.microsoft.com/office/spreadsheetml/2009/9/main" objectType="CheckBox" fmlaLink="Ber_Lab!C12" lockText="1"/>
</file>

<file path=xl/ctrlProps/ctrlProp343.xml><?xml version="1.0" encoding="utf-8"?>
<formControlPr xmlns="http://schemas.microsoft.com/office/spreadsheetml/2009/9/main" objectType="CheckBox" fmlaLink="Ber_Lab!C28" lockText="1"/>
</file>

<file path=xl/ctrlProps/ctrlProp344.xml><?xml version="1.0" encoding="utf-8"?>
<formControlPr xmlns="http://schemas.microsoft.com/office/spreadsheetml/2009/9/main" objectType="CheckBox" fmlaLink="Ber_Lab!G5" lockText="1"/>
</file>

<file path=xl/ctrlProps/ctrlProp345.xml><?xml version="1.0" encoding="utf-8"?>
<formControlPr xmlns="http://schemas.microsoft.com/office/spreadsheetml/2009/9/main" objectType="CheckBox" fmlaLink="Ber_Lab!G6" lockText="1"/>
</file>

<file path=xl/ctrlProps/ctrlProp346.xml><?xml version="1.0" encoding="utf-8"?>
<formControlPr xmlns="http://schemas.microsoft.com/office/spreadsheetml/2009/9/main" objectType="CheckBox" fmlaLink="Ber_Lab!G8" lockText="1"/>
</file>

<file path=xl/ctrlProps/ctrlProp347.xml><?xml version="1.0" encoding="utf-8"?>
<formControlPr xmlns="http://schemas.microsoft.com/office/spreadsheetml/2009/9/main" objectType="CheckBox" fmlaLink="Ber_Lab!G9" lockText="1"/>
</file>

<file path=xl/ctrlProps/ctrlProp348.xml><?xml version="1.0" encoding="utf-8"?>
<formControlPr xmlns="http://schemas.microsoft.com/office/spreadsheetml/2009/9/main" objectType="CheckBox" fmlaLink="Ber_Lab!G14" lockText="1"/>
</file>

<file path=xl/ctrlProps/ctrlProp349.xml><?xml version="1.0" encoding="utf-8"?>
<formControlPr xmlns="http://schemas.microsoft.com/office/spreadsheetml/2009/9/main" objectType="CheckBox" fmlaLink="Ber_Lab!G13" lockText="1"/>
</file>

<file path=xl/ctrlProps/ctrlProp350.xml><?xml version="1.0" encoding="utf-8"?>
<formControlPr xmlns="http://schemas.microsoft.com/office/spreadsheetml/2009/9/main" objectType="CheckBox" fmlaLink="Ber_Lab!G27" lockText="1"/>
</file>

<file path=xl/ctrlProps/ctrlProp351.xml><?xml version="1.0" encoding="utf-8"?>
<formControlPr xmlns="http://schemas.microsoft.com/office/spreadsheetml/2009/9/main" objectType="CheckBox" fmlaLink="Ber_Lab!G16" lockText="1"/>
</file>

<file path=xl/ctrlProps/ctrlProp352.xml><?xml version="1.0" encoding="utf-8"?>
<formControlPr xmlns="http://schemas.microsoft.com/office/spreadsheetml/2009/9/main" objectType="CheckBox" fmlaLink="Ber_Lab!G18" lockText="1"/>
</file>

<file path=xl/ctrlProps/ctrlProp353.xml><?xml version="1.0" encoding="utf-8"?>
<formControlPr xmlns="http://schemas.microsoft.com/office/spreadsheetml/2009/9/main" objectType="CheckBox" fmlaLink="Ber_Lab!G19" lockText="1"/>
</file>

<file path=xl/ctrlProps/ctrlProp354.xml><?xml version="1.0" encoding="utf-8"?>
<formControlPr xmlns="http://schemas.microsoft.com/office/spreadsheetml/2009/9/main" objectType="CheckBox" fmlaLink="Ber_Lab!G20" lockText="1"/>
</file>

<file path=xl/ctrlProps/ctrlProp355.xml><?xml version="1.0" encoding="utf-8"?>
<formControlPr xmlns="http://schemas.microsoft.com/office/spreadsheetml/2009/9/main" objectType="CheckBox" fmlaLink="Ber_Lab!G12" lockText="1"/>
</file>

<file path=xl/ctrlProps/ctrlProp356.xml><?xml version="1.0" encoding="utf-8"?>
<formControlPr xmlns="http://schemas.microsoft.com/office/spreadsheetml/2009/9/main" objectType="CheckBox" fmlaLink="Ber_Lab!G28" lockText="1"/>
</file>

<file path=xl/ctrlProps/ctrlProp357.xml><?xml version="1.0" encoding="utf-8"?>
<formControlPr xmlns="http://schemas.microsoft.com/office/spreadsheetml/2009/9/main" objectType="CheckBox" fmlaLink="Ber_Lab!I5" lockText="1"/>
</file>

<file path=xl/ctrlProps/ctrlProp358.xml><?xml version="1.0" encoding="utf-8"?>
<formControlPr xmlns="http://schemas.microsoft.com/office/spreadsheetml/2009/9/main" objectType="CheckBox" fmlaLink="Ber_Lab!I6" lockText="1"/>
</file>

<file path=xl/ctrlProps/ctrlProp359.xml><?xml version="1.0" encoding="utf-8"?>
<formControlPr xmlns="http://schemas.microsoft.com/office/spreadsheetml/2009/9/main" objectType="CheckBox" fmlaLink="Ber_Lab!I8" lockText="1"/>
</file>

<file path=xl/ctrlProps/ctrlProp360.xml><?xml version="1.0" encoding="utf-8"?>
<formControlPr xmlns="http://schemas.microsoft.com/office/spreadsheetml/2009/9/main" objectType="CheckBox" fmlaLink="Ber_Lab!I9" lockText="1"/>
</file>

<file path=xl/ctrlProps/ctrlProp361.xml><?xml version="1.0" encoding="utf-8"?>
<formControlPr xmlns="http://schemas.microsoft.com/office/spreadsheetml/2009/9/main" objectType="CheckBox" fmlaLink="Ber_Lab!I14" lockText="1"/>
</file>

<file path=xl/ctrlProps/ctrlProp362.xml><?xml version="1.0" encoding="utf-8"?>
<formControlPr xmlns="http://schemas.microsoft.com/office/spreadsheetml/2009/9/main" objectType="CheckBox" fmlaLink="Ber_Lab!I13" lockText="1"/>
</file>

<file path=xl/ctrlProps/ctrlProp363.xml><?xml version="1.0" encoding="utf-8"?>
<formControlPr xmlns="http://schemas.microsoft.com/office/spreadsheetml/2009/9/main" objectType="CheckBox" fmlaLink="Ber_Lab!I27" lockText="1"/>
</file>

<file path=xl/ctrlProps/ctrlProp364.xml><?xml version="1.0" encoding="utf-8"?>
<formControlPr xmlns="http://schemas.microsoft.com/office/spreadsheetml/2009/9/main" objectType="CheckBox" fmlaLink="Ber_Lab!I16" lockText="1"/>
</file>

<file path=xl/ctrlProps/ctrlProp365.xml><?xml version="1.0" encoding="utf-8"?>
<formControlPr xmlns="http://schemas.microsoft.com/office/spreadsheetml/2009/9/main" objectType="CheckBox" fmlaLink="Ber_Lab!I18" lockText="1"/>
</file>

<file path=xl/ctrlProps/ctrlProp366.xml><?xml version="1.0" encoding="utf-8"?>
<formControlPr xmlns="http://schemas.microsoft.com/office/spreadsheetml/2009/9/main" objectType="CheckBox" fmlaLink="Ber_Lab!I19" lockText="1"/>
</file>

<file path=xl/ctrlProps/ctrlProp367.xml><?xml version="1.0" encoding="utf-8"?>
<formControlPr xmlns="http://schemas.microsoft.com/office/spreadsheetml/2009/9/main" objectType="CheckBox" fmlaLink="Ber_Lab!I20" lockText="1"/>
</file>

<file path=xl/ctrlProps/ctrlProp368.xml><?xml version="1.0" encoding="utf-8"?>
<formControlPr xmlns="http://schemas.microsoft.com/office/spreadsheetml/2009/9/main" objectType="CheckBox" fmlaLink="Ber_Lab!I12" lockText="1"/>
</file>

<file path=xl/ctrlProps/ctrlProp369.xml><?xml version="1.0" encoding="utf-8"?>
<formControlPr xmlns="http://schemas.microsoft.com/office/spreadsheetml/2009/9/main" objectType="CheckBox" fmlaLink="Ber_Lab!I28" lockText="1"/>
</file>

<file path=xl/ctrlProps/ctrlProp370.xml><?xml version="1.0" encoding="utf-8"?>
<formControlPr xmlns="http://schemas.microsoft.com/office/spreadsheetml/2009/9/main" objectType="CheckBox" fmlaLink="Ber_Lab!M5" lockText="1"/>
</file>

<file path=xl/ctrlProps/ctrlProp371.xml><?xml version="1.0" encoding="utf-8"?>
<formControlPr xmlns="http://schemas.microsoft.com/office/spreadsheetml/2009/9/main" objectType="CheckBox" fmlaLink="Ber_Lab!M6" lockText="1"/>
</file>

<file path=xl/ctrlProps/ctrlProp372.xml><?xml version="1.0" encoding="utf-8"?>
<formControlPr xmlns="http://schemas.microsoft.com/office/spreadsheetml/2009/9/main" objectType="CheckBox" fmlaLink="Ber_Lab!M8" lockText="1"/>
</file>

<file path=xl/ctrlProps/ctrlProp373.xml><?xml version="1.0" encoding="utf-8"?>
<formControlPr xmlns="http://schemas.microsoft.com/office/spreadsheetml/2009/9/main" objectType="CheckBox" fmlaLink="Ber_Lab!M9" lockText="1"/>
</file>

<file path=xl/ctrlProps/ctrlProp374.xml><?xml version="1.0" encoding="utf-8"?>
<formControlPr xmlns="http://schemas.microsoft.com/office/spreadsheetml/2009/9/main" objectType="CheckBox" fmlaLink="Ber_Lab!M14" lockText="1"/>
</file>

<file path=xl/ctrlProps/ctrlProp375.xml><?xml version="1.0" encoding="utf-8"?>
<formControlPr xmlns="http://schemas.microsoft.com/office/spreadsheetml/2009/9/main" objectType="CheckBox" fmlaLink="Ber_Lab!M13" lockText="1"/>
</file>

<file path=xl/ctrlProps/ctrlProp376.xml><?xml version="1.0" encoding="utf-8"?>
<formControlPr xmlns="http://schemas.microsoft.com/office/spreadsheetml/2009/9/main" objectType="CheckBox" fmlaLink="Ber_Lab!M27" lockText="1"/>
</file>

<file path=xl/ctrlProps/ctrlProp377.xml><?xml version="1.0" encoding="utf-8"?>
<formControlPr xmlns="http://schemas.microsoft.com/office/spreadsheetml/2009/9/main" objectType="CheckBox" fmlaLink="Ber_Lab!M16" lockText="1"/>
</file>

<file path=xl/ctrlProps/ctrlProp378.xml><?xml version="1.0" encoding="utf-8"?>
<formControlPr xmlns="http://schemas.microsoft.com/office/spreadsheetml/2009/9/main" objectType="CheckBox" fmlaLink="Ber_Lab!M18" lockText="1"/>
</file>

<file path=xl/ctrlProps/ctrlProp379.xml><?xml version="1.0" encoding="utf-8"?>
<formControlPr xmlns="http://schemas.microsoft.com/office/spreadsheetml/2009/9/main" objectType="CheckBox" fmlaLink="Ber_Lab!M19" lockText="1"/>
</file>

<file path=xl/ctrlProps/ctrlProp380.xml><?xml version="1.0" encoding="utf-8"?>
<formControlPr xmlns="http://schemas.microsoft.com/office/spreadsheetml/2009/9/main" objectType="CheckBox" fmlaLink="Ber_Lab!M20" lockText="1"/>
</file>

<file path=xl/ctrlProps/ctrlProp381.xml><?xml version="1.0" encoding="utf-8"?>
<formControlPr xmlns="http://schemas.microsoft.com/office/spreadsheetml/2009/9/main" objectType="CheckBox" fmlaLink="Ber_Lab!M12" lockText="1"/>
</file>

<file path=xl/ctrlProps/ctrlProp382.xml><?xml version="1.0" encoding="utf-8"?>
<formControlPr xmlns="http://schemas.microsoft.com/office/spreadsheetml/2009/9/main" objectType="CheckBox" fmlaLink="Ber_Lab!M28" lockText="1"/>
</file>

<file path=xl/ctrlProps/ctrlProp383.xml><?xml version="1.0" encoding="utf-8"?>
<formControlPr xmlns="http://schemas.microsoft.com/office/spreadsheetml/2009/9/main" objectType="CheckBox" fmlaLink="Ber_Lab!C29" lockText="1"/>
</file>

<file path=xl/ctrlProps/ctrlProp384.xml><?xml version="1.0" encoding="utf-8"?>
<formControlPr xmlns="http://schemas.microsoft.com/office/spreadsheetml/2009/9/main" objectType="CheckBox" fmlaLink="Ber_Lab!G29" lockText="1"/>
</file>

<file path=xl/ctrlProps/ctrlProp385.xml><?xml version="1.0" encoding="utf-8"?>
<formControlPr xmlns="http://schemas.microsoft.com/office/spreadsheetml/2009/9/main" objectType="CheckBox" fmlaLink="Ber_Lab!I29" lockText="1"/>
</file>

<file path=xl/ctrlProps/ctrlProp386.xml><?xml version="1.0" encoding="utf-8"?>
<formControlPr xmlns="http://schemas.microsoft.com/office/spreadsheetml/2009/9/main" objectType="CheckBox" fmlaLink="Ber_Lab!M29" lockText="1"/>
</file>

<file path=xl/ctrlProps/ctrlProp387.xml><?xml version="1.0" encoding="utf-8"?>
<formControlPr xmlns="http://schemas.microsoft.com/office/spreadsheetml/2009/9/main" objectType="CheckBox" fmlaLink="Ber_Lab!C7" lockText="1"/>
</file>

<file path=xl/ctrlProps/ctrlProp388.xml><?xml version="1.0" encoding="utf-8"?>
<formControlPr xmlns="http://schemas.microsoft.com/office/spreadsheetml/2009/9/main" objectType="CheckBox" fmlaLink="Ber_Lab!G7" lockText="1"/>
</file>

<file path=xl/ctrlProps/ctrlProp389.xml><?xml version="1.0" encoding="utf-8"?>
<formControlPr xmlns="http://schemas.microsoft.com/office/spreadsheetml/2009/9/main" objectType="CheckBox" fmlaLink="Ber_Lab!I7" lockText="1"/>
</file>

<file path=xl/ctrlProps/ctrlProp390.xml><?xml version="1.0" encoding="utf-8"?>
<formControlPr xmlns="http://schemas.microsoft.com/office/spreadsheetml/2009/9/main" objectType="CheckBox" fmlaLink="Ber_Lab!M7" lockText="1"/>
</file>

<file path=xl/ctrlProps/ctrlProp391.xml><?xml version="1.0" encoding="utf-8"?>
<formControlPr xmlns="http://schemas.microsoft.com/office/spreadsheetml/2009/9/main" objectType="CheckBox" fmlaLink="Ber_Lab!C17" lockText="1"/>
</file>

<file path=xl/ctrlProps/ctrlProp392.xml><?xml version="1.0" encoding="utf-8"?>
<formControlPr xmlns="http://schemas.microsoft.com/office/spreadsheetml/2009/9/main" objectType="CheckBox" fmlaLink="Ber_Lab!G17" lockText="1"/>
</file>

<file path=xl/ctrlProps/ctrlProp393.xml><?xml version="1.0" encoding="utf-8"?>
<formControlPr xmlns="http://schemas.microsoft.com/office/spreadsheetml/2009/9/main" objectType="CheckBox" fmlaLink="Ber_Lab!I17" lockText="1"/>
</file>

<file path=xl/ctrlProps/ctrlProp394.xml><?xml version="1.0" encoding="utf-8"?>
<formControlPr xmlns="http://schemas.microsoft.com/office/spreadsheetml/2009/9/main" objectType="CheckBox" fmlaLink="Ber_Lab!M17" lockText="1"/>
</file>

<file path=xl/ctrlProps/ctrlProp395.xml><?xml version="1.0" encoding="utf-8"?>
<formControlPr xmlns="http://schemas.microsoft.com/office/spreadsheetml/2009/9/main" objectType="CheckBox" fmlaLink="Ber_Lab!$E$5" lockText="1"/>
</file>

<file path=xl/ctrlProps/ctrlProp396.xml><?xml version="1.0" encoding="utf-8"?>
<formControlPr xmlns="http://schemas.microsoft.com/office/spreadsheetml/2009/9/main" objectType="CheckBox" fmlaLink="Ber_Lab!E6" lockText="1"/>
</file>

<file path=xl/ctrlProps/ctrlProp397.xml><?xml version="1.0" encoding="utf-8"?>
<formControlPr xmlns="http://schemas.microsoft.com/office/spreadsheetml/2009/9/main" objectType="CheckBox" fmlaLink="Ber_Lab!E8" lockText="1"/>
</file>

<file path=xl/ctrlProps/ctrlProp398.xml><?xml version="1.0" encoding="utf-8"?>
<formControlPr xmlns="http://schemas.microsoft.com/office/spreadsheetml/2009/9/main" objectType="CheckBox" fmlaLink="Ber_Lab!E9" lockText="1"/>
</file>

<file path=xl/ctrlProps/ctrlProp399.xml><?xml version="1.0" encoding="utf-8"?>
<formControlPr xmlns="http://schemas.microsoft.com/office/spreadsheetml/2009/9/main" objectType="CheckBox" fmlaLink="Ber_Lab!E14" lockText="1"/>
</file>

<file path=xl/ctrlProps/ctrlProp400.xml><?xml version="1.0" encoding="utf-8"?>
<formControlPr xmlns="http://schemas.microsoft.com/office/spreadsheetml/2009/9/main" objectType="CheckBox" fmlaLink="Ber_Lab!E13" lockText="1"/>
</file>

<file path=xl/ctrlProps/ctrlProp401.xml><?xml version="1.0" encoding="utf-8"?>
<formControlPr xmlns="http://schemas.microsoft.com/office/spreadsheetml/2009/9/main" objectType="CheckBox" fmlaLink="Ber_Lab!E27" lockText="1"/>
</file>

<file path=xl/ctrlProps/ctrlProp402.xml><?xml version="1.0" encoding="utf-8"?>
<formControlPr xmlns="http://schemas.microsoft.com/office/spreadsheetml/2009/9/main" objectType="CheckBox" fmlaLink="Ber_Lab!E16" lockText="1"/>
</file>

<file path=xl/ctrlProps/ctrlProp403.xml><?xml version="1.0" encoding="utf-8"?>
<formControlPr xmlns="http://schemas.microsoft.com/office/spreadsheetml/2009/9/main" objectType="CheckBox" fmlaLink="Ber_Lab!E18" lockText="1"/>
</file>

<file path=xl/ctrlProps/ctrlProp404.xml><?xml version="1.0" encoding="utf-8"?>
<formControlPr xmlns="http://schemas.microsoft.com/office/spreadsheetml/2009/9/main" objectType="CheckBox" fmlaLink="Ber_Lab!E19" lockText="1"/>
</file>

<file path=xl/ctrlProps/ctrlProp405.xml><?xml version="1.0" encoding="utf-8"?>
<formControlPr xmlns="http://schemas.microsoft.com/office/spreadsheetml/2009/9/main" objectType="CheckBox" fmlaLink="Ber_Lab!E20" lockText="1"/>
</file>

<file path=xl/ctrlProps/ctrlProp406.xml><?xml version="1.0" encoding="utf-8"?>
<formControlPr xmlns="http://schemas.microsoft.com/office/spreadsheetml/2009/9/main" objectType="CheckBox" fmlaLink="Ber_Lab!E12" lockText="1"/>
</file>

<file path=xl/ctrlProps/ctrlProp407.xml><?xml version="1.0" encoding="utf-8"?>
<formControlPr xmlns="http://schemas.microsoft.com/office/spreadsheetml/2009/9/main" objectType="CheckBox" fmlaLink="Ber_Lab!E28" lockText="1"/>
</file>

<file path=xl/ctrlProps/ctrlProp408.xml><?xml version="1.0" encoding="utf-8"?>
<formControlPr xmlns="http://schemas.microsoft.com/office/spreadsheetml/2009/9/main" objectType="CheckBox" fmlaLink="Ber_Lab!E29" lockText="1"/>
</file>

<file path=xl/ctrlProps/ctrlProp409.xml><?xml version="1.0" encoding="utf-8"?>
<formControlPr xmlns="http://schemas.microsoft.com/office/spreadsheetml/2009/9/main" objectType="CheckBox" fmlaLink="Ber_Lab!E7" lockText="1"/>
</file>

<file path=xl/ctrlProps/ctrlProp410.xml><?xml version="1.0" encoding="utf-8"?>
<formControlPr xmlns="http://schemas.microsoft.com/office/spreadsheetml/2009/9/main" objectType="CheckBox" fmlaLink="Ber_Lab!E17" lockText="1"/>
</file>

<file path=xl/ctrlProps/ctrlProp411.xml><?xml version="1.0" encoding="utf-8"?>
<formControlPr xmlns="http://schemas.microsoft.com/office/spreadsheetml/2009/9/main" objectType="CheckBox" fmlaLink="Ber_Lab!O5" lockText="1"/>
</file>

<file path=xl/ctrlProps/ctrlProp412.xml><?xml version="1.0" encoding="utf-8"?>
<formControlPr xmlns="http://schemas.microsoft.com/office/spreadsheetml/2009/9/main" objectType="CheckBox" fmlaLink="Ber_Lab!O6" lockText="1"/>
</file>

<file path=xl/ctrlProps/ctrlProp413.xml><?xml version="1.0" encoding="utf-8"?>
<formControlPr xmlns="http://schemas.microsoft.com/office/spreadsheetml/2009/9/main" objectType="CheckBox" fmlaLink="Ber_Lab!O8" lockText="1"/>
</file>

<file path=xl/ctrlProps/ctrlProp414.xml><?xml version="1.0" encoding="utf-8"?>
<formControlPr xmlns="http://schemas.microsoft.com/office/spreadsheetml/2009/9/main" objectType="CheckBox" fmlaLink="Ber_Lab!O9" lockText="1"/>
</file>

<file path=xl/ctrlProps/ctrlProp415.xml><?xml version="1.0" encoding="utf-8"?>
<formControlPr xmlns="http://schemas.microsoft.com/office/spreadsheetml/2009/9/main" objectType="CheckBox" fmlaLink="Ber_Lab!O14" lockText="1"/>
</file>

<file path=xl/ctrlProps/ctrlProp416.xml><?xml version="1.0" encoding="utf-8"?>
<formControlPr xmlns="http://schemas.microsoft.com/office/spreadsheetml/2009/9/main" objectType="CheckBox" fmlaLink="Ber_Lab!O13" lockText="1"/>
</file>

<file path=xl/ctrlProps/ctrlProp417.xml><?xml version="1.0" encoding="utf-8"?>
<formControlPr xmlns="http://schemas.microsoft.com/office/spreadsheetml/2009/9/main" objectType="CheckBox" fmlaLink="Ber_Lab!O27" lockText="1"/>
</file>

<file path=xl/ctrlProps/ctrlProp418.xml><?xml version="1.0" encoding="utf-8"?>
<formControlPr xmlns="http://schemas.microsoft.com/office/spreadsheetml/2009/9/main" objectType="CheckBox" fmlaLink="Ber_Lab!O16" lockText="1"/>
</file>

<file path=xl/ctrlProps/ctrlProp419.xml><?xml version="1.0" encoding="utf-8"?>
<formControlPr xmlns="http://schemas.microsoft.com/office/spreadsheetml/2009/9/main" objectType="CheckBox" fmlaLink="Ber_Lab!O18" lockText="1"/>
</file>

<file path=xl/ctrlProps/ctrlProp420.xml><?xml version="1.0" encoding="utf-8"?>
<formControlPr xmlns="http://schemas.microsoft.com/office/spreadsheetml/2009/9/main" objectType="CheckBox" fmlaLink="Ber_Lab!O19" lockText="1"/>
</file>

<file path=xl/ctrlProps/ctrlProp421.xml><?xml version="1.0" encoding="utf-8"?>
<formControlPr xmlns="http://schemas.microsoft.com/office/spreadsheetml/2009/9/main" objectType="CheckBox" fmlaLink="Ber_Lab!O20" lockText="1"/>
</file>

<file path=xl/ctrlProps/ctrlProp422.xml><?xml version="1.0" encoding="utf-8"?>
<formControlPr xmlns="http://schemas.microsoft.com/office/spreadsheetml/2009/9/main" objectType="CheckBox" fmlaLink="Ber_Lab!O12" lockText="1"/>
</file>

<file path=xl/ctrlProps/ctrlProp423.xml><?xml version="1.0" encoding="utf-8"?>
<formControlPr xmlns="http://schemas.microsoft.com/office/spreadsheetml/2009/9/main" objectType="CheckBox" fmlaLink="Ber_Lab!O28" lockText="1"/>
</file>

<file path=xl/ctrlProps/ctrlProp424.xml><?xml version="1.0" encoding="utf-8"?>
<formControlPr xmlns="http://schemas.microsoft.com/office/spreadsheetml/2009/9/main" objectType="CheckBox" fmlaLink="Ber_Lab!O29" lockText="1"/>
</file>

<file path=xl/ctrlProps/ctrlProp425.xml><?xml version="1.0" encoding="utf-8"?>
<formControlPr xmlns="http://schemas.microsoft.com/office/spreadsheetml/2009/9/main" objectType="CheckBox" fmlaLink="Ber_Lab!O7" lockText="1"/>
</file>

<file path=xl/ctrlProps/ctrlProp426.xml><?xml version="1.0" encoding="utf-8"?>
<formControlPr xmlns="http://schemas.microsoft.com/office/spreadsheetml/2009/9/main" objectType="CheckBox" fmlaLink="Ber_Lab!O17" lockText="1"/>
</file>

<file path=xl/ctrlProps/ctrlProp427.xml><?xml version="1.0" encoding="utf-8"?>
<formControlPr xmlns="http://schemas.microsoft.com/office/spreadsheetml/2009/9/main" objectType="CheckBox" fmlaLink="Ber_Lab!Q5" lockText="1"/>
</file>

<file path=xl/ctrlProps/ctrlProp428.xml><?xml version="1.0" encoding="utf-8"?>
<formControlPr xmlns="http://schemas.microsoft.com/office/spreadsheetml/2009/9/main" objectType="CheckBox" fmlaLink="Ber_Lab!Q6" lockText="1"/>
</file>

<file path=xl/ctrlProps/ctrlProp429.xml><?xml version="1.0" encoding="utf-8"?>
<formControlPr xmlns="http://schemas.microsoft.com/office/spreadsheetml/2009/9/main" objectType="CheckBox" fmlaLink="Ber_Lab!Q8" lockText="1"/>
</file>

<file path=xl/ctrlProps/ctrlProp430.xml><?xml version="1.0" encoding="utf-8"?>
<formControlPr xmlns="http://schemas.microsoft.com/office/spreadsheetml/2009/9/main" objectType="CheckBox" fmlaLink="Ber_Lab!Q9" lockText="1"/>
</file>

<file path=xl/ctrlProps/ctrlProp431.xml><?xml version="1.0" encoding="utf-8"?>
<formControlPr xmlns="http://schemas.microsoft.com/office/spreadsheetml/2009/9/main" objectType="CheckBox" fmlaLink="Ber_Lab!Q14" lockText="1"/>
</file>

<file path=xl/ctrlProps/ctrlProp432.xml><?xml version="1.0" encoding="utf-8"?>
<formControlPr xmlns="http://schemas.microsoft.com/office/spreadsheetml/2009/9/main" objectType="CheckBox" fmlaLink="Ber_Lab!Q13" lockText="1"/>
</file>

<file path=xl/ctrlProps/ctrlProp433.xml><?xml version="1.0" encoding="utf-8"?>
<formControlPr xmlns="http://schemas.microsoft.com/office/spreadsheetml/2009/9/main" objectType="CheckBox" fmlaLink="Ber_Lab!Q27" lockText="1"/>
</file>

<file path=xl/ctrlProps/ctrlProp434.xml><?xml version="1.0" encoding="utf-8"?>
<formControlPr xmlns="http://schemas.microsoft.com/office/spreadsheetml/2009/9/main" objectType="CheckBox" fmlaLink="Ber_Lab!Q16" lockText="1"/>
</file>

<file path=xl/ctrlProps/ctrlProp435.xml><?xml version="1.0" encoding="utf-8"?>
<formControlPr xmlns="http://schemas.microsoft.com/office/spreadsheetml/2009/9/main" objectType="CheckBox" fmlaLink="Ber_Lab!Q18" lockText="1"/>
</file>

<file path=xl/ctrlProps/ctrlProp436.xml><?xml version="1.0" encoding="utf-8"?>
<formControlPr xmlns="http://schemas.microsoft.com/office/spreadsheetml/2009/9/main" objectType="CheckBox" fmlaLink="Ber_Lab!Q19" lockText="1"/>
</file>

<file path=xl/ctrlProps/ctrlProp437.xml><?xml version="1.0" encoding="utf-8"?>
<formControlPr xmlns="http://schemas.microsoft.com/office/spreadsheetml/2009/9/main" objectType="CheckBox" fmlaLink="Ber_Lab!Q20" lockText="1"/>
</file>

<file path=xl/ctrlProps/ctrlProp438.xml><?xml version="1.0" encoding="utf-8"?>
<formControlPr xmlns="http://schemas.microsoft.com/office/spreadsheetml/2009/9/main" objectType="CheckBox" fmlaLink="Ber_Lab!Q12" lockText="1"/>
</file>

<file path=xl/ctrlProps/ctrlProp439.xml><?xml version="1.0" encoding="utf-8"?>
<formControlPr xmlns="http://schemas.microsoft.com/office/spreadsheetml/2009/9/main" objectType="CheckBox" fmlaLink="Ber_Lab!Q28" lockText="1"/>
</file>

<file path=xl/ctrlProps/ctrlProp440.xml><?xml version="1.0" encoding="utf-8"?>
<formControlPr xmlns="http://schemas.microsoft.com/office/spreadsheetml/2009/9/main" objectType="CheckBox" fmlaLink="Ber_Lab!Q29" lockText="1"/>
</file>

<file path=xl/ctrlProps/ctrlProp441.xml><?xml version="1.0" encoding="utf-8"?>
<formControlPr xmlns="http://schemas.microsoft.com/office/spreadsheetml/2009/9/main" objectType="CheckBox" fmlaLink="Ber_Lab!Q7" lockText="1"/>
</file>

<file path=xl/ctrlProps/ctrlProp442.xml><?xml version="1.0" encoding="utf-8"?>
<formControlPr xmlns="http://schemas.microsoft.com/office/spreadsheetml/2009/9/main" objectType="CheckBox" fmlaLink="Ber_Lab!Q17" lockText="1"/>
</file>

<file path=xl/ctrlProps/ctrlProp443.xml><?xml version="1.0" encoding="utf-8"?>
<formControlPr xmlns="http://schemas.microsoft.com/office/spreadsheetml/2009/9/main" objectType="CheckBox" fmlaLink="Ber_Lab!C30" lockText="1"/>
</file>

<file path=xl/ctrlProps/ctrlProp444.xml><?xml version="1.0" encoding="utf-8"?>
<formControlPr xmlns="http://schemas.microsoft.com/office/spreadsheetml/2009/9/main" objectType="CheckBox" fmlaLink="Ber_Lab!G30" lockText="1"/>
</file>

<file path=xl/ctrlProps/ctrlProp445.xml><?xml version="1.0" encoding="utf-8"?>
<formControlPr xmlns="http://schemas.microsoft.com/office/spreadsheetml/2009/9/main" objectType="CheckBox" fmlaLink="Ber_Lab!I30" lockText="1"/>
</file>

<file path=xl/ctrlProps/ctrlProp446.xml><?xml version="1.0" encoding="utf-8"?>
<formControlPr xmlns="http://schemas.microsoft.com/office/spreadsheetml/2009/9/main" objectType="CheckBox" fmlaLink="Ber_Lab!M30" lockText="1"/>
</file>

<file path=xl/ctrlProps/ctrlProp447.xml><?xml version="1.0" encoding="utf-8"?>
<formControlPr xmlns="http://schemas.microsoft.com/office/spreadsheetml/2009/9/main" objectType="CheckBox" fmlaLink="Ber_Lab!E30" lockText="1"/>
</file>

<file path=xl/ctrlProps/ctrlProp448.xml><?xml version="1.0" encoding="utf-8"?>
<formControlPr xmlns="http://schemas.microsoft.com/office/spreadsheetml/2009/9/main" objectType="CheckBox" fmlaLink="Ber_Lab!O30" lockText="1"/>
</file>

<file path=xl/ctrlProps/ctrlProp449.xml><?xml version="1.0" encoding="utf-8"?>
<formControlPr xmlns="http://schemas.microsoft.com/office/spreadsheetml/2009/9/main" objectType="CheckBox" fmlaLink="Ber_Lab!Q30" lockText="1"/>
</file>

<file path=xl/ctrlProps/ctrlProp450.xml><?xml version="1.0" encoding="utf-8"?>
<formControlPr xmlns="http://schemas.microsoft.com/office/spreadsheetml/2009/9/main" objectType="CheckBox" fmlaLink="Ber_Lab!C31" lockText="1"/>
</file>

<file path=xl/ctrlProps/ctrlProp451.xml><?xml version="1.0" encoding="utf-8"?>
<formControlPr xmlns="http://schemas.microsoft.com/office/spreadsheetml/2009/9/main" objectType="CheckBox" fmlaLink="Ber_Lab!G31" lockText="1"/>
</file>

<file path=xl/ctrlProps/ctrlProp452.xml><?xml version="1.0" encoding="utf-8"?>
<formControlPr xmlns="http://schemas.microsoft.com/office/spreadsheetml/2009/9/main" objectType="CheckBox" fmlaLink="Ber_Lab!I31" lockText="1"/>
</file>

<file path=xl/ctrlProps/ctrlProp453.xml><?xml version="1.0" encoding="utf-8"?>
<formControlPr xmlns="http://schemas.microsoft.com/office/spreadsheetml/2009/9/main" objectType="CheckBox" fmlaLink="Ber_Lab!M31" lockText="1"/>
</file>

<file path=xl/ctrlProps/ctrlProp454.xml><?xml version="1.0" encoding="utf-8"?>
<formControlPr xmlns="http://schemas.microsoft.com/office/spreadsheetml/2009/9/main" objectType="CheckBox" fmlaLink="Ber_Lab!E31" lockText="1"/>
</file>

<file path=xl/ctrlProps/ctrlProp455.xml><?xml version="1.0" encoding="utf-8"?>
<formControlPr xmlns="http://schemas.microsoft.com/office/spreadsheetml/2009/9/main" objectType="CheckBox" fmlaLink="Ber_Lab!O31" lockText="1"/>
</file>

<file path=xl/ctrlProps/ctrlProp456.xml><?xml version="1.0" encoding="utf-8"?>
<formControlPr xmlns="http://schemas.microsoft.com/office/spreadsheetml/2009/9/main" objectType="CheckBox" fmlaLink="Ber_Lab!Q31" lockText="1"/>
</file>

<file path=xl/ctrlProps/ctrlProp457.xml><?xml version="1.0" encoding="utf-8"?>
<formControlPr xmlns="http://schemas.microsoft.com/office/spreadsheetml/2009/9/main" objectType="CheckBox" fmlaLink="Ber_Lab!C10" lockText="1"/>
</file>

<file path=xl/ctrlProps/ctrlProp458.xml><?xml version="1.0" encoding="utf-8"?>
<formControlPr xmlns="http://schemas.microsoft.com/office/spreadsheetml/2009/9/main" objectType="CheckBox" fmlaLink="Ber_Lab!G10" lockText="1"/>
</file>

<file path=xl/ctrlProps/ctrlProp459.xml><?xml version="1.0" encoding="utf-8"?>
<formControlPr xmlns="http://schemas.microsoft.com/office/spreadsheetml/2009/9/main" objectType="CheckBox" fmlaLink="Ber_Lab!I10" lockText="1"/>
</file>

<file path=xl/ctrlProps/ctrlProp460.xml><?xml version="1.0" encoding="utf-8"?>
<formControlPr xmlns="http://schemas.microsoft.com/office/spreadsheetml/2009/9/main" objectType="CheckBox" fmlaLink="Ber_Lab!M10" lockText="1"/>
</file>

<file path=xl/ctrlProps/ctrlProp461.xml><?xml version="1.0" encoding="utf-8"?>
<formControlPr xmlns="http://schemas.microsoft.com/office/spreadsheetml/2009/9/main" objectType="CheckBox" fmlaLink="Ber_Lab!E10" lockText="1"/>
</file>

<file path=xl/ctrlProps/ctrlProp462.xml><?xml version="1.0" encoding="utf-8"?>
<formControlPr xmlns="http://schemas.microsoft.com/office/spreadsheetml/2009/9/main" objectType="CheckBox" fmlaLink="Ber_Lab!O10" lockText="1"/>
</file>

<file path=xl/ctrlProps/ctrlProp463.xml><?xml version="1.0" encoding="utf-8"?>
<formControlPr xmlns="http://schemas.microsoft.com/office/spreadsheetml/2009/9/main" objectType="CheckBox" fmlaLink="Ber_Lab!Q10" lockText="1"/>
</file>

<file path=xl/ctrlProps/ctrlProp464.xml><?xml version="1.0" encoding="utf-8"?>
<formControlPr xmlns="http://schemas.microsoft.com/office/spreadsheetml/2009/9/main" objectType="CheckBox" fmlaLink="Ber_Lab!C11" lockText="1"/>
</file>

<file path=xl/ctrlProps/ctrlProp465.xml><?xml version="1.0" encoding="utf-8"?>
<formControlPr xmlns="http://schemas.microsoft.com/office/spreadsheetml/2009/9/main" objectType="CheckBox" fmlaLink="Ber_Lab!G11" lockText="1"/>
</file>

<file path=xl/ctrlProps/ctrlProp466.xml><?xml version="1.0" encoding="utf-8"?>
<formControlPr xmlns="http://schemas.microsoft.com/office/spreadsheetml/2009/9/main" objectType="CheckBox" fmlaLink="Ber_Lab!I11" lockText="1"/>
</file>

<file path=xl/ctrlProps/ctrlProp467.xml><?xml version="1.0" encoding="utf-8"?>
<formControlPr xmlns="http://schemas.microsoft.com/office/spreadsheetml/2009/9/main" objectType="CheckBox" fmlaLink="Ber_Lab!M11" lockText="1"/>
</file>

<file path=xl/ctrlProps/ctrlProp468.xml><?xml version="1.0" encoding="utf-8"?>
<formControlPr xmlns="http://schemas.microsoft.com/office/spreadsheetml/2009/9/main" objectType="CheckBox" fmlaLink="Ber_Lab!E11" lockText="1"/>
</file>

<file path=xl/ctrlProps/ctrlProp469.xml><?xml version="1.0" encoding="utf-8"?>
<formControlPr xmlns="http://schemas.microsoft.com/office/spreadsheetml/2009/9/main" objectType="CheckBox" fmlaLink="Ber_Lab!O11" lockText="1"/>
</file>

<file path=xl/ctrlProps/ctrlProp470.xml><?xml version="1.0" encoding="utf-8"?>
<formControlPr xmlns="http://schemas.microsoft.com/office/spreadsheetml/2009/9/main" objectType="CheckBox" fmlaLink="Ber_Lab!Q11" lockText="1"/>
</file>

<file path=xl/ctrlProps/ctrlProp471.xml><?xml version="1.0" encoding="utf-8"?>
<formControlPr xmlns="http://schemas.microsoft.com/office/spreadsheetml/2009/9/main" objectType="CheckBox" fmlaLink="Ber_Lab!C15" lockText="1"/>
</file>

<file path=xl/ctrlProps/ctrlProp472.xml><?xml version="1.0" encoding="utf-8"?>
<formControlPr xmlns="http://schemas.microsoft.com/office/spreadsheetml/2009/9/main" objectType="CheckBox" fmlaLink="Ber_Lab!G15" lockText="1"/>
</file>

<file path=xl/ctrlProps/ctrlProp473.xml><?xml version="1.0" encoding="utf-8"?>
<formControlPr xmlns="http://schemas.microsoft.com/office/spreadsheetml/2009/9/main" objectType="CheckBox" fmlaLink="Ber_Lab!I15" lockText="1"/>
</file>

<file path=xl/ctrlProps/ctrlProp474.xml><?xml version="1.0" encoding="utf-8"?>
<formControlPr xmlns="http://schemas.microsoft.com/office/spreadsheetml/2009/9/main" objectType="CheckBox" fmlaLink="Ber_Lab!M15" lockText="1"/>
</file>

<file path=xl/ctrlProps/ctrlProp475.xml><?xml version="1.0" encoding="utf-8"?>
<formControlPr xmlns="http://schemas.microsoft.com/office/spreadsheetml/2009/9/main" objectType="CheckBox" fmlaLink="Ber_Lab!E15" lockText="1"/>
</file>

<file path=xl/ctrlProps/ctrlProp476.xml><?xml version="1.0" encoding="utf-8"?>
<formControlPr xmlns="http://schemas.microsoft.com/office/spreadsheetml/2009/9/main" objectType="CheckBox" fmlaLink="Ber_Lab!O15" lockText="1"/>
</file>

<file path=xl/ctrlProps/ctrlProp477.xml><?xml version="1.0" encoding="utf-8"?>
<formControlPr xmlns="http://schemas.microsoft.com/office/spreadsheetml/2009/9/main" objectType="CheckBox" fmlaLink="Ber_Lab!Q15" lockText="1"/>
</file>

<file path=xl/ctrlProps/ctrlProp478.xml><?xml version="1.0" encoding="utf-8"?>
<formControlPr xmlns="http://schemas.microsoft.com/office/spreadsheetml/2009/9/main" objectType="CheckBox" fmlaLink="Ber_Lab!C21" lockText="1"/>
</file>

<file path=xl/ctrlProps/ctrlProp479.xml><?xml version="1.0" encoding="utf-8"?>
<formControlPr xmlns="http://schemas.microsoft.com/office/spreadsheetml/2009/9/main" objectType="CheckBox" fmlaLink="Ber_Lab!G21" lockText="1"/>
</file>

<file path=xl/ctrlProps/ctrlProp480.xml><?xml version="1.0" encoding="utf-8"?>
<formControlPr xmlns="http://schemas.microsoft.com/office/spreadsheetml/2009/9/main" objectType="CheckBox" fmlaLink="Ber_Lab!I21" lockText="1"/>
</file>

<file path=xl/ctrlProps/ctrlProp481.xml><?xml version="1.0" encoding="utf-8"?>
<formControlPr xmlns="http://schemas.microsoft.com/office/spreadsheetml/2009/9/main" objectType="CheckBox" fmlaLink="Ber_Lab!M21" lockText="1"/>
</file>

<file path=xl/ctrlProps/ctrlProp482.xml><?xml version="1.0" encoding="utf-8"?>
<formControlPr xmlns="http://schemas.microsoft.com/office/spreadsheetml/2009/9/main" objectType="CheckBox" fmlaLink="Ber_Lab!E21" lockText="1"/>
</file>

<file path=xl/ctrlProps/ctrlProp483.xml><?xml version="1.0" encoding="utf-8"?>
<formControlPr xmlns="http://schemas.microsoft.com/office/spreadsheetml/2009/9/main" objectType="CheckBox" fmlaLink="Ber_Lab!O21" lockText="1"/>
</file>

<file path=xl/ctrlProps/ctrlProp484.xml><?xml version="1.0" encoding="utf-8"?>
<formControlPr xmlns="http://schemas.microsoft.com/office/spreadsheetml/2009/9/main" objectType="CheckBox" fmlaLink="Ber_Lab!Q21" lockText="1"/>
</file>

<file path=xl/ctrlProps/ctrlProp485.xml><?xml version="1.0" encoding="utf-8"?>
<formControlPr xmlns="http://schemas.microsoft.com/office/spreadsheetml/2009/9/main" objectType="CheckBox" fmlaLink="Ber_Lab!C22" lockText="1"/>
</file>

<file path=xl/ctrlProps/ctrlProp486.xml><?xml version="1.0" encoding="utf-8"?>
<formControlPr xmlns="http://schemas.microsoft.com/office/spreadsheetml/2009/9/main" objectType="CheckBox" fmlaLink="Ber_Lab!G22" lockText="1"/>
</file>

<file path=xl/ctrlProps/ctrlProp487.xml><?xml version="1.0" encoding="utf-8"?>
<formControlPr xmlns="http://schemas.microsoft.com/office/spreadsheetml/2009/9/main" objectType="CheckBox" fmlaLink="Ber_Lab!I22" lockText="1"/>
</file>

<file path=xl/ctrlProps/ctrlProp488.xml><?xml version="1.0" encoding="utf-8"?>
<formControlPr xmlns="http://schemas.microsoft.com/office/spreadsheetml/2009/9/main" objectType="CheckBox" fmlaLink="Ber_Lab!M22" lockText="1"/>
</file>

<file path=xl/ctrlProps/ctrlProp489.xml><?xml version="1.0" encoding="utf-8"?>
<formControlPr xmlns="http://schemas.microsoft.com/office/spreadsheetml/2009/9/main" objectType="CheckBox" fmlaLink="Ber_Lab!E22" lockText="1"/>
</file>

<file path=xl/ctrlProps/ctrlProp490.xml><?xml version="1.0" encoding="utf-8"?>
<formControlPr xmlns="http://schemas.microsoft.com/office/spreadsheetml/2009/9/main" objectType="CheckBox" fmlaLink="Ber_Lab!O22" lockText="1"/>
</file>

<file path=xl/ctrlProps/ctrlProp491.xml><?xml version="1.0" encoding="utf-8"?>
<formControlPr xmlns="http://schemas.microsoft.com/office/spreadsheetml/2009/9/main" objectType="CheckBox" fmlaLink="Ber_Lab!Q22" lockText="1"/>
</file>

<file path=xl/ctrlProps/ctrlProp492.xml><?xml version="1.0" encoding="utf-8"?>
<formControlPr xmlns="http://schemas.microsoft.com/office/spreadsheetml/2009/9/main" objectType="CheckBox" fmlaLink="Ber_Lab!C23" lockText="1"/>
</file>

<file path=xl/ctrlProps/ctrlProp493.xml><?xml version="1.0" encoding="utf-8"?>
<formControlPr xmlns="http://schemas.microsoft.com/office/spreadsheetml/2009/9/main" objectType="CheckBox" fmlaLink="Ber_Lab!G23" lockText="1"/>
</file>

<file path=xl/ctrlProps/ctrlProp494.xml><?xml version="1.0" encoding="utf-8"?>
<formControlPr xmlns="http://schemas.microsoft.com/office/spreadsheetml/2009/9/main" objectType="CheckBox" fmlaLink="Ber_Lab!I23" lockText="1"/>
</file>

<file path=xl/ctrlProps/ctrlProp495.xml><?xml version="1.0" encoding="utf-8"?>
<formControlPr xmlns="http://schemas.microsoft.com/office/spreadsheetml/2009/9/main" objectType="CheckBox" fmlaLink="Ber_Lab!M23" lockText="1"/>
</file>

<file path=xl/ctrlProps/ctrlProp496.xml><?xml version="1.0" encoding="utf-8"?>
<formControlPr xmlns="http://schemas.microsoft.com/office/spreadsheetml/2009/9/main" objectType="CheckBox" fmlaLink="Ber_Lab!E23" lockText="1"/>
</file>

<file path=xl/ctrlProps/ctrlProp497.xml><?xml version="1.0" encoding="utf-8"?>
<formControlPr xmlns="http://schemas.microsoft.com/office/spreadsheetml/2009/9/main" objectType="CheckBox" fmlaLink="Ber_Lab!O23" lockText="1"/>
</file>

<file path=xl/ctrlProps/ctrlProp498.xml><?xml version="1.0" encoding="utf-8"?>
<formControlPr xmlns="http://schemas.microsoft.com/office/spreadsheetml/2009/9/main" objectType="CheckBox" fmlaLink="Ber_Lab!Q23" lockText="1"/>
</file>

<file path=xl/ctrlProps/ctrlProp499.xml><?xml version="1.0" encoding="utf-8"?>
<formControlPr xmlns="http://schemas.microsoft.com/office/spreadsheetml/2009/9/main" objectType="CheckBox" fmlaLink="Ber_Lab!C24" lockText="1"/>
</file>

<file path=xl/ctrlProps/ctrlProp500.xml><?xml version="1.0" encoding="utf-8"?>
<formControlPr xmlns="http://schemas.microsoft.com/office/spreadsheetml/2009/9/main" objectType="CheckBox" fmlaLink="Ber_Lab!G24" lockText="1"/>
</file>

<file path=xl/ctrlProps/ctrlProp501.xml><?xml version="1.0" encoding="utf-8"?>
<formControlPr xmlns="http://schemas.microsoft.com/office/spreadsheetml/2009/9/main" objectType="CheckBox" fmlaLink="Ber_Lab!I24" lockText="1"/>
</file>

<file path=xl/ctrlProps/ctrlProp502.xml><?xml version="1.0" encoding="utf-8"?>
<formControlPr xmlns="http://schemas.microsoft.com/office/spreadsheetml/2009/9/main" objectType="CheckBox" fmlaLink="Ber_Lab!M24" lockText="1"/>
</file>

<file path=xl/ctrlProps/ctrlProp503.xml><?xml version="1.0" encoding="utf-8"?>
<formControlPr xmlns="http://schemas.microsoft.com/office/spreadsheetml/2009/9/main" objectType="CheckBox" fmlaLink="Ber_Lab!E24" lockText="1"/>
</file>

<file path=xl/ctrlProps/ctrlProp504.xml><?xml version="1.0" encoding="utf-8"?>
<formControlPr xmlns="http://schemas.microsoft.com/office/spreadsheetml/2009/9/main" objectType="CheckBox" fmlaLink="Ber_Lab!O24" lockText="1"/>
</file>

<file path=xl/ctrlProps/ctrlProp505.xml><?xml version="1.0" encoding="utf-8"?>
<formControlPr xmlns="http://schemas.microsoft.com/office/spreadsheetml/2009/9/main" objectType="CheckBox" fmlaLink="Ber_Lab!Q24" lockText="1"/>
</file>

<file path=xl/ctrlProps/ctrlProp506.xml><?xml version="1.0" encoding="utf-8"?>
<formControlPr xmlns="http://schemas.microsoft.com/office/spreadsheetml/2009/9/main" objectType="CheckBox" fmlaLink="Ber_Lab!C25" lockText="1"/>
</file>

<file path=xl/ctrlProps/ctrlProp507.xml><?xml version="1.0" encoding="utf-8"?>
<formControlPr xmlns="http://schemas.microsoft.com/office/spreadsheetml/2009/9/main" objectType="CheckBox" fmlaLink="Ber_Lab!G25" lockText="1"/>
</file>

<file path=xl/ctrlProps/ctrlProp508.xml><?xml version="1.0" encoding="utf-8"?>
<formControlPr xmlns="http://schemas.microsoft.com/office/spreadsheetml/2009/9/main" objectType="CheckBox" fmlaLink="Ber_Lab!I25" lockText="1"/>
</file>

<file path=xl/ctrlProps/ctrlProp509.xml><?xml version="1.0" encoding="utf-8"?>
<formControlPr xmlns="http://schemas.microsoft.com/office/spreadsheetml/2009/9/main" objectType="CheckBox" fmlaLink="Ber_Lab!M25" lockText="1"/>
</file>

<file path=xl/ctrlProps/ctrlProp510.xml><?xml version="1.0" encoding="utf-8"?>
<formControlPr xmlns="http://schemas.microsoft.com/office/spreadsheetml/2009/9/main" objectType="CheckBox" fmlaLink="Ber_Lab!E25" lockText="1"/>
</file>

<file path=xl/ctrlProps/ctrlProp511.xml><?xml version="1.0" encoding="utf-8"?>
<formControlPr xmlns="http://schemas.microsoft.com/office/spreadsheetml/2009/9/main" objectType="CheckBox" fmlaLink="Ber_Lab!O25" lockText="1"/>
</file>

<file path=xl/ctrlProps/ctrlProp512.xml><?xml version="1.0" encoding="utf-8"?>
<formControlPr xmlns="http://schemas.microsoft.com/office/spreadsheetml/2009/9/main" objectType="CheckBox" fmlaLink="Ber_Lab!Q25" lockText="1"/>
</file>

<file path=xl/ctrlProps/ctrlProp513.xml><?xml version="1.0" encoding="utf-8"?>
<formControlPr xmlns="http://schemas.microsoft.com/office/spreadsheetml/2009/9/main" objectType="CheckBox" fmlaLink="Ber_Lab!C26" lockText="1"/>
</file>

<file path=xl/ctrlProps/ctrlProp514.xml><?xml version="1.0" encoding="utf-8"?>
<formControlPr xmlns="http://schemas.microsoft.com/office/spreadsheetml/2009/9/main" objectType="CheckBox" fmlaLink="Ber_Lab!G26" lockText="1"/>
</file>

<file path=xl/ctrlProps/ctrlProp515.xml><?xml version="1.0" encoding="utf-8"?>
<formControlPr xmlns="http://schemas.microsoft.com/office/spreadsheetml/2009/9/main" objectType="CheckBox" fmlaLink="Ber_Lab!I26" lockText="1"/>
</file>

<file path=xl/ctrlProps/ctrlProp516.xml><?xml version="1.0" encoding="utf-8"?>
<formControlPr xmlns="http://schemas.microsoft.com/office/spreadsheetml/2009/9/main" objectType="CheckBox" fmlaLink="Ber_Lab!M26" lockText="1"/>
</file>

<file path=xl/ctrlProps/ctrlProp517.xml><?xml version="1.0" encoding="utf-8"?>
<formControlPr xmlns="http://schemas.microsoft.com/office/spreadsheetml/2009/9/main" objectType="CheckBox" fmlaLink="Ber_Lab!E26" lockText="1"/>
</file>

<file path=xl/ctrlProps/ctrlProp518.xml><?xml version="1.0" encoding="utf-8"?>
<formControlPr xmlns="http://schemas.microsoft.com/office/spreadsheetml/2009/9/main" objectType="CheckBox" fmlaLink="Ber_Lab!O26" lockText="1"/>
</file>

<file path=xl/ctrlProps/ctrlProp519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38299</xdr:rowOff>
        </xdr:from>
        <xdr:to>
          <xdr:col>2</xdr:col>
          <xdr:colOff>1187284</xdr:colOff>
          <xdr:row>8</xdr:row>
          <xdr:rowOff>4787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38299</xdr:rowOff>
        </xdr:from>
        <xdr:to>
          <xdr:col>2</xdr:col>
          <xdr:colOff>1187284</xdr:colOff>
          <xdr:row>9</xdr:row>
          <xdr:rowOff>4787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38299</xdr:rowOff>
        </xdr:from>
        <xdr:to>
          <xdr:col>2</xdr:col>
          <xdr:colOff>1187284</xdr:colOff>
          <xdr:row>10</xdr:row>
          <xdr:rowOff>4787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38299</xdr:rowOff>
        </xdr:from>
        <xdr:to>
          <xdr:col>2</xdr:col>
          <xdr:colOff>1187284</xdr:colOff>
          <xdr:row>11</xdr:row>
          <xdr:rowOff>4787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38299</xdr:rowOff>
        </xdr:from>
        <xdr:to>
          <xdr:col>2</xdr:col>
          <xdr:colOff>1187284</xdr:colOff>
          <xdr:row>12</xdr:row>
          <xdr:rowOff>4787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38299</xdr:rowOff>
        </xdr:from>
        <xdr:to>
          <xdr:col>2</xdr:col>
          <xdr:colOff>1187284</xdr:colOff>
          <xdr:row>13</xdr:row>
          <xdr:rowOff>4787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38299</xdr:rowOff>
        </xdr:from>
        <xdr:to>
          <xdr:col>2</xdr:col>
          <xdr:colOff>1187284</xdr:colOff>
          <xdr:row>14</xdr:row>
          <xdr:rowOff>4787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38299</xdr:rowOff>
        </xdr:from>
        <xdr:to>
          <xdr:col>2</xdr:col>
          <xdr:colOff>1187284</xdr:colOff>
          <xdr:row>15</xdr:row>
          <xdr:rowOff>4787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38299</xdr:rowOff>
        </xdr:from>
        <xdr:to>
          <xdr:col>2</xdr:col>
          <xdr:colOff>1187284</xdr:colOff>
          <xdr:row>16</xdr:row>
          <xdr:rowOff>4787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38299</xdr:rowOff>
        </xdr:from>
        <xdr:to>
          <xdr:col>2</xdr:col>
          <xdr:colOff>1187284</xdr:colOff>
          <xdr:row>17</xdr:row>
          <xdr:rowOff>4787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93" Type="http://schemas.openxmlformats.org/officeDocument/2006/relationships/ctrlProp" Target="../ctrlProps/ctrlProp15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25" Type="http://schemas.openxmlformats.org/officeDocument/2006/relationships/ctrlProp" Target="../ctrlProps/ctrlProp91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46" Type="http://schemas.openxmlformats.org/officeDocument/2006/relationships/ctrlProp" Target="../ctrlProps/ctrlProp112.xml"/><Relationship Id="rId59" Type="http://schemas.openxmlformats.org/officeDocument/2006/relationships/ctrlProp" Target="../ctrlProps/ctrlProp125.xml"/><Relationship Id="rId67" Type="http://schemas.openxmlformats.org/officeDocument/2006/relationships/ctrlProp" Target="../ctrlProps/ctrlProp133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83.xml"/><Relationship Id="rId21" Type="http://schemas.openxmlformats.org/officeDocument/2006/relationships/ctrlProp" Target="../ctrlProps/ctrlProp178.xml"/><Relationship Id="rId42" Type="http://schemas.openxmlformats.org/officeDocument/2006/relationships/ctrlProp" Target="../ctrlProps/ctrlProp199.xml"/><Relationship Id="rId47" Type="http://schemas.openxmlformats.org/officeDocument/2006/relationships/ctrlProp" Target="../ctrlProps/ctrlProp204.xml"/><Relationship Id="rId63" Type="http://schemas.openxmlformats.org/officeDocument/2006/relationships/ctrlProp" Target="../ctrlProps/ctrlProp220.xml"/><Relationship Id="rId68" Type="http://schemas.openxmlformats.org/officeDocument/2006/relationships/ctrlProp" Target="../ctrlProps/ctrlProp225.xml"/><Relationship Id="rId84" Type="http://schemas.openxmlformats.org/officeDocument/2006/relationships/ctrlProp" Target="../ctrlProps/ctrlProp241.xml"/><Relationship Id="rId89" Type="http://schemas.openxmlformats.org/officeDocument/2006/relationships/ctrlProp" Target="../ctrlProps/ctrlProp246.xml"/><Relationship Id="rId16" Type="http://schemas.openxmlformats.org/officeDocument/2006/relationships/ctrlProp" Target="../ctrlProps/ctrlProp173.xml"/><Relationship Id="rId11" Type="http://schemas.openxmlformats.org/officeDocument/2006/relationships/ctrlProp" Target="../ctrlProps/ctrlProp168.xml"/><Relationship Id="rId32" Type="http://schemas.openxmlformats.org/officeDocument/2006/relationships/ctrlProp" Target="../ctrlProps/ctrlProp189.xml"/><Relationship Id="rId37" Type="http://schemas.openxmlformats.org/officeDocument/2006/relationships/ctrlProp" Target="../ctrlProps/ctrlProp194.xml"/><Relationship Id="rId53" Type="http://schemas.openxmlformats.org/officeDocument/2006/relationships/ctrlProp" Target="../ctrlProps/ctrlProp210.xml"/><Relationship Id="rId58" Type="http://schemas.openxmlformats.org/officeDocument/2006/relationships/ctrlProp" Target="../ctrlProps/ctrlProp215.xml"/><Relationship Id="rId74" Type="http://schemas.openxmlformats.org/officeDocument/2006/relationships/ctrlProp" Target="../ctrlProps/ctrlProp231.xml"/><Relationship Id="rId79" Type="http://schemas.openxmlformats.org/officeDocument/2006/relationships/ctrlProp" Target="../ctrlProps/ctrlProp236.xml"/><Relationship Id="rId102" Type="http://schemas.openxmlformats.org/officeDocument/2006/relationships/ctrlProp" Target="../ctrlProps/ctrlProp259.xml"/><Relationship Id="rId5" Type="http://schemas.openxmlformats.org/officeDocument/2006/relationships/ctrlProp" Target="../ctrlProps/ctrlProp162.xml"/><Relationship Id="rId90" Type="http://schemas.openxmlformats.org/officeDocument/2006/relationships/ctrlProp" Target="../ctrlProps/ctrlProp247.xml"/><Relationship Id="rId95" Type="http://schemas.openxmlformats.org/officeDocument/2006/relationships/ctrlProp" Target="../ctrlProps/ctrlProp252.xml"/><Relationship Id="rId22" Type="http://schemas.openxmlformats.org/officeDocument/2006/relationships/ctrlProp" Target="../ctrlProps/ctrlProp179.xml"/><Relationship Id="rId27" Type="http://schemas.openxmlformats.org/officeDocument/2006/relationships/ctrlProp" Target="../ctrlProps/ctrlProp184.xml"/><Relationship Id="rId43" Type="http://schemas.openxmlformats.org/officeDocument/2006/relationships/ctrlProp" Target="../ctrlProps/ctrlProp200.xml"/><Relationship Id="rId48" Type="http://schemas.openxmlformats.org/officeDocument/2006/relationships/ctrlProp" Target="../ctrlProps/ctrlProp205.xml"/><Relationship Id="rId64" Type="http://schemas.openxmlformats.org/officeDocument/2006/relationships/ctrlProp" Target="../ctrlProps/ctrlProp221.xml"/><Relationship Id="rId69" Type="http://schemas.openxmlformats.org/officeDocument/2006/relationships/ctrlProp" Target="../ctrlProps/ctrlProp226.xml"/><Relationship Id="rId80" Type="http://schemas.openxmlformats.org/officeDocument/2006/relationships/ctrlProp" Target="../ctrlProps/ctrlProp237.xml"/><Relationship Id="rId85" Type="http://schemas.openxmlformats.org/officeDocument/2006/relationships/ctrlProp" Target="../ctrlProps/ctrlProp242.xml"/><Relationship Id="rId12" Type="http://schemas.openxmlformats.org/officeDocument/2006/relationships/ctrlProp" Target="../ctrlProps/ctrlProp169.xml"/><Relationship Id="rId17" Type="http://schemas.openxmlformats.org/officeDocument/2006/relationships/ctrlProp" Target="../ctrlProps/ctrlProp174.xml"/><Relationship Id="rId33" Type="http://schemas.openxmlformats.org/officeDocument/2006/relationships/ctrlProp" Target="../ctrlProps/ctrlProp190.xml"/><Relationship Id="rId38" Type="http://schemas.openxmlformats.org/officeDocument/2006/relationships/ctrlProp" Target="../ctrlProps/ctrlProp195.xml"/><Relationship Id="rId59" Type="http://schemas.openxmlformats.org/officeDocument/2006/relationships/ctrlProp" Target="../ctrlProps/ctrlProp216.xml"/><Relationship Id="rId103" Type="http://schemas.openxmlformats.org/officeDocument/2006/relationships/ctrlProp" Target="../ctrlProps/ctrlProp260.xml"/><Relationship Id="rId20" Type="http://schemas.openxmlformats.org/officeDocument/2006/relationships/ctrlProp" Target="../ctrlProps/ctrlProp177.xml"/><Relationship Id="rId41" Type="http://schemas.openxmlformats.org/officeDocument/2006/relationships/ctrlProp" Target="../ctrlProps/ctrlProp198.xml"/><Relationship Id="rId54" Type="http://schemas.openxmlformats.org/officeDocument/2006/relationships/ctrlProp" Target="../ctrlProps/ctrlProp211.xml"/><Relationship Id="rId62" Type="http://schemas.openxmlformats.org/officeDocument/2006/relationships/ctrlProp" Target="../ctrlProps/ctrlProp219.xml"/><Relationship Id="rId70" Type="http://schemas.openxmlformats.org/officeDocument/2006/relationships/ctrlProp" Target="../ctrlProps/ctrlProp227.xml"/><Relationship Id="rId75" Type="http://schemas.openxmlformats.org/officeDocument/2006/relationships/ctrlProp" Target="../ctrlProps/ctrlProp232.xml"/><Relationship Id="rId83" Type="http://schemas.openxmlformats.org/officeDocument/2006/relationships/ctrlProp" Target="../ctrlProps/ctrlProp240.xml"/><Relationship Id="rId88" Type="http://schemas.openxmlformats.org/officeDocument/2006/relationships/ctrlProp" Target="../ctrlProps/ctrlProp245.xml"/><Relationship Id="rId91" Type="http://schemas.openxmlformats.org/officeDocument/2006/relationships/ctrlProp" Target="../ctrlProps/ctrlProp248.xml"/><Relationship Id="rId96" Type="http://schemas.openxmlformats.org/officeDocument/2006/relationships/ctrlProp" Target="../ctrlProps/ctrlProp25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63.xml"/><Relationship Id="rId15" Type="http://schemas.openxmlformats.org/officeDocument/2006/relationships/ctrlProp" Target="../ctrlProps/ctrlProp172.xml"/><Relationship Id="rId23" Type="http://schemas.openxmlformats.org/officeDocument/2006/relationships/ctrlProp" Target="../ctrlProps/ctrlProp180.xml"/><Relationship Id="rId28" Type="http://schemas.openxmlformats.org/officeDocument/2006/relationships/ctrlProp" Target="../ctrlProps/ctrlProp185.xml"/><Relationship Id="rId36" Type="http://schemas.openxmlformats.org/officeDocument/2006/relationships/ctrlProp" Target="../ctrlProps/ctrlProp193.xml"/><Relationship Id="rId49" Type="http://schemas.openxmlformats.org/officeDocument/2006/relationships/ctrlProp" Target="../ctrlProps/ctrlProp206.xml"/><Relationship Id="rId57" Type="http://schemas.openxmlformats.org/officeDocument/2006/relationships/ctrlProp" Target="../ctrlProps/ctrlProp214.xml"/><Relationship Id="rId106" Type="http://schemas.openxmlformats.org/officeDocument/2006/relationships/ctrlProp" Target="../ctrlProps/ctrlProp263.xml"/><Relationship Id="rId10" Type="http://schemas.openxmlformats.org/officeDocument/2006/relationships/ctrlProp" Target="../ctrlProps/ctrlProp167.xml"/><Relationship Id="rId31" Type="http://schemas.openxmlformats.org/officeDocument/2006/relationships/ctrlProp" Target="../ctrlProps/ctrlProp188.xml"/><Relationship Id="rId44" Type="http://schemas.openxmlformats.org/officeDocument/2006/relationships/ctrlProp" Target="../ctrlProps/ctrlProp201.xml"/><Relationship Id="rId52" Type="http://schemas.openxmlformats.org/officeDocument/2006/relationships/ctrlProp" Target="../ctrlProps/ctrlProp209.xml"/><Relationship Id="rId60" Type="http://schemas.openxmlformats.org/officeDocument/2006/relationships/ctrlProp" Target="../ctrlProps/ctrlProp217.xml"/><Relationship Id="rId65" Type="http://schemas.openxmlformats.org/officeDocument/2006/relationships/ctrlProp" Target="../ctrlProps/ctrlProp222.xml"/><Relationship Id="rId73" Type="http://schemas.openxmlformats.org/officeDocument/2006/relationships/ctrlProp" Target="../ctrlProps/ctrlProp230.xml"/><Relationship Id="rId78" Type="http://schemas.openxmlformats.org/officeDocument/2006/relationships/ctrlProp" Target="../ctrlProps/ctrlProp235.xml"/><Relationship Id="rId81" Type="http://schemas.openxmlformats.org/officeDocument/2006/relationships/ctrlProp" Target="../ctrlProps/ctrlProp238.xml"/><Relationship Id="rId86" Type="http://schemas.openxmlformats.org/officeDocument/2006/relationships/ctrlProp" Target="../ctrlProps/ctrlProp243.xml"/><Relationship Id="rId94" Type="http://schemas.openxmlformats.org/officeDocument/2006/relationships/ctrlProp" Target="../ctrlProps/ctrlProp251.xml"/><Relationship Id="rId99" Type="http://schemas.openxmlformats.org/officeDocument/2006/relationships/ctrlProp" Target="../ctrlProps/ctrlProp256.xml"/><Relationship Id="rId101" Type="http://schemas.openxmlformats.org/officeDocument/2006/relationships/ctrlProp" Target="../ctrlProps/ctrlProp258.xml"/><Relationship Id="rId4" Type="http://schemas.openxmlformats.org/officeDocument/2006/relationships/ctrlProp" Target="../ctrlProps/ctrlProp161.xml"/><Relationship Id="rId9" Type="http://schemas.openxmlformats.org/officeDocument/2006/relationships/ctrlProp" Target="../ctrlProps/ctrlProp166.xml"/><Relationship Id="rId13" Type="http://schemas.openxmlformats.org/officeDocument/2006/relationships/ctrlProp" Target="../ctrlProps/ctrlProp170.xml"/><Relationship Id="rId18" Type="http://schemas.openxmlformats.org/officeDocument/2006/relationships/ctrlProp" Target="../ctrlProps/ctrlProp175.xml"/><Relationship Id="rId39" Type="http://schemas.openxmlformats.org/officeDocument/2006/relationships/ctrlProp" Target="../ctrlProps/ctrlProp196.xml"/><Relationship Id="rId34" Type="http://schemas.openxmlformats.org/officeDocument/2006/relationships/ctrlProp" Target="../ctrlProps/ctrlProp191.xml"/><Relationship Id="rId50" Type="http://schemas.openxmlformats.org/officeDocument/2006/relationships/ctrlProp" Target="../ctrlProps/ctrlProp207.xml"/><Relationship Id="rId55" Type="http://schemas.openxmlformats.org/officeDocument/2006/relationships/ctrlProp" Target="../ctrlProps/ctrlProp212.xml"/><Relationship Id="rId76" Type="http://schemas.openxmlformats.org/officeDocument/2006/relationships/ctrlProp" Target="../ctrlProps/ctrlProp233.xml"/><Relationship Id="rId97" Type="http://schemas.openxmlformats.org/officeDocument/2006/relationships/ctrlProp" Target="../ctrlProps/ctrlProp254.xml"/><Relationship Id="rId104" Type="http://schemas.openxmlformats.org/officeDocument/2006/relationships/ctrlProp" Target="../ctrlProps/ctrlProp261.xml"/><Relationship Id="rId7" Type="http://schemas.openxmlformats.org/officeDocument/2006/relationships/ctrlProp" Target="../ctrlProps/ctrlProp164.xml"/><Relationship Id="rId71" Type="http://schemas.openxmlformats.org/officeDocument/2006/relationships/ctrlProp" Target="../ctrlProps/ctrlProp228.xml"/><Relationship Id="rId92" Type="http://schemas.openxmlformats.org/officeDocument/2006/relationships/ctrlProp" Target="../ctrlProps/ctrlProp24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86.xml"/><Relationship Id="rId24" Type="http://schemas.openxmlformats.org/officeDocument/2006/relationships/ctrlProp" Target="../ctrlProps/ctrlProp181.xml"/><Relationship Id="rId40" Type="http://schemas.openxmlformats.org/officeDocument/2006/relationships/ctrlProp" Target="../ctrlProps/ctrlProp197.xml"/><Relationship Id="rId45" Type="http://schemas.openxmlformats.org/officeDocument/2006/relationships/ctrlProp" Target="../ctrlProps/ctrlProp202.xml"/><Relationship Id="rId66" Type="http://schemas.openxmlformats.org/officeDocument/2006/relationships/ctrlProp" Target="../ctrlProps/ctrlProp223.xml"/><Relationship Id="rId87" Type="http://schemas.openxmlformats.org/officeDocument/2006/relationships/ctrlProp" Target="../ctrlProps/ctrlProp244.xml"/><Relationship Id="rId61" Type="http://schemas.openxmlformats.org/officeDocument/2006/relationships/ctrlProp" Target="../ctrlProps/ctrlProp218.xml"/><Relationship Id="rId82" Type="http://schemas.openxmlformats.org/officeDocument/2006/relationships/ctrlProp" Target="../ctrlProps/ctrlProp239.xml"/><Relationship Id="rId19" Type="http://schemas.openxmlformats.org/officeDocument/2006/relationships/ctrlProp" Target="../ctrlProps/ctrlProp176.xml"/><Relationship Id="rId14" Type="http://schemas.openxmlformats.org/officeDocument/2006/relationships/ctrlProp" Target="../ctrlProps/ctrlProp171.xml"/><Relationship Id="rId30" Type="http://schemas.openxmlformats.org/officeDocument/2006/relationships/ctrlProp" Target="../ctrlProps/ctrlProp187.xml"/><Relationship Id="rId35" Type="http://schemas.openxmlformats.org/officeDocument/2006/relationships/ctrlProp" Target="../ctrlProps/ctrlProp192.xml"/><Relationship Id="rId56" Type="http://schemas.openxmlformats.org/officeDocument/2006/relationships/ctrlProp" Target="../ctrlProps/ctrlProp213.xml"/><Relationship Id="rId77" Type="http://schemas.openxmlformats.org/officeDocument/2006/relationships/ctrlProp" Target="../ctrlProps/ctrlProp234.xml"/><Relationship Id="rId100" Type="http://schemas.openxmlformats.org/officeDocument/2006/relationships/ctrlProp" Target="../ctrlProps/ctrlProp257.xml"/><Relationship Id="rId105" Type="http://schemas.openxmlformats.org/officeDocument/2006/relationships/ctrlProp" Target="../ctrlProps/ctrlProp262.xml"/><Relationship Id="rId8" Type="http://schemas.openxmlformats.org/officeDocument/2006/relationships/ctrlProp" Target="../ctrlProps/ctrlProp165.xml"/><Relationship Id="rId51" Type="http://schemas.openxmlformats.org/officeDocument/2006/relationships/ctrlProp" Target="../ctrlProps/ctrlProp208.xml"/><Relationship Id="rId72" Type="http://schemas.openxmlformats.org/officeDocument/2006/relationships/ctrlProp" Target="../ctrlProps/ctrlProp229.xml"/><Relationship Id="rId93" Type="http://schemas.openxmlformats.org/officeDocument/2006/relationships/ctrlProp" Target="../ctrlProps/ctrlProp250.xml"/><Relationship Id="rId98" Type="http://schemas.openxmlformats.org/officeDocument/2006/relationships/ctrlProp" Target="../ctrlProps/ctrlProp255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82.xml"/><Relationship Id="rId46" Type="http://schemas.openxmlformats.org/officeDocument/2006/relationships/ctrlProp" Target="../ctrlProps/ctrlProp203.xml"/><Relationship Id="rId67" Type="http://schemas.openxmlformats.org/officeDocument/2006/relationships/ctrlProp" Target="../ctrlProps/ctrlProp22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8.xml"/><Relationship Id="rId13" Type="http://schemas.openxmlformats.org/officeDocument/2006/relationships/ctrlProp" Target="../ctrlProps/ctrlProp273.xml"/><Relationship Id="rId18" Type="http://schemas.openxmlformats.org/officeDocument/2006/relationships/ctrlProp" Target="../ctrlProps/ctrlProp278.xml"/><Relationship Id="rId26" Type="http://schemas.openxmlformats.org/officeDocument/2006/relationships/ctrlProp" Target="../ctrlProps/ctrlProp28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81.xml"/><Relationship Id="rId7" Type="http://schemas.openxmlformats.org/officeDocument/2006/relationships/ctrlProp" Target="../ctrlProps/ctrlProp267.xml"/><Relationship Id="rId12" Type="http://schemas.openxmlformats.org/officeDocument/2006/relationships/ctrlProp" Target="../ctrlProps/ctrlProp272.xml"/><Relationship Id="rId17" Type="http://schemas.openxmlformats.org/officeDocument/2006/relationships/ctrlProp" Target="../ctrlProps/ctrlProp277.xml"/><Relationship Id="rId25" Type="http://schemas.openxmlformats.org/officeDocument/2006/relationships/ctrlProp" Target="../ctrlProps/ctrlProp28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76.xml"/><Relationship Id="rId20" Type="http://schemas.openxmlformats.org/officeDocument/2006/relationships/ctrlProp" Target="../ctrlProps/ctrlProp280.xml"/><Relationship Id="rId29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66.xml"/><Relationship Id="rId11" Type="http://schemas.openxmlformats.org/officeDocument/2006/relationships/ctrlProp" Target="../ctrlProps/ctrlProp271.xml"/><Relationship Id="rId24" Type="http://schemas.openxmlformats.org/officeDocument/2006/relationships/ctrlProp" Target="../ctrlProps/ctrlProp284.xml"/><Relationship Id="rId5" Type="http://schemas.openxmlformats.org/officeDocument/2006/relationships/ctrlProp" Target="../ctrlProps/ctrlProp265.xml"/><Relationship Id="rId15" Type="http://schemas.openxmlformats.org/officeDocument/2006/relationships/ctrlProp" Target="../ctrlProps/ctrlProp275.xml"/><Relationship Id="rId23" Type="http://schemas.openxmlformats.org/officeDocument/2006/relationships/ctrlProp" Target="../ctrlProps/ctrlProp283.xml"/><Relationship Id="rId28" Type="http://schemas.openxmlformats.org/officeDocument/2006/relationships/ctrlProp" Target="../ctrlProps/ctrlProp288.xml"/><Relationship Id="rId10" Type="http://schemas.openxmlformats.org/officeDocument/2006/relationships/ctrlProp" Target="../ctrlProps/ctrlProp270.xml"/><Relationship Id="rId19" Type="http://schemas.openxmlformats.org/officeDocument/2006/relationships/ctrlProp" Target="../ctrlProps/ctrlProp279.xml"/><Relationship Id="rId4" Type="http://schemas.openxmlformats.org/officeDocument/2006/relationships/ctrlProp" Target="../ctrlProps/ctrlProp264.xml"/><Relationship Id="rId9" Type="http://schemas.openxmlformats.org/officeDocument/2006/relationships/ctrlProp" Target="../ctrlProps/ctrlProp269.xml"/><Relationship Id="rId14" Type="http://schemas.openxmlformats.org/officeDocument/2006/relationships/ctrlProp" Target="../ctrlProps/ctrlProp274.xml"/><Relationship Id="rId22" Type="http://schemas.openxmlformats.org/officeDocument/2006/relationships/ctrlProp" Target="../ctrlProps/ctrlProp282.xml"/><Relationship Id="rId27" Type="http://schemas.openxmlformats.org/officeDocument/2006/relationships/ctrlProp" Target="../ctrlProps/ctrlProp287.x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26" Type="http://schemas.openxmlformats.org/officeDocument/2006/relationships/ctrlProp" Target="../ctrlProps/ctrlProp312.xml"/><Relationship Id="rId39" Type="http://schemas.openxmlformats.org/officeDocument/2006/relationships/ctrlProp" Target="../ctrlProps/ctrlProp325.xml"/><Relationship Id="rId21" Type="http://schemas.openxmlformats.org/officeDocument/2006/relationships/ctrlProp" Target="../ctrlProps/ctrlProp307.xml"/><Relationship Id="rId34" Type="http://schemas.openxmlformats.org/officeDocument/2006/relationships/ctrlProp" Target="../ctrlProps/ctrlProp320.xml"/><Relationship Id="rId42" Type="http://schemas.openxmlformats.org/officeDocument/2006/relationships/ctrlProp" Target="../ctrlProps/ctrlProp328.xml"/><Relationship Id="rId7" Type="http://schemas.openxmlformats.org/officeDocument/2006/relationships/ctrlProp" Target="../ctrlProps/ctrlProp293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302.xml"/><Relationship Id="rId20" Type="http://schemas.openxmlformats.org/officeDocument/2006/relationships/ctrlProp" Target="../ctrlProps/ctrlProp306.xml"/><Relationship Id="rId29" Type="http://schemas.openxmlformats.org/officeDocument/2006/relationships/ctrlProp" Target="../ctrlProps/ctrlProp315.xml"/><Relationship Id="rId41" Type="http://schemas.openxmlformats.org/officeDocument/2006/relationships/ctrlProp" Target="../ctrlProps/ctrlProp327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92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5" Type="http://schemas.openxmlformats.org/officeDocument/2006/relationships/ctrlProp" Target="../ctrlProps/ctrlProp291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10" Type="http://schemas.openxmlformats.org/officeDocument/2006/relationships/ctrlProp" Target="../ctrlProps/ctrlProp296.xml"/><Relationship Id="rId19" Type="http://schemas.openxmlformats.org/officeDocument/2006/relationships/ctrlProp" Target="../ctrlProps/ctrlProp305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8" Type="http://schemas.openxmlformats.org/officeDocument/2006/relationships/ctrlProp" Target="../ctrlProps/ctrlProp29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4.xml"/><Relationship Id="rId21" Type="http://schemas.openxmlformats.org/officeDocument/2006/relationships/ctrlProp" Target="../ctrlProps/ctrlProp348.xml"/><Relationship Id="rId42" Type="http://schemas.openxmlformats.org/officeDocument/2006/relationships/ctrlProp" Target="../ctrlProps/ctrlProp369.xml"/><Relationship Id="rId63" Type="http://schemas.openxmlformats.org/officeDocument/2006/relationships/ctrlProp" Target="../ctrlProps/ctrlProp390.xml"/><Relationship Id="rId84" Type="http://schemas.openxmlformats.org/officeDocument/2006/relationships/ctrlProp" Target="../ctrlProps/ctrlProp411.xml"/><Relationship Id="rId138" Type="http://schemas.openxmlformats.org/officeDocument/2006/relationships/ctrlProp" Target="../ctrlProps/ctrlProp465.xml"/><Relationship Id="rId159" Type="http://schemas.openxmlformats.org/officeDocument/2006/relationships/ctrlProp" Target="../ctrlProps/ctrlProp486.xml"/><Relationship Id="rId170" Type="http://schemas.openxmlformats.org/officeDocument/2006/relationships/ctrlProp" Target="../ctrlProps/ctrlProp497.xml"/><Relationship Id="rId191" Type="http://schemas.openxmlformats.org/officeDocument/2006/relationships/ctrlProp" Target="../ctrlProps/ctrlProp518.xml"/><Relationship Id="rId107" Type="http://schemas.openxmlformats.org/officeDocument/2006/relationships/ctrlProp" Target="../ctrlProps/ctrlProp434.xml"/><Relationship Id="rId11" Type="http://schemas.openxmlformats.org/officeDocument/2006/relationships/ctrlProp" Target="../ctrlProps/ctrlProp338.xml"/><Relationship Id="rId32" Type="http://schemas.openxmlformats.org/officeDocument/2006/relationships/ctrlProp" Target="../ctrlProps/ctrlProp359.xml"/><Relationship Id="rId53" Type="http://schemas.openxmlformats.org/officeDocument/2006/relationships/ctrlProp" Target="../ctrlProps/ctrlProp380.xml"/><Relationship Id="rId74" Type="http://schemas.openxmlformats.org/officeDocument/2006/relationships/ctrlProp" Target="../ctrlProps/ctrlProp401.xml"/><Relationship Id="rId128" Type="http://schemas.openxmlformats.org/officeDocument/2006/relationships/ctrlProp" Target="../ctrlProps/ctrlProp455.xml"/><Relationship Id="rId149" Type="http://schemas.openxmlformats.org/officeDocument/2006/relationships/ctrlProp" Target="../ctrlProps/ctrlProp476.xml"/><Relationship Id="rId5" Type="http://schemas.openxmlformats.org/officeDocument/2006/relationships/ctrlProp" Target="../ctrlProps/ctrlProp332.xml"/><Relationship Id="rId95" Type="http://schemas.openxmlformats.org/officeDocument/2006/relationships/ctrlProp" Target="../ctrlProps/ctrlProp422.xml"/><Relationship Id="rId160" Type="http://schemas.openxmlformats.org/officeDocument/2006/relationships/ctrlProp" Target="../ctrlProps/ctrlProp487.xml"/><Relationship Id="rId181" Type="http://schemas.openxmlformats.org/officeDocument/2006/relationships/ctrlProp" Target="../ctrlProps/ctrlProp508.xml"/><Relationship Id="rId22" Type="http://schemas.openxmlformats.org/officeDocument/2006/relationships/ctrlProp" Target="../ctrlProps/ctrlProp349.xml"/><Relationship Id="rId43" Type="http://schemas.openxmlformats.org/officeDocument/2006/relationships/ctrlProp" Target="../ctrlProps/ctrlProp370.xml"/><Relationship Id="rId64" Type="http://schemas.openxmlformats.org/officeDocument/2006/relationships/ctrlProp" Target="../ctrlProps/ctrlProp391.xml"/><Relationship Id="rId118" Type="http://schemas.openxmlformats.org/officeDocument/2006/relationships/ctrlProp" Target="../ctrlProps/ctrlProp445.xml"/><Relationship Id="rId139" Type="http://schemas.openxmlformats.org/officeDocument/2006/relationships/ctrlProp" Target="../ctrlProps/ctrlProp466.xml"/><Relationship Id="rId85" Type="http://schemas.openxmlformats.org/officeDocument/2006/relationships/ctrlProp" Target="../ctrlProps/ctrlProp412.xml"/><Relationship Id="rId150" Type="http://schemas.openxmlformats.org/officeDocument/2006/relationships/ctrlProp" Target="../ctrlProps/ctrlProp477.xml"/><Relationship Id="rId171" Type="http://schemas.openxmlformats.org/officeDocument/2006/relationships/ctrlProp" Target="../ctrlProps/ctrlProp498.xml"/><Relationship Id="rId192" Type="http://schemas.openxmlformats.org/officeDocument/2006/relationships/ctrlProp" Target="../ctrlProps/ctrlProp519.xml"/><Relationship Id="rId12" Type="http://schemas.openxmlformats.org/officeDocument/2006/relationships/ctrlProp" Target="../ctrlProps/ctrlProp339.xml"/><Relationship Id="rId33" Type="http://schemas.openxmlformats.org/officeDocument/2006/relationships/ctrlProp" Target="../ctrlProps/ctrlProp360.xml"/><Relationship Id="rId108" Type="http://schemas.openxmlformats.org/officeDocument/2006/relationships/ctrlProp" Target="../ctrlProps/ctrlProp435.xml"/><Relationship Id="rId129" Type="http://schemas.openxmlformats.org/officeDocument/2006/relationships/ctrlProp" Target="../ctrlProps/ctrlProp456.xml"/><Relationship Id="rId54" Type="http://schemas.openxmlformats.org/officeDocument/2006/relationships/ctrlProp" Target="../ctrlProps/ctrlProp381.xml"/><Relationship Id="rId75" Type="http://schemas.openxmlformats.org/officeDocument/2006/relationships/ctrlProp" Target="../ctrlProps/ctrlProp402.xml"/><Relationship Id="rId96" Type="http://schemas.openxmlformats.org/officeDocument/2006/relationships/ctrlProp" Target="../ctrlProps/ctrlProp423.xml"/><Relationship Id="rId140" Type="http://schemas.openxmlformats.org/officeDocument/2006/relationships/ctrlProp" Target="../ctrlProps/ctrlProp467.xml"/><Relationship Id="rId161" Type="http://schemas.openxmlformats.org/officeDocument/2006/relationships/ctrlProp" Target="../ctrlProps/ctrlProp488.xml"/><Relationship Id="rId182" Type="http://schemas.openxmlformats.org/officeDocument/2006/relationships/ctrlProp" Target="../ctrlProps/ctrlProp509.xml"/><Relationship Id="rId6" Type="http://schemas.openxmlformats.org/officeDocument/2006/relationships/ctrlProp" Target="../ctrlProps/ctrlProp333.xml"/><Relationship Id="rId23" Type="http://schemas.openxmlformats.org/officeDocument/2006/relationships/ctrlProp" Target="../ctrlProps/ctrlProp350.xml"/><Relationship Id="rId119" Type="http://schemas.openxmlformats.org/officeDocument/2006/relationships/ctrlProp" Target="../ctrlProps/ctrlProp446.xml"/><Relationship Id="rId44" Type="http://schemas.openxmlformats.org/officeDocument/2006/relationships/ctrlProp" Target="../ctrlProps/ctrlProp371.xml"/><Relationship Id="rId65" Type="http://schemas.openxmlformats.org/officeDocument/2006/relationships/ctrlProp" Target="../ctrlProps/ctrlProp392.xml"/><Relationship Id="rId86" Type="http://schemas.openxmlformats.org/officeDocument/2006/relationships/ctrlProp" Target="../ctrlProps/ctrlProp413.xml"/><Relationship Id="rId130" Type="http://schemas.openxmlformats.org/officeDocument/2006/relationships/ctrlProp" Target="../ctrlProps/ctrlProp457.xml"/><Relationship Id="rId151" Type="http://schemas.openxmlformats.org/officeDocument/2006/relationships/ctrlProp" Target="../ctrlProps/ctrlProp478.xml"/><Relationship Id="rId172" Type="http://schemas.openxmlformats.org/officeDocument/2006/relationships/ctrlProp" Target="../ctrlProps/ctrlProp499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9" Type="http://schemas.openxmlformats.org/officeDocument/2006/relationships/ctrlProp" Target="../ctrlProps/ctrlProp366.xml"/><Relationship Id="rId109" Type="http://schemas.openxmlformats.org/officeDocument/2006/relationships/ctrlProp" Target="../ctrlProps/ctrlProp436.xml"/><Relationship Id="rId34" Type="http://schemas.openxmlformats.org/officeDocument/2006/relationships/ctrlProp" Target="../ctrlProps/ctrlProp361.xml"/><Relationship Id="rId50" Type="http://schemas.openxmlformats.org/officeDocument/2006/relationships/ctrlProp" Target="../ctrlProps/ctrlProp377.xml"/><Relationship Id="rId55" Type="http://schemas.openxmlformats.org/officeDocument/2006/relationships/ctrlProp" Target="../ctrlProps/ctrlProp382.xml"/><Relationship Id="rId76" Type="http://schemas.openxmlformats.org/officeDocument/2006/relationships/ctrlProp" Target="../ctrlProps/ctrlProp403.xml"/><Relationship Id="rId97" Type="http://schemas.openxmlformats.org/officeDocument/2006/relationships/ctrlProp" Target="../ctrlProps/ctrlProp424.xml"/><Relationship Id="rId104" Type="http://schemas.openxmlformats.org/officeDocument/2006/relationships/ctrlProp" Target="../ctrlProps/ctrlProp431.xml"/><Relationship Id="rId120" Type="http://schemas.openxmlformats.org/officeDocument/2006/relationships/ctrlProp" Target="../ctrlProps/ctrlProp447.xml"/><Relationship Id="rId125" Type="http://schemas.openxmlformats.org/officeDocument/2006/relationships/ctrlProp" Target="../ctrlProps/ctrlProp452.xml"/><Relationship Id="rId141" Type="http://schemas.openxmlformats.org/officeDocument/2006/relationships/ctrlProp" Target="../ctrlProps/ctrlProp468.xml"/><Relationship Id="rId146" Type="http://schemas.openxmlformats.org/officeDocument/2006/relationships/ctrlProp" Target="../ctrlProps/ctrlProp473.xml"/><Relationship Id="rId167" Type="http://schemas.openxmlformats.org/officeDocument/2006/relationships/ctrlProp" Target="../ctrlProps/ctrlProp494.xml"/><Relationship Id="rId188" Type="http://schemas.openxmlformats.org/officeDocument/2006/relationships/ctrlProp" Target="../ctrlProps/ctrlProp515.xml"/><Relationship Id="rId7" Type="http://schemas.openxmlformats.org/officeDocument/2006/relationships/ctrlProp" Target="../ctrlProps/ctrlProp334.xml"/><Relationship Id="rId71" Type="http://schemas.openxmlformats.org/officeDocument/2006/relationships/ctrlProp" Target="../ctrlProps/ctrlProp398.xml"/><Relationship Id="rId92" Type="http://schemas.openxmlformats.org/officeDocument/2006/relationships/ctrlProp" Target="../ctrlProps/ctrlProp419.xml"/><Relationship Id="rId162" Type="http://schemas.openxmlformats.org/officeDocument/2006/relationships/ctrlProp" Target="../ctrlProps/ctrlProp489.xml"/><Relationship Id="rId183" Type="http://schemas.openxmlformats.org/officeDocument/2006/relationships/ctrlProp" Target="../ctrlProps/ctrlProp510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356.xml"/><Relationship Id="rId24" Type="http://schemas.openxmlformats.org/officeDocument/2006/relationships/ctrlProp" Target="../ctrlProps/ctrlProp351.xml"/><Relationship Id="rId40" Type="http://schemas.openxmlformats.org/officeDocument/2006/relationships/ctrlProp" Target="../ctrlProps/ctrlProp367.xml"/><Relationship Id="rId45" Type="http://schemas.openxmlformats.org/officeDocument/2006/relationships/ctrlProp" Target="../ctrlProps/ctrlProp372.xml"/><Relationship Id="rId66" Type="http://schemas.openxmlformats.org/officeDocument/2006/relationships/ctrlProp" Target="../ctrlProps/ctrlProp393.xml"/><Relationship Id="rId87" Type="http://schemas.openxmlformats.org/officeDocument/2006/relationships/ctrlProp" Target="../ctrlProps/ctrlProp414.xml"/><Relationship Id="rId110" Type="http://schemas.openxmlformats.org/officeDocument/2006/relationships/ctrlProp" Target="../ctrlProps/ctrlProp437.xml"/><Relationship Id="rId115" Type="http://schemas.openxmlformats.org/officeDocument/2006/relationships/ctrlProp" Target="../ctrlProps/ctrlProp442.xml"/><Relationship Id="rId131" Type="http://schemas.openxmlformats.org/officeDocument/2006/relationships/ctrlProp" Target="../ctrlProps/ctrlProp458.xml"/><Relationship Id="rId136" Type="http://schemas.openxmlformats.org/officeDocument/2006/relationships/ctrlProp" Target="../ctrlProps/ctrlProp463.xml"/><Relationship Id="rId157" Type="http://schemas.openxmlformats.org/officeDocument/2006/relationships/ctrlProp" Target="../ctrlProps/ctrlProp484.xml"/><Relationship Id="rId178" Type="http://schemas.openxmlformats.org/officeDocument/2006/relationships/ctrlProp" Target="../ctrlProps/ctrlProp505.xml"/><Relationship Id="rId61" Type="http://schemas.openxmlformats.org/officeDocument/2006/relationships/ctrlProp" Target="../ctrlProps/ctrlProp388.xml"/><Relationship Id="rId82" Type="http://schemas.openxmlformats.org/officeDocument/2006/relationships/ctrlProp" Target="../ctrlProps/ctrlProp409.xml"/><Relationship Id="rId152" Type="http://schemas.openxmlformats.org/officeDocument/2006/relationships/ctrlProp" Target="../ctrlProps/ctrlProp479.xml"/><Relationship Id="rId173" Type="http://schemas.openxmlformats.org/officeDocument/2006/relationships/ctrlProp" Target="../ctrlProps/ctrlProp500.xml"/><Relationship Id="rId19" Type="http://schemas.openxmlformats.org/officeDocument/2006/relationships/ctrlProp" Target="../ctrlProps/ctrlProp346.xml"/><Relationship Id="rId14" Type="http://schemas.openxmlformats.org/officeDocument/2006/relationships/ctrlProp" Target="../ctrlProps/ctrlProp341.xml"/><Relationship Id="rId30" Type="http://schemas.openxmlformats.org/officeDocument/2006/relationships/ctrlProp" Target="../ctrlProps/ctrlProp357.xml"/><Relationship Id="rId35" Type="http://schemas.openxmlformats.org/officeDocument/2006/relationships/ctrlProp" Target="../ctrlProps/ctrlProp362.xml"/><Relationship Id="rId56" Type="http://schemas.openxmlformats.org/officeDocument/2006/relationships/ctrlProp" Target="../ctrlProps/ctrlProp383.xml"/><Relationship Id="rId77" Type="http://schemas.openxmlformats.org/officeDocument/2006/relationships/ctrlProp" Target="../ctrlProps/ctrlProp404.xml"/><Relationship Id="rId100" Type="http://schemas.openxmlformats.org/officeDocument/2006/relationships/ctrlProp" Target="../ctrlProps/ctrlProp427.xml"/><Relationship Id="rId105" Type="http://schemas.openxmlformats.org/officeDocument/2006/relationships/ctrlProp" Target="../ctrlProps/ctrlProp432.xml"/><Relationship Id="rId126" Type="http://schemas.openxmlformats.org/officeDocument/2006/relationships/ctrlProp" Target="../ctrlProps/ctrlProp453.xml"/><Relationship Id="rId147" Type="http://schemas.openxmlformats.org/officeDocument/2006/relationships/ctrlProp" Target="../ctrlProps/ctrlProp474.xml"/><Relationship Id="rId168" Type="http://schemas.openxmlformats.org/officeDocument/2006/relationships/ctrlProp" Target="../ctrlProps/ctrlProp495.xml"/><Relationship Id="rId8" Type="http://schemas.openxmlformats.org/officeDocument/2006/relationships/ctrlProp" Target="../ctrlProps/ctrlProp335.xml"/><Relationship Id="rId51" Type="http://schemas.openxmlformats.org/officeDocument/2006/relationships/ctrlProp" Target="../ctrlProps/ctrlProp378.xml"/><Relationship Id="rId72" Type="http://schemas.openxmlformats.org/officeDocument/2006/relationships/ctrlProp" Target="../ctrlProps/ctrlProp399.xml"/><Relationship Id="rId93" Type="http://schemas.openxmlformats.org/officeDocument/2006/relationships/ctrlProp" Target="../ctrlProps/ctrlProp420.xml"/><Relationship Id="rId98" Type="http://schemas.openxmlformats.org/officeDocument/2006/relationships/ctrlProp" Target="../ctrlProps/ctrlProp425.xml"/><Relationship Id="rId121" Type="http://schemas.openxmlformats.org/officeDocument/2006/relationships/ctrlProp" Target="../ctrlProps/ctrlProp448.xml"/><Relationship Id="rId142" Type="http://schemas.openxmlformats.org/officeDocument/2006/relationships/ctrlProp" Target="../ctrlProps/ctrlProp469.xml"/><Relationship Id="rId163" Type="http://schemas.openxmlformats.org/officeDocument/2006/relationships/ctrlProp" Target="../ctrlProps/ctrlProp490.xml"/><Relationship Id="rId184" Type="http://schemas.openxmlformats.org/officeDocument/2006/relationships/ctrlProp" Target="../ctrlProps/ctrlProp511.xml"/><Relationship Id="rId189" Type="http://schemas.openxmlformats.org/officeDocument/2006/relationships/ctrlProp" Target="../ctrlProps/ctrlProp51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52.xml"/><Relationship Id="rId46" Type="http://schemas.openxmlformats.org/officeDocument/2006/relationships/ctrlProp" Target="../ctrlProps/ctrlProp373.xml"/><Relationship Id="rId67" Type="http://schemas.openxmlformats.org/officeDocument/2006/relationships/ctrlProp" Target="../ctrlProps/ctrlProp394.xml"/><Relationship Id="rId116" Type="http://schemas.openxmlformats.org/officeDocument/2006/relationships/ctrlProp" Target="../ctrlProps/ctrlProp443.xml"/><Relationship Id="rId137" Type="http://schemas.openxmlformats.org/officeDocument/2006/relationships/ctrlProp" Target="../ctrlProps/ctrlProp464.xml"/><Relationship Id="rId158" Type="http://schemas.openxmlformats.org/officeDocument/2006/relationships/ctrlProp" Target="../ctrlProps/ctrlProp485.xml"/><Relationship Id="rId20" Type="http://schemas.openxmlformats.org/officeDocument/2006/relationships/ctrlProp" Target="../ctrlProps/ctrlProp347.xml"/><Relationship Id="rId41" Type="http://schemas.openxmlformats.org/officeDocument/2006/relationships/ctrlProp" Target="../ctrlProps/ctrlProp368.xml"/><Relationship Id="rId62" Type="http://schemas.openxmlformats.org/officeDocument/2006/relationships/ctrlProp" Target="../ctrlProps/ctrlProp389.xml"/><Relationship Id="rId83" Type="http://schemas.openxmlformats.org/officeDocument/2006/relationships/ctrlProp" Target="../ctrlProps/ctrlProp410.xml"/><Relationship Id="rId88" Type="http://schemas.openxmlformats.org/officeDocument/2006/relationships/ctrlProp" Target="../ctrlProps/ctrlProp415.xml"/><Relationship Id="rId111" Type="http://schemas.openxmlformats.org/officeDocument/2006/relationships/ctrlProp" Target="../ctrlProps/ctrlProp438.xml"/><Relationship Id="rId132" Type="http://schemas.openxmlformats.org/officeDocument/2006/relationships/ctrlProp" Target="../ctrlProps/ctrlProp459.xml"/><Relationship Id="rId153" Type="http://schemas.openxmlformats.org/officeDocument/2006/relationships/ctrlProp" Target="../ctrlProps/ctrlProp480.xml"/><Relationship Id="rId174" Type="http://schemas.openxmlformats.org/officeDocument/2006/relationships/ctrlProp" Target="../ctrlProps/ctrlProp501.xml"/><Relationship Id="rId179" Type="http://schemas.openxmlformats.org/officeDocument/2006/relationships/ctrlProp" Target="../ctrlProps/ctrlProp506.xml"/><Relationship Id="rId190" Type="http://schemas.openxmlformats.org/officeDocument/2006/relationships/ctrlProp" Target="../ctrlProps/ctrlProp517.xml"/><Relationship Id="rId15" Type="http://schemas.openxmlformats.org/officeDocument/2006/relationships/ctrlProp" Target="../ctrlProps/ctrlProp342.xml"/><Relationship Id="rId36" Type="http://schemas.openxmlformats.org/officeDocument/2006/relationships/ctrlProp" Target="../ctrlProps/ctrlProp363.xml"/><Relationship Id="rId57" Type="http://schemas.openxmlformats.org/officeDocument/2006/relationships/ctrlProp" Target="../ctrlProps/ctrlProp384.xml"/><Relationship Id="rId106" Type="http://schemas.openxmlformats.org/officeDocument/2006/relationships/ctrlProp" Target="../ctrlProps/ctrlProp433.xml"/><Relationship Id="rId127" Type="http://schemas.openxmlformats.org/officeDocument/2006/relationships/ctrlProp" Target="../ctrlProps/ctrlProp454.xml"/><Relationship Id="rId10" Type="http://schemas.openxmlformats.org/officeDocument/2006/relationships/ctrlProp" Target="../ctrlProps/ctrlProp337.xml"/><Relationship Id="rId31" Type="http://schemas.openxmlformats.org/officeDocument/2006/relationships/ctrlProp" Target="../ctrlProps/ctrlProp358.xml"/><Relationship Id="rId52" Type="http://schemas.openxmlformats.org/officeDocument/2006/relationships/ctrlProp" Target="../ctrlProps/ctrlProp379.xml"/><Relationship Id="rId73" Type="http://schemas.openxmlformats.org/officeDocument/2006/relationships/ctrlProp" Target="../ctrlProps/ctrlProp400.xml"/><Relationship Id="rId78" Type="http://schemas.openxmlformats.org/officeDocument/2006/relationships/ctrlProp" Target="../ctrlProps/ctrlProp405.xml"/><Relationship Id="rId94" Type="http://schemas.openxmlformats.org/officeDocument/2006/relationships/ctrlProp" Target="../ctrlProps/ctrlProp421.xml"/><Relationship Id="rId99" Type="http://schemas.openxmlformats.org/officeDocument/2006/relationships/ctrlProp" Target="../ctrlProps/ctrlProp426.xml"/><Relationship Id="rId101" Type="http://schemas.openxmlformats.org/officeDocument/2006/relationships/ctrlProp" Target="../ctrlProps/ctrlProp428.xml"/><Relationship Id="rId122" Type="http://schemas.openxmlformats.org/officeDocument/2006/relationships/ctrlProp" Target="../ctrlProps/ctrlProp449.xml"/><Relationship Id="rId143" Type="http://schemas.openxmlformats.org/officeDocument/2006/relationships/ctrlProp" Target="../ctrlProps/ctrlProp470.xml"/><Relationship Id="rId148" Type="http://schemas.openxmlformats.org/officeDocument/2006/relationships/ctrlProp" Target="../ctrlProps/ctrlProp475.xml"/><Relationship Id="rId164" Type="http://schemas.openxmlformats.org/officeDocument/2006/relationships/ctrlProp" Target="../ctrlProps/ctrlProp491.xml"/><Relationship Id="rId169" Type="http://schemas.openxmlformats.org/officeDocument/2006/relationships/ctrlProp" Target="../ctrlProps/ctrlProp496.xml"/><Relationship Id="rId185" Type="http://schemas.openxmlformats.org/officeDocument/2006/relationships/ctrlProp" Target="../ctrlProps/ctrlProp512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80" Type="http://schemas.openxmlformats.org/officeDocument/2006/relationships/ctrlProp" Target="../ctrlProps/ctrlProp507.xml"/><Relationship Id="rId26" Type="http://schemas.openxmlformats.org/officeDocument/2006/relationships/ctrlProp" Target="../ctrlProps/ctrlProp353.xml"/><Relationship Id="rId47" Type="http://schemas.openxmlformats.org/officeDocument/2006/relationships/ctrlProp" Target="../ctrlProps/ctrlProp374.xml"/><Relationship Id="rId68" Type="http://schemas.openxmlformats.org/officeDocument/2006/relationships/ctrlProp" Target="../ctrlProps/ctrlProp395.xml"/><Relationship Id="rId89" Type="http://schemas.openxmlformats.org/officeDocument/2006/relationships/ctrlProp" Target="../ctrlProps/ctrlProp416.xml"/><Relationship Id="rId112" Type="http://schemas.openxmlformats.org/officeDocument/2006/relationships/ctrlProp" Target="../ctrlProps/ctrlProp439.xml"/><Relationship Id="rId133" Type="http://schemas.openxmlformats.org/officeDocument/2006/relationships/ctrlProp" Target="../ctrlProps/ctrlProp460.xml"/><Relationship Id="rId154" Type="http://schemas.openxmlformats.org/officeDocument/2006/relationships/ctrlProp" Target="../ctrlProps/ctrlProp481.xml"/><Relationship Id="rId175" Type="http://schemas.openxmlformats.org/officeDocument/2006/relationships/ctrlProp" Target="../ctrlProps/ctrlProp502.xml"/><Relationship Id="rId16" Type="http://schemas.openxmlformats.org/officeDocument/2006/relationships/ctrlProp" Target="../ctrlProps/ctrlProp343.xml"/><Relationship Id="rId37" Type="http://schemas.openxmlformats.org/officeDocument/2006/relationships/ctrlProp" Target="../ctrlProps/ctrlProp364.xml"/><Relationship Id="rId58" Type="http://schemas.openxmlformats.org/officeDocument/2006/relationships/ctrlProp" Target="../ctrlProps/ctrlProp385.xml"/><Relationship Id="rId79" Type="http://schemas.openxmlformats.org/officeDocument/2006/relationships/ctrlProp" Target="../ctrlProps/ctrlProp406.xml"/><Relationship Id="rId102" Type="http://schemas.openxmlformats.org/officeDocument/2006/relationships/ctrlProp" Target="../ctrlProps/ctrlProp429.xml"/><Relationship Id="rId123" Type="http://schemas.openxmlformats.org/officeDocument/2006/relationships/ctrlProp" Target="../ctrlProps/ctrlProp450.xml"/><Relationship Id="rId144" Type="http://schemas.openxmlformats.org/officeDocument/2006/relationships/ctrlProp" Target="../ctrlProps/ctrlProp471.xml"/><Relationship Id="rId90" Type="http://schemas.openxmlformats.org/officeDocument/2006/relationships/ctrlProp" Target="../ctrlProps/ctrlProp417.xml"/><Relationship Id="rId165" Type="http://schemas.openxmlformats.org/officeDocument/2006/relationships/ctrlProp" Target="../ctrlProps/ctrlProp492.xml"/><Relationship Id="rId186" Type="http://schemas.openxmlformats.org/officeDocument/2006/relationships/ctrlProp" Target="../ctrlProps/ctrlProp513.xml"/><Relationship Id="rId27" Type="http://schemas.openxmlformats.org/officeDocument/2006/relationships/ctrlProp" Target="../ctrlProps/ctrlProp354.xml"/><Relationship Id="rId48" Type="http://schemas.openxmlformats.org/officeDocument/2006/relationships/ctrlProp" Target="../ctrlProps/ctrlProp375.xml"/><Relationship Id="rId69" Type="http://schemas.openxmlformats.org/officeDocument/2006/relationships/ctrlProp" Target="../ctrlProps/ctrlProp396.xml"/><Relationship Id="rId113" Type="http://schemas.openxmlformats.org/officeDocument/2006/relationships/ctrlProp" Target="../ctrlProps/ctrlProp440.xml"/><Relationship Id="rId134" Type="http://schemas.openxmlformats.org/officeDocument/2006/relationships/ctrlProp" Target="../ctrlProps/ctrlProp461.xml"/><Relationship Id="rId80" Type="http://schemas.openxmlformats.org/officeDocument/2006/relationships/ctrlProp" Target="../ctrlProps/ctrlProp407.xml"/><Relationship Id="rId155" Type="http://schemas.openxmlformats.org/officeDocument/2006/relationships/ctrlProp" Target="../ctrlProps/ctrlProp482.xml"/><Relationship Id="rId176" Type="http://schemas.openxmlformats.org/officeDocument/2006/relationships/ctrlProp" Target="../ctrlProps/ctrlProp503.xml"/><Relationship Id="rId17" Type="http://schemas.openxmlformats.org/officeDocument/2006/relationships/ctrlProp" Target="../ctrlProps/ctrlProp344.xml"/><Relationship Id="rId38" Type="http://schemas.openxmlformats.org/officeDocument/2006/relationships/ctrlProp" Target="../ctrlProps/ctrlProp365.xml"/><Relationship Id="rId59" Type="http://schemas.openxmlformats.org/officeDocument/2006/relationships/ctrlProp" Target="../ctrlProps/ctrlProp386.xml"/><Relationship Id="rId103" Type="http://schemas.openxmlformats.org/officeDocument/2006/relationships/ctrlProp" Target="../ctrlProps/ctrlProp430.xml"/><Relationship Id="rId124" Type="http://schemas.openxmlformats.org/officeDocument/2006/relationships/ctrlProp" Target="../ctrlProps/ctrlProp451.xml"/><Relationship Id="rId70" Type="http://schemas.openxmlformats.org/officeDocument/2006/relationships/ctrlProp" Target="../ctrlProps/ctrlProp397.xml"/><Relationship Id="rId91" Type="http://schemas.openxmlformats.org/officeDocument/2006/relationships/ctrlProp" Target="../ctrlProps/ctrlProp418.xml"/><Relationship Id="rId145" Type="http://schemas.openxmlformats.org/officeDocument/2006/relationships/ctrlProp" Target="../ctrlProps/ctrlProp472.xml"/><Relationship Id="rId166" Type="http://schemas.openxmlformats.org/officeDocument/2006/relationships/ctrlProp" Target="../ctrlProps/ctrlProp493.xml"/><Relationship Id="rId187" Type="http://schemas.openxmlformats.org/officeDocument/2006/relationships/ctrlProp" Target="../ctrlProps/ctrlProp514.xml"/><Relationship Id="rId1" Type="http://schemas.openxmlformats.org/officeDocument/2006/relationships/printerSettings" Target="../printerSettings/printerSettings16.bin"/><Relationship Id="rId28" Type="http://schemas.openxmlformats.org/officeDocument/2006/relationships/ctrlProp" Target="../ctrlProps/ctrlProp355.xml"/><Relationship Id="rId49" Type="http://schemas.openxmlformats.org/officeDocument/2006/relationships/ctrlProp" Target="../ctrlProps/ctrlProp376.xml"/><Relationship Id="rId114" Type="http://schemas.openxmlformats.org/officeDocument/2006/relationships/ctrlProp" Target="../ctrlProps/ctrlProp441.xml"/><Relationship Id="rId60" Type="http://schemas.openxmlformats.org/officeDocument/2006/relationships/ctrlProp" Target="../ctrlProps/ctrlProp387.xml"/><Relationship Id="rId81" Type="http://schemas.openxmlformats.org/officeDocument/2006/relationships/ctrlProp" Target="../ctrlProps/ctrlProp408.xml"/><Relationship Id="rId135" Type="http://schemas.openxmlformats.org/officeDocument/2006/relationships/ctrlProp" Target="../ctrlProps/ctrlProp462.xml"/><Relationship Id="rId156" Type="http://schemas.openxmlformats.org/officeDocument/2006/relationships/ctrlProp" Target="../ctrlProps/ctrlProp483.xml"/><Relationship Id="rId177" Type="http://schemas.openxmlformats.org/officeDocument/2006/relationships/ctrlProp" Target="../ctrlProps/ctrlProp50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36" t="s">
        <v>88</v>
      </c>
      <c r="B1" t="s">
        <v>90</v>
      </c>
      <c r="C1" t="s">
        <v>91</v>
      </c>
    </row>
    <row r="2" spans="1:4" x14ac:dyDescent="0.35">
      <c r="A2" s="36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6" t="s">
        <v>88</v>
      </c>
      <c r="B1" s="36" t="s">
        <v>88</v>
      </c>
      <c r="C1" s="36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66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66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66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67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67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67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67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67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67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67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67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67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67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67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67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67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67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67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67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67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67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67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67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67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67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67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67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67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67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67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67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67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67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67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67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67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67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67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67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67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67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67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67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67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67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67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67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67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pageSetUpPr autoPageBreaks="0"/>
  </sheetPr>
  <dimension ref="B1:FIO452"/>
  <sheetViews>
    <sheetView zoomScaleNormal="100" workbookViewId="0">
      <selection activeCell="E3" sqref="E3"/>
    </sheetView>
  </sheetViews>
  <sheetFormatPr defaultColWidth="9.1328125" defaultRowHeight="12.85" x14ac:dyDescent="0.35"/>
  <cols>
    <col min="1" max="1" width="9.1328125" style="75"/>
    <col min="2" max="2" width="10.265625" style="11" customWidth="1"/>
    <col min="3" max="3" width="19.73046875" style="75" customWidth="1"/>
    <col min="4" max="5" width="17.73046875" style="75" customWidth="1"/>
    <col min="6" max="7" width="18.73046875" style="75" customWidth="1"/>
    <col min="8" max="16384" width="9.1328125" style="75"/>
  </cols>
  <sheetData>
    <row r="1" spans="2:25 4305:4305" x14ac:dyDescent="0.35">
      <c r="J1" s="263"/>
      <c r="K1" s="263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263"/>
      <c r="X1" s="263"/>
      <c r="Y1" s="263"/>
    </row>
    <row r="2" spans="2:25 4305:4305" ht="15" customHeight="1" x14ac:dyDescent="0.4">
      <c r="B2" s="254" t="str">
        <f>"Patient: "&amp;AchterNaam&amp;", "&amp;VoorNaam</f>
        <v>Patient: Achternaam, Voornaam</v>
      </c>
      <c r="C2" s="252"/>
      <c r="D2" s="190"/>
      <c r="E2" s="255" t="str">
        <f ca="1">"Geschatte lengte: "&amp;VLOOKUP(C5+D5/12,HEIGHTNL.CRF!A2:D45,4)&amp;" cm"</f>
        <v>Geschatte lengte: 101,55 cm</v>
      </c>
      <c r="F2" s="190"/>
      <c r="G2" s="212"/>
      <c r="H2" s="76"/>
      <c r="I2" s="76"/>
      <c r="J2" s="263"/>
      <c r="K2" s="263"/>
      <c r="L2" s="189">
        <v>0</v>
      </c>
      <c r="M2" s="189">
        <v>40</v>
      </c>
      <c r="N2" s="189">
        <v>3.5</v>
      </c>
      <c r="O2" s="189">
        <v>0</v>
      </c>
      <c r="P2" s="189">
        <v>3.5</v>
      </c>
      <c r="Q2" s="189">
        <v>51</v>
      </c>
      <c r="R2" s="189"/>
      <c r="S2" s="189">
        <v>1</v>
      </c>
      <c r="T2" s="189">
        <v>1</v>
      </c>
      <c r="U2" s="189">
        <v>1</v>
      </c>
      <c r="V2" s="189"/>
      <c r="W2" s="263"/>
      <c r="X2" s="263"/>
      <c r="Y2" s="263"/>
      <c r="FIO2" s="75">
        <v>30</v>
      </c>
    </row>
    <row r="3" spans="2:25 4305:4305" ht="15" customHeight="1" x14ac:dyDescent="0.35">
      <c r="B3" s="254" t="str">
        <f>"Geb datum.: "</f>
        <v xml:space="preserve">Geb datum.: </v>
      </c>
      <c r="C3" s="268">
        <f>GebDatum</f>
        <v>40909</v>
      </c>
      <c r="D3" s="190"/>
      <c r="E3" s="255" t="str">
        <f ca="1">"Geschat gewicht: "&amp;VLOOKUP(C5+D5/12,WEIGHTNL.CRF!A2:T49,20)&amp;" kg"</f>
        <v>Geschat gewicht: 16,3 kg</v>
      </c>
      <c r="F3" s="248"/>
      <c r="G3" s="212"/>
      <c r="H3" s="76"/>
      <c r="I3" s="76"/>
      <c r="J3" s="263"/>
      <c r="K3" s="263"/>
      <c r="L3" s="189">
        <v>1</v>
      </c>
      <c r="M3" s="189">
        <v>30</v>
      </c>
      <c r="N3" s="189">
        <v>4.5</v>
      </c>
      <c r="O3" s="189">
        <v>1</v>
      </c>
      <c r="P3" s="189">
        <v>4.2</v>
      </c>
      <c r="Q3" s="189">
        <v>54</v>
      </c>
      <c r="R3" s="189"/>
      <c r="S3" s="189">
        <v>2</v>
      </c>
      <c r="T3" s="189">
        <v>2</v>
      </c>
      <c r="U3" s="189">
        <v>2</v>
      </c>
      <c r="V3" s="189"/>
      <c r="W3" s="263"/>
      <c r="X3" s="263"/>
      <c r="Y3" s="263"/>
    </row>
    <row r="4" spans="2:25 4305:4305" ht="15.75" customHeight="1" x14ac:dyDescent="0.4">
      <c r="B4" s="241"/>
      <c r="C4" s="250" t="s">
        <v>1346</v>
      </c>
      <c r="D4" s="250" t="s">
        <v>1347</v>
      </c>
      <c r="E4" s="250" t="s">
        <v>873</v>
      </c>
      <c r="F4" s="250" t="s">
        <v>407</v>
      </c>
      <c r="G4" s="250" t="s">
        <v>185</v>
      </c>
      <c r="H4" s="76"/>
      <c r="J4" s="264"/>
      <c r="K4" s="264"/>
      <c r="L4" s="189">
        <v>2</v>
      </c>
      <c r="M4" s="189">
        <v>25</v>
      </c>
      <c r="N4" s="189">
        <v>4.5</v>
      </c>
      <c r="O4" s="189">
        <v>2</v>
      </c>
      <c r="P4" s="189">
        <v>5</v>
      </c>
      <c r="Q4" s="189">
        <v>57</v>
      </c>
      <c r="R4" s="189"/>
      <c r="S4" s="189">
        <v>3</v>
      </c>
      <c r="T4" s="189">
        <v>3</v>
      </c>
      <c r="U4" s="189">
        <v>3</v>
      </c>
      <c r="V4" s="189"/>
      <c r="W4" s="263"/>
      <c r="X4" s="263"/>
      <c r="Y4" s="263"/>
    </row>
    <row r="5" spans="2:25 4305:4305" ht="15" customHeight="1" x14ac:dyDescent="0.4">
      <c r="B5" s="241"/>
      <c r="C5" s="250">
        <f ca="1">TRUNC((AfspraakDatum-GebDatum)/365,0)</f>
        <v>3</v>
      </c>
      <c r="D5" s="250">
        <f ca="1">TRUNC(((AfspraakDatum-GebDatum)-365*TRUNC((AfspraakDatum-GebDatum)/365,0))/30,0)</f>
        <v>6</v>
      </c>
      <c r="E5" s="250">
        <f>Gewicht/10</f>
        <v>10</v>
      </c>
      <c r="F5" s="250">
        <f>Lengte</f>
        <v>80</v>
      </c>
      <c r="G5" s="250">
        <f>ROUND(POWER(E5,0.425)*POWER(((F5/100)*100),0.725)*0.007184,2)</f>
        <v>0.46</v>
      </c>
      <c r="H5" s="76"/>
      <c r="J5" s="264"/>
      <c r="K5" s="264"/>
      <c r="L5" s="189">
        <v>3</v>
      </c>
      <c r="M5" s="189">
        <v>25</v>
      </c>
      <c r="N5" s="189">
        <v>5</v>
      </c>
      <c r="O5" s="189">
        <v>3</v>
      </c>
      <c r="P5" s="189">
        <v>5.7</v>
      </c>
      <c r="Q5" s="189">
        <v>60</v>
      </c>
      <c r="R5" s="189"/>
      <c r="S5" s="189">
        <v>4</v>
      </c>
      <c r="T5" s="189">
        <v>3</v>
      </c>
      <c r="U5" s="189"/>
      <c r="V5" s="189"/>
      <c r="W5" s="263"/>
      <c r="X5" s="263"/>
      <c r="Y5" s="263"/>
    </row>
    <row r="6" spans="2:25 4305:4305" ht="15" customHeight="1" thickBot="1" x14ac:dyDescent="0.45">
      <c r="B6" s="28"/>
      <c r="C6" s="253"/>
      <c r="D6" s="253"/>
      <c r="E6" s="253"/>
      <c r="F6" s="253"/>
      <c r="G6" s="253"/>
      <c r="H6" s="76"/>
      <c r="J6" s="264"/>
      <c r="K6" s="264"/>
      <c r="L6" s="189">
        <v>4</v>
      </c>
      <c r="M6" s="189">
        <v>25</v>
      </c>
      <c r="N6" s="189">
        <v>5</v>
      </c>
      <c r="O6" s="189">
        <v>4</v>
      </c>
      <c r="P6" s="189">
        <v>6.5</v>
      </c>
      <c r="Q6" s="189">
        <v>63</v>
      </c>
      <c r="R6" s="189"/>
      <c r="S6" s="189">
        <v>5</v>
      </c>
      <c r="T6" s="189">
        <v>5</v>
      </c>
      <c r="U6" s="189">
        <v>5</v>
      </c>
      <c r="V6" s="189"/>
      <c r="W6" s="263"/>
      <c r="X6" s="263"/>
      <c r="Y6" s="263"/>
    </row>
    <row r="7" spans="2:25 4305:4305" ht="20.100000000000001" customHeight="1" x14ac:dyDescent="0.4">
      <c r="B7" s="241" t="s">
        <v>967</v>
      </c>
      <c r="C7" s="256" t="s">
        <v>186</v>
      </c>
      <c r="D7" s="257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58"/>
      <c r="F7" s="258"/>
      <c r="G7" s="340"/>
      <c r="H7" s="76"/>
      <c r="I7" s="76"/>
      <c r="J7" s="263"/>
      <c r="K7" s="263"/>
      <c r="L7" s="189">
        <v>5</v>
      </c>
      <c r="M7" s="189">
        <v>25</v>
      </c>
      <c r="N7" s="189">
        <v>5.5</v>
      </c>
      <c r="O7" s="189">
        <v>5</v>
      </c>
      <c r="P7" s="189">
        <v>7</v>
      </c>
      <c r="Q7" s="189">
        <v>65</v>
      </c>
      <c r="R7" s="189"/>
      <c r="S7" s="189">
        <v>6</v>
      </c>
      <c r="T7" s="189">
        <v>5</v>
      </c>
      <c r="U7" s="189"/>
      <c r="V7" s="189"/>
      <c r="W7" s="263"/>
      <c r="X7" s="263"/>
      <c r="Y7" s="263"/>
    </row>
    <row r="8" spans="2:25 4305:4305" ht="20.100000000000001" customHeight="1" x14ac:dyDescent="0.4">
      <c r="B8" s="241"/>
      <c r="C8" s="240" t="s">
        <v>187</v>
      </c>
      <c r="D8" s="77" t="str">
        <f>IF(ROUND((E5)*4,0)&gt;150,150,VLOOKUP(ROUND(E5*4,0),S2:T362,2))&amp;" Joules Asynchroon"</f>
        <v>50 Joules Asynchroon</v>
      </c>
      <c r="E8" s="76"/>
      <c r="F8" s="76"/>
      <c r="G8" s="341" t="s">
        <v>18</v>
      </c>
      <c r="H8" s="76"/>
      <c r="I8" s="76"/>
      <c r="J8" s="263"/>
      <c r="K8" s="263"/>
      <c r="L8" s="189">
        <v>6</v>
      </c>
      <c r="M8" s="189">
        <v>20</v>
      </c>
      <c r="N8" s="189">
        <v>5.5</v>
      </c>
      <c r="O8" s="189">
        <v>6</v>
      </c>
      <c r="P8" s="189">
        <v>7.7</v>
      </c>
      <c r="Q8" s="189">
        <v>67</v>
      </c>
      <c r="R8" s="189"/>
      <c r="S8" s="189">
        <v>7</v>
      </c>
      <c r="T8" s="189">
        <v>7</v>
      </c>
      <c r="U8" s="189">
        <v>7</v>
      </c>
      <c r="V8" s="189"/>
      <c r="W8" s="263"/>
      <c r="X8" s="263"/>
      <c r="Y8" s="263"/>
    </row>
    <row r="9" spans="2:25 4305:4305" ht="20.100000000000001" customHeight="1" x14ac:dyDescent="0.4">
      <c r="B9" s="241"/>
      <c r="C9" s="240" t="s">
        <v>386</v>
      </c>
      <c r="D9" s="77" t="str">
        <f ca="1">IF(OR(ROUND(0.01*(E5),2)&gt;1,C5&gt;=18),"1 mg iv",ROUND(0.01*(E5),2)&amp;" mg iv")</f>
        <v>0,1 mg iv</v>
      </c>
      <c r="E9" s="76" t="str">
        <f>"= "&amp;IF(ROUND(0.01*(E5),2)&gt;1,"1 ml van 1mg = 10 ml (1:10.000)",ROUND(0.1*(E5),1)&amp;" ml van 1mg = 10 ml (1:10.000)")</f>
        <v>= 1 ml van 1mg = 10 ml (1:10.000)</v>
      </c>
      <c r="F9" s="76"/>
      <c r="G9" s="341" t="s">
        <v>19</v>
      </c>
      <c r="H9" s="76"/>
      <c r="I9" s="76"/>
      <c r="J9" s="263"/>
      <c r="K9" s="263"/>
      <c r="L9" s="189">
        <v>7</v>
      </c>
      <c r="M9" s="189">
        <v>20</v>
      </c>
      <c r="N9" s="189">
        <v>6</v>
      </c>
      <c r="O9" s="189">
        <v>7</v>
      </c>
      <c r="P9" s="189">
        <v>8.1999999999999993</v>
      </c>
      <c r="Q9" s="189">
        <v>69</v>
      </c>
      <c r="R9" s="189"/>
      <c r="S9" s="189">
        <v>8</v>
      </c>
      <c r="T9" s="189">
        <v>7</v>
      </c>
      <c r="U9" s="189"/>
      <c r="V9" s="189"/>
      <c r="W9" s="263"/>
      <c r="X9" s="263"/>
      <c r="Y9" s="263"/>
    </row>
    <row r="10" spans="2:25 4305:4305" ht="20.100000000000001" customHeight="1" x14ac:dyDescent="0.4">
      <c r="B10" s="241"/>
      <c r="C10" s="240" t="s">
        <v>188</v>
      </c>
      <c r="D10" s="77" t="str">
        <f>ROUND(IF(E5&gt;50,50,0.5*E5),0)&amp;" ml iv"</f>
        <v>5 ml iv</v>
      </c>
      <c r="E10" s="76"/>
      <c r="F10" s="76"/>
      <c r="G10" s="341" t="s">
        <v>20</v>
      </c>
      <c r="H10" s="76"/>
      <c r="I10" s="76"/>
      <c r="J10" s="263"/>
      <c r="K10" s="263"/>
      <c r="L10" s="189">
        <v>8</v>
      </c>
      <c r="M10" s="189">
        <v>20</v>
      </c>
      <c r="N10" s="189">
        <v>6</v>
      </c>
      <c r="O10" s="189">
        <v>8</v>
      </c>
      <c r="P10" s="189">
        <v>8.5</v>
      </c>
      <c r="Q10" s="189">
        <v>70</v>
      </c>
      <c r="R10" s="189"/>
      <c r="S10" s="189">
        <v>9</v>
      </c>
      <c r="T10" s="189">
        <v>7</v>
      </c>
      <c r="U10" s="189"/>
      <c r="V10" s="189"/>
      <c r="W10" s="263"/>
      <c r="X10" s="263"/>
      <c r="Y10" s="263"/>
    </row>
    <row r="11" spans="2:25 4305:4305" ht="20.100000000000001" customHeight="1" x14ac:dyDescent="0.4">
      <c r="B11" s="241"/>
      <c r="C11" s="240" t="s">
        <v>598</v>
      </c>
      <c r="D11" s="77" t="str">
        <f>IF(0.2*E5&lt;=25,0.2*E5&amp;" gram iv","25 gram iv")</f>
        <v>2 gram iv</v>
      </c>
      <c r="E11" s="76" t="str">
        <f>"="&amp;" "&amp;IF(2*E5&lt;=250,ROUND(2*E5,0)&amp;" ml glucose 10%","250 ml glucose 10%")</f>
        <v>= 20 ml glucose 10%</v>
      </c>
      <c r="F11" s="76"/>
      <c r="G11" s="341" t="s">
        <v>21</v>
      </c>
      <c r="H11" s="76"/>
      <c r="I11" s="76"/>
      <c r="J11" s="263"/>
      <c r="K11" s="263"/>
      <c r="L11" s="189">
        <v>9</v>
      </c>
      <c r="M11" s="189">
        <v>20</v>
      </c>
      <c r="N11" s="189">
        <v>6.5</v>
      </c>
      <c r="O11" s="189">
        <v>9</v>
      </c>
      <c r="P11" s="189">
        <v>9</v>
      </c>
      <c r="Q11" s="189">
        <v>72</v>
      </c>
      <c r="R11" s="189"/>
      <c r="S11" s="189">
        <v>10</v>
      </c>
      <c r="T11" s="189">
        <v>10</v>
      </c>
      <c r="U11" s="189">
        <v>10</v>
      </c>
      <c r="V11" s="189"/>
      <c r="W11" s="263"/>
      <c r="X11" s="263"/>
      <c r="Y11" s="263"/>
    </row>
    <row r="12" spans="2:25 4305:4305" ht="20.100000000000001" customHeight="1" thickBot="1" x14ac:dyDescent="0.45">
      <c r="B12" s="241"/>
      <c r="C12" s="259" t="s">
        <v>189</v>
      </c>
      <c r="D12" s="260" t="str">
        <f>IF(ROUND(20*E5/10,0)*10&gt;500,500,ROUND(20*E5/10,0)*10)&amp;" ml fysiologisch zout iv per bolus"</f>
        <v>200 ml fysiologisch zout iv per bolus</v>
      </c>
      <c r="E12" s="261"/>
      <c r="F12" s="261"/>
      <c r="G12" s="342" t="s">
        <v>22</v>
      </c>
      <c r="H12" s="76"/>
      <c r="I12" s="76"/>
      <c r="J12" s="263"/>
      <c r="K12" s="263"/>
      <c r="L12" s="189">
        <v>10</v>
      </c>
      <c r="M12" s="189">
        <v>20</v>
      </c>
      <c r="N12" s="189">
        <v>6.5</v>
      </c>
      <c r="O12" s="189">
        <v>10</v>
      </c>
      <c r="P12" s="189">
        <v>9.3000000000000007</v>
      </c>
      <c r="Q12" s="189">
        <v>73</v>
      </c>
      <c r="R12" s="189"/>
      <c r="S12" s="189">
        <v>11</v>
      </c>
      <c r="T12" s="189">
        <v>10</v>
      </c>
      <c r="U12" s="189"/>
      <c r="V12" s="189"/>
      <c r="W12" s="263"/>
      <c r="X12" s="263"/>
      <c r="Y12" s="263"/>
    </row>
    <row r="13" spans="2:25 4305:4305" ht="20.100000000000001" customHeight="1" thickBot="1" x14ac:dyDescent="0.45">
      <c r="B13" s="28"/>
      <c r="C13" s="76"/>
      <c r="D13" s="77"/>
      <c r="E13" s="76"/>
      <c r="F13" s="76"/>
      <c r="G13" s="341"/>
      <c r="H13" s="76"/>
      <c r="I13" s="76"/>
      <c r="J13" s="263"/>
      <c r="K13" s="263"/>
      <c r="L13" s="189">
        <v>11</v>
      </c>
      <c r="M13" s="189">
        <v>20</v>
      </c>
      <c r="N13" s="189">
        <v>7</v>
      </c>
      <c r="O13" s="189">
        <v>11</v>
      </c>
      <c r="P13" s="189">
        <v>9.5</v>
      </c>
      <c r="Q13" s="189">
        <v>74</v>
      </c>
      <c r="R13" s="189"/>
      <c r="S13" s="189">
        <v>12</v>
      </c>
      <c r="T13" s="189">
        <v>10</v>
      </c>
      <c r="U13" s="189"/>
      <c r="V13" s="189"/>
      <c r="W13" s="263"/>
      <c r="X13" s="263"/>
      <c r="Y13" s="263"/>
    </row>
    <row r="14" spans="2:25 4305:4305" ht="20.100000000000001" customHeight="1" x14ac:dyDescent="0.4">
      <c r="B14" s="241" t="s">
        <v>1178</v>
      </c>
      <c r="C14" s="256" t="s">
        <v>989</v>
      </c>
      <c r="D14" s="257" t="str">
        <f>IF(0.5*E5&gt;20,"20 mg iv",0.5*E5&amp;" mg iv")</f>
        <v>5 mg iv</v>
      </c>
      <c r="E14" s="258" t="str">
        <f>"= "&amp;IF(0.5*E5&gt;20,"10 ml van een 2 mg/ml oplossing",ROUND(0.5*E5*0.5,1)&amp;" ml van een 2 mg/ml oplossing")</f>
        <v>= 2,5 ml van een 2 mg/ml oplossing</v>
      </c>
      <c r="F14" s="258"/>
      <c r="G14" s="340" t="s">
        <v>23</v>
      </c>
      <c r="H14" s="76"/>
      <c r="I14" s="76"/>
      <c r="J14" s="263"/>
      <c r="K14" s="263"/>
      <c r="L14" s="189">
        <v>12</v>
      </c>
      <c r="M14" s="189">
        <v>15</v>
      </c>
      <c r="N14" s="189">
        <v>7</v>
      </c>
      <c r="O14" s="189">
        <v>12</v>
      </c>
      <c r="P14" s="189">
        <v>10</v>
      </c>
      <c r="Q14" s="189">
        <v>76</v>
      </c>
      <c r="R14" s="189"/>
      <c r="S14" s="189">
        <v>13</v>
      </c>
      <c r="T14" s="189">
        <v>10</v>
      </c>
      <c r="U14" s="189"/>
      <c r="V14" s="189"/>
      <c r="W14" s="263"/>
      <c r="X14" s="263"/>
      <c r="Y14" s="263"/>
    </row>
    <row r="15" spans="2:25 4305:4305" ht="20.100000000000001" customHeight="1" x14ac:dyDescent="0.4">
      <c r="B15" s="241"/>
      <c r="C15" s="240" t="s">
        <v>870</v>
      </c>
      <c r="D15" s="77" t="str">
        <f>IF(ROUND(1*(E5),1)&gt;100,"100 mg iv",ROUND(1*(E5),1)&amp;" mg iv")</f>
        <v>10 mg iv</v>
      </c>
      <c r="E15" s="76" t="str">
        <f>"= "&amp;IF(ROUND(1*(E5),1)&gt;100,"10 ml"&amp;" van een 1mg/ml oplossing",ROUND(0.1*(E5),1)&amp;" ml"&amp;" van een 10 mg/ml oplossing")</f>
        <v>= 1 ml van een 10 mg/ml oplossing</v>
      </c>
      <c r="F15" s="76"/>
      <c r="G15" s="341" t="s">
        <v>24</v>
      </c>
      <c r="H15" s="76"/>
      <c r="I15" s="76"/>
      <c r="J15" s="263"/>
      <c r="K15" s="263"/>
      <c r="L15" s="189">
        <v>13</v>
      </c>
      <c r="M15" s="189">
        <v>15</v>
      </c>
      <c r="N15" s="189">
        <v>7</v>
      </c>
      <c r="O15" s="189"/>
      <c r="P15" s="189"/>
      <c r="Q15" s="189"/>
      <c r="R15" s="189"/>
      <c r="S15" s="189">
        <v>14</v>
      </c>
      <c r="T15" s="189">
        <v>10</v>
      </c>
      <c r="U15" s="189"/>
      <c r="V15" s="189"/>
      <c r="W15" s="263"/>
      <c r="X15" s="263"/>
      <c r="Y15" s="263"/>
    </row>
    <row r="16" spans="2:25 4305:4305" ht="20.100000000000001" customHeight="1" x14ac:dyDescent="0.4">
      <c r="B16" s="241"/>
      <c r="C16" s="240" t="s">
        <v>990</v>
      </c>
      <c r="D16" s="77" t="str">
        <f>IF(ROUND(0.02*(E5),1)&lt;0.1,"0,1 mg iv",IF(ROUND(0.02*(E5),1)&gt;0.5,"0,5 mg iv",ROUND(0.02*(E5),1)&amp;" mg iv"))</f>
        <v>0,2 mg iv</v>
      </c>
      <c r="E16" s="371" t="str">
        <f>"= "&amp;IF(ROUND(0.02*(E5),1)&lt;0.1,0.1,IF(ROUND(0.02*(E5),1)&gt;0.5,0.5,ROUND(0.02*(E5),1)))*2&amp;" ml van 0,5 mg/ml (min 0,1 mg)"</f>
        <v>= 0,4 ml van 0,5 mg/ml (min 0,1 mg)</v>
      </c>
      <c r="F16" s="371"/>
      <c r="G16" s="341" t="s">
        <v>25</v>
      </c>
      <c r="H16" s="76"/>
      <c r="I16" s="76"/>
      <c r="J16" s="263"/>
      <c r="K16" s="263"/>
      <c r="L16" s="189">
        <v>14</v>
      </c>
      <c r="M16" s="189">
        <v>15</v>
      </c>
      <c r="N16" s="189">
        <v>7</v>
      </c>
      <c r="O16" s="189"/>
      <c r="P16" s="189"/>
      <c r="Q16" s="189"/>
      <c r="R16" s="189"/>
      <c r="S16" s="189">
        <v>15</v>
      </c>
      <c r="T16" s="189">
        <v>10</v>
      </c>
      <c r="U16" s="189"/>
      <c r="V16" s="189"/>
      <c r="W16" s="263"/>
      <c r="X16" s="263"/>
      <c r="Y16" s="263"/>
    </row>
    <row r="17" spans="2:25" ht="20.100000000000001" customHeight="1" thickBot="1" x14ac:dyDescent="0.45">
      <c r="B17" s="241"/>
      <c r="C17" s="259"/>
      <c r="D17" s="260"/>
      <c r="E17" s="372"/>
      <c r="F17" s="372"/>
      <c r="G17" s="342"/>
      <c r="H17" s="76"/>
      <c r="I17" s="76"/>
      <c r="J17" s="263"/>
      <c r="K17" s="263"/>
      <c r="L17" s="189">
        <v>15</v>
      </c>
      <c r="M17" s="189">
        <v>15</v>
      </c>
      <c r="N17" s="189">
        <v>7</v>
      </c>
      <c r="O17" s="189"/>
      <c r="P17" s="189"/>
      <c r="Q17" s="189"/>
      <c r="R17" s="189"/>
      <c r="S17" s="189">
        <v>16</v>
      </c>
      <c r="T17" s="189">
        <v>20</v>
      </c>
      <c r="U17" s="189"/>
      <c r="V17" s="189"/>
      <c r="W17" s="263"/>
      <c r="X17" s="263"/>
      <c r="Y17" s="263"/>
    </row>
    <row r="18" spans="2:25" ht="15.75" customHeight="1" thickBot="1" x14ac:dyDescent="0.45">
      <c r="B18" s="28"/>
      <c r="C18" s="215"/>
      <c r="D18" s="77"/>
      <c r="E18" s="251"/>
      <c r="F18" s="251"/>
      <c r="G18" s="341"/>
      <c r="H18" s="249"/>
      <c r="I18" s="249"/>
      <c r="J18" s="265"/>
      <c r="K18" s="263"/>
      <c r="L18" s="189">
        <v>16</v>
      </c>
      <c r="M18" s="189">
        <v>15</v>
      </c>
      <c r="N18" s="189">
        <v>7</v>
      </c>
      <c r="O18" s="189"/>
      <c r="P18" s="189"/>
      <c r="Q18" s="189"/>
      <c r="R18" s="189"/>
      <c r="S18" s="189">
        <v>17</v>
      </c>
      <c r="T18" s="189">
        <v>20</v>
      </c>
      <c r="U18" s="189"/>
      <c r="V18" s="189"/>
      <c r="W18" s="263"/>
      <c r="X18" s="263"/>
      <c r="Y18" s="263"/>
    </row>
    <row r="19" spans="2:25" ht="20.100000000000001" customHeight="1" x14ac:dyDescent="0.4">
      <c r="B19" s="241" t="s">
        <v>856</v>
      </c>
      <c r="C19" s="256" t="s">
        <v>303</v>
      </c>
      <c r="D19" s="257" t="str">
        <f>IF(0.02*E5&gt;0.3,"0,3 mg iv",0.02*E5&amp;" mg iv")</f>
        <v>0,2 mg iv</v>
      </c>
      <c r="E19" s="258" t="str">
        <f>"= "&amp;IF(0.02*E5&gt;1,"10 ml van anexate 0,1 mg/ml",ROUND((0.02*E5)/0.1,1)&amp;" ml van anexate 0,1 mg/ml")</f>
        <v>= 2 ml van anexate 0,1 mg/ml</v>
      </c>
      <c r="F19" s="258"/>
      <c r="G19" s="340" t="s">
        <v>26</v>
      </c>
      <c r="H19" s="249"/>
      <c r="I19" s="249"/>
      <c r="J19" s="265"/>
      <c r="K19" s="263"/>
      <c r="L19" s="189">
        <v>17</v>
      </c>
      <c r="M19" s="189">
        <v>15</v>
      </c>
      <c r="N19" s="189">
        <v>7</v>
      </c>
      <c r="O19" s="189"/>
      <c r="P19" s="189"/>
      <c r="Q19" s="189"/>
      <c r="R19" s="189"/>
      <c r="S19" s="189">
        <v>18</v>
      </c>
      <c r="T19" s="189">
        <v>20</v>
      </c>
      <c r="U19" s="189"/>
      <c r="V19" s="189"/>
      <c r="W19" s="263"/>
      <c r="X19" s="263"/>
      <c r="Y19" s="263"/>
    </row>
    <row r="20" spans="2:25" ht="20.100000000000001" customHeight="1" x14ac:dyDescent="0.4">
      <c r="B20" s="241"/>
      <c r="C20" s="240" t="s">
        <v>991</v>
      </c>
      <c r="D20" s="77" t="str">
        <f>IF(0.01*E5&gt;0.4,"0,4 mg iv",0.01*E5&amp;" mg iv")</f>
        <v>0,1 mg iv</v>
      </c>
      <c r="E20" s="371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71"/>
      <c r="G20" s="341" t="s">
        <v>27</v>
      </c>
      <c r="H20" s="76"/>
      <c r="I20" s="76"/>
      <c r="J20" s="263"/>
      <c r="K20" s="263"/>
      <c r="L20" s="189">
        <v>18</v>
      </c>
      <c r="M20" s="189">
        <v>15</v>
      </c>
      <c r="N20" s="189">
        <v>7</v>
      </c>
      <c r="O20" s="189"/>
      <c r="P20" s="189"/>
      <c r="Q20" s="189"/>
      <c r="R20" s="189"/>
      <c r="S20" s="189">
        <v>19</v>
      </c>
      <c r="T20" s="189">
        <v>20</v>
      </c>
      <c r="U20" s="189"/>
      <c r="V20" s="189"/>
      <c r="W20" s="263"/>
      <c r="X20" s="263"/>
      <c r="Y20" s="263"/>
    </row>
    <row r="21" spans="2:25" ht="20.100000000000001" customHeight="1" thickBot="1" x14ac:dyDescent="0.45">
      <c r="B21" s="241"/>
      <c r="C21" s="259"/>
      <c r="D21" s="260"/>
      <c r="E21" s="372"/>
      <c r="F21" s="372"/>
      <c r="G21" s="342"/>
      <c r="H21" s="76"/>
      <c r="I21" s="76"/>
      <c r="J21" s="263"/>
      <c r="K21" s="263"/>
      <c r="L21" s="189"/>
      <c r="M21" s="189"/>
      <c r="N21" s="189"/>
      <c r="O21" s="189"/>
      <c r="P21" s="189"/>
      <c r="Q21" s="189"/>
      <c r="R21" s="189"/>
      <c r="S21" s="189">
        <v>20</v>
      </c>
      <c r="T21" s="189">
        <v>20</v>
      </c>
      <c r="U21" s="189">
        <v>20</v>
      </c>
      <c r="V21" s="189"/>
      <c r="W21" s="263"/>
      <c r="X21" s="263"/>
      <c r="Y21" s="263"/>
    </row>
    <row r="22" spans="2:25" ht="20.100000000000001" customHeight="1" thickBot="1" x14ac:dyDescent="0.45">
      <c r="B22" s="28"/>
      <c r="C22" s="215"/>
      <c r="D22" s="77"/>
      <c r="E22" s="251"/>
      <c r="F22" s="251"/>
      <c r="G22" s="341"/>
      <c r="H22" s="76"/>
      <c r="I22" s="76"/>
      <c r="J22" s="263"/>
      <c r="K22" s="263"/>
      <c r="L22" s="189"/>
      <c r="M22" s="189"/>
      <c r="N22" s="189"/>
      <c r="O22" s="189"/>
      <c r="P22" s="189"/>
      <c r="Q22" s="189"/>
      <c r="R22" s="189"/>
      <c r="S22" s="189">
        <v>21</v>
      </c>
      <c r="T22" s="189">
        <v>30</v>
      </c>
      <c r="U22" s="189"/>
      <c r="V22" s="189"/>
      <c r="W22" s="263"/>
      <c r="X22" s="263"/>
      <c r="Y22" s="263"/>
    </row>
    <row r="23" spans="2:25" ht="20.100000000000001" customHeight="1" x14ac:dyDescent="0.4">
      <c r="B23" s="241" t="s">
        <v>857</v>
      </c>
      <c r="C23" s="256" t="str">
        <f ca="1">IF(C5=0,"alprostadil (Prostin)","")</f>
        <v/>
      </c>
      <c r="D23" s="257" t="str">
        <f ca="1">IF(C5=0,"0,5 mg in 50 ml FZ","")</f>
        <v/>
      </c>
      <c r="E23" s="258" t="str">
        <f ca="1">IF(C5=0,"1 ml/uur = "&amp;ROUND(1000*(0.5/50)*24/(E5)/1.44,0)&amp;" nanog/kg/min iv","")</f>
        <v/>
      </c>
      <c r="F23" s="258"/>
      <c r="G23" s="340" t="s">
        <v>973</v>
      </c>
      <c r="H23" s="76"/>
      <c r="I23" s="76"/>
      <c r="J23" s="263"/>
      <c r="K23" s="263"/>
      <c r="L23" s="189"/>
      <c r="M23" s="189"/>
      <c r="N23" s="189"/>
      <c r="O23" s="189"/>
      <c r="P23" s="189"/>
      <c r="Q23" s="189"/>
      <c r="R23" s="189"/>
      <c r="S23" s="189">
        <v>22</v>
      </c>
      <c r="T23" s="189">
        <v>30</v>
      </c>
      <c r="U23" s="189"/>
      <c r="V23" s="189"/>
      <c r="W23" s="263"/>
      <c r="X23" s="263"/>
      <c r="Y23" s="263"/>
    </row>
    <row r="24" spans="2:25" ht="20.100000000000001" customHeight="1" x14ac:dyDescent="0.4">
      <c r="B24" s="241"/>
      <c r="C24" s="240" t="s">
        <v>344</v>
      </c>
      <c r="D24" s="77" t="str">
        <f>IF(E5&gt;5,"200 mg in 50 ml FZ",ROUND(((E5)*24*60*(10/1000)/(24/50))/50,0)*50&amp;" mg in 50 ml FZ")</f>
        <v>200 mg in 50 ml FZ</v>
      </c>
      <c r="E24" s="76" t="str">
        <f>"1 ml/uur = "&amp;IF(E5&gt;5,ROUND((200/50/E5/60)*1000,1),ROUND(24*ROUND(((E5)*24*60*(10/1000)/(24/50))/50,0)*50/50/1.44/E5,1))&amp;" mcg/kg/min"</f>
        <v>1 ml/uur = 6,7 mcg/kg/min</v>
      </c>
      <c r="F24" s="76"/>
      <c r="G24" s="341" t="s">
        <v>1027</v>
      </c>
      <c r="H24" s="76"/>
      <c r="I24" s="76"/>
      <c r="J24" s="263"/>
      <c r="K24" s="263"/>
      <c r="L24" s="189"/>
      <c r="M24" s="189"/>
      <c r="N24" s="189"/>
      <c r="O24" s="189"/>
      <c r="P24" s="189"/>
      <c r="Q24" s="189"/>
      <c r="R24" s="189"/>
      <c r="S24" s="189">
        <v>23</v>
      </c>
      <c r="T24" s="189">
        <v>30</v>
      </c>
      <c r="U24" s="189"/>
      <c r="V24" s="189"/>
      <c r="W24" s="263"/>
      <c r="X24" s="263"/>
      <c r="Y24" s="263"/>
    </row>
    <row r="25" spans="2:25" ht="20.100000000000001" customHeight="1" thickBot="1" x14ac:dyDescent="0.45">
      <c r="B25" s="241"/>
      <c r="C25" s="259" t="s">
        <v>345</v>
      </c>
      <c r="D25" s="260" t="str">
        <f>IF(Gewicht/15&gt;5,"10 mg in 50 ml FZ",ROUND((E5)*24*60*(0.1/1000)/(24/50)/5,1)*5&amp;" mg in 50 ml FZ")</f>
        <v>10 mg in 50 ml FZ</v>
      </c>
      <c r="E25" s="261" t="str">
        <f>"1 ml/uur = "&amp;IF(E5&gt;5,ROUND((10/50/E5/60)*1000,2),ROUND(24*ROUND((E5)*24*60*(0.1/1000)/(24/50)/5,1)*5/50/1.44/E5,2))&amp;" mcg/kg/min"</f>
        <v>1 ml/uur = 0,33 mcg/kg/min</v>
      </c>
      <c r="F25" s="261"/>
      <c r="G25" s="342" t="s">
        <v>1258</v>
      </c>
      <c r="H25" s="76"/>
      <c r="I25" s="76"/>
      <c r="J25" s="263"/>
      <c r="K25" s="263"/>
      <c r="L25" s="189"/>
      <c r="M25" s="189"/>
      <c r="N25" s="189"/>
      <c r="O25" s="189"/>
      <c r="P25" s="189"/>
      <c r="Q25" s="189"/>
      <c r="R25" s="189"/>
      <c r="S25" s="189">
        <v>24</v>
      </c>
      <c r="T25" s="189">
        <v>30</v>
      </c>
      <c r="U25" s="189"/>
      <c r="V25" s="189"/>
      <c r="W25" s="263"/>
      <c r="X25" s="263"/>
      <c r="Y25" s="263"/>
    </row>
    <row r="26" spans="2:25" ht="20.100000000000001" customHeight="1" thickBot="1" x14ac:dyDescent="0.45">
      <c r="B26" s="28"/>
      <c r="C26" s="76"/>
      <c r="D26" s="77"/>
      <c r="E26" s="76"/>
      <c r="F26" s="76"/>
      <c r="G26" s="341"/>
      <c r="H26" s="76"/>
      <c r="I26" s="76"/>
      <c r="J26" s="263"/>
      <c r="K26" s="263"/>
      <c r="L26" s="189"/>
      <c r="M26" s="189"/>
      <c r="N26" s="189"/>
      <c r="O26" s="189"/>
      <c r="P26" s="189"/>
      <c r="Q26" s="189"/>
      <c r="R26" s="189"/>
      <c r="S26" s="189">
        <v>25</v>
      </c>
      <c r="T26" s="189">
        <v>30</v>
      </c>
      <c r="U26" s="189"/>
      <c r="V26" s="189"/>
      <c r="W26" s="263"/>
      <c r="X26" s="263"/>
      <c r="Y26" s="263"/>
    </row>
    <row r="27" spans="2:25" ht="20.100000000000001" customHeight="1" x14ac:dyDescent="0.4">
      <c r="B27" s="369" t="s">
        <v>858</v>
      </c>
      <c r="C27" s="256" t="s">
        <v>1375</v>
      </c>
      <c r="D27" s="257" t="str">
        <f>IF(ROUND(E5/2,0)*2&gt;50,"300 mg iv",ROUND(E5*5,0)&amp;" mg iv")</f>
        <v>50 mg iv</v>
      </c>
      <c r="E27" s="258" t="str">
        <f>IF(ROUND(E5/2,0)*2&gt;50,"6 ml van amiodarone 50 mg/ml iv",ROUND(E5*0.1,1)&amp;" ml van amiodarone 50 mg/ml iv")</f>
        <v>1 ml van amiodarone 50 mg/ml iv</v>
      </c>
      <c r="F27" s="258"/>
      <c r="G27" s="340" t="s">
        <v>28</v>
      </c>
      <c r="H27" s="76"/>
      <c r="I27" s="76"/>
      <c r="J27" s="263"/>
      <c r="K27" s="263"/>
      <c r="L27" s="189"/>
      <c r="M27" s="189"/>
      <c r="N27" s="189"/>
      <c r="O27" s="189"/>
      <c r="P27" s="189"/>
      <c r="Q27" s="189"/>
      <c r="R27" s="189"/>
      <c r="S27" s="189">
        <v>26</v>
      </c>
      <c r="T27" s="189">
        <v>30</v>
      </c>
      <c r="U27" s="189"/>
      <c r="V27" s="189"/>
      <c r="W27" s="263"/>
      <c r="X27" s="263"/>
      <c r="Y27" s="263"/>
    </row>
    <row r="28" spans="2:25" ht="20.100000000000001" customHeight="1" thickBot="1" x14ac:dyDescent="0.45">
      <c r="B28" s="370"/>
      <c r="C28" s="259" t="s">
        <v>966</v>
      </c>
      <c r="D28" s="260" t="str">
        <f>IF(E5/10&gt;10,"10 ml iv",E5/10 &amp;" ml iv")</f>
        <v>1 ml iv</v>
      </c>
      <c r="E28" s="261" t="s">
        <v>683</v>
      </c>
      <c r="F28" s="261"/>
      <c r="G28" s="342" t="s">
        <v>29</v>
      </c>
      <c r="H28" s="76"/>
      <c r="I28" s="76"/>
      <c r="J28" s="263"/>
      <c r="K28" s="263"/>
      <c r="L28" s="189"/>
      <c r="M28" s="189"/>
      <c r="N28" s="189"/>
      <c r="O28" s="189"/>
      <c r="P28" s="189"/>
      <c r="Q28" s="189"/>
      <c r="R28" s="189"/>
      <c r="S28" s="189">
        <v>27</v>
      </c>
      <c r="T28" s="189">
        <v>30</v>
      </c>
      <c r="U28" s="189"/>
      <c r="V28" s="189"/>
      <c r="W28" s="263"/>
      <c r="X28" s="263"/>
      <c r="Y28" s="263"/>
    </row>
    <row r="29" spans="2:25" ht="20.100000000000001" customHeight="1" thickBot="1" x14ac:dyDescent="0.45">
      <c r="B29" s="28"/>
      <c r="C29" s="76"/>
      <c r="D29" s="77"/>
      <c r="E29" s="76"/>
      <c r="F29" s="76"/>
      <c r="G29" s="341"/>
      <c r="H29" s="76"/>
      <c r="I29" s="76"/>
      <c r="J29" s="263"/>
      <c r="K29" s="263"/>
      <c r="L29" s="189"/>
      <c r="M29" s="189"/>
      <c r="N29" s="189"/>
      <c r="O29" s="189"/>
      <c r="P29" s="189"/>
      <c r="Q29" s="189"/>
      <c r="R29" s="189"/>
      <c r="S29" s="189">
        <v>28</v>
      </c>
      <c r="T29" s="189">
        <v>30</v>
      </c>
      <c r="U29" s="189"/>
      <c r="V29" s="189"/>
      <c r="W29" s="263"/>
      <c r="X29" s="263"/>
      <c r="Y29" s="263"/>
    </row>
    <row r="30" spans="2:25" ht="20.100000000000001" customHeight="1" x14ac:dyDescent="0.4">
      <c r="B30" s="368" t="s">
        <v>296</v>
      </c>
      <c r="C30" s="256" t="s">
        <v>346</v>
      </c>
      <c r="D30" s="257" t="str">
        <f>IF((0.5*E5)&gt;10,"10 mg rect",(0.5*E5)&amp;" mg rect")</f>
        <v>5 mg rect</v>
      </c>
      <c r="E30" s="258" t="str">
        <f>"= "&amp;IF((0.5*E5)&gt;10,"5 ml van diazepam 2 mg/ml",ROUND((0.5*E5)/2,1)&amp;" ml van diazepam 2 mg/ml")</f>
        <v>= 2,5 ml van diazepam 2 mg/ml</v>
      </c>
      <c r="F30" s="258"/>
      <c r="G30" s="340" t="s">
        <v>30</v>
      </c>
      <c r="H30" s="76"/>
      <c r="I30" s="76"/>
      <c r="J30" s="263"/>
      <c r="K30" s="263"/>
      <c r="L30" s="189"/>
      <c r="M30" s="189"/>
      <c r="N30" s="189"/>
      <c r="O30" s="189"/>
      <c r="P30" s="189"/>
      <c r="Q30" s="189"/>
      <c r="R30" s="189"/>
      <c r="S30" s="189">
        <v>29</v>
      </c>
      <c r="T30" s="189">
        <v>30</v>
      </c>
      <c r="U30" s="189"/>
      <c r="V30" s="189"/>
      <c r="W30" s="263"/>
      <c r="X30" s="263"/>
      <c r="Y30" s="263"/>
    </row>
    <row r="31" spans="2:25" ht="20.100000000000001" customHeight="1" x14ac:dyDescent="0.4">
      <c r="B31" s="368"/>
      <c r="C31" s="240" t="s">
        <v>866</v>
      </c>
      <c r="D31" s="77" t="str">
        <f>IF((20*E5)&gt;1500,"1500 mg iv",20*E5&amp;" mg iv")</f>
        <v>200 mg iv</v>
      </c>
      <c r="E31" s="371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71"/>
      <c r="G31" s="343" t="s">
        <v>109</v>
      </c>
      <c r="H31" s="76"/>
      <c r="I31" s="76"/>
      <c r="J31" s="263"/>
      <c r="L31" s="189"/>
      <c r="M31" s="189"/>
      <c r="N31" s="189"/>
      <c r="O31" s="189"/>
      <c r="P31" s="189"/>
      <c r="Q31" s="189"/>
      <c r="R31" s="189"/>
      <c r="S31" s="189">
        <v>30</v>
      </c>
      <c r="T31" s="189">
        <v>30</v>
      </c>
      <c r="U31" s="189">
        <v>30</v>
      </c>
      <c r="V31" s="189"/>
      <c r="W31" s="263"/>
      <c r="X31" s="263"/>
      <c r="Y31" s="263"/>
    </row>
    <row r="32" spans="2:25" ht="20.100000000000001" customHeight="1" x14ac:dyDescent="0.4">
      <c r="B32" s="241"/>
      <c r="C32" s="240"/>
      <c r="D32" s="77"/>
      <c r="E32" s="371"/>
      <c r="F32" s="371"/>
      <c r="G32" s="341"/>
      <c r="H32" s="76"/>
      <c r="I32" s="76"/>
      <c r="L32" s="189"/>
      <c r="M32" s="189"/>
      <c r="N32" s="189"/>
      <c r="O32" s="189"/>
      <c r="P32" s="189"/>
      <c r="Q32" s="189"/>
      <c r="R32" s="189"/>
      <c r="S32" s="189">
        <v>31</v>
      </c>
      <c r="T32" s="189">
        <v>50</v>
      </c>
      <c r="U32" s="189"/>
      <c r="V32" s="189"/>
      <c r="W32" s="263"/>
      <c r="X32" s="263"/>
      <c r="Y32" s="263"/>
    </row>
    <row r="33" spans="2:25" ht="12.75" customHeight="1" thickBot="1" x14ac:dyDescent="0.45">
      <c r="B33" s="241"/>
      <c r="C33" s="259" t="s">
        <v>1092</v>
      </c>
      <c r="D33" s="260" t="str">
        <f>IF((0.1*E5)&gt;10,"10 mg iv",0.1*E5&amp;" mg iv")</f>
        <v>1 mg iv</v>
      </c>
      <c r="E33" s="261" t="str">
        <f>"= "&amp;IF((0.1*E5)&gt;15,10,ROUND((0.1*E5),1))&amp;" ml van dormicum 1 mg/ml iv"</f>
        <v>= 1 ml van dormicum 1 mg/ml iv</v>
      </c>
      <c r="F33" s="261"/>
      <c r="G33" s="344" t="s">
        <v>31</v>
      </c>
      <c r="H33" s="76"/>
      <c r="I33" s="76"/>
      <c r="L33" s="189"/>
      <c r="M33" s="189"/>
      <c r="N33" s="189"/>
      <c r="O33" s="189"/>
      <c r="P33" s="189"/>
      <c r="Q33" s="189"/>
      <c r="R33" s="189"/>
      <c r="S33" s="189">
        <v>32</v>
      </c>
      <c r="T33" s="189">
        <v>50</v>
      </c>
      <c r="U33" s="189"/>
      <c r="V33" s="189"/>
      <c r="W33" s="263"/>
      <c r="X33" s="263"/>
      <c r="Y33" s="263"/>
    </row>
    <row r="34" spans="2:25" ht="13.5" customHeight="1" thickBot="1" x14ac:dyDescent="0.45">
      <c r="B34" s="28"/>
      <c r="C34" s="76"/>
      <c r="D34" s="77"/>
      <c r="E34" s="76"/>
      <c r="F34" s="76"/>
      <c r="G34" s="345"/>
      <c r="H34" s="76"/>
      <c r="I34" s="76"/>
      <c r="L34" s="189"/>
      <c r="M34" s="189"/>
      <c r="N34" s="189"/>
      <c r="O34" s="189"/>
      <c r="P34" s="189"/>
      <c r="Q34" s="189"/>
      <c r="R34" s="189"/>
      <c r="S34" s="189">
        <v>33</v>
      </c>
      <c r="T34" s="189">
        <v>50</v>
      </c>
      <c r="U34" s="189"/>
      <c r="V34" s="189"/>
      <c r="W34" s="263"/>
      <c r="X34" s="263"/>
      <c r="Y34" s="263"/>
    </row>
    <row r="35" spans="2:25" ht="19.55" customHeight="1" x14ac:dyDescent="0.4">
      <c r="B35" s="241" t="s">
        <v>297</v>
      </c>
      <c r="C35" s="256" t="s">
        <v>1309</v>
      </c>
      <c r="D35" s="257" t="str">
        <f>IF(1*(E5&gt;25),"25 mg iv",1*(E5)&amp;" mg iv")</f>
        <v>10 mg iv</v>
      </c>
      <c r="E35" s="258"/>
      <c r="F35" s="258"/>
      <c r="G35" s="340" t="s">
        <v>32</v>
      </c>
      <c r="H35" s="76"/>
      <c r="I35" s="76"/>
      <c r="L35" s="189"/>
      <c r="M35" s="189"/>
      <c r="N35" s="189"/>
      <c r="O35" s="189"/>
      <c r="P35" s="189"/>
      <c r="Q35" s="189"/>
      <c r="R35" s="189"/>
      <c r="S35" s="189">
        <v>34</v>
      </c>
      <c r="T35" s="189">
        <v>50</v>
      </c>
      <c r="U35" s="189"/>
      <c r="V35" s="189"/>
      <c r="W35" s="263"/>
      <c r="X35" s="263"/>
      <c r="Y35" s="263"/>
    </row>
    <row r="36" spans="2:25" ht="19.55" customHeight="1" thickBot="1" x14ac:dyDescent="0.45">
      <c r="B36" s="241"/>
      <c r="C36" s="259" t="s">
        <v>347</v>
      </c>
      <c r="D36" s="260" t="str">
        <f>IF(ROUND((0.5*E5),1)&gt;50,"50 gram iv",ROUND((0.5*E5),1)&amp;" gram iv")</f>
        <v>5 gram iv</v>
      </c>
      <c r="E36" s="261" t="str">
        <f>"= "&amp;IF(ROUND((0.5*E5),1)&gt;50,ROUND(50/0.15,0),ROUND((0.5*E5)/0.15,0))&amp;" ml van mannitol 15% in 30 min iv"</f>
        <v>= 33 ml van mannitol 15% in 30 min iv</v>
      </c>
      <c r="F36" s="261"/>
      <c r="G36" s="342" t="s">
        <v>33</v>
      </c>
      <c r="H36" s="76"/>
      <c r="I36" s="76"/>
      <c r="L36" s="189"/>
      <c r="M36" s="189"/>
      <c r="N36" s="189"/>
      <c r="O36" s="189"/>
      <c r="P36" s="189"/>
      <c r="Q36" s="189"/>
      <c r="R36" s="189"/>
      <c r="S36" s="189">
        <v>35</v>
      </c>
      <c r="T36" s="189">
        <v>50</v>
      </c>
      <c r="U36" s="189"/>
      <c r="V36" s="189"/>
      <c r="W36" s="263"/>
      <c r="X36" s="263"/>
      <c r="Y36" s="263"/>
    </row>
    <row r="37" spans="2:25" ht="25.55" customHeight="1" thickBot="1" x14ac:dyDescent="0.45">
      <c r="B37" s="28"/>
      <c r="C37" s="76"/>
      <c r="D37" s="77"/>
      <c r="E37" s="76"/>
      <c r="F37" s="76"/>
      <c r="G37" s="346"/>
      <c r="H37" s="76"/>
      <c r="I37" s="76"/>
      <c r="L37" s="189"/>
      <c r="M37" s="189"/>
      <c r="N37" s="189"/>
      <c r="O37" s="189"/>
      <c r="P37" s="189"/>
      <c r="Q37" s="189"/>
      <c r="R37" s="189"/>
      <c r="S37" s="189">
        <v>36</v>
      </c>
      <c r="T37" s="189">
        <v>50</v>
      </c>
      <c r="U37" s="189"/>
      <c r="V37" s="189"/>
      <c r="W37" s="263"/>
      <c r="X37" s="263"/>
      <c r="Y37" s="263"/>
    </row>
    <row r="38" spans="2:25" ht="19.55" customHeight="1" x14ac:dyDescent="0.4">
      <c r="B38" s="241" t="s">
        <v>348</v>
      </c>
      <c r="C38" s="339" t="s">
        <v>929</v>
      </c>
      <c r="D38" s="257" t="str">
        <f ca="1">"AMV "&amp;ROUND(E5*8*VLOOKUP(C5,L2:M20,2)/1000,1)&amp;" L/min"</f>
        <v>AMV 2 L/min</v>
      </c>
      <c r="E38" s="258"/>
      <c r="F38" s="257" t="s">
        <v>349</v>
      </c>
      <c r="G38" s="258"/>
      <c r="H38" s="76"/>
      <c r="I38" s="76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263"/>
      <c r="X38" s="263"/>
      <c r="Y38" s="263"/>
    </row>
    <row r="39" spans="2:25" ht="19.55" customHeight="1" x14ac:dyDescent="0.4">
      <c r="B39" s="241"/>
      <c r="C39" s="79"/>
      <c r="D39" s="77" t="str">
        <f ca="1">"frequentie "&amp;VLOOKUP(C5,L2:M20,2)&amp;"/min"</f>
        <v>frequentie 25/min</v>
      </c>
      <c r="E39" s="76"/>
      <c r="F39" s="77" t="s">
        <v>350</v>
      </c>
      <c r="G39" s="76"/>
      <c r="H39" s="76"/>
      <c r="I39" s="76"/>
      <c r="L39" s="189"/>
      <c r="M39" s="189"/>
      <c r="N39" s="189"/>
      <c r="O39" s="189"/>
      <c r="P39" s="189"/>
      <c r="Q39" s="189"/>
      <c r="R39" s="189"/>
      <c r="S39" s="189">
        <v>37</v>
      </c>
      <c r="T39" s="189">
        <v>50</v>
      </c>
      <c r="U39" s="189"/>
      <c r="V39" s="189"/>
      <c r="W39" s="263"/>
      <c r="X39" s="263"/>
      <c r="Y39" s="263"/>
    </row>
    <row r="40" spans="2:25" ht="19.55" customHeight="1" x14ac:dyDescent="0.4">
      <c r="B40" s="241"/>
      <c r="C40" s="79"/>
      <c r="D40" s="77" t="s">
        <v>1376</v>
      </c>
      <c r="E40" s="76"/>
      <c r="F40" s="77" t="s">
        <v>1341</v>
      </c>
      <c r="G40" s="76"/>
      <c r="H40" s="76"/>
      <c r="I40" s="76"/>
      <c r="L40" s="189"/>
      <c r="M40" s="189"/>
      <c r="N40" s="189"/>
      <c r="O40" s="189"/>
      <c r="P40" s="189"/>
      <c r="Q40" s="189"/>
      <c r="R40" s="189"/>
      <c r="S40" s="189">
        <v>38</v>
      </c>
      <c r="T40" s="189">
        <v>50</v>
      </c>
      <c r="U40" s="189"/>
      <c r="V40" s="189"/>
      <c r="W40" s="263"/>
      <c r="X40" s="263"/>
      <c r="Y40" s="263"/>
    </row>
    <row r="41" spans="2:25" ht="19.55" customHeight="1" x14ac:dyDescent="0.4">
      <c r="B41" s="241"/>
      <c r="C41" s="79"/>
      <c r="D41" s="77" t="s">
        <v>1342</v>
      </c>
      <c r="E41" s="76"/>
      <c r="F41" s="77"/>
      <c r="G41" s="76"/>
      <c r="H41" s="76"/>
      <c r="I41" s="76"/>
      <c r="L41" s="189"/>
      <c r="M41" s="189"/>
      <c r="N41" s="189"/>
      <c r="O41" s="189"/>
      <c r="P41" s="189"/>
      <c r="Q41" s="189"/>
      <c r="R41" s="189"/>
      <c r="S41" s="189">
        <v>39</v>
      </c>
      <c r="T41" s="189">
        <v>50</v>
      </c>
      <c r="U41" s="189"/>
      <c r="V41" s="189"/>
      <c r="W41" s="263"/>
      <c r="X41" s="263"/>
      <c r="Y41" s="263"/>
    </row>
    <row r="42" spans="2:25" ht="19.55" customHeight="1" thickBot="1" x14ac:dyDescent="0.45">
      <c r="B42" s="241"/>
      <c r="C42" s="262"/>
      <c r="D42" s="260"/>
      <c r="E42" s="261"/>
      <c r="F42" s="260"/>
      <c r="G42" s="261"/>
      <c r="H42" s="76"/>
      <c r="I42" s="76"/>
      <c r="L42" s="189"/>
      <c r="M42" s="189"/>
      <c r="N42" s="189"/>
      <c r="O42" s="189"/>
      <c r="P42" s="189"/>
      <c r="Q42" s="189"/>
      <c r="R42" s="189"/>
      <c r="S42" s="189">
        <v>40</v>
      </c>
      <c r="T42" s="189">
        <v>50</v>
      </c>
      <c r="U42" s="189"/>
      <c r="V42" s="189"/>
      <c r="W42" s="263"/>
      <c r="X42" s="263"/>
      <c r="Y42" s="263"/>
    </row>
    <row r="43" spans="2:25" ht="19.55" customHeight="1" x14ac:dyDescent="0.35">
      <c r="B43" s="25"/>
      <c r="C43" s="76"/>
      <c r="D43" s="76"/>
      <c r="E43" s="76"/>
      <c r="F43" s="76"/>
      <c r="G43" s="76"/>
      <c r="H43" s="76"/>
      <c r="I43" s="76"/>
      <c r="L43" s="189"/>
      <c r="M43" s="189"/>
      <c r="N43" s="189"/>
      <c r="O43" s="189"/>
      <c r="P43" s="189"/>
      <c r="Q43" s="189"/>
      <c r="R43" s="189"/>
      <c r="S43" s="189">
        <v>41</v>
      </c>
      <c r="T43" s="189">
        <v>50</v>
      </c>
      <c r="U43" s="189"/>
      <c r="V43" s="189"/>
      <c r="W43" s="263"/>
      <c r="X43" s="263"/>
      <c r="Y43" s="263"/>
    </row>
    <row r="44" spans="2:25" ht="19.55" customHeight="1" x14ac:dyDescent="0.35">
      <c r="B44" s="212" t="s">
        <v>288</v>
      </c>
      <c r="C44" s="78"/>
      <c r="D44" s="76"/>
      <c r="E44" s="76"/>
      <c r="F44" s="76"/>
      <c r="G44" s="76"/>
      <c r="H44" s="76"/>
      <c r="I44" s="76"/>
      <c r="L44" s="189"/>
      <c r="M44" s="189"/>
      <c r="N44" s="189"/>
      <c r="O44" s="189"/>
      <c r="P44" s="189"/>
      <c r="Q44" s="189"/>
      <c r="R44" s="189"/>
      <c r="S44" s="189">
        <v>42</v>
      </c>
      <c r="T44" s="189">
        <v>50</v>
      </c>
      <c r="U44" s="189"/>
      <c r="V44" s="189"/>
      <c r="W44" s="263"/>
      <c r="X44" s="263"/>
      <c r="Y44" s="263"/>
    </row>
    <row r="45" spans="2:25" ht="19.55" customHeight="1" x14ac:dyDescent="0.35">
      <c r="B45" s="93"/>
      <c r="C45" s="76"/>
      <c r="D45" s="76"/>
      <c r="E45" s="76"/>
      <c r="F45" s="76"/>
      <c r="G45" s="76"/>
      <c r="H45" s="76"/>
      <c r="I45" s="76"/>
      <c r="L45" s="189"/>
      <c r="M45" s="189"/>
      <c r="N45" s="189"/>
      <c r="O45" s="189"/>
      <c r="P45" s="189"/>
      <c r="Q45" s="189"/>
      <c r="R45" s="189"/>
      <c r="S45" s="189">
        <v>43</v>
      </c>
      <c r="T45" s="189">
        <v>50</v>
      </c>
      <c r="U45" s="189"/>
      <c r="V45" s="189"/>
      <c r="W45" s="263"/>
      <c r="X45" s="263"/>
      <c r="Y45" s="263"/>
    </row>
    <row r="46" spans="2:25" ht="19.55" customHeight="1" x14ac:dyDescent="0.35">
      <c r="B46" s="93"/>
      <c r="C46" s="76"/>
      <c r="D46" s="76"/>
      <c r="E46" s="76"/>
      <c r="F46" s="76"/>
      <c r="G46" s="76"/>
      <c r="H46" s="76"/>
      <c r="I46" s="76"/>
      <c r="L46" s="189"/>
      <c r="M46" s="189"/>
      <c r="N46" s="189"/>
      <c r="O46" s="189"/>
      <c r="P46" s="189"/>
      <c r="Q46" s="189"/>
      <c r="R46" s="189"/>
      <c r="S46" s="189">
        <v>44</v>
      </c>
      <c r="T46" s="189">
        <v>50</v>
      </c>
      <c r="U46" s="189"/>
      <c r="V46" s="189"/>
      <c r="W46" s="263"/>
      <c r="X46" s="263"/>
      <c r="Y46" s="263"/>
    </row>
    <row r="47" spans="2:25" x14ac:dyDescent="0.35">
      <c r="B47" s="93"/>
      <c r="C47" s="76"/>
      <c r="D47" s="76"/>
      <c r="E47" s="76"/>
      <c r="F47" s="76"/>
      <c r="G47" s="76"/>
      <c r="H47" s="76"/>
      <c r="I47" s="76"/>
      <c r="L47" s="189"/>
      <c r="M47" s="189"/>
      <c r="N47" s="189"/>
      <c r="O47" s="189"/>
      <c r="P47" s="189"/>
      <c r="Q47" s="189"/>
      <c r="R47" s="189"/>
      <c r="S47" s="189">
        <v>45</v>
      </c>
      <c r="T47" s="189">
        <v>50</v>
      </c>
      <c r="U47" s="189"/>
      <c r="V47" s="189"/>
      <c r="W47" s="263"/>
      <c r="X47" s="263"/>
      <c r="Y47" s="263"/>
    </row>
    <row r="48" spans="2:25" x14ac:dyDescent="0.35">
      <c r="B48" s="93"/>
      <c r="C48" s="76"/>
      <c r="D48" s="76"/>
      <c r="E48" s="76"/>
      <c r="F48" s="76"/>
      <c r="G48" s="76"/>
      <c r="H48" s="76"/>
      <c r="I48" s="76"/>
      <c r="L48" s="189"/>
      <c r="M48" s="189"/>
      <c r="N48" s="189"/>
      <c r="O48" s="189"/>
      <c r="P48" s="189"/>
      <c r="Q48" s="189"/>
      <c r="R48" s="189"/>
      <c r="S48" s="189">
        <v>46</v>
      </c>
      <c r="T48" s="189">
        <v>50</v>
      </c>
      <c r="U48" s="189"/>
      <c r="V48" s="189"/>
      <c r="W48" s="263"/>
      <c r="X48" s="263"/>
      <c r="Y48" s="263"/>
    </row>
    <row r="49" spans="2:25" x14ac:dyDescent="0.35">
      <c r="B49" s="93"/>
      <c r="C49" s="76"/>
      <c r="D49" s="76"/>
      <c r="E49" s="76"/>
      <c r="F49" s="76"/>
      <c r="G49" s="76"/>
      <c r="H49" s="76"/>
      <c r="I49" s="76"/>
      <c r="L49" s="189"/>
      <c r="M49" s="189"/>
      <c r="N49" s="189"/>
      <c r="O49" s="189"/>
      <c r="P49" s="189"/>
      <c r="Q49" s="189"/>
      <c r="R49" s="189"/>
      <c r="S49" s="189">
        <v>47</v>
      </c>
      <c r="T49" s="189">
        <v>50</v>
      </c>
      <c r="U49" s="189"/>
      <c r="V49" s="189"/>
      <c r="W49" s="263"/>
      <c r="X49" s="263"/>
      <c r="Y49" s="263"/>
    </row>
    <row r="50" spans="2:25" x14ac:dyDescent="0.35">
      <c r="B50" s="93"/>
      <c r="C50" s="76"/>
      <c r="D50" s="76"/>
      <c r="E50" s="76"/>
      <c r="F50" s="76"/>
      <c r="G50" s="76"/>
      <c r="H50" s="76"/>
      <c r="I50" s="76"/>
      <c r="L50" s="189"/>
      <c r="M50" s="189"/>
      <c r="N50" s="189"/>
      <c r="O50" s="189"/>
      <c r="P50" s="189"/>
      <c r="Q50" s="189"/>
      <c r="R50" s="189"/>
      <c r="S50" s="189">
        <v>48</v>
      </c>
      <c r="T50" s="189">
        <v>50</v>
      </c>
      <c r="U50" s="189"/>
      <c r="V50" s="189"/>
      <c r="W50" s="263"/>
      <c r="X50" s="263"/>
      <c r="Y50" s="263"/>
    </row>
    <row r="51" spans="2:25" x14ac:dyDescent="0.35">
      <c r="B51" s="93"/>
      <c r="C51" s="76"/>
      <c r="D51" s="76"/>
      <c r="E51" s="76"/>
      <c r="F51" s="76"/>
      <c r="G51" s="76"/>
      <c r="H51" s="76"/>
      <c r="I51" s="76"/>
      <c r="L51" s="189"/>
      <c r="M51" s="189"/>
      <c r="N51" s="189"/>
      <c r="O51" s="189"/>
      <c r="P51" s="189"/>
      <c r="Q51" s="189"/>
      <c r="R51" s="189"/>
      <c r="S51" s="189">
        <v>49</v>
      </c>
      <c r="T51" s="189">
        <v>50</v>
      </c>
      <c r="U51" s="189"/>
      <c r="V51" s="189"/>
      <c r="W51" s="263"/>
      <c r="X51" s="263"/>
      <c r="Y51" s="263"/>
    </row>
    <row r="52" spans="2:25" x14ac:dyDescent="0.35">
      <c r="B52" s="93"/>
      <c r="C52" s="76"/>
      <c r="D52" s="76"/>
      <c r="E52" s="76"/>
      <c r="F52" s="76"/>
      <c r="G52" s="76"/>
      <c r="H52" s="76"/>
      <c r="I52" s="76"/>
      <c r="L52" s="189"/>
      <c r="M52" s="189"/>
      <c r="N52" s="189"/>
      <c r="O52" s="189"/>
      <c r="P52" s="189"/>
      <c r="Q52" s="189"/>
      <c r="R52" s="189"/>
      <c r="S52" s="189">
        <v>50</v>
      </c>
      <c r="T52" s="189">
        <v>50</v>
      </c>
      <c r="U52" s="189">
        <v>50</v>
      </c>
      <c r="V52" s="189"/>
      <c r="W52" s="263"/>
      <c r="X52" s="263"/>
      <c r="Y52" s="263"/>
    </row>
    <row r="53" spans="2:25" x14ac:dyDescent="0.35">
      <c r="B53" s="93"/>
      <c r="C53" s="76"/>
      <c r="D53" s="76"/>
      <c r="E53" s="76"/>
      <c r="F53" s="76"/>
      <c r="G53" s="76"/>
      <c r="H53" s="76"/>
      <c r="I53" s="76"/>
      <c r="L53" s="189"/>
      <c r="M53" s="189"/>
      <c r="N53" s="189"/>
      <c r="O53" s="189"/>
      <c r="P53" s="189"/>
      <c r="Q53" s="189"/>
      <c r="R53" s="189"/>
      <c r="S53" s="189">
        <v>51</v>
      </c>
      <c r="T53" s="189">
        <v>70</v>
      </c>
      <c r="U53" s="189"/>
      <c r="V53" s="189"/>
      <c r="W53" s="263"/>
      <c r="X53" s="263"/>
      <c r="Y53" s="263"/>
    </row>
    <row r="54" spans="2:25" x14ac:dyDescent="0.35">
      <c r="B54" s="93"/>
      <c r="C54" s="76"/>
      <c r="D54" s="76"/>
      <c r="E54" s="76"/>
      <c r="F54" s="76"/>
      <c r="G54" s="76"/>
      <c r="H54" s="76"/>
      <c r="I54" s="76"/>
      <c r="L54" s="189"/>
      <c r="M54" s="189"/>
      <c r="N54" s="189"/>
      <c r="O54" s="189"/>
      <c r="P54" s="189"/>
      <c r="Q54" s="189"/>
      <c r="R54" s="189"/>
      <c r="S54" s="189">
        <v>52</v>
      </c>
      <c r="T54" s="189">
        <v>70</v>
      </c>
      <c r="U54" s="189"/>
      <c r="V54" s="189"/>
      <c r="W54" s="263"/>
      <c r="X54" s="263"/>
      <c r="Y54" s="263"/>
    </row>
    <row r="55" spans="2:25" x14ac:dyDescent="0.35">
      <c r="B55" s="93"/>
      <c r="C55" s="76"/>
      <c r="D55" s="76"/>
      <c r="E55" s="76"/>
      <c r="F55" s="76"/>
      <c r="G55" s="76"/>
      <c r="H55" s="76"/>
      <c r="I55" s="76"/>
      <c r="L55" s="189"/>
      <c r="M55" s="189"/>
      <c r="N55" s="189"/>
      <c r="O55" s="189"/>
      <c r="P55" s="189"/>
      <c r="Q55" s="189"/>
      <c r="R55" s="189"/>
      <c r="S55" s="189">
        <v>53</v>
      </c>
      <c r="T55" s="189">
        <v>70</v>
      </c>
      <c r="U55" s="189"/>
      <c r="V55" s="189"/>
      <c r="W55" s="263"/>
      <c r="X55" s="263"/>
      <c r="Y55" s="263"/>
    </row>
    <row r="56" spans="2:25" x14ac:dyDescent="0.35">
      <c r="B56" s="93"/>
      <c r="C56" s="76"/>
      <c r="D56" s="76"/>
      <c r="E56" s="76"/>
      <c r="F56" s="76"/>
      <c r="G56" s="76"/>
      <c r="H56" s="76"/>
      <c r="I56" s="76"/>
      <c r="L56" s="189"/>
      <c r="M56" s="189"/>
      <c r="N56" s="189"/>
      <c r="O56" s="189"/>
      <c r="P56" s="189"/>
      <c r="Q56" s="189"/>
      <c r="R56" s="189"/>
      <c r="S56" s="189">
        <v>54</v>
      </c>
      <c r="T56" s="189">
        <v>70</v>
      </c>
      <c r="U56" s="189"/>
      <c r="V56" s="189"/>
      <c r="W56" s="263"/>
      <c r="X56" s="263"/>
      <c r="Y56" s="263"/>
    </row>
    <row r="57" spans="2:25" x14ac:dyDescent="0.35">
      <c r="B57" s="93"/>
      <c r="C57" s="76"/>
      <c r="D57" s="76"/>
      <c r="E57" s="76"/>
      <c r="F57" s="76"/>
      <c r="G57" s="76"/>
      <c r="H57" s="76"/>
      <c r="I57" s="76"/>
      <c r="L57" s="189"/>
      <c r="M57" s="189"/>
      <c r="N57" s="189"/>
      <c r="O57" s="189"/>
      <c r="P57" s="189"/>
      <c r="Q57" s="189"/>
      <c r="R57" s="189"/>
      <c r="S57" s="189">
        <v>55</v>
      </c>
      <c r="T57" s="189">
        <v>70</v>
      </c>
      <c r="U57" s="189"/>
      <c r="V57" s="189"/>
      <c r="W57" s="263"/>
      <c r="X57" s="263"/>
      <c r="Y57" s="263"/>
    </row>
    <row r="58" spans="2:25" x14ac:dyDescent="0.35">
      <c r="B58" s="93"/>
      <c r="C58" s="76"/>
      <c r="D58" s="76"/>
      <c r="E58" s="76"/>
      <c r="F58" s="76"/>
      <c r="G58" s="76"/>
      <c r="H58" s="76"/>
      <c r="I58" s="76"/>
      <c r="L58" s="189"/>
      <c r="M58" s="189"/>
      <c r="N58" s="189"/>
      <c r="O58" s="189"/>
      <c r="P58" s="189"/>
      <c r="Q58" s="189"/>
      <c r="R58" s="189"/>
      <c r="S58" s="189">
        <v>56</v>
      </c>
      <c r="T58" s="189">
        <v>70</v>
      </c>
      <c r="U58" s="189"/>
      <c r="V58" s="189"/>
      <c r="W58" s="263"/>
      <c r="X58" s="263"/>
      <c r="Y58" s="263"/>
    </row>
    <row r="59" spans="2:25" x14ac:dyDescent="0.35">
      <c r="B59" s="93"/>
      <c r="C59" s="76"/>
      <c r="D59" s="76"/>
      <c r="E59" s="76"/>
      <c r="F59" s="76"/>
      <c r="G59" s="76"/>
      <c r="H59" s="76"/>
      <c r="I59" s="76"/>
      <c r="L59" s="189"/>
      <c r="M59" s="189"/>
      <c r="N59" s="189"/>
      <c r="O59" s="189"/>
      <c r="P59" s="189"/>
      <c r="Q59" s="189"/>
      <c r="R59" s="189"/>
      <c r="S59" s="189">
        <v>57</v>
      </c>
      <c r="T59" s="189">
        <v>70</v>
      </c>
      <c r="U59" s="189"/>
      <c r="V59" s="189"/>
      <c r="W59" s="263"/>
      <c r="X59" s="263"/>
      <c r="Y59" s="263"/>
    </row>
    <row r="60" spans="2:25" x14ac:dyDescent="0.35">
      <c r="B60" s="93"/>
      <c r="C60" s="76"/>
      <c r="D60" s="76"/>
      <c r="E60" s="76"/>
      <c r="F60" s="76"/>
      <c r="G60" s="76"/>
      <c r="H60" s="76"/>
      <c r="I60" s="76"/>
      <c r="L60" s="189"/>
      <c r="M60" s="189"/>
      <c r="N60" s="189"/>
      <c r="O60" s="189"/>
      <c r="P60" s="189"/>
      <c r="Q60" s="189"/>
      <c r="R60" s="189"/>
      <c r="S60" s="189">
        <v>58</v>
      </c>
      <c r="T60" s="189">
        <v>70</v>
      </c>
      <c r="U60" s="189"/>
      <c r="V60" s="189"/>
      <c r="W60" s="263"/>
      <c r="X60" s="263"/>
      <c r="Y60" s="263"/>
    </row>
    <row r="61" spans="2:25" x14ac:dyDescent="0.35">
      <c r="B61" s="93"/>
      <c r="C61" s="76"/>
      <c r="D61" s="76"/>
      <c r="E61" s="76"/>
      <c r="F61" s="76"/>
      <c r="G61" s="76"/>
      <c r="H61" s="76"/>
      <c r="I61" s="76"/>
      <c r="L61" s="189"/>
      <c r="M61" s="189"/>
      <c r="N61" s="189"/>
      <c r="O61" s="189"/>
      <c r="P61" s="189"/>
      <c r="Q61" s="189"/>
      <c r="R61" s="189"/>
      <c r="S61" s="189">
        <v>59</v>
      </c>
      <c r="T61" s="189">
        <v>70</v>
      </c>
      <c r="U61" s="189"/>
      <c r="V61" s="189"/>
      <c r="W61" s="263"/>
      <c r="X61" s="263"/>
      <c r="Y61" s="263"/>
    </row>
    <row r="62" spans="2:25" x14ac:dyDescent="0.35">
      <c r="B62" s="93"/>
      <c r="C62" s="76"/>
      <c r="D62" s="76"/>
      <c r="E62" s="76"/>
      <c r="F62" s="76"/>
      <c r="G62" s="76"/>
      <c r="H62" s="76"/>
      <c r="I62" s="76"/>
      <c r="L62" s="189"/>
      <c r="M62" s="189"/>
      <c r="N62" s="189"/>
      <c r="O62" s="189"/>
      <c r="P62" s="189"/>
      <c r="Q62" s="189"/>
      <c r="R62" s="189"/>
      <c r="S62" s="189">
        <v>60</v>
      </c>
      <c r="T62" s="189">
        <v>70</v>
      </c>
      <c r="U62" s="189"/>
      <c r="V62" s="189"/>
      <c r="W62" s="263"/>
      <c r="X62" s="263"/>
      <c r="Y62" s="263"/>
    </row>
    <row r="63" spans="2:25" x14ac:dyDescent="0.35">
      <c r="B63" s="93"/>
      <c r="C63" s="76"/>
      <c r="D63" s="76"/>
      <c r="E63" s="76"/>
      <c r="F63" s="76"/>
      <c r="G63" s="76"/>
      <c r="H63" s="76"/>
      <c r="I63" s="76"/>
      <c r="L63" s="189"/>
      <c r="M63" s="189"/>
      <c r="N63" s="189"/>
      <c r="O63" s="189"/>
      <c r="P63" s="189"/>
      <c r="Q63" s="189"/>
      <c r="R63" s="189"/>
      <c r="S63" s="189">
        <v>61</v>
      </c>
      <c r="T63" s="189">
        <v>70</v>
      </c>
      <c r="U63" s="189"/>
      <c r="V63" s="189"/>
      <c r="W63" s="263"/>
      <c r="X63" s="263"/>
      <c r="Y63" s="263"/>
    </row>
    <row r="64" spans="2:25" x14ac:dyDescent="0.35">
      <c r="B64" s="93"/>
      <c r="C64" s="76"/>
      <c r="D64" s="76"/>
      <c r="E64" s="76"/>
      <c r="F64" s="76"/>
      <c r="G64" s="76"/>
      <c r="H64" s="76"/>
      <c r="I64" s="76"/>
      <c r="L64" s="189"/>
      <c r="M64" s="189"/>
      <c r="N64" s="189"/>
      <c r="O64" s="189"/>
      <c r="P64" s="189"/>
      <c r="Q64" s="189"/>
      <c r="R64" s="189"/>
      <c r="S64" s="189">
        <v>62</v>
      </c>
      <c r="T64" s="189">
        <v>70</v>
      </c>
      <c r="U64" s="189"/>
      <c r="V64" s="189"/>
      <c r="W64" s="263"/>
      <c r="X64" s="263"/>
      <c r="Y64" s="263"/>
    </row>
    <row r="65" spans="2:25" x14ac:dyDescent="0.35">
      <c r="B65" s="93"/>
      <c r="C65" s="76"/>
      <c r="D65" s="76"/>
      <c r="E65" s="76"/>
      <c r="F65" s="76"/>
      <c r="G65" s="76"/>
      <c r="H65" s="76"/>
      <c r="I65" s="76"/>
      <c r="L65" s="189"/>
      <c r="M65" s="189"/>
      <c r="N65" s="189"/>
      <c r="O65" s="189"/>
      <c r="P65" s="189"/>
      <c r="Q65" s="189"/>
      <c r="R65" s="189"/>
      <c r="S65" s="189">
        <v>63</v>
      </c>
      <c r="T65" s="189">
        <v>70</v>
      </c>
      <c r="U65" s="189"/>
      <c r="V65" s="189"/>
      <c r="W65" s="263"/>
      <c r="X65" s="263"/>
      <c r="Y65" s="263"/>
    </row>
    <row r="66" spans="2:25" x14ac:dyDescent="0.35">
      <c r="B66" s="93"/>
      <c r="C66" s="76"/>
      <c r="D66" s="76"/>
      <c r="E66" s="76"/>
      <c r="F66" s="76"/>
      <c r="G66" s="76"/>
      <c r="H66" s="76"/>
      <c r="I66" s="76"/>
      <c r="L66" s="189"/>
      <c r="M66" s="189"/>
      <c r="N66" s="189"/>
      <c r="O66" s="189"/>
      <c r="P66" s="189"/>
      <c r="Q66" s="189"/>
      <c r="R66" s="189"/>
      <c r="S66" s="189">
        <v>64</v>
      </c>
      <c r="T66" s="189">
        <v>70</v>
      </c>
      <c r="U66" s="189"/>
      <c r="V66" s="189"/>
      <c r="W66" s="263"/>
      <c r="X66" s="263"/>
      <c r="Y66" s="263"/>
    </row>
    <row r="67" spans="2:25" x14ac:dyDescent="0.35">
      <c r="B67" s="93"/>
      <c r="C67" s="76"/>
      <c r="D67" s="76"/>
      <c r="E67" s="76"/>
      <c r="F67" s="76"/>
      <c r="G67" s="76"/>
      <c r="H67" s="76"/>
      <c r="I67" s="76"/>
      <c r="L67" s="189"/>
      <c r="M67" s="189"/>
      <c r="N67" s="189"/>
      <c r="O67" s="189"/>
      <c r="P67" s="189"/>
      <c r="Q67" s="189"/>
      <c r="R67" s="189"/>
      <c r="S67" s="189">
        <v>65</v>
      </c>
      <c r="T67" s="189">
        <v>70</v>
      </c>
      <c r="U67" s="189"/>
      <c r="V67" s="189"/>
      <c r="W67" s="263"/>
      <c r="X67" s="263"/>
      <c r="Y67" s="263"/>
    </row>
    <row r="68" spans="2:25" x14ac:dyDescent="0.35">
      <c r="B68" s="93"/>
      <c r="C68" s="76"/>
      <c r="D68" s="76"/>
      <c r="E68" s="76"/>
      <c r="F68" s="76"/>
      <c r="G68" s="76"/>
      <c r="H68" s="76"/>
      <c r="I68" s="76"/>
      <c r="L68" s="189"/>
      <c r="M68" s="189"/>
      <c r="N68" s="189"/>
      <c r="O68" s="189"/>
      <c r="P68" s="189"/>
      <c r="Q68" s="189"/>
      <c r="R68" s="189"/>
      <c r="S68" s="189">
        <v>66</v>
      </c>
      <c r="T68" s="189">
        <v>70</v>
      </c>
      <c r="U68" s="189"/>
      <c r="V68" s="189"/>
      <c r="W68" s="263"/>
      <c r="X68" s="263"/>
      <c r="Y68" s="263"/>
    </row>
    <row r="69" spans="2:25" x14ac:dyDescent="0.35">
      <c r="B69" s="93"/>
      <c r="C69" s="76"/>
      <c r="D69" s="76"/>
      <c r="E69" s="76"/>
      <c r="F69" s="76"/>
      <c r="G69" s="76"/>
      <c r="H69" s="76"/>
      <c r="I69" s="76"/>
      <c r="L69" s="189"/>
      <c r="M69" s="189"/>
      <c r="N69" s="189"/>
      <c r="O69" s="189"/>
      <c r="P69" s="189"/>
      <c r="Q69" s="189"/>
      <c r="R69" s="189"/>
      <c r="S69" s="189">
        <v>67</v>
      </c>
      <c r="T69" s="189">
        <v>70</v>
      </c>
      <c r="U69" s="189"/>
      <c r="V69" s="189"/>
      <c r="W69" s="263"/>
      <c r="X69" s="263"/>
      <c r="Y69" s="263"/>
    </row>
    <row r="70" spans="2:25" x14ac:dyDescent="0.35">
      <c r="B70" s="93"/>
      <c r="C70" s="76"/>
      <c r="D70" s="76"/>
      <c r="E70" s="76"/>
      <c r="F70" s="76"/>
      <c r="G70" s="76"/>
      <c r="H70" s="76"/>
      <c r="I70" s="76"/>
      <c r="L70" s="189"/>
      <c r="M70" s="189"/>
      <c r="N70" s="189"/>
      <c r="O70" s="189"/>
      <c r="P70" s="189"/>
      <c r="Q70" s="189"/>
      <c r="R70" s="189"/>
      <c r="S70" s="189">
        <v>68</v>
      </c>
      <c r="T70" s="189">
        <v>70</v>
      </c>
      <c r="U70" s="189"/>
      <c r="V70" s="189"/>
      <c r="W70" s="263"/>
      <c r="X70" s="263"/>
      <c r="Y70" s="263"/>
    </row>
    <row r="71" spans="2:25" x14ac:dyDescent="0.35">
      <c r="B71" s="93"/>
      <c r="C71" s="76"/>
      <c r="D71" s="76"/>
      <c r="E71" s="76"/>
      <c r="F71" s="76"/>
      <c r="G71" s="76"/>
      <c r="H71" s="76"/>
      <c r="I71" s="76"/>
      <c r="L71" s="189"/>
      <c r="M71" s="189"/>
      <c r="N71" s="189"/>
      <c r="O71" s="189"/>
      <c r="P71" s="189"/>
      <c r="Q71" s="189"/>
      <c r="R71" s="189"/>
      <c r="S71" s="189">
        <v>69</v>
      </c>
      <c r="T71" s="189">
        <v>70</v>
      </c>
      <c r="U71" s="189"/>
      <c r="V71" s="189"/>
      <c r="W71" s="263"/>
      <c r="X71" s="263"/>
      <c r="Y71" s="263"/>
    </row>
    <row r="72" spans="2:25" x14ac:dyDescent="0.35">
      <c r="B72" s="93"/>
      <c r="C72" s="76"/>
      <c r="D72" s="76"/>
      <c r="E72" s="76"/>
      <c r="F72" s="76"/>
      <c r="G72" s="76"/>
      <c r="H72" s="76"/>
      <c r="I72" s="76"/>
      <c r="L72" s="189"/>
      <c r="M72" s="189"/>
      <c r="N72" s="189"/>
      <c r="O72" s="189"/>
      <c r="P72" s="189"/>
      <c r="Q72" s="189"/>
      <c r="R72" s="189"/>
      <c r="S72" s="189">
        <v>70</v>
      </c>
      <c r="T72" s="189">
        <v>70</v>
      </c>
      <c r="U72" s="189">
        <v>70</v>
      </c>
      <c r="V72" s="189"/>
      <c r="W72" s="263"/>
      <c r="X72" s="263"/>
      <c r="Y72" s="263"/>
    </row>
    <row r="73" spans="2:25" x14ac:dyDescent="0.35">
      <c r="B73" s="93"/>
      <c r="C73" s="76"/>
      <c r="D73" s="76"/>
      <c r="E73" s="76"/>
      <c r="F73" s="76"/>
      <c r="G73" s="76"/>
      <c r="H73" s="76"/>
      <c r="I73" s="76"/>
      <c r="L73" s="189"/>
      <c r="M73" s="189"/>
      <c r="N73" s="189"/>
      <c r="O73" s="189"/>
      <c r="P73" s="189"/>
      <c r="Q73" s="189"/>
      <c r="R73" s="189"/>
      <c r="S73" s="189">
        <v>71</v>
      </c>
      <c r="T73" s="189">
        <v>100</v>
      </c>
      <c r="U73" s="189"/>
      <c r="V73" s="189"/>
      <c r="W73" s="263"/>
      <c r="X73" s="263"/>
      <c r="Y73" s="263"/>
    </row>
    <row r="74" spans="2:25" x14ac:dyDescent="0.35">
      <c r="B74" s="93"/>
      <c r="C74" s="76"/>
      <c r="D74" s="76"/>
      <c r="E74" s="76"/>
      <c r="F74" s="76"/>
      <c r="G74" s="76"/>
      <c r="H74" s="76"/>
      <c r="I74" s="76"/>
      <c r="L74" s="189"/>
      <c r="M74" s="189"/>
      <c r="N74" s="189"/>
      <c r="O74" s="189"/>
      <c r="P74" s="189"/>
      <c r="Q74" s="189"/>
      <c r="R74" s="189"/>
      <c r="S74" s="189">
        <v>72</v>
      </c>
      <c r="T74" s="189">
        <v>100</v>
      </c>
      <c r="U74" s="189"/>
      <c r="V74" s="189"/>
      <c r="W74" s="263"/>
      <c r="X74" s="263"/>
      <c r="Y74" s="263"/>
    </row>
    <row r="75" spans="2:25" x14ac:dyDescent="0.35">
      <c r="B75" s="93"/>
      <c r="C75" s="76"/>
      <c r="D75" s="76"/>
      <c r="E75" s="76"/>
      <c r="F75" s="76"/>
      <c r="G75" s="76"/>
      <c r="H75" s="76"/>
      <c r="I75" s="76"/>
      <c r="L75" s="189"/>
      <c r="M75" s="189"/>
      <c r="N75" s="189"/>
      <c r="O75" s="189"/>
      <c r="P75" s="189"/>
      <c r="Q75" s="189"/>
      <c r="R75" s="189"/>
      <c r="S75" s="189">
        <v>73</v>
      </c>
      <c r="T75" s="189">
        <v>100</v>
      </c>
      <c r="U75" s="189"/>
      <c r="V75" s="189"/>
      <c r="W75" s="263"/>
      <c r="X75" s="263"/>
      <c r="Y75" s="263"/>
    </row>
    <row r="76" spans="2:25" x14ac:dyDescent="0.35">
      <c r="B76" s="93"/>
      <c r="C76" s="76"/>
      <c r="D76" s="76"/>
      <c r="E76" s="76"/>
      <c r="F76" s="76"/>
      <c r="G76" s="76"/>
      <c r="H76" s="76"/>
      <c r="I76" s="76"/>
      <c r="L76" s="189"/>
      <c r="M76" s="189"/>
      <c r="N76" s="189"/>
      <c r="O76" s="189"/>
      <c r="P76" s="189"/>
      <c r="Q76" s="189"/>
      <c r="R76" s="189"/>
      <c r="S76" s="189">
        <v>74</v>
      </c>
      <c r="T76" s="189">
        <v>100</v>
      </c>
      <c r="U76" s="189"/>
      <c r="V76" s="189"/>
      <c r="W76" s="263"/>
      <c r="X76" s="263"/>
      <c r="Y76" s="263"/>
    </row>
    <row r="77" spans="2:25" x14ac:dyDescent="0.35">
      <c r="H77" s="76"/>
      <c r="I77" s="76"/>
      <c r="L77" s="189"/>
      <c r="M77" s="189"/>
      <c r="N77" s="189"/>
      <c r="O77" s="189"/>
      <c r="P77" s="189"/>
      <c r="Q77" s="189"/>
      <c r="R77" s="189"/>
      <c r="S77" s="189">
        <v>75</v>
      </c>
      <c r="T77" s="189">
        <v>100</v>
      </c>
      <c r="U77" s="189"/>
      <c r="V77" s="189"/>
      <c r="W77" s="263"/>
      <c r="X77" s="263"/>
      <c r="Y77" s="263"/>
    </row>
    <row r="78" spans="2:25" x14ac:dyDescent="0.35">
      <c r="L78" s="189"/>
      <c r="M78" s="189"/>
      <c r="N78" s="189"/>
      <c r="O78" s="189"/>
      <c r="P78" s="189"/>
      <c r="Q78" s="189"/>
      <c r="R78" s="189"/>
      <c r="S78" s="189">
        <v>76</v>
      </c>
      <c r="T78" s="189">
        <v>100</v>
      </c>
      <c r="U78" s="189"/>
      <c r="V78" s="189"/>
      <c r="W78" s="263"/>
      <c r="X78" s="263"/>
      <c r="Y78" s="263"/>
    </row>
    <row r="79" spans="2:25" x14ac:dyDescent="0.35">
      <c r="L79" s="189"/>
      <c r="M79" s="189"/>
      <c r="N79" s="189"/>
      <c r="O79" s="189"/>
      <c r="P79" s="189"/>
      <c r="Q79" s="189"/>
      <c r="R79" s="189"/>
      <c r="S79" s="189">
        <v>77</v>
      </c>
      <c r="T79" s="189">
        <v>100</v>
      </c>
      <c r="U79" s="189"/>
      <c r="V79" s="189"/>
      <c r="W79" s="263"/>
      <c r="X79" s="263"/>
      <c r="Y79" s="263"/>
    </row>
    <row r="80" spans="2:25" x14ac:dyDescent="0.35">
      <c r="L80" s="189"/>
      <c r="M80" s="189"/>
      <c r="N80" s="189"/>
      <c r="O80" s="189"/>
      <c r="P80" s="189"/>
      <c r="Q80" s="189"/>
      <c r="R80" s="189"/>
      <c r="S80" s="189">
        <v>78</v>
      </c>
      <c r="T80" s="189">
        <v>100</v>
      </c>
      <c r="U80" s="189"/>
      <c r="V80" s="189"/>
      <c r="W80" s="263"/>
      <c r="X80" s="263"/>
      <c r="Y80" s="263"/>
    </row>
    <row r="81" spans="12:25" x14ac:dyDescent="0.35">
      <c r="L81" s="189"/>
      <c r="M81" s="189"/>
      <c r="N81" s="189"/>
      <c r="O81" s="189"/>
      <c r="P81" s="189"/>
      <c r="Q81" s="189"/>
      <c r="R81" s="189"/>
      <c r="S81" s="189">
        <v>79</v>
      </c>
      <c r="T81" s="189">
        <v>100</v>
      </c>
      <c r="U81" s="189"/>
      <c r="V81" s="189"/>
      <c r="W81" s="263"/>
      <c r="X81" s="263"/>
      <c r="Y81" s="263"/>
    </row>
    <row r="82" spans="12:25" x14ac:dyDescent="0.35">
      <c r="L82" s="189"/>
      <c r="M82" s="189"/>
      <c r="N82" s="189"/>
      <c r="O82" s="189"/>
      <c r="P82" s="189"/>
      <c r="Q82" s="189"/>
      <c r="R82" s="189"/>
      <c r="S82" s="189">
        <v>80</v>
      </c>
      <c r="T82" s="189">
        <v>100</v>
      </c>
      <c r="U82" s="189"/>
      <c r="V82" s="189"/>
      <c r="W82" s="263"/>
      <c r="X82" s="263"/>
      <c r="Y82" s="263"/>
    </row>
    <row r="83" spans="12:25" x14ac:dyDescent="0.35">
      <c r="L83" s="189"/>
      <c r="M83" s="189"/>
      <c r="N83" s="189"/>
      <c r="O83" s="189"/>
      <c r="P83" s="189"/>
      <c r="Q83" s="189"/>
      <c r="R83" s="189"/>
      <c r="S83" s="189">
        <v>81</v>
      </c>
      <c r="T83" s="189">
        <v>100</v>
      </c>
      <c r="U83" s="189"/>
      <c r="V83" s="189"/>
      <c r="W83" s="263"/>
      <c r="X83" s="263"/>
      <c r="Y83" s="263"/>
    </row>
    <row r="84" spans="12:25" x14ac:dyDescent="0.35">
      <c r="L84" s="189"/>
      <c r="M84" s="189"/>
      <c r="N84" s="189"/>
      <c r="O84" s="189"/>
      <c r="P84" s="189"/>
      <c r="Q84" s="189"/>
      <c r="R84" s="189"/>
      <c r="S84" s="189">
        <v>82</v>
      </c>
      <c r="T84" s="189">
        <v>100</v>
      </c>
      <c r="U84" s="189"/>
      <c r="V84" s="189"/>
      <c r="W84" s="263"/>
      <c r="X84" s="263"/>
      <c r="Y84" s="263"/>
    </row>
    <row r="85" spans="12:25" x14ac:dyDescent="0.35">
      <c r="L85" s="189"/>
      <c r="M85" s="189"/>
      <c r="N85" s="189"/>
      <c r="O85" s="189"/>
      <c r="P85" s="189"/>
      <c r="Q85" s="189"/>
      <c r="R85" s="189"/>
      <c r="S85" s="189">
        <v>83</v>
      </c>
      <c r="T85" s="189">
        <v>100</v>
      </c>
      <c r="U85" s="189"/>
      <c r="V85" s="189"/>
      <c r="W85" s="263"/>
      <c r="X85" s="263"/>
      <c r="Y85" s="263"/>
    </row>
    <row r="86" spans="12:25" x14ac:dyDescent="0.35">
      <c r="L86" s="189"/>
      <c r="M86" s="189"/>
      <c r="N86" s="189"/>
      <c r="O86" s="189"/>
      <c r="P86" s="189"/>
      <c r="Q86" s="189"/>
      <c r="R86" s="189"/>
      <c r="S86" s="189">
        <v>84</v>
      </c>
      <c r="T86" s="189">
        <v>100</v>
      </c>
      <c r="U86" s="189"/>
      <c r="V86" s="189"/>
      <c r="W86" s="263"/>
      <c r="X86" s="263"/>
      <c r="Y86" s="263"/>
    </row>
    <row r="87" spans="12:25" x14ac:dyDescent="0.35">
      <c r="L87" s="189"/>
      <c r="M87" s="189"/>
      <c r="N87" s="189"/>
      <c r="O87" s="189"/>
      <c r="P87" s="189"/>
      <c r="Q87" s="189"/>
      <c r="R87" s="189"/>
      <c r="S87" s="189">
        <v>85</v>
      </c>
      <c r="T87" s="189">
        <v>100</v>
      </c>
      <c r="U87" s="189"/>
      <c r="V87" s="189"/>
      <c r="W87" s="263"/>
      <c r="X87" s="263"/>
      <c r="Y87" s="263"/>
    </row>
    <row r="88" spans="12:25" x14ac:dyDescent="0.35">
      <c r="L88" s="189"/>
      <c r="M88" s="189"/>
      <c r="N88" s="189"/>
      <c r="O88" s="189"/>
      <c r="P88" s="189"/>
      <c r="Q88" s="189"/>
      <c r="R88" s="189"/>
      <c r="S88" s="189">
        <v>86</v>
      </c>
      <c r="T88" s="189">
        <v>100</v>
      </c>
      <c r="U88" s="189"/>
      <c r="V88" s="189"/>
      <c r="W88" s="263"/>
      <c r="X88" s="263"/>
      <c r="Y88" s="263"/>
    </row>
    <row r="89" spans="12:25" x14ac:dyDescent="0.35">
      <c r="L89" s="189"/>
      <c r="M89" s="189"/>
      <c r="N89" s="189"/>
      <c r="O89" s="189"/>
      <c r="P89" s="189"/>
      <c r="Q89" s="189"/>
      <c r="R89" s="189"/>
      <c r="S89" s="189">
        <v>87</v>
      </c>
      <c r="T89" s="189">
        <v>100</v>
      </c>
      <c r="U89" s="189"/>
      <c r="V89" s="189"/>
      <c r="W89" s="263"/>
      <c r="X89" s="263"/>
      <c r="Y89" s="263"/>
    </row>
    <row r="90" spans="12:25" x14ac:dyDescent="0.35">
      <c r="L90" s="189"/>
      <c r="M90" s="189"/>
      <c r="N90" s="189"/>
      <c r="O90" s="189"/>
      <c r="P90" s="189"/>
      <c r="Q90" s="189"/>
      <c r="R90" s="189"/>
      <c r="S90" s="189">
        <v>88</v>
      </c>
      <c r="T90" s="189">
        <v>100</v>
      </c>
      <c r="U90" s="189"/>
      <c r="V90" s="189"/>
      <c r="W90" s="263"/>
      <c r="X90" s="263"/>
      <c r="Y90" s="263"/>
    </row>
    <row r="91" spans="12:25" x14ac:dyDescent="0.35">
      <c r="L91" s="189"/>
      <c r="M91" s="189"/>
      <c r="N91" s="189"/>
      <c r="O91" s="189"/>
      <c r="P91" s="189"/>
      <c r="Q91" s="189"/>
      <c r="R91" s="189"/>
      <c r="S91" s="189">
        <v>89</v>
      </c>
      <c r="T91" s="189">
        <v>100</v>
      </c>
      <c r="U91" s="189"/>
      <c r="V91" s="189"/>
      <c r="W91" s="263"/>
      <c r="X91" s="263"/>
      <c r="Y91" s="263"/>
    </row>
    <row r="92" spans="12:25" x14ac:dyDescent="0.35">
      <c r="L92" s="189"/>
      <c r="M92" s="189"/>
      <c r="N92" s="189"/>
      <c r="O92" s="189"/>
      <c r="P92" s="189"/>
      <c r="Q92" s="189"/>
      <c r="R92" s="189"/>
      <c r="S92" s="189">
        <v>90</v>
      </c>
      <c r="T92" s="189">
        <v>100</v>
      </c>
      <c r="U92" s="189"/>
      <c r="V92" s="189"/>
      <c r="W92" s="263"/>
      <c r="X92" s="263"/>
      <c r="Y92" s="263"/>
    </row>
    <row r="93" spans="12:25" x14ac:dyDescent="0.35">
      <c r="L93" s="189"/>
      <c r="M93" s="189"/>
      <c r="N93" s="189"/>
      <c r="O93" s="189"/>
      <c r="P93" s="189"/>
      <c r="Q93" s="189"/>
      <c r="R93" s="189"/>
      <c r="S93" s="189">
        <v>91</v>
      </c>
      <c r="T93" s="189">
        <v>100</v>
      </c>
      <c r="U93" s="189"/>
      <c r="V93" s="189"/>
      <c r="W93" s="263"/>
      <c r="X93" s="263"/>
      <c r="Y93" s="263"/>
    </row>
    <row r="94" spans="12:25" x14ac:dyDescent="0.35">
      <c r="L94" s="189"/>
      <c r="M94" s="189"/>
      <c r="N94" s="189"/>
      <c r="O94" s="189"/>
      <c r="P94" s="189"/>
      <c r="Q94" s="189"/>
      <c r="R94" s="189"/>
      <c r="S94" s="189">
        <v>92</v>
      </c>
      <c r="T94" s="189">
        <v>100</v>
      </c>
      <c r="U94" s="189"/>
      <c r="V94" s="189"/>
      <c r="W94" s="263"/>
      <c r="X94" s="263"/>
      <c r="Y94" s="263"/>
    </row>
    <row r="95" spans="12:25" x14ac:dyDescent="0.35">
      <c r="L95" s="189"/>
      <c r="M95" s="189"/>
      <c r="N95" s="189"/>
      <c r="O95" s="189"/>
      <c r="P95" s="189"/>
      <c r="Q95" s="189"/>
      <c r="R95" s="189"/>
      <c r="S95" s="189">
        <v>93</v>
      </c>
      <c r="T95" s="189">
        <v>100</v>
      </c>
      <c r="U95" s="189"/>
      <c r="V95" s="189"/>
      <c r="W95" s="263"/>
      <c r="X95" s="263"/>
      <c r="Y95" s="263"/>
    </row>
    <row r="96" spans="12:25" x14ac:dyDescent="0.35">
      <c r="L96" s="189"/>
      <c r="M96" s="189"/>
      <c r="N96" s="189"/>
      <c r="O96" s="189"/>
      <c r="P96" s="189"/>
      <c r="Q96" s="189"/>
      <c r="R96" s="189"/>
      <c r="S96" s="189">
        <v>94</v>
      </c>
      <c r="T96" s="189">
        <v>100</v>
      </c>
      <c r="U96" s="189"/>
      <c r="V96" s="189"/>
      <c r="W96" s="263"/>
      <c r="X96" s="263"/>
      <c r="Y96" s="263"/>
    </row>
    <row r="97" spans="12:25" x14ac:dyDescent="0.35">
      <c r="L97" s="189"/>
      <c r="M97" s="189"/>
      <c r="N97" s="189"/>
      <c r="O97" s="189"/>
      <c r="P97" s="189"/>
      <c r="Q97" s="189"/>
      <c r="R97" s="189"/>
      <c r="S97" s="189">
        <v>95</v>
      </c>
      <c r="T97" s="189">
        <v>100</v>
      </c>
      <c r="U97" s="189"/>
      <c r="V97" s="189"/>
      <c r="W97" s="263"/>
      <c r="X97" s="263"/>
      <c r="Y97" s="263"/>
    </row>
    <row r="98" spans="12:25" x14ac:dyDescent="0.35">
      <c r="L98" s="189"/>
      <c r="M98" s="189"/>
      <c r="N98" s="189"/>
      <c r="O98" s="189"/>
      <c r="P98" s="189"/>
      <c r="Q98" s="189"/>
      <c r="R98" s="189"/>
      <c r="S98" s="189">
        <v>96</v>
      </c>
      <c r="T98" s="189">
        <v>100</v>
      </c>
      <c r="U98" s="189"/>
      <c r="V98" s="189"/>
      <c r="W98" s="263"/>
      <c r="X98" s="263"/>
      <c r="Y98" s="263"/>
    </row>
    <row r="99" spans="12:25" x14ac:dyDescent="0.35">
      <c r="L99" s="189"/>
      <c r="M99" s="189"/>
      <c r="N99" s="189"/>
      <c r="O99" s="189"/>
      <c r="P99" s="189"/>
      <c r="Q99" s="189"/>
      <c r="R99" s="189"/>
      <c r="S99" s="189">
        <v>97</v>
      </c>
      <c r="T99" s="189">
        <v>100</v>
      </c>
      <c r="U99" s="189"/>
      <c r="V99" s="189"/>
      <c r="W99" s="263"/>
      <c r="X99" s="263"/>
      <c r="Y99" s="263"/>
    </row>
    <row r="100" spans="12:25" x14ac:dyDescent="0.35">
      <c r="L100" s="189"/>
      <c r="M100" s="189"/>
      <c r="N100" s="189"/>
      <c r="O100" s="189"/>
      <c r="P100" s="189"/>
      <c r="Q100" s="189"/>
      <c r="R100" s="189"/>
      <c r="S100" s="189">
        <v>98</v>
      </c>
      <c r="T100" s="189">
        <v>100</v>
      </c>
      <c r="U100" s="189"/>
      <c r="V100" s="189"/>
      <c r="W100" s="263"/>
      <c r="X100" s="263"/>
      <c r="Y100" s="263"/>
    </row>
    <row r="101" spans="12:25" x14ac:dyDescent="0.35">
      <c r="L101" s="189"/>
      <c r="M101" s="189"/>
      <c r="N101" s="189"/>
      <c r="O101" s="189"/>
      <c r="P101" s="189"/>
      <c r="Q101" s="189"/>
      <c r="R101" s="189"/>
      <c r="S101" s="189">
        <v>99</v>
      </c>
      <c r="T101" s="189">
        <v>100</v>
      </c>
      <c r="U101" s="189"/>
      <c r="V101" s="189"/>
      <c r="W101" s="263"/>
      <c r="X101" s="263"/>
      <c r="Y101" s="263"/>
    </row>
    <row r="102" spans="12:25" x14ac:dyDescent="0.35">
      <c r="L102" s="189"/>
      <c r="M102" s="189"/>
      <c r="N102" s="189"/>
      <c r="O102" s="189"/>
      <c r="P102" s="189"/>
      <c r="Q102" s="189"/>
      <c r="R102" s="189"/>
      <c r="S102" s="189">
        <v>100</v>
      </c>
      <c r="T102" s="189">
        <v>100</v>
      </c>
      <c r="U102" s="189">
        <v>100</v>
      </c>
      <c r="V102" s="189"/>
      <c r="W102" s="263"/>
      <c r="X102" s="263"/>
      <c r="Y102" s="263"/>
    </row>
    <row r="103" spans="12:25" x14ac:dyDescent="0.35">
      <c r="L103" s="189"/>
      <c r="M103" s="189"/>
      <c r="N103" s="189"/>
      <c r="O103" s="189"/>
      <c r="P103" s="189"/>
      <c r="Q103" s="189"/>
      <c r="R103" s="189"/>
      <c r="S103" s="189">
        <v>101</v>
      </c>
      <c r="T103" s="189">
        <v>150</v>
      </c>
      <c r="U103" s="189"/>
      <c r="V103" s="189"/>
      <c r="W103" s="263"/>
      <c r="X103" s="263"/>
      <c r="Y103" s="263"/>
    </row>
    <row r="104" spans="12:25" x14ac:dyDescent="0.35">
      <c r="L104" s="189"/>
      <c r="M104" s="189"/>
      <c r="N104" s="189"/>
      <c r="O104" s="189"/>
      <c r="P104" s="189"/>
      <c r="Q104" s="189"/>
      <c r="R104" s="189"/>
      <c r="S104" s="189">
        <v>102</v>
      </c>
      <c r="T104" s="189">
        <v>150</v>
      </c>
      <c r="U104" s="189"/>
      <c r="V104" s="189"/>
      <c r="W104" s="263"/>
      <c r="X104" s="263"/>
      <c r="Y104" s="263"/>
    </row>
    <row r="105" spans="12:25" x14ac:dyDescent="0.35">
      <c r="L105" s="189"/>
      <c r="M105" s="189"/>
      <c r="N105" s="189"/>
      <c r="O105" s="189"/>
      <c r="P105" s="189"/>
      <c r="Q105" s="189"/>
      <c r="R105" s="189"/>
      <c r="S105" s="189">
        <v>103</v>
      </c>
      <c r="T105" s="189">
        <v>150</v>
      </c>
      <c r="U105" s="189"/>
      <c r="V105" s="189"/>
      <c r="W105" s="263"/>
      <c r="X105" s="263"/>
      <c r="Y105" s="263"/>
    </row>
    <row r="106" spans="12:25" x14ac:dyDescent="0.35">
      <c r="L106" s="189"/>
      <c r="M106" s="189"/>
      <c r="N106" s="189"/>
      <c r="O106" s="189"/>
      <c r="P106" s="189"/>
      <c r="Q106" s="189"/>
      <c r="R106" s="189"/>
      <c r="S106" s="189">
        <v>104</v>
      </c>
      <c r="T106" s="189">
        <v>150</v>
      </c>
      <c r="U106" s="189"/>
      <c r="V106" s="189"/>
      <c r="W106" s="263"/>
      <c r="X106" s="263"/>
      <c r="Y106" s="263"/>
    </row>
    <row r="107" spans="12:25" x14ac:dyDescent="0.35">
      <c r="L107" s="189"/>
      <c r="M107" s="189"/>
      <c r="N107" s="189"/>
      <c r="O107" s="189"/>
      <c r="P107" s="189"/>
      <c r="Q107" s="189"/>
      <c r="R107" s="189"/>
      <c r="S107" s="189">
        <v>105</v>
      </c>
      <c r="T107" s="189">
        <v>150</v>
      </c>
      <c r="U107" s="189"/>
      <c r="V107" s="189"/>
      <c r="W107" s="263"/>
      <c r="X107" s="263"/>
      <c r="Y107" s="263"/>
    </row>
    <row r="108" spans="12:25" x14ac:dyDescent="0.35">
      <c r="L108" s="189"/>
      <c r="M108" s="189"/>
      <c r="N108" s="189"/>
      <c r="O108" s="189"/>
      <c r="P108" s="189"/>
      <c r="Q108" s="189"/>
      <c r="R108" s="189"/>
      <c r="S108" s="189">
        <v>106</v>
      </c>
      <c r="T108" s="189">
        <v>150</v>
      </c>
      <c r="U108" s="189"/>
      <c r="V108" s="189"/>
      <c r="W108" s="263"/>
      <c r="X108" s="263"/>
      <c r="Y108" s="263"/>
    </row>
    <row r="109" spans="12:25" x14ac:dyDescent="0.35">
      <c r="L109" s="189"/>
      <c r="M109" s="189"/>
      <c r="N109" s="189"/>
      <c r="O109" s="189"/>
      <c r="P109" s="189"/>
      <c r="Q109" s="189"/>
      <c r="R109" s="189"/>
      <c r="S109" s="189">
        <v>107</v>
      </c>
      <c r="T109" s="189">
        <v>150</v>
      </c>
      <c r="U109" s="189"/>
      <c r="V109" s="189"/>
      <c r="W109" s="263"/>
      <c r="X109" s="263"/>
      <c r="Y109" s="263"/>
    </row>
    <row r="110" spans="12:25" x14ac:dyDescent="0.35">
      <c r="L110" s="189"/>
      <c r="M110" s="189"/>
      <c r="N110" s="189"/>
      <c r="O110" s="189"/>
      <c r="P110" s="189"/>
      <c r="Q110" s="189"/>
      <c r="R110" s="189"/>
      <c r="S110" s="189">
        <v>108</v>
      </c>
      <c r="T110" s="189">
        <v>150</v>
      </c>
      <c r="U110" s="189"/>
      <c r="V110" s="189"/>
      <c r="W110" s="263"/>
      <c r="X110" s="263"/>
      <c r="Y110" s="263"/>
    </row>
    <row r="111" spans="12:25" x14ac:dyDescent="0.35">
      <c r="L111" s="189"/>
      <c r="M111" s="189"/>
      <c r="N111" s="189"/>
      <c r="O111" s="189"/>
      <c r="P111" s="189"/>
      <c r="Q111" s="189"/>
      <c r="R111" s="189"/>
      <c r="S111" s="189">
        <v>109</v>
      </c>
      <c r="T111" s="189">
        <v>150</v>
      </c>
      <c r="U111" s="189"/>
      <c r="V111" s="189"/>
      <c r="W111" s="263"/>
      <c r="X111" s="263"/>
      <c r="Y111" s="263"/>
    </row>
    <row r="112" spans="12:25" x14ac:dyDescent="0.35">
      <c r="L112" s="189"/>
      <c r="M112" s="189"/>
      <c r="N112" s="189"/>
      <c r="O112" s="189"/>
      <c r="P112" s="189"/>
      <c r="Q112" s="189"/>
      <c r="R112" s="189"/>
      <c r="S112" s="189">
        <v>110</v>
      </c>
      <c r="T112" s="189">
        <v>150</v>
      </c>
      <c r="U112" s="189"/>
      <c r="V112" s="189"/>
      <c r="W112" s="263"/>
      <c r="X112" s="263"/>
      <c r="Y112" s="263"/>
    </row>
    <row r="113" spans="12:25" x14ac:dyDescent="0.35">
      <c r="L113" s="189"/>
      <c r="M113" s="189"/>
      <c r="N113" s="189"/>
      <c r="O113" s="189"/>
      <c r="P113" s="189"/>
      <c r="Q113" s="189"/>
      <c r="R113" s="189"/>
      <c r="S113" s="189">
        <v>111</v>
      </c>
      <c r="T113" s="189">
        <v>150</v>
      </c>
      <c r="U113" s="189"/>
      <c r="V113" s="189"/>
      <c r="W113" s="263"/>
      <c r="X113" s="263"/>
      <c r="Y113" s="263"/>
    </row>
    <row r="114" spans="12:25" x14ac:dyDescent="0.35">
      <c r="L114" s="189"/>
      <c r="M114" s="189"/>
      <c r="N114" s="189"/>
      <c r="O114" s="189"/>
      <c r="P114" s="189"/>
      <c r="Q114" s="189"/>
      <c r="R114" s="189"/>
      <c r="S114" s="189">
        <v>112</v>
      </c>
      <c r="T114" s="189">
        <v>150</v>
      </c>
      <c r="U114" s="189"/>
      <c r="V114" s="189"/>
      <c r="W114" s="263"/>
      <c r="X114" s="263"/>
      <c r="Y114" s="263"/>
    </row>
    <row r="115" spans="12:25" x14ac:dyDescent="0.35">
      <c r="L115" s="189"/>
      <c r="M115" s="189"/>
      <c r="N115" s="189"/>
      <c r="O115" s="189"/>
      <c r="P115" s="189"/>
      <c r="Q115" s="189"/>
      <c r="R115" s="189"/>
      <c r="S115" s="189">
        <v>113</v>
      </c>
      <c r="T115" s="189">
        <v>150</v>
      </c>
      <c r="U115" s="189"/>
      <c r="V115" s="189"/>
      <c r="W115" s="263"/>
      <c r="X115" s="263"/>
      <c r="Y115" s="263"/>
    </row>
    <row r="116" spans="12:25" x14ac:dyDescent="0.35">
      <c r="L116" s="189"/>
      <c r="M116" s="189"/>
      <c r="N116" s="189"/>
      <c r="O116" s="189"/>
      <c r="P116" s="189"/>
      <c r="Q116" s="189"/>
      <c r="R116" s="189"/>
      <c r="S116" s="189">
        <v>114</v>
      </c>
      <c r="T116" s="189">
        <v>150</v>
      </c>
      <c r="U116" s="189"/>
      <c r="V116" s="189"/>
      <c r="W116" s="263"/>
      <c r="X116" s="263"/>
      <c r="Y116" s="263"/>
    </row>
    <row r="117" spans="12:25" x14ac:dyDescent="0.35">
      <c r="L117" s="189"/>
      <c r="M117" s="189"/>
      <c r="N117" s="189"/>
      <c r="O117" s="189"/>
      <c r="P117" s="189"/>
      <c r="Q117" s="189"/>
      <c r="R117" s="189"/>
      <c r="S117" s="189">
        <v>115</v>
      </c>
      <c r="T117" s="189">
        <v>150</v>
      </c>
      <c r="U117" s="189"/>
      <c r="V117" s="189"/>
      <c r="W117" s="263"/>
      <c r="X117" s="263"/>
      <c r="Y117" s="263"/>
    </row>
    <row r="118" spans="12:25" x14ac:dyDescent="0.35">
      <c r="L118" s="189"/>
      <c r="M118" s="189"/>
      <c r="N118" s="189"/>
      <c r="O118" s="189"/>
      <c r="P118" s="189"/>
      <c r="Q118" s="189"/>
      <c r="R118" s="189"/>
      <c r="S118" s="189">
        <v>116</v>
      </c>
      <c r="T118" s="189">
        <v>150</v>
      </c>
      <c r="U118" s="189"/>
      <c r="V118" s="189"/>
      <c r="W118" s="263"/>
      <c r="X118" s="263"/>
      <c r="Y118" s="263"/>
    </row>
    <row r="119" spans="12:25" x14ac:dyDescent="0.35">
      <c r="L119" s="189"/>
      <c r="M119" s="189"/>
      <c r="N119" s="189"/>
      <c r="O119" s="189"/>
      <c r="P119" s="189"/>
      <c r="Q119" s="189"/>
      <c r="R119" s="189"/>
      <c r="S119" s="189">
        <v>117</v>
      </c>
      <c r="T119" s="189">
        <v>150</v>
      </c>
      <c r="U119" s="189"/>
      <c r="V119" s="189"/>
      <c r="W119" s="263"/>
      <c r="X119" s="263"/>
      <c r="Y119" s="263"/>
    </row>
    <row r="120" spans="12:25" x14ac:dyDescent="0.35">
      <c r="L120" s="189"/>
      <c r="M120" s="189"/>
      <c r="N120" s="189"/>
      <c r="O120" s="189"/>
      <c r="P120" s="189"/>
      <c r="Q120" s="189"/>
      <c r="R120" s="189"/>
      <c r="S120" s="189">
        <v>118</v>
      </c>
      <c r="T120" s="189">
        <v>150</v>
      </c>
      <c r="U120" s="189"/>
      <c r="V120" s="189"/>
      <c r="W120" s="263"/>
      <c r="X120" s="263"/>
      <c r="Y120" s="263"/>
    </row>
    <row r="121" spans="12:25" x14ac:dyDescent="0.35">
      <c r="L121" s="189"/>
      <c r="M121" s="189"/>
      <c r="N121" s="189"/>
      <c r="O121" s="189"/>
      <c r="P121" s="189"/>
      <c r="Q121" s="189"/>
      <c r="R121" s="189"/>
      <c r="S121" s="189">
        <v>119</v>
      </c>
      <c r="T121" s="189">
        <v>150</v>
      </c>
      <c r="U121" s="189"/>
      <c r="V121" s="189"/>
      <c r="W121" s="263"/>
      <c r="X121" s="263"/>
      <c r="Y121" s="263"/>
    </row>
    <row r="122" spans="12:25" x14ac:dyDescent="0.35">
      <c r="L122" s="189"/>
      <c r="M122" s="189"/>
      <c r="N122" s="189"/>
      <c r="O122" s="189"/>
      <c r="P122" s="189"/>
      <c r="Q122" s="189"/>
      <c r="R122" s="189"/>
      <c r="S122" s="189">
        <v>120</v>
      </c>
      <c r="T122" s="189">
        <v>150</v>
      </c>
      <c r="U122" s="189"/>
      <c r="V122" s="189"/>
      <c r="W122" s="263"/>
      <c r="X122" s="263"/>
      <c r="Y122" s="263"/>
    </row>
    <row r="123" spans="12:25" x14ac:dyDescent="0.35">
      <c r="L123" s="189"/>
      <c r="M123" s="189"/>
      <c r="N123" s="189"/>
      <c r="O123" s="189"/>
      <c r="P123" s="189"/>
      <c r="Q123" s="189"/>
      <c r="R123" s="189"/>
      <c r="S123" s="189">
        <v>121</v>
      </c>
      <c r="T123" s="189">
        <v>150</v>
      </c>
      <c r="U123" s="189"/>
      <c r="V123" s="189"/>
      <c r="W123" s="263"/>
      <c r="X123" s="263"/>
      <c r="Y123" s="263"/>
    </row>
    <row r="124" spans="12:25" x14ac:dyDescent="0.35">
      <c r="L124" s="189"/>
      <c r="M124" s="189"/>
      <c r="N124" s="189"/>
      <c r="O124" s="189"/>
      <c r="P124" s="189"/>
      <c r="Q124" s="189"/>
      <c r="R124" s="189"/>
      <c r="S124" s="189">
        <v>122</v>
      </c>
      <c r="T124" s="189">
        <v>150</v>
      </c>
      <c r="U124" s="189"/>
      <c r="V124" s="189"/>
      <c r="W124" s="263"/>
      <c r="X124" s="263"/>
      <c r="Y124" s="263"/>
    </row>
    <row r="125" spans="12:25" x14ac:dyDescent="0.35">
      <c r="L125" s="189"/>
      <c r="M125" s="189"/>
      <c r="N125" s="189"/>
      <c r="O125" s="189"/>
      <c r="P125" s="189"/>
      <c r="Q125" s="189"/>
      <c r="R125" s="189"/>
      <c r="S125" s="189">
        <v>123</v>
      </c>
      <c r="T125" s="189">
        <v>150</v>
      </c>
      <c r="U125" s="189"/>
      <c r="V125" s="189"/>
      <c r="W125" s="263"/>
      <c r="X125" s="263"/>
      <c r="Y125" s="263"/>
    </row>
    <row r="126" spans="12:25" x14ac:dyDescent="0.35">
      <c r="L126" s="189"/>
      <c r="M126" s="189"/>
      <c r="N126" s="189"/>
      <c r="O126" s="189"/>
      <c r="P126" s="189"/>
      <c r="Q126" s="189"/>
      <c r="R126" s="189"/>
      <c r="S126" s="189">
        <v>124</v>
      </c>
      <c r="T126" s="189">
        <v>150</v>
      </c>
      <c r="U126" s="189"/>
      <c r="V126" s="189"/>
      <c r="W126" s="263"/>
      <c r="X126" s="263"/>
      <c r="Y126" s="263"/>
    </row>
    <row r="127" spans="12:25" x14ac:dyDescent="0.35">
      <c r="L127" s="189"/>
      <c r="M127" s="189"/>
      <c r="N127" s="189"/>
      <c r="O127" s="189"/>
      <c r="P127" s="189"/>
      <c r="Q127" s="189"/>
      <c r="R127" s="189"/>
      <c r="S127" s="189">
        <v>125</v>
      </c>
      <c r="T127" s="189">
        <v>150</v>
      </c>
      <c r="U127" s="189"/>
      <c r="V127" s="189"/>
      <c r="W127" s="263"/>
      <c r="X127" s="263"/>
      <c r="Y127" s="263"/>
    </row>
    <row r="128" spans="12:25" x14ac:dyDescent="0.35">
      <c r="L128" s="189"/>
      <c r="M128" s="189"/>
      <c r="N128" s="189"/>
      <c r="O128" s="189"/>
      <c r="P128" s="189"/>
      <c r="Q128" s="189"/>
      <c r="R128" s="189"/>
      <c r="S128" s="189">
        <v>126</v>
      </c>
      <c r="T128" s="189">
        <v>150</v>
      </c>
      <c r="U128" s="189"/>
      <c r="V128" s="189"/>
      <c r="W128" s="263"/>
      <c r="X128" s="263"/>
      <c r="Y128" s="263"/>
    </row>
    <row r="129" spans="12:25" x14ac:dyDescent="0.35">
      <c r="L129" s="189"/>
      <c r="M129" s="189"/>
      <c r="N129" s="189"/>
      <c r="O129" s="189"/>
      <c r="P129" s="189"/>
      <c r="Q129" s="189"/>
      <c r="R129" s="189"/>
      <c r="S129" s="189">
        <v>127</v>
      </c>
      <c r="T129" s="189">
        <v>150</v>
      </c>
      <c r="U129" s="189"/>
      <c r="V129" s="189"/>
      <c r="W129" s="263"/>
      <c r="X129" s="263"/>
      <c r="Y129" s="263"/>
    </row>
    <row r="130" spans="12:25" x14ac:dyDescent="0.35">
      <c r="L130" s="189"/>
      <c r="M130" s="189"/>
      <c r="N130" s="189"/>
      <c r="O130" s="189"/>
      <c r="P130" s="189"/>
      <c r="Q130" s="189"/>
      <c r="R130" s="189"/>
      <c r="S130" s="189">
        <v>128</v>
      </c>
      <c r="T130" s="189">
        <v>150</v>
      </c>
      <c r="U130" s="189"/>
      <c r="V130" s="189"/>
      <c r="W130" s="263"/>
      <c r="X130" s="263"/>
      <c r="Y130" s="263"/>
    </row>
    <row r="131" spans="12:25" x14ac:dyDescent="0.35">
      <c r="L131" s="189"/>
      <c r="M131" s="189"/>
      <c r="N131" s="189"/>
      <c r="O131" s="189"/>
      <c r="P131" s="189"/>
      <c r="Q131" s="189"/>
      <c r="R131" s="189"/>
      <c r="S131" s="189">
        <v>129</v>
      </c>
      <c r="T131" s="189">
        <v>150</v>
      </c>
      <c r="U131" s="189"/>
      <c r="V131" s="189"/>
      <c r="W131" s="263"/>
      <c r="X131" s="263"/>
      <c r="Y131" s="263"/>
    </row>
    <row r="132" spans="12:25" x14ac:dyDescent="0.35">
      <c r="L132" s="189"/>
      <c r="M132" s="189"/>
      <c r="N132" s="189"/>
      <c r="O132" s="189"/>
      <c r="P132" s="189"/>
      <c r="Q132" s="189"/>
      <c r="R132" s="189"/>
      <c r="S132" s="189">
        <v>130</v>
      </c>
      <c r="T132" s="189">
        <v>150</v>
      </c>
      <c r="U132" s="189"/>
      <c r="V132" s="189"/>
      <c r="W132" s="263"/>
      <c r="X132" s="263"/>
      <c r="Y132" s="263"/>
    </row>
    <row r="133" spans="12:25" x14ac:dyDescent="0.35">
      <c r="L133" s="189"/>
      <c r="M133" s="189"/>
      <c r="N133" s="189"/>
      <c r="O133" s="189"/>
      <c r="P133" s="189"/>
      <c r="Q133" s="189"/>
      <c r="R133" s="189"/>
      <c r="S133" s="189">
        <v>131</v>
      </c>
      <c r="T133" s="189">
        <v>150</v>
      </c>
      <c r="U133" s="189"/>
      <c r="V133" s="189"/>
      <c r="W133" s="263"/>
      <c r="X133" s="263"/>
      <c r="Y133" s="263"/>
    </row>
    <row r="134" spans="12:25" x14ac:dyDescent="0.35">
      <c r="L134" s="189"/>
      <c r="M134" s="189"/>
      <c r="N134" s="189"/>
      <c r="O134" s="189"/>
      <c r="P134" s="189"/>
      <c r="Q134" s="189"/>
      <c r="R134" s="189"/>
      <c r="S134" s="189">
        <v>132</v>
      </c>
      <c r="T134" s="189">
        <v>150</v>
      </c>
      <c r="U134" s="189"/>
      <c r="V134" s="189"/>
      <c r="W134" s="263"/>
      <c r="X134" s="263"/>
      <c r="Y134" s="263"/>
    </row>
    <row r="135" spans="12:25" x14ac:dyDescent="0.35">
      <c r="L135" s="189"/>
      <c r="M135" s="189"/>
      <c r="N135" s="189"/>
      <c r="O135" s="189"/>
      <c r="P135" s="189"/>
      <c r="Q135" s="189"/>
      <c r="R135" s="189"/>
      <c r="S135" s="189">
        <v>133</v>
      </c>
      <c r="T135" s="189">
        <v>150</v>
      </c>
      <c r="U135" s="189"/>
      <c r="V135" s="189"/>
      <c r="W135" s="263"/>
      <c r="X135" s="263"/>
      <c r="Y135" s="263"/>
    </row>
    <row r="136" spans="12:25" x14ac:dyDescent="0.35">
      <c r="L136" s="189"/>
      <c r="M136" s="189"/>
      <c r="N136" s="189"/>
      <c r="O136" s="189"/>
      <c r="P136" s="189"/>
      <c r="Q136" s="189"/>
      <c r="R136" s="189"/>
      <c r="S136" s="189">
        <v>134</v>
      </c>
      <c r="T136" s="189">
        <v>150</v>
      </c>
      <c r="U136" s="189"/>
      <c r="V136" s="189"/>
      <c r="W136" s="263"/>
      <c r="X136" s="263"/>
      <c r="Y136" s="263"/>
    </row>
    <row r="137" spans="12:25" x14ac:dyDescent="0.35">
      <c r="L137" s="189"/>
      <c r="M137" s="189"/>
      <c r="N137" s="189"/>
      <c r="O137" s="189"/>
      <c r="P137" s="189"/>
      <c r="Q137" s="189"/>
      <c r="R137" s="189"/>
      <c r="S137" s="189">
        <v>135</v>
      </c>
      <c r="T137" s="189">
        <v>150</v>
      </c>
      <c r="U137" s="189"/>
      <c r="V137" s="189"/>
      <c r="W137" s="263"/>
      <c r="X137" s="263"/>
      <c r="Y137" s="263"/>
    </row>
    <row r="138" spans="12:25" x14ac:dyDescent="0.35">
      <c r="L138" s="189"/>
      <c r="M138" s="189"/>
      <c r="N138" s="189"/>
      <c r="O138" s="189"/>
      <c r="P138" s="189"/>
      <c r="Q138" s="189"/>
      <c r="R138" s="189"/>
      <c r="S138" s="189">
        <v>136</v>
      </c>
      <c r="T138" s="189">
        <v>150</v>
      </c>
      <c r="U138" s="189"/>
      <c r="V138" s="189"/>
      <c r="W138" s="263"/>
      <c r="X138" s="263"/>
      <c r="Y138" s="263"/>
    </row>
    <row r="139" spans="12:25" x14ac:dyDescent="0.35">
      <c r="L139" s="189"/>
      <c r="M139" s="189"/>
      <c r="N139" s="189"/>
      <c r="O139" s="189"/>
      <c r="P139" s="189"/>
      <c r="Q139" s="189"/>
      <c r="R139" s="189"/>
      <c r="S139" s="189">
        <v>137</v>
      </c>
      <c r="T139" s="189">
        <v>150</v>
      </c>
      <c r="U139" s="189"/>
      <c r="V139" s="189"/>
      <c r="W139" s="263"/>
      <c r="X139" s="263"/>
      <c r="Y139" s="263"/>
    </row>
    <row r="140" spans="12:25" x14ac:dyDescent="0.35">
      <c r="L140" s="189"/>
      <c r="M140" s="189"/>
      <c r="N140" s="189"/>
      <c r="O140" s="189"/>
      <c r="P140" s="189"/>
      <c r="Q140" s="189"/>
      <c r="R140" s="189"/>
      <c r="S140" s="189">
        <v>138</v>
      </c>
      <c r="T140" s="189">
        <v>150</v>
      </c>
      <c r="U140" s="189"/>
      <c r="V140" s="189"/>
      <c r="W140" s="263"/>
      <c r="X140" s="263"/>
      <c r="Y140" s="263"/>
    </row>
    <row r="141" spans="12:25" x14ac:dyDescent="0.35">
      <c r="L141" s="189"/>
      <c r="M141" s="189"/>
      <c r="N141" s="189"/>
      <c r="O141" s="189"/>
      <c r="P141" s="189"/>
      <c r="Q141" s="189"/>
      <c r="R141" s="189"/>
      <c r="S141" s="189">
        <v>139</v>
      </c>
      <c r="T141" s="189">
        <v>150</v>
      </c>
      <c r="U141" s="189"/>
      <c r="V141" s="189"/>
      <c r="W141" s="263"/>
      <c r="X141" s="263"/>
      <c r="Y141" s="263"/>
    </row>
    <row r="142" spans="12:25" x14ac:dyDescent="0.35">
      <c r="L142" s="189"/>
      <c r="M142" s="189"/>
      <c r="N142" s="189"/>
      <c r="O142" s="189"/>
      <c r="P142" s="189"/>
      <c r="Q142" s="189"/>
      <c r="R142" s="189"/>
      <c r="S142" s="189">
        <v>140</v>
      </c>
      <c r="T142" s="189">
        <v>150</v>
      </c>
      <c r="U142" s="189"/>
      <c r="V142" s="189"/>
      <c r="W142" s="263"/>
      <c r="X142" s="263"/>
      <c r="Y142" s="263"/>
    </row>
    <row r="143" spans="12:25" x14ac:dyDescent="0.35">
      <c r="L143" s="189"/>
      <c r="M143" s="189"/>
      <c r="N143" s="189"/>
      <c r="O143" s="189"/>
      <c r="P143" s="189"/>
      <c r="Q143" s="189"/>
      <c r="R143" s="189"/>
      <c r="S143" s="189">
        <v>141</v>
      </c>
      <c r="T143" s="189">
        <v>150</v>
      </c>
      <c r="U143" s="189"/>
      <c r="V143" s="189"/>
      <c r="W143" s="263"/>
      <c r="X143" s="263"/>
      <c r="Y143" s="263"/>
    </row>
    <row r="144" spans="12:25" x14ac:dyDescent="0.35">
      <c r="L144" s="189"/>
      <c r="M144" s="189"/>
      <c r="N144" s="189"/>
      <c r="O144" s="189"/>
      <c r="P144" s="189"/>
      <c r="Q144" s="189"/>
      <c r="R144" s="189"/>
      <c r="S144" s="189">
        <v>142</v>
      </c>
      <c r="T144" s="189">
        <v>150</v>
      </c>
      <c r="U144" s="189"/>
      <c r="V144" s="189"/>
      <c r="W144" s="263"/>
      <c r="X144" s="263"/>
      <c r="Y144" s="263"/>
    </row>
    <row r="145" spans="12:25" x14ac:dyDescent="0.35">
      <c r="L145" s="189"/>
      <c r="M145" s="189"/>
      <c r="N145" s="189"/>
      <c r="O145" s="189"/>
      <c r="P145" s="189"/>
      <c r="Q145" s="189"/>
      <c r="R145" s="189"/>
      <c r="S145" s="189">
        <v>143</v>
      </c>
      <c r="T145" s="189">
        <v>150</v>
      </c>
      <c r="U145" s="189"/>
      <c r="V145" s="189"/>
      <c r="W145" s="263"/>
      <c r="X145" s="263"/>
      <c r="Y145" s="263"/>
    </row>
    <row r="146" spans="12:25" x14ac:dyDescent="0.35">
      <c r="L146" s="189"/>
      <c r="M146" s="189"/>
      <c r="N146" s="189"/>
      <c r="O146" s="189"/>
      <c r="P146" s="189"/>
      <c r="Q146" s="189"/>
      <c r="R146" s="189"/>
      <c r="S146" s="189">
        <v>144</v>
      </c>
      <c r="T146" s="189">
        <v>150</v>
      </c>
      <c r="U146" s="189"/>
      <c r="V146" s="189"/>
      <c r="W146" s="263"/>
      <c r="X146" s="263"/>
      <c r="Y146" s="263"/>
    </row>
    <row r="147" spans="12:25" x14ac:dyDescent="0.35">
      <c r="L147" s="189"/>
      <c r="M147" s="189"/>
      <c r="N147" s="189"/>
      <c r="O147" s="189"/>
      <c r="P147" s="189"/>
      <c r="Q147" s="189"/>
      <c r="R147" s="189"/>
      <c r="S147" s="189">
        <v>145</v>
      </c>
      <c r="T147" s="189">
        <v>150</v>
      </c>
      <c r="U147" s="189"/>
      <c r="V147" s="189"/>
      <c r="W147" s="263"/>
      <c r="X147" s="263"/>
      <c r="Y147" s="263"/>
    </row>
    <row r="148" spans="12:25" x14ac:dyDescent="0.35">
      <c r="L148" s="189"/>
      <c r="M148" s="189"/>
      <c r="N148" s="189"/>
      <c r="O148" s="189"/>
      <c r="P148" s="189"/>
      <c r="Q148" s="189"/>
      <c r="R148" s="189"/>
      <c r="S148" s="189">
        <v>146</v>
      </c>
      <c r="T148" s="189">
        <v>150</v>
      </c>
      <c r="U148" s="189"/>
      <c r="V148" s="189"/>
      <c r="W148" s="263"/>
      <c r="X148" s="263"/>
      <c r="Y148" s="263"/>
    </row>
    <row r="149" spans="12:25" x14ac:dyDescent="0.35">
      <c r="L149" s="189"/>
      <c r="M149" s="189"/>
      <c r="N149" s="189"/>
      <c r="O149" s="189"/>
      <c r="P149" s="189"/>
      <c r="Q149" s="189"/>
      <c r="R149" s="189"/>
      <c r="S149" s="189">
        <v>147</v>
      </c>
      <c r="T149" s="189">
        <v>150</v>
      </c>
      <c r="U149" s="189"/>
      <c r="V149" s="189"/>
      <c r="W149" s="263"/>
      <c r="X149" s="263"/>
      <c r="Y149" s="263"/>
    </row>
    <row r="150" spans="12:25" x14ac:dyDescent="0.35">
      <c r="L150" s="189"/>
      <c r="M150" s="189"/>
      <c r="N150" s="189"/>
      <c r="O150" s="189"/>
      <c r="P150" s="189"/>
      <c r="Q150" s="189"/>
      <c r="R150" s="189"/>
      <c r="S150" s="189">
        <v>148</v>
      </c>
      <c r="T150" s="189">
        <v>150</v>
      </c>
      <c r="U150" s="189"/>
      <c r="V150" s="189"/>
      <c r="W150" s="263"/>
      <c r="X150" s="263"/>
      <c r="Y150" s="263"/>
    </row>
    <row r="151" spans="12:25" x14ac:dyDescent="0.35">
      <c r="L151" s="189"/>
      <c r="M151" s="189"/>
      <c r="N151" s="189"/>
      <c r="O151" s="189"/>
      <c r="P151" s="189"/>
      <c r="Q151" s="189"/>
      <c r="R151" s="189"/>
      <c r="S151" s="189">
        <v>149</v>
      </c>
      <c r="T151" s="189">
        <v>150</v>
      </c>
      <c r="U151" s="189"/>
      <c r="V151" s="189"/>
      <c r="W151" s="263"/>
      <c r="X151" s="263"/>
      <c r="Y151" s="263"/>
    </row>
    <row r="152" spans="12:25" x14ac:dyDescent="0.35">
      <c r="L152" s="189"/>
      <c r="M152" s="189"/>
      <c r="N152" s="189"/>
      <c r="O152" s="189"/>
      <c r="P152" s="189"/>
      <c r="Q152" s="189"/>
      <c r="R152" s="189"/>
      <c r="S152" s="189">
        <v>150</v>
      </c>
      <c r="T152" s="189">
        <v>150</v>
      </c>
      <c r="U152" s="189">
        <v>150</v>
      </c>
      <c r="V152" s="189"/>
      <c r="W152" s="263"/>
      <c r="X152" s="263"/>
      <c r="Y152" s="263"/>
    </row>
    <row r="153" spans="12:25" x14ac:dyDescent="0.35">
      <c r="L153" s="189"/>
      <c r="M153" s="189"/>
      <c r="N153" s="189"/>
      <c r="O153" s="189"/>
      <c r="P153" s="189"/>
      <c r="Q153" s="189"/>
      <c r="R153" s="189"/>
      <c r="S153" s="189">
        <v>151</v>
      </c>
      <c r="T153" s="189">
        <v>150</v>
      </c>
      <c r="U153" s="189"/>
      <c r="V153" s="189"/>
      <c r="W153" s="263"/>
      <c r="X153" s="263"/>
      <c r="Y153" s="263"/>
    </row>
    <row r="154" spans="12:25" x14ac:dyDescent="0.35">
      <c r="L154" s="189"/>
      <c r="M154" s="189"/>
      <c r="N154" s="189"/>
      <c r="O154" s="189"/>
      <c r="P154" s="189"/>
      <c r="Q154" s="189"/>
      <c r="R154" s="189"/>
      <c r="S154" s="189">
        <v>152</v>
      </c>
      <c r="T154" s="189">
        <v>150</v>
      </c>
      <c r="U154" s="189"/>
      <c r="V154" s="189"/>
      <c r="W154" s="263"/>
      <c r="X154" s="263"/>
      <c r="Y154" s="263"/>
    </row>
    <row r="155" spans="12:25" x14ac:dyDescent="0.35">
      <c r="L155" s="189"/>
      <c r="M155" s="189"/>
      <c r="N155" s="189"/>
      <c r="O155" s="189"/>
      <c r="P155" s="189"/>
      <c r="Q155" s="189"/>
      <c r="R155" s="189"/>
      <c r="S155" s="189">
        <v>153</v>
      </c>
      <c r="T155" s="189">
        <v>150</v>
      </c>
      <c r="U155" s="189"/>
      <c r="V155" s="189"/>
      <c r="W155" s="263"/>
      <c r="X155" s="263"/>
      <c r="Y155" s="263"/>
    </row>
    <row r="156" spans="12:25" x14ac:dyDescent="0.35">
      <c r="L156" s="189"/>
      <c r="M156" s="189"/>
      <c r="N156" s="189"/>
      <c r="O156" s="189"/>
      <c r="P156" s="189"/>
      <c r="Q156" s="189"/>
      <c r="R156" s="189"/>
      <c r="S156" s="189">
        <v>154</v>
      </c>
      <c r="T156" s="189">
        <v>150</v>
      </c>
      <c r="U156" s="189"/>
      <c r="V156" s="189"/>
      <c r="W156" s="263"/>
      <c r="X156" s="263"/>
      <c r="Y156" s="263"/>
    </row>
    <row r="157" spans="12:25" x14ac:dyDescent="0.35">
      <c r="L157" s="189"/>
      <c r="M157" s="189"/>
      <c r="N157" s="189"/>
      <c r="O157" s="189"/>
      <c r="P157" s="189"/>
      <c r="Q157" s="189"/>
      <c r="R157" s="189"/>
      <c r="S157" s="189">
        <v>155</v>
      </c>
      <c r="T157" s="189">
        <v>150</v>
      </c>
      <c r="U157" s="189"/>
      <c r="V157" s="189"/>
      <c r="W157" s="263"/>
      <c r="X157" s="263"/>
      <c r="Y157" s="263"/>
    </row>
    <row r="158" spans="12:25" x14ac:dyDescent="0.35">
      <c r="L158" s="189"/>
      <c r="M158" s="189"/>
      <c r="N158" s="189"/>
      <c r="O158" s="189"/>
      <c r="P158" s="189"/>
      <c r="Q158" s="189"/>
      <c r="R158" s="189"/>
      <c r="S158" s="189">
        <v>156</v>
      </c>
      <c r="T158" s="189">
        <v>150</v>
      </c>
      <c r="U158" s="189"/>
      <c r="V158" s="189"/>
      <c r="W158" s="263"/>
      <c r="X158" s="263"/>
      <c r="Y158" s="263"/>
    </row>
    <row r="159" spans="12:25" x14ac:dyDescent="0.35">
      <c r="L159" s="189"/>
      <c r="M159" s="189"/>
      <c r="N159" s="189"/>
      <c r="O159" s="189"/>
      <c r="P159" s="189"/>
      <c r="Q159" s="189"/>
      <c r="R159" s="189"/>
      <c r="S159" s="189">
        <v>157</v>
      </c>
      <c r="T159" s="189">
        <v>150</v>
      </c>
      <c r="U159" s="189"/>
      <c r="V159" s="189"/>
      <c r="W159" s="263"/>
      <c r="X159" s="263"/>
      <c r="Y159" s="263"/>
    </row>
    <row r="160" spans="12:25" x14ac:dyDescent="0.35">
      <c r="L160" s="189"/>
      <c r="M160" s="189"/>
      <c r="N160" s="189"/>
      <c r="O160" s="189"/>
      <c r="P160" s="189"/>
      <c r="Q160" s="189"/>
      <c r="R160" s="189"/>
      <c r="S160" s="189">
        <v>158</v>
      </c>
      <c r="T160" s="189">
        <v>150</v>
      </c>
      <c r="U160" s="189"/>
      <c r="V160" s="189"/>
      <c r="W160" s="263"/>
      <c r="X160" s="263"/>
      <c r="Y160" s="263"/>
    </row>
    <row r="161" spans="12:25" x14ac:dyDescent="0.35">
      <c r="L161" s="189"/>
      <c r="M161" s="189"/>
      <c r="N161" s="189"/>
      <c r="O161" s="189"/>
      <c r="P161" s="189"/>
      <c r="Q161" s="189"/>
      <c r="R161" s="189"/>
      <c r="S161" s="189">
        <v>159</v>
      </c>
      <c r="T161" s="189">
        <v>150</v>
      </c>
      <c r="U161" s="189"/>
      <c r="V161" s="189"/>
      <c r="W161" s="263"/>
      <c r="X161" s="263"/>
      <c r="Y161" s="263"/>
    </row>
    <row r="162" spans="12:25" x14ac:dyDescent="0.35">
      <c r="L162" s="189"/>
      <c r="M162" s="189"/>
      <c r="N162" s="189"/>
      <c r="O162" s="189"/>
      <c r="P162" s="189"/>
      <c r="Q162" s="189"/>
      <c r="R162" s="189"/>
      <c r="S162" s="189">
        <v>160</v>
      </c>
      <c r="T162" s="189">
        <v>150</v>
      </c>
      <c r="U162" s="189"/>
      <c r="V162" s="189"/>
      <c r="W162" s="263"/>
      <c r="X162" s="263"/>
      <c r="Y162" s="263"/>
    </row>
    <row r="163" spans="12:25" x14ac:dyDescent="0.35">
      <c r="L163" s="189"/>
      <c r="M163" s="189"/>
      <c r="N163" s="189"/>
      <c r="O163" s="189"/>
      <c r="P163" s="189"/>
      <c r="Q163" s="189"/>
      <c r="R163" s="189"/>
      <c r="S163" s="189">
        <v>161</v>
      </c>
      <c r="T163" s="189">
        <v>150</v>
      </c>
      <c r="U163" s="189"/>
      <c r="V163" s="189"/>
      <c r="W163" s="263"/>
      <c r="X163" s="263"/>
      <c r="Y163" s="263"/>
    </row>
    <row r="164" spans="12:25" x14ac:dyDescent="0.35">
      <c r="L164" s="189"/>
      <c r="M164" s="189"/>
      <c r="N164" s="189"/>
      <c r="O164" s="189"/>
      <c r="P164" s="189"/>
      <c r="Q164" s="189"/>
      <c r="R164" s="189"/>
      <c r="S164" s="189">
        <v>162</v>
      </c>
      <c r="T164" s="189">
        <v>150</v>
      </c>
      <c r="U164" s="189"/>
      <c r="V164" s="189"/>
      <c r="W164" s="263"/>
      <c r="X164" s="263"/>
      <c r="Y164" s="263"/>
    </row>
    <row r="165" spans="12:25" x14ac:dyDescent="0.35">
      <c r="L165" s="189"/>
      <c r="M165" s="189"/>
      <c r="N165" s="189"/>
      <c r="O165" s="189"/>
      <c r="P165" s="189"/>
      <c r="Q165" s="189"/>
      <c r="R165" s="189"/>
      <c r="S165" s="189">
        <v>163</v>
      </c>
      <c r="T165" s="189">
        <v>150</v>
      </c>
      <c r="U165" s="189"/>
      <c r="V165" s="189"/>
      <c r="W165" s="263"/>
      <c r="X165" s="263"/>
      <c r="Y165" s="263"/>
    </row>
    <row r="166" spans="12:25" x14ac:dyDescent="0.35">
      <c r="L166" s="189"/>
      <c r="M166" s="189"/>
      <c r="N166" s="189"/>
      <c r="O166" s="189"/>
      <c r="P166" s="189"/>
      <c r="Q166" s="189"/>
      <c r="R166" s="189"/>
      <c r="S166" s="189">
        <v>164</v>
      </c>
      <c r="T166" s="189">
        <v>150</v>
      </c>
      <c r="U166" s="189"/>
      <c r="V166" s="189"/>
      <c r="W166" s="263"/>
      <c r="X166" s="263"/>
      <c r="Y166" s="263"/>
    </row>
    <row r="167" spans="12:25" x14ac:dyDescent="0.35">
      <c r="L167" s="189"/>
      <c r="M167" s="189"/>
      <c r="N167" s="189"/>
      <c r="O167" s="189"/>
      <c r="P167" s="189"/>
      <c r="Q167" s="189"/>
      <c r="R167" s="189"/>
      <c r="S167" s="189">
        <v>165</v>
      </c>
      <c r="T167" s="189">
        <v>150</v>
      </c>
      <c r="U167" s="189"/>
      <c r="V167" s="189"/>
      <c r="W167" s="263"/>
      <c r="X167" s="263"/>
      <c r="Y167" s="263"/>
    </row>
    <row r="168" spans="12:25" x14ac:dyDescent="0.35">
      <c r="L168" s="189"/>
      <c r="M168" s="189"/>
      <c r="N168" s="189"/>
      <c r="O168" s="189"/>
      <c r="P168" s="189"/>
      <c r="Q168" s="189"/>
      <c r="R168" s="189"/>
      <c r="S168" s="189">
        <v>166</v>
      </c>
      <c r="T168" s="189">
        <v>150</v>
      </c>
      <c r="U168" s="189"/>
      <c r="V168" s="189"/>
      <c r="W168" s="263"/>
      <c r="X168" s="263"/>
      <c r="Y168" s="263"/>
    </row>
    <row r="169" spans="12:25" x14ac:dyDescent="0.35">
      <c r="L169" s="189"/>
      <c r="M169" s="189"/>
      <c r="N169" s="189"/>
      <c r="O169" s="189"/>
      <c r="P169" s="189"/>
      <c r="Q169" s="189"/>
      <c r="R169" s="189"/>
      <c r="S169" s="189">
        <v>167</v>
      </c>
      <c r="T169" s="189">
        <v>150</v>
      </c>
      <c r="U169" s="189"/>
      <c r="V169" s="189"/>
      <c r="W169" s="263"/>
      <c r="X169" s="263"/>
      <c r="Y169" s="263"/>
    </row>
    <row r="170" spans="12:25" x14ac:dyDescent="0.35">
      <c r="L170" s="189"/>
      <c r="M170" s="189"/>
      <c r="N170" s="189"/>
      <c r="O170" s="189"/>
      <c r="P170" s="189"/>
      <c r="Q170" s="189"/>
      <c r="R170" s="189"/>
      <c r="S170" s="189">
        <v>168</v>
      </c>
      <c r="T170" s="189">
        <v>150</v>
      </c>
      <c r="U170" s="189"/>
      <c r="V170" s="189"/>
      <c r="W170" s="263"/>
      <c r="X170" s="263"/>
      <c r="Y170" s="263"/>
    </row>
    <row r="171" spans="12:25" x14ac:dyDescent="0.35">
      <c r="L171" s="189"/>
      <c r="M171" s="189"/>
      <c r="N171" s="189"/>
      <c r="O171" s="189"/>
      <c r="P171" s="189"/>
      <c r="Q171" s="189"/>
      <c r="R171" s="189"/>
      <c r="S171" s="189">
        <v>169</v>
      </c>
      <c r="T171" s="189">
        <v>150</v>
      </c>
      <c r="U171" s="189"/>
      <c r="V171" s="189"/>
      <c r="W171" s="263"/>
      <c r="X171" s="263"/>
      <c r="Y171" s="263"/>
    </row>
    <row r="172" spans="12:25" x14ac:dyDescent="0.35">
      <c r="L172" s="189"/>
      <c r="M172" s="189"/>
      <c r="N172" s="189"/>
      <c r="O172" s="189"/>
      <c r="P172" s="189"/>
      <c r="Q172" s="189"/>
      <c r="R172" s="189"/>
      <c r="S172" s="189">
        <v>170</v>
      </c>
      <c r="T172" s="189">
        <v>150</v>
      </c>
      <c r="U172" s="189"/>
      <c r="V172" s="189"/>
      <c r="W172" s="263"/>
      <c r="X172" s="263"/>
      <c r="Y172" s="263"/>
    </row>
    <row r="173" spans="12:25" x14ac:dyDescent="0.35">
      <c r="L173" s="189"/>
      <c r="M173" s="189"/>
      <c r="N173" s="189"/>
      <c r="O173" s="189"/>
      <c r="P173" s="189"/>
      <c r="Q173" s="189"/>
      <c r="R173" s="189"/>
      <c r="S173" s="189">
        <v>171</v>
      </c>
      <c r="T173" s="189">
        <v>150</v>
      </c>
      <c r="U173" s="189"/>
      <c r="V173" s="189"/>
      <c r="W173" s="263"/>
      <c r="X173" s="263"/>
      <c r="Y173" s="263"/>
    </row>
    <row r="174" spans="12:25" x14ac:dyDescent="0.35">
      <c r="L174" s="189"/>
      <c r="M174" s="189"/>
      <c r="N174" s="189"/>
      <c r="O174" s="189"/>
      <c r="P174" s="189"/>
      <c r="Q174" s="189"/>
      <c r="R174" s="189"/>
      <c r="S174" s="189">
        <v>172</v>
      </c>
      <c r="T174" s="189">
        <v>150</v>
      </c>
      <c r="U174" s="189"/>
      <c r="V174" s="189"/>
      <c r="W174" s="263"/>
      <c r="X174" s="263"/>
      <c r="Y174" s="263"/>
    </row>
    <row r="175" spans="12:25" x14ac:dyDescent="0.35">
      <c r="L175" s="189"/>
      <c r="M175" s="189"/>
      <c r="N175" s="189"/>
      <c r="O175" s="189"/>
      <c r="P175" s="189"/>
      <c r="Q175" s="189"/>
      <c r="R175" s="189"/>
      <c r="S175" s="189">
        <v>173</v>
      </c>
      <c r="T175" s="189">
        <v>150</v>
      </c>
      <c r="U175" s="189"/>
      <c r="V175" s="189"/>
      <c r="W175" s="263"/>
      <c r="X175" s="263"/>
      <c r="Y175" s="263"/>
    </row>
    <row r="176" spans="12:25" x14ac:dyDescent="0.35">
      <c r="L176" s="189"/>
      <c r="M176" s="189"/>
      <c r="N176" s="189"/>
      <c r="O176" s="189"/>
      <c r="P176" s="189"/>
      <c r="Q176" s="189"/>
      <c r="R176" s="189"/>
      <c r="S176" s="189">
        <v>174</v>
      </c>
      <c r="T176" s="189">
        <v>150</v>
      </c>
      <c r="U176" s="189"/>
      <c r="V176" s="189"/>
      <c r="W176" s="263"/>
      <c r="X176" s="263"/>
      <c r="Y176" s="263"/>
    </row>
    <row r="177" spans="12:25" x14ac:dyDescent="0.35">
      <c r="L177" s="189"/>
      <c r="M177" s="189"/>
      <c r="N177" s="189"/>
      <c r="O177" s="189"/>
      <c r="P177" s="189"/>
      <c r="Q177" s="189"/>
      <c r="R177" s="189"/>
      <c r="S177" s="189">
        <v>175</v>
      </c>
      <c r="T177" s="189">
        <v>150</v>
      </c>
      <c r="U177" s="189"/>
      <c r="V177" s="189"/>
      <c r="W177" s="263"/>
      <c r="X177" s="263"/>
      <c r="Y177" s="263"/>
    </row>
    <row r="178" spans="12:25" x14ac:dyDescent="0.35">
      <c r="L178" s="189"/>
      <c r="M178" s="189"/>
      <c r="N178" s="189"/>
      <c r="O178" s="189"/>
      <c r="P178" s="189"/>
      <c r="Q178" s="189"/>
      <c r="R178" s="189"/>
      <c r="S178" s="189">
        <v>176</v>
      </c>
      <c r="T178" s="189">
        <v>150</v>
      </c>
      <c r="U178" s="189"/>
      <c r="V178" s="189"/>
      <c r="W178" s="263"/>
      <c r="X178" s="263"/>
      <c r="Y178" s="263"/>
    </row>
    <row r="179" spans="12:25" x14ac:dyDescent="0.35">
      <c r="L179" s="189"/>
      <c r="M179" s="189"/>
      <c r="N179" s="189"/>
      <c r="O179" s="189"/>
      <c r="P179" s="189"/>
      <c r="Q179" s="189"/>
      <c r="R179" s="189"/>
      <c r="S179" s="189">
        <v>177</v>
      </c>
      <c r="T179" s="189">
        <v>150</v>
      </c>
      <c r="U179" s="189"/>
      <c r="V179" s="189"/>
      <c r="W179" s="263"/>
      <c r="X179" s="263"/>
      <c r="Y179" s="263"/>
    </row>
    <row r="180" spans="12:25" x14ac:dyDescent="0.35">
      <c r="L180" s="189"/>
      <c r="M180" s="189"/>
      <c r="N180" s="189"/>
      <c r="O180" s="189"/>
      <c r="P180" s="189"/>
      <c r="Q180" s="189"/>
      <c r="R180" s="189"/>
      <c r="S180" s="189">
        <v>178</v>
      </c>
      <c r="T180" s="189">
        <v>150</v>
      </c>
      <c r="U180" s="189"/>
      <c r="V180" s="189"/>
      <c r="W180" s="263"/>
      <c r="X180" s="263"/>
      <c r="Y180" s="263"/>
    </row>
    <row r="181" spans="12:25" x14ac:dyDescent="0.35">
      <c r="L181" s="189"/>
      <c r="M181" s="189"/>
      <c r="N181" s="189"/>
      <c r="O181" s="189"/>
      <c r="P181" s="189"/>
      <c r="Q181" s="189"/>
      <c r="R181" s="189"/>
      <c r="S181" s="189">
        <v>179</v>
      </c>
      <c r="T181" s="189">
        <v>150</v>
      </c>
      <c r="U181" s="189"/>
      <c r="V181" s="189"/>
      <c r="W181" s="263"/>
      <c r="X181" s="263"/>
      <c r="Y181" s="263"/>
    </row>
    <row r="182" spans="12:25" x14ac:dyDescent="0.35">
      <c r="L182" s="189"/>
      <c r="M182" s="189"/>
      <c r="N182" s="189"/>
      <c r="O182" s="189"/>
      <c r="P182" s="189"/>
      <c r="Q182" s="189"/>
      <c r="R182" s="189"/>
      <c r="S182" s="189">
        <v>180</v>
      </c>
      <c r="T182" s="189">
        <v>150</v>
      </c>
      <c r="U182" s="189"/>
      <c r="V182" s="189"/>
      <c r="W182" s="263"/>
      <c r="X182" s="263"/>
      <c r="Y182" s="263"/>
    </row>
    <row r="183" spans="12:25" x14ac:dyDescent="0.35">
      <c r="L183" s="189"/>
      <c r="M183" s="189"/>
      <c r="N183" s="189"/>
      <c r="O183" s="189"/>
      <c r="P183" s="189"/>
      <c r="Q183" s="189"/>
      <c r="R183" s="189"/>
      <c r="S183" s="189">
        <v>181</v>
      </c>
      <c r="T183" s="189">
        <v>150</v>
      </c>
      <c r="U183" s="189"/>
      <c r="V183" s="189"/>
      <c r="W183" s="263"/>
      <c r="X183" s="263"/>
      <c r="Y183" s="263"/>
    </row>
    <row r="184" spans="12:25" x14ac:dyDescent="0.35">
      <c r="L184" s="189"/>
      <c r="M184" s="189"/>
      <c r="N184" s="189"/>
      <c r="O184" s="189"/>
      <c r="P184" s="189"/>
      <c r="Q184" s="189"/>
      <c r="R184" s="189"/>
      <c r="S184" s="189">
        <v>182</v>
      </c>
      <c r="T184" s="189">
        <v>150</v>
      </c>
      <c r="U184" s="189"/>
      <c r="V184" s="189"/>
      <c r="W184" s="263"/>
      <c r="X184" s="263"/>
      <c r="Y184" s="263"/>
    </row>
    <row r="185" spans="12:25" x14ac:dyDescent="0.35">
      <c r="L185" s="189"/>
      <c r="M185" s="189"/>
      <c r="N185" s="189"/>
      <c r="O185" s="189"/>
      <c r="P185" s="189"/>
      <c r="Q185" s="189"/>
      <c r="R185" s="189"/>
      <c r="S185" s="189">
        <v>183</v>
      </c>
      <c r="T185" s="189">
        <v>150</v>
      </c>
      <c r="U185" s="189"/>
      <c r="V185" s="189"/>
      <c r="W185" s="263"/>
      <c r="X185" s="263"/>
      <c r="Y185" s="263"/>
    </row>
    <row r="186" spans="12:25" x14ac:dyDescent="0.35">
      <c r="L186" s="189"/>
      <c r="M186" s="189"/>
      <c r="N186" s="189"/>
      <c r="O186" s="189"/>
      <c r="P186" s="189"/>
      <c r="Q186" s="189"/>
      <c r="R186" s="189"/>
      <c r="S186" s="189">
        <v>184</v>
      </c>
      <c r="T186" s="189">
        <v>150</v>
      </c>
      <c r="U186" s="189"/>
      <c r="V186" s="189"/>
      <c r="W186" s="263"/>
      <c r="X186" s="263"/>
      <c r="Y186" s="263"/>
    </row>
    <row r="187" spans="12:25" x14ac:dyDescent="0.35">
      <c r="L187" s="189"/>
      <c r="M187" s="189"/>
      <c r="N187" s="189"/>
      <c r="O187" s="189"/>
      <c r="P187" s="189"/>
      <c r="Q187" s="189"/>
      <c r="R187" s="189"/>
      <c r="S187" s="189">
        <v>185</v>
      </c>
      <c r="T187" s="189">
        <v>150</v>
      </c>
      <c r="U187" s="189"/>
      <c r="V187" s="189"/>
      <c r="W187" s="263"/>
      <c r="X187" s="263"/>
      <c r="Y187" s="263"/>
    </row>
    <row r="188" spans="12:25" x14ac:dyDescent="0.35">
      <c r="L188" s="189"/>
      <c r="M188" s="189"/>
      <c r="N188" s="189"/>
      <c r="O188" s="189"/>
      <c r="P188" s="189"/>
      <c r="Q188" s="189"/>
      <c r="R188" s="189"/>
      <c r="S188" s="189">
        <v>186</v>
      </c>
      <c r="T188" s="189">
        <v>150</v>
      </c>
      <c r="U188" s="189"/>
      <c r="V188" s="189"/>
      <c r="W188" s="263"/>
      <c r="X188" s="263"/>
      <c r="Y188" s="263"/>
    </row>
    <row r="189" spans="12:25" x14ac:dyDescent="0.35">
      <c r="L189" s="189"/>
      <c r="M189" s="189"/>
      <c r="N189" s="189"/>
      <c r="O189" s="189"/>
      <c r="P189" s="189"/>
      <c r="Q189" s="189"/>
      <c r="R189" s="189"/>
      <c r="S189" s="189">
        <v>187</v>
      </c>
      <c r="T189" s="189">
        <v>150</v>
      </c>
      <c r="U189" s="189"/>
      <c r="V189" s="189"/>
      <c r="W189" s="263"/>
      <c r="X189" s="263"/>
      <c r="Y189" s="263"/>
    </row>
    <row r="190" spans="12:25" x14ac:dyDescent="0.35">
      <c r="L190" s="189"/>
      <c r="M190" s="189"/>
      <c r="N190" s="189"/>
      <c r="O190" s="189"/>
      <c r="P190" s="189"/>
      <c r="Q190" s="189"/>
      <c r="R190" s="189"/>
      <c r="S190" s="189">
        <v>188</v>
      </c>
      <c r="T190" s="189">
        <v>150</v>
      </c>
      <c r="U190" s="189"/>
      <c r="V190" s="189"/>
      <c r="W190" s="263"/>
      <c r="X190" s="263"/>
      <c r="Y190" s="263"/>
    </row>
    <row r="191" spans="12:25" x14ac:dyDescent="0.35">
      <c r="L191" s="189"/>
      <c r="M191" s="189"/>
      <c r="N191" s="189"/>
      <c r="O191" s="189"/>
      <c r="P191" s="189"/>
      <c r="Q191" s="189"/>
      <c r="R191" s="189"/>
      <c r="S191" s="189">
        <v>189</v>
      </c>
      <c r="T191" s="189">
        <v>150</v>
      </c>
      <c r="U191" s="189"/>
      <c r="V191" s="189"/>
      <c r="W191" s="263"/>
      <c r="X191" s="263"/>
      <c r="Y191" s="263"/>
    </row>
    <row r="192" spans="12:25" x14ac:dyDescent="0.35">
      <c r="L192" s="189"/>
      <c r="M192" s="189"/>
      <c r="N192" s="189"/>
      <c r="O192" s="189"/>
      <c r="P192" s="189"/>
      <c r="Q192" s="189"/>
      <c r="R192" s="189"/>
      <c r="S192" s="189">
        <v>190</v>
      </c>
      <c r="T192" s="189">
        <v>150</v>
      </c>
      <c r="U192" s="189"/>
      <c r="V192" s="189"/>
      <c r="W192" s="263"/>
      <c r="X192" s="263"/>
      <c r="Y192" s="263"/>
    </row>
    <row r="193" spans="12:25" x14ac:dyDescent="0.35">
      <c r="L193" s="189"/>
      <c r="M193" s="189"/>
      <c r="N193" s="189"/>
      <c r="O193" s="189"/>
      <c r="P193" s="189"/>
      <c r="Q193" s="189"/>
      <c r="R193" s="189"/>
      <c r="S193" s="189">
        <v>191</v>
      </c>
      <c r="T193" s="189">
        <v>150</v>
      </c>
      <c r="U193" s="189"/>
      <c r="V193" s="189"/>
      <c r="W193" s="263"/>
      <c r="X193" s="263"/>
      <c r="Y193" s="263"/>
    </row>
    <row r="194" spans="12:25" x14ac:dyDescent="0.35">
      <c r="L194" s="189"/>
      <c r="M194" s="189"/>
      <c r="N194" s="189"/>
      <c r="O194" s="189"/>
      <c r="P194" s="189"/>
      <c r="Q194" s="189"/>
      <c r="R194" s="189"/>
      <c r="S194" s="189">
        <v>192</v>
      </c>
      <c r="T194" s="189">
        <v>150</v>
      </c>
      <c r="U194" s="189"/>
      <c r="V194" s="189"/>
      <c r="W194" s="263"/>
      <c r="X194" s="263"/>
      <c r="Y194" s="263"/>
    </row>
    <row r="195" spans="12:25" x14ac:dyDescent="0.35">
      <c r="L195" s="189"/>
      <c r="M195" s="189"/>
      <c r="N195" s="189"/>
      <c r="O195" s="189"/>
      <c r="P195" s="189"/>
      <c r="Q195" s="189"/>
      <c r="R195" s="189"/>
      <c r="S195" s="189">
        <v>193</v>
      </c>
      <c r="T195" s="189">
        <v>150</v>
      </c>
      <c r="U195" s="189"/>
      <c r="V195" s="189"/>
      <c r="W195" s="263"/>
      <c r="X195" s="263"/>
      <c r="Y195" s="263"/>
    </row>
    <row r="196" spans="12:25" x14ac:dyDescent="0.35">
      <c r="L196" s="189"/>
      <c r="M196" s="189"/>
      <c r="N196" s="189"/>
      <c r="O196" s="189"/>
      <c r="P196" s="189"/>
      <c r="Q196" s="189"/>
      <c r="R196" s="189"/>
      <c r="S196" s="189">
        <v>194</v>
      </c>
      <c r="T196" s="189">
        <v>150</v>
      </c>
      <c r="U196" s="189"/>
      <c r="V196" s="189"/>
      <c r="W196" s="263"/>
      <c r="X196" s="263"/>
      <c r="Y196" s="263"/>
    </row>
    <row r="197" spans="12:25" x14ac:dyDescent="0.35">
      <c r="L197" s="189"/>
      <c r="M197" s="189"/>
      <c r="N197" s="189"/>
      <c r="O197" s="189"/>
      <c r="P197" s="189"/>
      <c r="Q197" s="189"/>
      <c r="R197" s="189"/>
      <c r="S197" s="189">
        <v>195</v>
      </c>
      <c r="T197" s="189">
        <v>150</v>
      </c>
      <c r="U197" s="189"/>
      <c r="V197" s="189"/>
      <c r="W197" s="263"/>
      <c r="X197" s="263"/>
      <c r="Y197" s="263"/>
    </row>
    <row r="198" spans="12:25" x14ac:dyDescent="0.35">
      <c r="L198" s="189"/>
      <c r="M198" s="189"/>
      <c r="N198" s="189"/>
      <c r="O198" s="189"/>
      <c r="P198" s="189"/>
      <c r="Q198" s="189"/>
      <c r="R198" s="189"/>
      <c r="S198" s="189">
        <v>196</v>
      </c>
      <c r="T198" s="189">
        <v>150</v>
      </c>
      <c r="U198" s="189"/>
      <c r="V198" s="189"/>
      <c r="W198" s="263"/>
      <c r="X198" s="263"/>
      <c r="Y198" s="263"/>
    </row>
    <row r="199" spans="12:25" x14ac:dyDescent="0.35">
      <c r="L199" s="189"/>
      <c r="M199" s="189"/>
      <c r="N199" s="189"/>
      <c r="O199" s="189"/>
      <c r="P199" s="189"/>
      <c r="Q199" s="189"/>
      <c r="R199" s="189"/>
      <c r="S199" s="189">
        <v>197</v>
      </c>
      <c r="T199" s="189">
        <v>150</v>
      </c>
      <c r="U199" s="189"/>
      <c r="V199" s="189"/>
      <c r="W199" s="263"/>
      <c r="X199" s="263"/>
      <c r="Y199" s="263"/>
    </row>
    <row r="200" spans="12:25" x14ac:dyDescent="0.35">
      <c r="L200" s="189"/>
      <c r="M200" s="189"/>
      <c r="N200" s="189"/>
      <c r="O200" s="189"/>
      <c r="P200" s="189"/>
      <c r="Q200" s="189"/>
      <c r="R200" s="189"/>
      <c r="S200" s="189">
        <v>198</v>
      </c>
      <c r="T200" s="189">
        <v>150</v>
      </c>
      <c r="U200" s="189"/>
      <c r="V200" s="189"/>
      <c r="W200" s="263"/>
      <c r="X200" s="263"/>
      <c r="Y200" s="263"/>
    </row>
    <row r="201" spans="12:25" x14ac:dyDescent="0.35">
      <c r="L201" s="189"/>
      <c r="M201" s="189"/>
      <c r="N201" s="189"/>
      <c r="O201" s="189"/>
      <c r="P201" s="189"/>
      <c r="Q201" s="189"/>
      <c r="R201" s="189"/>
      <c r="S201" s="189">
        <v>199</v>
      </c>
      <c r="T201" s="189">
        <v>150</v>
      </c>
      <c r="U201" s="189"/>
      <c r="V201" s="189"/>
      <c r="W201" s="263"/>
      <c r="X201" s="263"/>
      <c r="Y201" s="263"/>
    </row>
    <row r="202" spans="12:25" x14ac:dyDescent="0.35">
      <c r="L202" s="189"/>
      <c r="M202" s="189"/>
      <c r="N202" s="189"/>
      <c r="O202" s="189"/>
      <c r="P202" s="189"/>
      <c r="Q202" s="189"/>
      <c r="R202" s="189"/>
      <c r="S202" s="189">
        <v>200</v>
      </c>
      <c r="T202" s="189">
        <v>150</v>
      </c>
      <c r="U202" s="189">
        <v>200</v>
      </c>
      <c r="V202" s="189"/>
      <c r="W202" s="263"/>
      <c r="X202" s="263"/>
      <c r="Y202" s="263"/>
    </row>
    <row r="203" spans="12:25" x14ac:dyDescent="0.35">
      <c r="L203" s="189"/>
      <c r="M203" s="189"/>
      <c r="N203" s="189"/>
      <c r="O203" s="189"/>
      <c r="P203" s="189"/>
      <c r="Q203" s="189"/>
      <c r="R203" s="189"/>
      <c r="S203" s="189">
        <v>201</v>
      </c>
      <c r="T203" s="189">
        <v>150</v>
      </c>
      <c r="U203" s="189"/>
      <c r="V203" s="189"/>
      <c r="W203" s="263"/>
      <c r="X203" s="263"/>
      <c r="Y203" s="263"/>
    </row>
    <row r="204" spans="12:25" x14ac:dyDescent="0.35">
      <c r="L204" s="189"/>
      <c r="M204" s="189"/>
      <c r="N204" s="189"/>
      <c r="O204" s="189"/>
      <c r="P204" s="189"/>
      <c r="Q204" s="189"/>
      <c r="R204" s="189"/>
      <c r="S204" s="189">
        <v>202</v>
      </c>
      <c r="T204" s="189">
        <v>150</v>
      </c>
      <c r="U204" s="189"/>
      <c r="V204" s="189"/>
      <c r="W204" s="263"/>
      <c r="X204" s="263"/>
      <c r="Y204" s="263"/>
    </row>
    <row r="205" spans="12:25" x14ac:dyDescent="0.35">
      <c r="L205" s="189"/>
      <c r="M205" s="189"/>
      <c r="N205" s="189"/>
      <c r="O205" s="189"/>
      <c r="P205" s="189"/>
      <c r="Q205" s="189"/>
      <c r="R205" s="189"/>
      <c r="S205" s="189">
        <v>203</v>
      </c>
      <c r="T205" s="189">
        <v>150</v>
      </c>
      <c r="U205" s="189"/>
      <c r="V205" s="189"/>
      <c r="W205" s="263"/>
      <c r="X205" s="263"/>
      <c r="Y205" s="263"/>
    </row>
    <row r="206" spans="12:25" x14ac:dyDescent="0.35">
      <c r="L206" s="189"/>
      <c r="M206" s="189"/>
      <c r="N206" s="189"/>
      <c r="O206" s="189"/>
      <c r="P206" s="189"/>
      <c r="Q206" s="189"/>
      <c r="R206" s="189"/>
      <c r="S206" s="189">
        <v>204</v>
      </c>
      <c r="T206" s="189">
        <v>150</v>
      </c>
      <c r="U206" s="189"/>
      <c r="V206" s="189"/>
      <c r="W206" s="263"/>
      <c r="X206" s="263"/>
      <c r="Y206" s="263"/>
    </row>
    <row r="207" spans="12:25" x14ac:dyDescent="0.35">
      <c r="L207" s="189"/>
      <c r="M207" s="189"/>
      <c r="N207" s="189"/>
      <c r="O207" s="189"/>
      <c r="P207" s="189"/>
      <c r="Q207" s="189"/>
      <c r="R207" s="189"/>
      <c r="S207" s="189">
        <v>205</v>
      </c>
      <c r="T207" s="189">
        <v>150</v>
      </c>
      <c r="U207" s="189"/>
      <c r="V207" s="189"/>
      <c r="W207" s="263"/>
      <c r="X207" s="263"/>
      <c r="Y207" s="263"/>
    </row>
    <row r="208" spans="12:25" x14ac:dyDescent="0.35">
      <c r="L208" s="189"/>
      <c r="M208" s="189"/>
      <c r="N208" s="189"/>
      <c r="O208" s="189"/>
      <c r="P208" s="189"/>
      <c r="Q208" s="189"/>
      <c r="R208" s="189"/>
      <c r="S208" s="189">
        <v>206</v>
      </c>
      <c r="T208" s="189">
        <v>150</v>
      </c>
      <c r="U208" s="189"/>
      <c r="V208" s="189"/>
      <c r="W208" s="263"/>
      <c r="X208" s="263"/>
      <c r="Y208" s="263"/>
    </row>
    <row r="209" spans="12:25" x14ac:dyDescent="0.35">
      <c r="L209" s="189"/>
      <c r="M209" s="189"/>
      <c r="N209" s="189"/>
      <c r="O209" s="189"/>
      <c r="P209" s="189"/>
      <c r="Q209" s="189"/>
      <c r="R209" s="189"/>
      <c r="S209" s="189">
        <v>207</v>
      </c>
      <c r="T209" s="189">
        <v>150</v>
      </c>
      <c r="U209" s="189"/>
      <c r="V209" s="189"/>
      <c r="W209" s="263"/>
      <c r="X209" s="263"/>
      <c r="Y209" s="263"/>
    </row>
    <row r="210" spans="12:25" x14ac:dyDescent="0.35">
      <c r="L210" s="189"/>
      <c r="M210" s="189"/>
      <c r="N210" s="189"/>
      <c r="O210" s="189"/>
      <c r="P210" s="189"/>
      <c r="Q210" s="189"/>
      <c r="R210" s="189"/>
      <c r="S210" s="189">
        <v>208</v>
      </c>
      <c r="T210" s="189">
        <v>150</v>
      </c>
      <c r="U210" s="189"/>
      <c r="V210" s="189"/>
      <c r="W210" s="263"/>
      <c r="X210" s="263"/>
      <c r="Y210" s="263"/>
    </row>
    <row r="211" spans="12:25" x14ac:dyDescent="0.35">
      <c r="L211" s="189"/>
      <c r="M211" s="189"/>
      <c r="N211" s="189"/>
      <c r="O211" s="189"/>
      <c r="P211" s="189"/>
      <c r="Q211" s="189"/>
      <c r="R211" s="189"/>
      <c r="S211" s="189">
        <v>209</v>
      </c>
      <c r="T211" s="189">
        <v>150</v>
      </c>
      <c r="U211" s="189"/>
      <c r="V211" s="189"/>
      <c r="W211" s="263"/>
      <c r="X211" s="263"/>
      <c r="Y211" s="263"/>
    </row>
    <row r="212" spans="12:25" x14ac:dyDescent="0.35">
      <c r="L212" s="189"/>
      <c r="M212" s="189"/>
      <c r="N212" s="189"/>
      <c r="O212" s="189"/>
      <c r="P212" s="189"/>
      <c r="Q212" s="189"/>
      <c r="R212" s="189"/>
      <c r="S212" s="189">
        <v>210</v>
      </c>
      <c r="T212" s="189">
        <v>150</v>
      </c>
      <c r="U212" s="189"/>
      <c r="V212" s="189"/>
      <c r="W212" s="263"/>
      <c r="X212" s="263"/>
      <c r="Y212" s="263"/>
    </row>
    <row r="213" spans="12:25" x14ac:dyDescent="0.35">
      <c r="L213" s="189"/>
      <c r="M213" s="189"/>
      <c r="N213" s="189"/>
      <c r="O213" s="189"/>
      <c r="P213" s="189"/>
      <c r="Q213" s="189"/>
      <c r="R213" s="189"/>
      <c r="S213" s="189">
        <v>211</v>
      </c>
      <c r="T213" s="189">
        <v>150</v>
      </c>
      <c r="U213" s="189"/>
      <c r="V213" s="189"/>
      <c r="W213" s="263"/>
      <c r="X213" s="263"/>
      <c r="Y213" s="263"/>
    </row>
    <row r="214" spans="12:25" x14ac:dyDescent="0.35">
      <c r="L214" s="189"/>
      <c r="M214" s="189"/>
      <c r="N214" s="189"/>
      <c r="O214" s="189"/>
      <c r="P214" s="189"/>
      <c r="Q214" s="189"/>
      <c r="R214" s="189"/>
      <c r="S214" s="189">
        <v>212</v>
      </c>
      <c r="T214" s="189">
        <v>150</v>
      </c>
      <c r="U214" s="189"/>
      <c r="V214" s="189"/>
      <c r="W214" s="263"/>
      <c r="X214" s="263"/>
      <c r="Y214" s="263"/>
    </row>
    <row r="215" spans="12:25" x14ac:dyDescent="0.35">
      <c r="L215" s="189"/>
      <c r="M215" s="189"/>
      <c r="N215" s="189"/>
      <c r="O215" s="189"/>
      <c r="P215" s="189"/>
      <c r="Q215" s="189"/>
      <c r="R215" s="189"/>
      <c r="S215" s="189">
        <v>213</v>
      </c>
      <c r="T215" s="189">
        <v>150</v>
      </c>
      <c r="U215" s="189"/>
      <c r="V215" s="189"/>
      <c r="W215" s="263"/>
      <c r="X215" s="263"/>
      <c r="Y215" s="263"/>
    </row>
    <row r="216" spans="12:25" x14ac:dyDescent="0.35">
      <c r="L216" s="189"/>
      <c r="M216" s="189"/>
      <c r="N216" s="189"/>
      <c r="O216" s="189"/>
      <c r="P216" s="189"/>
      <c r="Q216" s="189"/>
      <c r="R216" s="189"/>
      <c r="S216" s="189">
        <v>214</v>
      </c>
      <c r="T216" s="189">
        <v>150</v>
      </c>
      <c r="U216" s="189"/>
      <c r="V216" s="189"/>
      <c r="W216" s="263"/>
      <c r="X216" s="263"/>
      <c r="Y216" s="263"/>
    </row>
    <row r="217" spans="12:25" x14ac:dyDescent="0.35">
      <c r="L217" s="189"/>
      <c r="M217" s="189"/>
      <c r="N217" s="189"/>
      <c r="O217" s="189"/>
      <c r="P217" s="189"/>
      <c r="Q217" s="189"/>
      <c r="R217" s="189"/>
      <c r="S217" s="189">
        <v>215</v>
      </c>
      <c r="T217" s="189">
        <v>150</v>
      </c>
      <c r="U217" s="189"/>
      <c r="V217" s="189"/>
      <c r="W217" s="263"/>
      <c r="X217" s="263"/>
      <c r="Y217" s="263"/>
    </row>
    <row r="218" spans="12:25" x14ac:dyDescent="0.35">
      <c r="L218" s="189"/>
      <c r="M218" s="189"/>
      <c r="N218" s="189"/>
      <c r="O218" s="189"/>
      <c r="P218" s="189"/>
      <c r="Q218" s="189"/>
      <c r="R218" s="189"/>
      <c r="S218" s="189">
        <v>216</v>
      </c>
      <c r="T218" s="189">
        <v>150</v>
      </c>
      <c r="U218" s="189"/>
      <c r="V218" s="189"/>
      <c r="W218" s="263"/>
      <c r="X218" s="263"/>
      <c r="Y218" s="263"/>
    </row>
    <row r="219" spans="12:25" x14ac:dyDescent="0.35">
      <c r="L219" s="189"/>
      <c r="M219" s="189"/>
      <c r="N219" s="189"/>
      <c r="O219" s="189"/>
      <c r="P219" s="189"/>
      <c r="Q219" s="189"/>
      <c r="R219" s="189"/>
      <c r="S219" s="189">
        <v>217</v>
      </c>
      <c r="T219" s="189">
        <v>150</v>
      </c>
      <c r="U219" s="189"/>
      <c r="V219" s="189"/>
      <c r="W219" s="263"/>
      <c r="X219" s="263"/>
      <c r="Y219" s="263"/>
    </row>
    <row r="220" spans="12:25" x14ac:dyDescent="0.35">
      <c r="L220" s="189"/>
      <c r="M220" s="189"/>
      <c r="N220" s="189"/>
      <c r="O220" s="189"/>
      <c r="P220" s="189"/>
      <c r="Q220" s="189"/>
      <c r="R220" s="189"/>
      <c r="S220" s="189">
        <v>218</v>
      </c>
      <c r="T220" s="189">
        <v>150</v>
      </c>
      <c r="U220" s="189"/>
      <c r="V220" s="189"/>
      <c r="W220" s="263"/>
      <c r="X220" s="263"/>
      <c r="Y220" s="263"/>
    </row>
    <row r="221" spans="12:25" x14ac:dyDescent="0.35">
      <c r="L221" s="189"/>
      <c r="M221" s="189"/>
      <c r="N221" s="189"/>
      <c r="O221" s="189"/>
      <c r="P221" s="189"/>
      <c r="Q221" s="189"/>
      <c r="R221" s="189"/>
      <c r="S221" s="189">
        <v>219</v>
      </c>
      <c r="T221" s="189">
        <v>150</v>
      </c>
      <c r="U221" s="189"/>
      <c r="V221" s="189"/>
      <c r="W221" s="263"/>
      <c r="X221" s="263"/>
      <c r="Y221" s="263"/>
    </row>
    <row r="222" spans="12:25" x14ac:dyDescent="0.35">
      <c r="L222" s="189"/>
      <c r="M222" s="189"/>
      <c r="N222" s="189"/>
      <c r="O222" s="189"/>
      <c r="P222" s="189"/>
      <c r="Q222" s="189"/>
      <c r="R222" s="189"/>
      <c r="S222" s="189">
        <v>220</v>
      </c>
      <c r="T222" s="189">
        <v>150</v>
      </c>
      <c r="U222" s="189"/>
      <c r="V222" s="189"/>
      <c r="W222" s="263"/>
      <c r="X222" s="263"/>
      <c r="Y222" s="263"/>
    </row>
    <row r="223" spans="12:25" x14ac:dyDescent="0.35">
      <c r="L223" s="189"/>
      <c r="M223" s="189"/>
      <c r="N223" s="189"/>
      <c r="O223" s="189"/>
      <c r="P223" s="189"/>
      <c r="Q223" s="189"/>
      <c r="R223" s="189"/>
      <c r="S223" s="189">
        <v>221</v>
      </c>
      <c r="T223" s="189">
        <v>150</v>
      </c>
      <c r="U223" s="189"/>
      <c r="V223" s="189"/>
      <c r="W223" s="263"/>
      <c r="X223" s="263"/>
      <c r="Y223" s="263"/>
    </row>
    <row r="224" spans="12:25" x14ac:dyDescent="0.35">
      <c r="L224" s="189"/>
      <c r="M224" s="189"/>
      <c r="N224" s="189"/>
      <c r="O224" s="189"/>
      <c r="P224" s="189"/>
      <c r="Q224" s="189"/>
      <c r="R224" s="189"/>
      <c r="S224" s="189">
        <v>222</v>
      </c>
      <c r="T224" s="189">
        <v>150</v>
      </c>
      <c r="U224" s="189"/>
      <c r="V224" s="189"/>
      <c r="W224" s="263"/>
      <c r="X224" s="263"/>
      <c r="Y224" s="263"/>
    </row>
    <row r="225" spans="12:25" x14ac:dyDescent="0.35">
      <c r="L225" s="189"/>
      <c r="M225" s="189"/>
      <c r="N225" s="189"/>
      <c r="O225" s="189"/>
      <c r="P225" s="189"/>
      <c r="Q225" s="189"/>
      <c r="R225" s="189"/>
      <c r="S225" s="189">
        <v>223</v>
      </c>
      <c r="T225" s="189">
        <v>150</v>
      </c>
      <c r="U225" s="189"/>
      <c r="V225" s="189"/>
      <c r="W225" s="263"/>
      <c r="X225" s="263"/>
      <c r="Y225" s="263"/>
    </row>
    <row r="226" spans="12:25" x14ac:dyDescent="0.35">
      <c r="L226" s="189"/>
      <c r="M226" s="189"/>
      <c r="N226" s="189"/>
      <c r="O226" s="189"/>
      <c r="P226" s="189"/>
      <c r="Q226" s="189"/>
      <c r="R226" s="189"/>
      <c r="S226" s="189">
        <v>224</v>
      </c>
      <c r="T226" s="189">
        <v>150</v>
      </c>
      <c r="U226" s="189"/>
      <c r="V226" s="189"/>
      <c r="W226" s="263"/>
      <c r="X226" s="263"/>
      <c r="Y226" s="263"/>
    </row>
    <row r="227" spans="12:25" x14ac:dyDescent="0.35">
      <c r="L227" s="189"/>
      <c r="M227" s="189"/>
      <c r="N227" s="189"/>
      <c r="O227" s="189"/>
      <c r="P227" s="189"/>
      <c r="Q227" s="189"/>
      <c r="R227" s="189"/>
      <c r="S227" s="189">
        <v>225</v>
      </c>
      <c r="T227" s="189">
        <v>150</v>
      </c>
      <c r="U227" s="189"/>
      <c r="V227" s="189"/>
      <c r="W227" s="263"/>
      <c r="X227" s="263"/>
      <c r="Y227" s="263"/>
    </row>
    <row r="228" spans="12:25" x14ac:dyDescent="0.35">
      <c r="L228" s="189"/>
      <c r="M228" s="189"/>
      <c r="N228" s="189"/>
      <c r="O228" s="189"/>
      <c r="P228" s="189"/>
      <c r="Q228" s="189"/>
      <c r="R228" s="189"/>
      <c r="S228" s="189">
        <v>226</v>
      </c>
      <c r="T228" s="189">
        <v>150</v>
      </c>
      <c r="U228" s="189"/>
      <c r="V228" s="189"/>
      <c r="W228" s="263"/>
      <c r="X228" s="263"/>
      <c r="Y228" s="263"/>
    </row>
    <row r="229" spans="12:25" x14ac:dyDescent="0.35">
      <c r="L229" s="189"/>
      <c r="M229" s="189"/>
      <c r="N229" s="189"/>
      <c r="O229" s="189"/>
      <c r="P229" s="189"/>
      <c r="Q229" s="189"/>
      <c r="R229" s="189"/>
      <c r="S229" s="189">
        <v>227</v>
      </c>
      <c r="T229" s="189">
        <v>150</v>
      </c>
      <c r="U229" s="189"/>
      <c r="V229" s="189"/>
      <c r="W229" s="263"/>
      <c r="X229" s="263"/>
      <c r="Y229" s="263"/>
    </row>
    <row r="230" spans="12:25" x14ac:dyDescent="0.35">
      <c r="L230" s="189"/>
      <c r="M230" s="189"/>
      <c r="N230" s="189"/>
      <c r="O230" s="189"/>
      <c r="P230" s="189"/>
      <c r="Q230" s="189"/>
      <c r="R230" s="189"/>
      <c r="S230" s="189">
        <v>228</v>
      </c>
      <c r="T230" s="189">
        <v>150</v>
      </c>
      <c r="U230" s="189"/>
      <c r="V230" s="189"/>
      <c r="W230" s="263"/>
      <c r="X230" s="263"/>
      <c r="Y230" s="263"/>
    </row>
    <row r="231" spans="12:25" x14ac:dyDescent="0.35">
      <c r="L231" s="189"/>
      <c r="M231" s="189"/>
      <c r="N231" s="189"/>
      <c r="O231" s="189"/>
      <c r="P231" s="189"/>
      <c r="Q231" s="189"/>
      <c r="R231" s="189"/>
      <c r="S231" s="189">
        <v>229</v>
      </c>
      <c r="T231" s="189">
        <v>150</v>
      </c>
      <c r="U231" s="189"/>
      <c r="V231" s="189"/>
      <c r="W231" s="263"/>
      <c r="X231" s="263"/>
      <c r="Y231" s="263"/>
    </row>
    <row r="232" spans="12:25" x14ac:dyDescent="0.35">
      <c r="L232" s="189"/>
      <c r="M232" s="189"/>
      <c r="N232" s="189"/>
      <c r="O232" s="189"/>
      <c r="P232" s="189"/>
      <c r="Q232" s="189"/>
      <c r="R232" s="189"/>
      <c r="S232" s="189">
        <v>230</v>
      </c>
      <c r="T232" s="189">
        <v>150</v>
      </c>
      <c r="U232" s="189"/>
      <c r="V232" s="189"/>
      <c r="W232" s="263"/>
      <c r="X232" s="263"/>
      <c r="Y232" s="263"/>
    </row>
    <row r="233" spans="12:25" x14ac:dyDescent="0.35">
      <c r="L233" s="189"/>
      <c r="M233" s="189"/>
      <c r="N233" s="189"/>
      <c r="O233" s="189"/>
      <c r="P233" s="189"/>
      <c r="Q233" s="189"/>
      <c r="R233" s="189"/>
      <c r="S233" s="189">
        <v>231</v>
      </c>
      <c r="T233" s="189">
        <v>150</v>
      </c>
      <c r="U233" s="189"/>
      <c r="V233" s="189"/>
      <c r="W233" s="263"/>
      <c r="X233" s="263"/>
      <c r="Y233" s="263"/>
    </row>
    <row r="234" spans="12:25" x14ac:dyDescent="0.35">
      <c r="L234" s="189"/>
      <c r="M234" s="189"/>
      <c r="N234" s="189"/>
      <c r="O234" s="189"/>
      <c r="P234" s="189"/>
      <c r="Q234" s="189"/>
      <c r="R234" s="189"/>
      <c r="S234" s="189">
        <v>232</v>
      </c>
      <c r="T234" s="189">
        <v>150</v>
      </c>
      <c r="U234" s="189"/>
      <c r="V234" s="189"/>
      <c r="W234" s="263"/>
      <c r="X234" s="263"/>
      <c r="Y234" s="263"/>
    </row>
    <row r="235" spans="12:25" x14ac:dyDescent="0.35">
      <c r="L235" s="189"/>
      <c r="M235" s="189"/>
      <c r="N235" s="189"/>
      <c r="O235" s="189"/>
      <c r="P235" s="189"/>
      <c r="Q235" s="189"/>
      <c r="R235" s="189"/>
      <c r="S235" s="189">
        <v>233</v>
      </c>
      <c r="T235" s="189">
        <v>150</v>
      </c>
      <c r="U235" s="189"/>
      <c r="V235" s="189"/>
      <c r="W235" s="263"/>
      <c r="X235" s="263"/>
      <c r="Y235" s="263"/>
    </row>
    <row r="236" spans="12:25" x14ac:dyDescent="0.35">
      <c r="L236" s="189"/>
      <c r="M236" s="189"/>
      <c r="N236" s="189"/>
      <c r="O236" s="189"/>
      <c r="P236" s="189"/>
      <c r="Q236" s="189"/>
      <c r="R236" s="189"/>
      <c r="S236" s="189">
        <v>234</v>
      </c>
      <c r="T236" s="189">
        <v>150</v>
      </c>
      <c r="U236" s="189"/>
      <c r="V236" s="189"/>
      <c r="W236" s="263"/>
      <c r="X236" s="263"/>
      <c r="Y236" s="263"/>
    </row>
    <row r="237" spans="12:25" x14ac:dyDescent="0.35">
      <c r="L237" s="189"/>
      <c r="M237" s="189"/>
      <c r="N237" s="189"/>
      <c r="O237" s="189"/>
      <c r="P237" s="189"/>
      <c r="Q237" s="189"/>
      <c r="R237" s="189"/>
      <c r="S237" s="189">
        <v>235</v>
      </c>
      <c r="T237" s="189">
        <v>150</v>
      </c>
      <c r="U237" s="189"/>
      <c r="V237" s="189"/>
      <c r="W237" s="263"/>
      <c r="X237" s="263"/>
      <c r="Y237" s="263"/>
    </row>
    <row r="238" spans="12:25" x14ac:dyDescent="0.35">
      <c r="L238" s="189"/>
      <c r="M238" s="189"/>
      <c r="N238" s="189"/>
      <c r="O238" s="189"/>
      <c r="P238" s="189"/>
      <c r="Q238" s="189"/>
      <c r="R238" s="189"/>
      <c r="S238" s="189">
        <v>236</v>
      </c>
      <c r="T238" s="189">
        <v>150</v>
      </c>
      <c r="U238" s="189"/>
      <c r="V238" s="189"/>
      <c r="W238" s="263"/>
      <c r="X238" s="263"/>
      <c r="Y238" s="263"/>
    </row>
    <row r="239" spans="12:25" x14ac:dyDescent="0.35">
      <c r="L239" s="189"/>
      <c r="M239" s="189"/>
      <c r="N239" s="189"/>
      <c r="O239" s="189"/>
      <c r="P239" s="189"/>
      <c r="Q239" s="189"/>
      <c r="R239" s="189"/>
      <c r="S239" s="189">
        <v>237</v>
      </c>
      <c r="T239" s="189">
        <v>150</v>
      </c>
      <c r="U239" s="189"/>
      <c r="V239" s="189"/>
      <c r="W239" s="263"/>
      <c r="X239" s="263"/>
      <c r="Y239" s="263"/>
    </row>
    <row r="240" spans="12:25" x14ac:dyDescent="0.35">
      <c r="L240" s="189"/>
      <c r="M240" s="189"/>
      <c r="N240" s="189"/>
      <c r="O240" s="189"/>
      <c r="P240" s="189"/>
      <c r="Q240" s="189"/>
      <c r="R240" s="189"/>
      <c r="S240" s="189">
        <v>238</v>
      </c>
      <c r="T240" s="189">
        <v>150</v>
      </c>
      <c r="U240" s="189"/>
      <c r="V240" s="189"/>
      <c r="W240" s="263"/>
      <c r="X240" s="263"/>
      <c r="Y240" s="263"/>
    </row>
    <row r="241" spans="12:25" x14ac:dyDescent="0.35">
      <c r="L241" s="189"/>
      <c r="M241" s="189"/>
      <c r="N241" s="189"/>
      <c r="O241" s="189"/>
      <c r="P241" s="189"/>
      <c r="Q241" s="189"/>
      <c r="R241" s="189"/>
      <c r="S241" s="189">
        <v>239</v>
      </c>
      <c r="T241" s="189">
        <v>150</v>
      </c>
      <c r="U241" s="189"/>
      <c r="V241" s="189"/>
      <c r="W241" s="263"/>
      <c r="X241" s="263"/>
      <c r="Y241" s="263"/>
    </row>
    <row r="242" spans="12:25" x14ac:dyDescent="0.35">
      <c r="L242" s="189"/>
      <c r="M242" s="189"/>
      <c r="N242" s="189"/>
      <c r="O242" s="189"/>
      <c r="P242" s="189"/>
      <c r="Q242" s="189"/>
      <c r="R242" s="189"/>
      <c r="S242" s="189">
        <v>240</v>
      </c>
      <c r="T242" s="189">
        <v>150</v>
      </c>
      <c r="U242" s="189"/>
      <c r="V242" s="189"/>
      <c r="W242" s="263"/>
      <c r="X242" s="263"/>
      <c r="Y242" s="263"/>
    </row>
    <row r="243" spans="12:25" x14ac:dyDescent="0.35">
      <c r="L243" s="189"/>
      <c r="M243" s="189"/>
      <c r="N243" s="189"/>
      <c r="O243" s="189"/>
      <c r="P243" s="189"/>
      <c r="Q243" s="189"/>
      <c r="R243" s="189"/>
      <c r="S243" s="189">
        <v>241</v>
      </c>
      <c r="T243" s="189">
        <v>150</v>
      </c>
      <c r="U243" s="189"/>
      <c r="V243" s="189"/>
      <c r="W243" s="263"/>
      <c r="X243" s="263"/>
      <c r="Y243" s="263"/>
    </row>
    <row r="244" spans="12:25" x14ac:dyDescent="0.35">
      <c r="L244" s="189"/>
      <c r="M244" s="189"/>
      <c r="N244" s="189"/>
      <c r="O244" s="189"/>
      <c r="P244" s="189"/>
      <c r="Q244" s="189"/>
      <c r="R244" s="189"/>
      <c r="S244" s="189">
        <v>242</v>
      </c>
      <c r="T244" s="189">
        <v>150</v>
      </c>
      <c r="U244" s="189"/>
      <c r="V244" s="189"/>
      <c r="W244" s="263"/>
      <c r="X244" s="263"/>
      <c r="Y244" s="263"/>
    </row>
    <row r="245" spans="12:25" x14ac:dyDescent="0.35">
      <c r="L245" s="189"/>
      <c r="M245" s="189"/>
      <c r="N245" s="189"/>
      <c r="O245" s="189"/>
      <c r="P245" s="189"/>
      <c r="Q245" s="189"/>
      <c r="R245" s="189"/>
      <c r="S245" s="189">
        <v>243</v>
      </c>
      <c r="T245" s="189">
        <v>150</v>
      </c>
      <c r="U245" s="189"/>
      <c r="V245" s="189"/>
      <c r="W245" s="263"/>
      <c r="X245" s="263"/>
      <c r="Y245" s="263"/>
    </row>
    <row r="246" spans="12:25" x14ac:dyDescent="0.35">
      <c r="L246" s="189"/>
      <c r="M246" s="189"/>
      <c r="N246" s="189"/>
      <c r="O246" s="189"/>
      <c r="P246" s="189"/>
      <c r="Q246" s="189"/>
      <c r="R246" s="189"/>
      <c r="S246" s="189">
        <v>244</v>
      </c>
      <c r="T246" s="189">
        <v>150</v>
      </c>
      <c r="U246" s="189"/>
      <c r="V246" s="189"/>
      <c r="W246" s="263"/>
      <c r="X246" s="263"/>
      <c r="Y246" s="263"/>
    </row>
    <row r="247" spans="12:25" x14ac:dyDescent="0.35">
      <c r="L247" s="189"/>
      <c r="M247" s="189"/>
      <c r="N247" s="189"/>
      <c r="O247" s="189"/>
      <c r="P247" s="189"/>
      <c r="Q247" s="189"/>
      <c r="R247" s="189"/>
      <c r="S247" s="189">
        <v>245</v>
      </c>
      <c r="T247" s="189">
        <v>150</v>
      </c>
      <c r="U247" s="189"/>
      <c r="V247" s="189"/>
      <c r="W247" s="263"/>
      <c r="X247" s="263"/>
      <c r="Y247" s="263"/>
    </row>
    <row r="248" spans="12:25" x14ac:dyDescent="0.35">
      <c r="L248" s="189"/>
      <c r="M248" s="189"/>
      <c r="N248" s="189"/>
      <c r="O248" s="189"/>
      <c r="P248" s="189"/>
      <c r="Q248" s="189"/>
      <c r="R248" s="189"/>
      <c r="S248" s="189">
        <v>246</v>
      </c>
      <c r="T248" s="189">
        <v>150</v>
      </c>
      <c r="U248" s="189"/>
      <c r="V248" s="189"/>
      <c r="W248" s="263"/>
      <c r="X248" s="263"/>
      <c r="Y248" s="263"/>
    </row>
    <row r="249" spans="12:25" x14ac:dyDescent="0.35">
      <c r="L249" s="189"/>
      <c r="M249" s="189"/>
      <c r="N249" s="189"/>
      <c r="O249" s="189"/>
      <c r="P249" s="189"/>
      <c r="Q249" s="189"/>
      <c r="R249" s="189"/>
      <c r="S249" s="189">
        <v>247</v>
      </c>
      <c r="T249" s="189">
        <v>150</v>
      </c>
      <c r="U249" s="189"/>
      <c r="V249" s="189"/>
      <c r="W249" s="263"/>
      <c r="X249" s="263"/>
      <c r="Y249" s="263"/>
    </row>
    <row r="250" spans="12:25" x14ac:dyDescent="0.35">
      <c r="L250" s="189"/>
      <c r="M250" s="189"/>
      <c r="N250" s="189"/>
      <c r="O250" s="189"/>
      <c r="P250" s="189"/>
      <c r="Q250" s="189"/>
      <c r="R250" s="189"/>
      <c r="S250" s="189">
        <v>248</v>
      </c>
      <c r="T250" s="189">
        <v>150</v>
      </c>
      <c r="U250" s="189"/>
      <c r="V250" s="189"/>
      <c r="W250" s="263"/>
      <c r="X250" s="263"/>
      <c r="Y250" s="263"/>
    </row>
    <row r="251" spans="12:25" x14ac:dyDescent="0.35">
      <c r="L251" s="189"/>
      <c r="M251" s="189"/>
      <c r="N251" s="189"/>
      <c r="O251" s="189"/>
      <c r="P251" s="189"/>
      <c r="Q251" s="189"/>
      <c r="R251" s="189"/>
      <c r="S251" s="189">
        <v>249</v>
      </c>
      <c r="T251" s="189">
        <v>150</v>
      </c>
      <c r="U251" s="189"/>
      <c r="V251" s="189"/>
      <c r="W251" s="263"/>
      <c r="X251" s="263"/>
      <c r="Y251" s="263"/>
    </row>
    <row r="252" spans="12:25" x14ac:dyDescent="0.35">
      <c r="L252" s="189"/>
      <c r="M252" s="189"/>
      <c r="N252" s="189"/>
      <c r="O252" s="189"/>
      <c r="P252" s="189"/>
      <c r="Q252" s="189"/>
      <c r="R252" s="189"/>
      <c r="S252" s="189">
        <v>250</v>
      </c>
      <c r="T252" s="189">
        <v>150</v>
      </c>
      <c r="U252" s="189"/>
      <c r="V252" s="189"/>
      <c r="W252" s="263"/>
      <c r="X252" s="263"/>
      <c r="Y252" s="263"/>
    </row>
    <row r="253" spans="12:25" x14ac:dyDescent="0.35">
      <c r="L253" s="189"/>
      <c r="M253" s="189"/>
      <c r="N253" s="189"/>
      <c r="O253" s="189"/>
      <c r="P253" s="189"/>
      <c r="Q253" s="189"/>
      <c r="R253" s="189"/>
      <c r="S253" s="189">
        <v>251</v>
      </c>
      <c r="T253" s="189">
        <v>150</v>
      </c>
      <c r="U253" s="189"/>
      <c r="V253" s="189"/>
      <c r="W253" s="263"/>
      <c r="X253" s="263"/>
      <c r="Y253" s="263"/>
    </row>
    <row r="254" spans="12:25" x14ac:dyDescent="0.35">
      <c r="L254" s="189"/>
      <c r="M254" s="189"/>
      <c r="N254" s="189"/>
      <c r="O254" s="189"/>
      <c r="P254" s="189"/>
      <c r="Q254" s="189"/>
      <c r="R254" s="189"/>
      <c r="S254" s="189">
        <v>252</v>
      </c>
      <c r="T254" s="189">
        <v>150</v>
      </c>
      <c r="U254" s="189"/>
      <c r="V254" s="189"/>
      <c r="W254" s="263"/>
      <c r="X254" s="263"/>
      <c r="Y254" s="263"/>
    </row>
    <row r="255" spans="12:25" x14ac:dyDescent="0.35">
      <c r="L255" s="189"/>
      <c r="M255" s="189"/>
      <c r="N255" s="189"/>
      <c r="O255" s="189"/>
      <c r="P255" s="189"/>
      <c r="Q255" s="189"/>
      <c r="R255" s="189"/>
      <c r="S255" s="189">
        <v>253</v>
      </c>
      <c r="T255" s="189">
        <v>150</v>
      </c>
      <c r="U255" s="189"/>
      <c r="V255" s="189"/>
      <c r="W255" s="263"/>
      <c r="X255" s="263"/>
      <c r="Y255" s="263"/>
    </row>
    <row r="256" spans="12:25" x14ac:dyDescent="0.35">
      <c r="L256" s="189"/>
      <c r="M256" s="189"/>
      <c r="N256" s="189"/>
      <c r="O256" s="189"/>
      <c r="P256" s="189"/>
      <c r="Q256" s="189"/>
      <c r="R256" s="189"/>
      <c r="S256" s="189">
        <v>254</v>
      </c>
      <c r="T256" s="189">
        <v>150</v>
      </c>
      <c r="U256" s="189"/>
      <c r="V256" s="189"/>
      <c r="W256" s="263"/>
      <c r="X256" s="263"/>
      <c r="Y256" s="263"/>
    </row>
    <row r="257" spans="12:25" x14ac:dyDescent="0.35">
      <c r="L257" s="189"/>
      <c r="M257" s="189"/>
      <c r="N257" s="189"/>
      <c r="O257" s="189"/>
      <c r="P257" s="189"/>
      <c r="Q257" s="189"/>
      <c r="R257" s="189"/>
      <c r="S257" s="189">
        <v>255</v>
      </c>
      <c r="T257" s="189">
        <v>150</v>
      </c>
      <c r="U257" s="189"/>
      <c r="V257" s="189"/>
      <c r="W257" s="263"/>
      <c r="X257" s="263"/>
      <c r="Y257" s="263"/>
    </row>
    <row r="258" spans="12:25" x14ac:dyDescent="0.35">
      <c r="L258" s="189"/>
      <c r="M258" s="189"/>
      <c r="N258" s="189"/>
      <c r="O258" s="189"/>
      <c r="P258" s="189"/>
      <c r="Q258" s="189"/>
      <c r="R258" s="189"/>
      <c r="S258" s="189">
        <v>256</v>
      </c>
      <c r="T258" s="189">
        <v>150</v>
      </c>
      <c r="U258" s="189"/>
      <c r="V258" s="189"/>
      <c r="W258" s="263"/>
      <c r="X258" s="263"/>
      <c r="Y258" s="263"/>
    </row>
    <row r="259" spans="12:25" x14ac:dyDescent="0.35">
      <c r="L259" s="189"/>
      <c r="M259" s="189"/>
      <c r="N259" s="189"/>
      <c r="O259" s="189"/>
      <c r="P259" s="189"/>
      <c r="Q259" s="189"/>
      <c r="R259" s="189"/>
      <c r="S259" s="189">
        <v>257</v>
      </c>
      <c r="T259" s="189">
        <v>150</v>
      </c>
      <c r="U259" s="189"/>
      <c r="V259" s="189"/>
      <c r="W259" s="263"/>
      <c r="X259" s="263"/>
      <c r="Y259" s="263"/>
    </row>
    <row r="260" spans="12:25" x14ac:dyDescent="0.35">
      <c r="L260" s="189"/>
      <c r="M260" s="189"/>
      <c r="N260" s="189"/>
      <c r="O260" s="189"/>
      <c r="P260" s="189"/>
      <c r="Q260" s="189"/>
      <c r="R260" s="189"/>
      <c r="S260" s="189">
        <v>258</v>
      </c>
      <c r="T260" s="189">
        <v>150</v>
      </c>
      <c r="U260" s="189"/>
      <c r="V260" s="189"/>
      <c r="W260" s="263"/>
      <c r="X260" s="263"/>
      <c r="Y260" s="263"/>
    </row>
    <row r="261" spans="12:25" x14ac:dyDescent="0.35">
      <c r="L261" s="189"/>
      <c r="M261" s="189"/>
      <c r="N261" s="189"/>
      <c r="O261" s="189"/>
      <c r="P261" s="189"/>
      <c r="Q261" s="189"/>
      <c r="R261" s="189"/>
      <c r="S261" s="189">
        <v>259</v>
      </c>
      <c r="T261" s="189">
        <v>150</v>
      </c>
      <c r="U261" s="189"/>
      <c r="V261" s="189"/>
      <c r="W261" s="263"/>
      <c r="X261" s="263"/>
      <c r="Y261" s="263"/>
    </row>
    <row r="262" spans="12:25" x14ac:dyDescent="0.35">
      <c r="L262" s="189"/>
      <c r="M262" s="189"/>
      <c r="N262" s="189"/>
      <c r="O262" s="189"/>
      <c r="P262" s="189"/>
      <c r="Q262" s="189"/>
      <c r="R262" s="189"/>
      <c r="S262" s="189">
        <v>260</v>
      </c>
      <c r="T262" s="189">
        <v>150</v>
      </c>
      <c r="U262" s="189"/>
      <c r="V262" s="189"/>
      <c r="W262" s="263"/>
      <c r="X262" s="263"/>
      <c r="Y262" s="263"/>
    </row>
    <row r="263" spans="12:25" x14ac:dyDescent="0.35">
      <c r="L263" s="189"/>
      <c r="M263" s="189"/>
      <c r="N263" s="189"/>
      <c r="O263" s="189"/>
      <c r="P263" s="189"/>
      <c r="Q263" s="189"/>
      <c r="R263" s="189"/>
      <c r="S263" s="189">
        <v>261</v>
      </c>
      <c r="T263" s="189">
        <v>150</v>
      </c>
      <c r="U263" s="189"/>
      <c r="V263" s="189"/>
      <c r="W263" s="263"/>
      <c r="X263" s="263"/>
      <c r="Y263" s="263"/>
    </row>
    <row r="264" spans="12:25" x14ac:dyDescent="0.35">
      <c r="L264" s="189"/>
      <c r="M264" s="189"/>
      <c r="N264" s="189"/>
      <c r="O264" s="189"/>
      <c r="P264" s="189"/>
      <c r="Q264" s="189"/>
      <c r="R264" s="189"/>
      <c r="S264" s="189">
        <v>262</v>
      </c>
      <c r="T264" s="189">
        <v>150</v>
      </c>
      <c r="U264" s="189"/>
      <c r="V264" s="189"/>
      <c r="W264" s="263"/>
      <c r="X264" s="263"/>
      <c r="Y264" s="263"/>
    </row>
    <row r="265" spans="12:25" x14ac:dyDescent="0.35">
      <c r="L265" s="189"/>
      <c r="M265" s="189"/>
      <c r="N265" s="189"/>
      <c r="O265" s="189"/>
      <c r="P265" s="189"/>
      <c r="Q265" s="189"/>
      <c r="R265" s="189"/>
      <c r="S265" s="189">
        <v>263</v>
      </c>
      <c r="T265" s="189">
        <v>150</v>
      </c>
      <c r="U265" s="189"/>
      <c r="V265" s="189"/>
      <c r="W265" s="263"/>
      <c r="X265" s="263"/>
      <c r="Y265" s="263"/>
    </row>
    <row r="266" spans="12:25" x14ac:dyDescent="0.35">
      <c r="L266" s="189"/>
      <c r="M266" s="189"/>
      <c r="N266" s="189"/>
      <c r="O266" s="189"/>
      <c r="P266" s="189"/>
      <c r="Q266" s="189"/>
      <c r="R266" s="189"/>
      <c r="S266" s="189">
        <v>264</v>
      </c>
      <c r="T266" s="189">
        <v>150</v>
      </c>
      <c r="U266" s="189"/>
      <c r="V266" s="189"/>
      <c r="W266" s="263"/>
      <c r="X266" s="263"/>
      <c r="Y266" s="263"/>
    </row>
    <row r="267" spans="12:25" x14ac:dyDescent="0.35">
      <c r="L267" s="189"/>
      <c r="M267" s="189"/>
      <c r="N267" s="189"/>
      <c r="O267" s="189"/>
      <c r="P267" s="189"/>
      <c r="Q267" s="189"/>
      <c r="R267" s="189"/>
      <c r="S267" s="189">
        <v>265</v>
      </c>
      <c r="T267" s="189">
        <v>150</v>
      </c>
      <c r="U267" s="189"/>
      <c r="V267" s="189"/>
      <c r="W267" s="263"/>
      <c r="X267" s="263"/>
      <c r="Y267" s="263"/>
    </row>
    <row r="268" spans="12:25" x14ac:dyDescent="0.35">
      <c r="L268" s="189"/>
      <c r="M268" s="189"/>
      <c r="N268" s="189"/>
      <c r="O268" s="189"/>
      <c r="P268" s="189"/>
      <c r="Q268" s="189"/>
      <c r="R268" s="189"/>
      <c r="S268" s="189">
        <v>266</v>
      </c>
      <c r="T268" s="189">
        <v>150</v>
      </c>
      <c r="U268" s="189"/>
      <c r="V268" s="189"/>
      <c r="W268" s="263"/>
      <c r="X268" s="263"/>
      <c r="Y268" s="263"/>
    </row>
    <row r="269" spans="12:25" x14ac:dyDescent="0.35">
      <c r="L269" s="189"/>
      <c r="M269" s="189"/>
      <c r="N269" s="189"/>
      <c r="O269" s="189"/>
      <c r="P269" s="189"/>
      <c r="Q269" s="189"/>
      <c r="R269" s="189"/>
      <c r="S269" s="189">
        <v>267</v>
      </c>
      <c r="T269" s="189">
        <v>150</v>
      </c>
      <c r="U269" s="189"/>
      <c r="V269" s="189"/>
      <c r="W269" s="263"/>
      <c r="X269" s="263"/>
      <c r="Y269" s="263"/>
    </row>
    <row r="270" spans="12:25" x14ac:dyDescent="0.35">
      <c r="L270" s="189"/>
      <c r="M270" s="189"/>
      <c r="N270" s="189"/>
      <c r="O270" s="189"/>
      <c r="P270" s="189"/>
      <c r="Q270" s="189"/>
      <c r="R270" s="189"/>
      <c r="S270" s="189">
        <v>268</v>
      </c>
      <c r="T270" s="189">
        <v>150</v>
      </c>
      <c r="U270" s="189"/>
      <c r="V270" s="189"/>
      <c r="W270" s="263"/>
      <c r="X270" s="263"/>
      <c r="Y270" s="263"/>
    </row>
    <row r="271" spans="12:25" x14ac:dyDescent="0.35">
      <c r="L271" s="189"/>
      <c r="M271" s="189"/>
      <c r="N271" s="189"/>
      <c r="O271" s="189"/>
      <c r="P271" s="189"/>
      <c r="Q271" s="189"/>
      <c r="R271" s="189"/>
      <c r="S271" s="189">
        <v>269</v>
      </c>
      <c r="T271" s="189">
        <v>150</v>
      </c>
      <c r="U271" s="189"/>
      <c r="V271" s="189"/>
      <c r="W271" s="263"/>
      <c r="X271" s="263"/>
      <c r="Y271" s="263"/>
    </row>
    <row r="272" spans="12:25" x14ac:dyDescent="0.35">
      <c r="L272" s="189"/>
      <c r="M272" s="189"/>
      <c r="N272" s="189"/>
      <c r="O272" s="189"/>
      <c r="P272" s="189"/>
      <c r="Q272" s="189"/>
      <c r="R272" s="189"/>
      <c r="S272" s="189">
        <v>270</v>
      </c>
      <c r="T272" s="189">
        <v>150</v>
      </c>
      <c r="U272" s="189"/>
      <c r="V272" s="189"/>
      <c r="W272" s="263"/>
      <c r="X272" s="263"/>
      <c r="Y272" s="263"/>
    </row>
    <row r="273" spans="12:25" x14ac:dyDescent="0.35">
      <c r="L273" s="189"/>
      <c r="M273" s="189"/>
      <c r="N273" s="189"/>
      <c r="O273" s="189"/>
      <c r="P273" s="189"/>
      <c r="Q273" s="189"/>
      <c r="R273" s="189"/>
      <c r="S273" s="189">
        <v>271</v>
      </c>
      <c r="T273" s="189">
        <v>150</v>
      </c>
      <c r="U273" s="189"/>
      <c r="V273" s="189"/>
      <c r="W273" s="263"/>
      <c r="X273" s="263"/>
      <c r="Y273" s="263"/>
    </row>
    <row r="274" spans="12:25" x14ac:dyDescent="0.35">
      <c r="L274" s="189"/>
      <c r="M274" s="189"/>
      <c r="N274" s="189"/>
      <c r="O274" s="189"/>
      <c r="P274" s="189"/>
      <c r="Q274" s="189"/>
      <c r="R274" s="189"/>
      <c r="S274" s="189">
        <v>272</v>
      </c>
      <c r="T274" s="189">
        <v>150</v>
      </c>
      <c r="U274" s="189"/>
      <c r="V274" s="189"/>
      <c r="W274" s="263"/>
      <c r="X274" s="263"/>
      <c r="Y274" s="263"/>
    </row>
    <row r="275" spans="12:25" x14ac:dyDescent="0.35">
      <c r="L275" s="189"/>
      <c r="M275" s="189"/>
      <c r="N275" s="189"/>
      <c r="O275" s="189"/>
      <c r="P275" s="189"/>
      <c r="Q275" s="189"/>
      <c r="R275" s="189"/>
      <c r="S275" s="189">
        <v>273</v>
      </c>
      <c r="T275" s="189">
        <v>150</v>
      </c>
      <c r="U275" s="189"/>
      <c r="V275" s="189"/>
      <c r="W275" s="263"/>
      <c r="X275" s="263"/>
      <c r="Y275" s="263"/>
    </row>
    <row r="276" spans="12:25" x14ac:dyDescent="0.35">
      <c r="L276" s="189"/>
      <c r="M276" s="189"/>
      <c r="N276" s="189"/>
      <c r="O276" s="189"/>
      <c r="P276" s="189"/>
      <c r="Q276" s="189"/>
      <c r="R276" s="189"/>
      <c r="S276" s="189">
        <v>274</v>
      </c>
      <c r="T276" s="189">
        <v>150</v>
      </c>
      <c r="U276" s="189"/>
      <c r="V276" s="189"/>
      <c r="W276" s="263"/>
      <c r="X276" s="263"/>
      <c r="Y276" s="263"/>
    </row>
    <row r="277" spans="12:25" x14ac:dyDescent="0.35">
      <c r="L277" s="189"/>
      <c r="M277" s="189"/>
      <c r="N277" s="189"/>
      <c r="O277" s="189"/>
      <c r="P277" s="189"/>
      <c r="Q277" s="189"/>
      <c r="R277" s="189"/>
      <c r="S277" s="189">
        <v>275</v>
      </c>
      <c r="T277" s="189">
        <v>150</v>
      </c>
      <c r="U277" s="189"/>
      <c r="V277" s="189"/>
      <c r="W277" s="263"/>
      <c r="X277" s="263"/>
      <c r="Y277" s="263"/>
    </row>
    <row r="278" spans="12:25" x14ac:dyDescent="0.35">
      <c r="L278" s="189"/>
      <c r="M278" s="189"/>
      <c r="N278" s="189"/>
      <c r="O278" s="189"/>
      <c r="P278" s="189"/>
      <c r="Q278" s="189"/>
      <c r="R278" s="189"/>
      <c r="S278" s="189">
        <v>276</v>
      </c>
      <c r="T278" s="189">
        <v>150</v>
      </c>
      <c r="U278" s="189"/>
      <c r="V278" s="189"/>
      <c r="W278" s="263"/>
      <c r="X278" s="263"/>
      <c r="Y278" s="263"/>
    </row>
    <row r="279" spans="12:25" x14ac:dyDescent="0.35">
      <c r="L279" s="189"/>
      <c r="M279" s="189"/>
      <c r="N279" s="189"/>
      <c r="O279" s="189"/>
      <c r="P279" s="189"/>
      <c r="Q279" s="189"/>
      <c r="R279" s="189"/>
      <c r="S279" s="189">
        <v>277</v>
      </c>
      <c r="T279" s="189">
        <v>150</v>
      </c>
      <c r="U279" s="189"/>
      <c r="V279" s="189"/>
      <c r="W279" s="263"/>
      <c r="X279" s="263"/>
      <c r="Y279" s="263"/>
    </row>
    <row r="280" spans="12:25" x14ac:dyDescent="0.35">
      <c r="L280" s="189"/>
      <c r="M280" s="189"/>
      <c r="N280" s="189"/>
      <c r="O280" s="189"/>
      <c r="P280" s="189"/>
      <c r="Q280" s="189"/>
      <c r="R280" s="189"/>
      <c r="S280" s="189">
        <v>278</v>
      </c>
      <c r="T280" s="189">
        <v>150</v>
      </c>
      <c r="U280" s="189"/>
      <c r="V280" s="189"/>
      <c r="W280" s="263"/>
      <c r="X280" s="263"/>
      <c r="Y280" s="263"/>
    </row>
    <row r="281" spans="12:25" x14ac:dyDescent="0.35">
      <c r="L281" s="189"/>
      <c r="M281" s="189"/>
      <c r="N281" s="189"/>
      <c r="O281" s="189"/>
      <c r="P281" s="189"/>
      <c r="Q281" s="189"/>
      <c r="R281" s="189"/>
      <c r="S281" s="189">
        <v>279</v>
      </c>
      <c r="T281" s="189">
        <v>150</v>
      </c>
      <c r="U281" s="189"/>
      <c r="V281" s="189"/>
      <c r="W281" s="263"/>
      <c r="X281" s="263"/>
      <c r="Y281" s="263"/>
    </row>
    <row r="282" spans="12:25" x14ac:dyDescent="0.35">
      <c r="L282" s="189"/>
      <c r="M282" s="189"/>
      <c r="N282" s="189"/>
      <c r="O282" s="189"/>
      <c r="P282" s="189"/>
      <c r="Q282" s="189"/>
      <c r="R282" s="189"/>
      <c r="S282" s="189">
        <v>280</v>
      </c>
      <c r="T282" s="189">
        <v>150</v>
      </c>
      <c r="U282" s="189"/>
      <c r="V282" s="189"/>
      <c r="W282" s="263"/>
      <c r="X282" s="263"/>
      <c r="Y282" s="263"/>
    </row>
    <row r="283" spans="12:25" x14ac:dyDescent="0.35">
      <c r="L283" s="189"/>
      <c r="M283" s="189"/>
      <c r="N283" s="189"/>
      <c r="O283" s="189"/>
      <c r="P283" s="189"/>
      <c r="Q283" s="189"/>
      <c r="R283" s="189"/>
      <c r="S283" s="189">
        <v>281</v>
      </c>
      <c r="T283" s="189">
        <v>150</v>
      </c>
      <c r="U283" s="189"/>
      <c r="V283" s="189"/>
      <c r="W283" s="263"/>
      <c r="X283" s="263"/>
      <c r="Y283" s="263"/>
    </row>
    <row r="284" spans="12:25" x14ac:dyDescent="0.35">
      <c r="L284" s="189"/>
      <c r="M284" s="189"/>
      <c r="N284" s="189"/>
      <c r="O284" s="189"/>
      <c r="P284" s="189"/>
      <c r="Q284" s="189"/>
      <c r="R284" s="189"/>
      <c r="S284" s="189">
        <v>282</v>
      </c>
      <c r="T284" s="189">
        <v>150</v>
      </c>
      <c r="U284" s="189"/>
      <c r="V284" s="189"/>
      <c r="W284" s="263"/>
      <c r="X284" s="263"/>
      <c r="Y284" s="263"/>
    </row>
    <row r="285" spans="12:25" x14ac:dyDescent="0.35">
      <c r="L285" s="189"/>
      <c r="M285" s="189"/>
      <c r="N285" s="189"/>
      <c r="O285" s="189"/>
      <c r="P285" s="189"/>
      <c r="Q285" s="189"/>
      <c r="R285" s="189"/>
      <c r="S285" s="189">
        <v>283</v>
      </c>
      <c r="T285" s="189">
        <v>150</v>
      </c>
      <c r="U285" s="189"/>
      <c r="V285" s="189"/>
      <c r="W285" s="263"/>
      <c r="X285" s="263"/>
      <c r="Y285" s="263"/>
    </row>
    <row r="286" spans="12:25" x14ac:dyDescent="0.35">
      <c r="L286" s="189"/>
      <c r="M286" s="189"/>
      <c r="N286" s="189"/>
      <c r="O286" s="189"/>
      <c r="P286" s="189"/>
      <c r="Q286" s="189"/>
      <c r="R286" s="189"/>
      <c r="S286" s="189">
        <v>284</v>
      </c>
      <c r="T286" s="189">
        <v>150</v>
      </c>
      <c r="U286" s="189"/>
      <c r="V286" s="189"/>
      <c r="W286" s="263"/>
      <c r="X286" s="263"/>
      <c r="Y286" s="263"/>
    </row>
    <row r="287" spans="12:25" x14ac:dyDescent="0.35">
      <c r="L287" s="189"/>
      <c r="M287" s="189"/>
      <c r="N287" s="189"/>
      <c r="O287" s="189"/>
      <c r="P287" s="189"/>
      <c r="Q287" s="189"/>
      <c r="R287" s="189"/>
      <c r="S287" s="189">
        <v>285</v>
      </c>
      <c r="T287" s="189">
        <v>150</v>
      </c>
      <c r="U287" s="189"/>
      <c r="V287" s="189"/>
      <c r="W287" s="263"/>
      <c r="X287" s="263"/>
      <c r="Y287" s="263"/>
    </row>
    <row r="288" spans="12:25" x14ac:dyDescent="0.35">
      <c r="L288" s="189"/>
      <c r="M288" s="189"/>
      <c r="N288" s="189"/>
      <c r="O288" s="189"/>
      <c r="P288" s="189"/>
      <c r="Q288" s="189"/>
      <c r="R288" s="189"/>
      <c r="S288" s="189">
        <v>286</v>
      </c>
      <c r="T288" s="189">
        <v>150</v>
      </c>
      <c r="U288" s="189"/>
      <c r="V288" s="189"/>
      <c r="W288" s="263"/>
      <c r="X288" s="263"/>
      <c r="Y288" s="263"/>
    </row>
    <row r="289" spans="12:25" x14ac:dyDescent="0.35">
      <c r="L289" s="189"/>
      <c r="M289" s="189"/>
      <c r="N289" s="189"/>
      <c r="O289" s="189"/>
      <c r="P289" s="189"/>
      <c r="Q289" s="189"/>
      <c r="R289" s="189"/>
      <c r="S289" s="189">
        <v>287</v>
      </c>
      <c r="T289" s="189">
        <v>150</v>
      </c>
      <c r="U289" s="189"/>
      <c r="V289" s="189"/>
      <c r="W289" s="263"/>
      <c r="X289" s="263"/>
      <c r="Y289" s="263"/>
    </row>
    <row r="290" spans="12:25" x14ac:dyDescent="0.35">
      <c r="L290" s="189"/>
      <c r="M290" s="189"/>
      <c r="N290" s="189"/>
      <c r="O290" s="189"/>
      <c r="P290" s="189"/>
      <c r="Q290" s="189"/>
      <c r="R290" s="189"/>
      <c r="S290" s="189">
        <v>288</v>
      </c>
      <c r="T290" s="189">
        <v>150</v>
      </c>
      <c r="U290" s="189"/>
      <c r="V290" s="189"/>
      <c r="W290" s="263"/>
      <c r="X290" s="263"/>
      <c r="Y290" s="263"/>
    </row>
    <row r="291" spans="12:25" x14ac:dyDescent="0.35">
      <c r="L291" s="189"/>
      <c r="M291" s="189"/>
      <c r="N291" s="189"/>
      <c r="O291" s="189"/>
      <c r="P291" s="189"/>
      <c r="Q291" s="189"/>
      <c r="R291" s="189"/>
      <c r="S291" s="189">
        <v>289</v>
      </c>
      <c r="T291" s="189">
        <v>150</v>
      </c>
      <c r="U291" s="189"/>
      <c r="V291" s="189"/>
      <c r="W291" s="263"/>
      <c r="X291" s="263"/>
      <c r="Y291" s="263"/>
    </row>
    <row r="292" spans="12:25" x14ac:dyDescent="0.35">
      <c r="L292" s="189"/>
      <c r="M292" s="189"/>
      <c r="N292" s="189"/>
      <c r="O292" s="189"/>
      <c r="P292" s="189"/>
      <c r="Q292" s="189"/>
      <c r="R292" s="189"/>
      <c r="S292" s="189">
        <v>290</v>
      </c>
      <c r="T292" s="189">
        <v>150</v>
      </c>
      <c r="U292" s="189"/>
      <c r="V292" s="189"/>
      <c r="W292" s="263"/>
      <c r="X292" s="263"/>
      <c r="Y292" s="263"/>
    </row>
    <row r="293" spans="12:25" x14ac:dyDescent="0.35">
      <c r="L293" s="189"/>
      <c r="M293" s="189"/>
      <c r="N293" s="189"/>
      <c r="O293" s="189"/>
      <c r="P293" s="189"/>
      <c r="Q293" s="189"/>
      <c r="R293" s="189"/>
      <c r="S293" s="189">
        <v>291</v>
      </c>
      <c r="T293" s="189">
        <v>150</v>
      </c>
      <c r="U293" s="189"/>
      <c r="V293" s="189"/>
      <c r="W293" s="263"/>
      <c r="X293" s="263"/>
      <c r="Y293" s="263"/>
    </row>
    <row r="294" spans="12:25" x14ac:dyDescent="0.35">
      <c r="L294" s="189"/>
      <c r="M294" s="189"/>
      <c r="N294" s="189"/>
      <c r="O294" s="189"/>
      <c r="P294" s="189"/>
      <c r="Q294" s="189"/>
      <c r="R294" s="189"/>
      <c r="S294" s="189">
        <v>292</v>
      </c>
      <c r="T294" s="189">
        <v>150</v>
      </c>
      <c r="U294" s="189"/>
      <c r="V294" s="189"/>
      <c r="W294" s="263"/>
      <c r="X294" s="263"/>
      <c r="Y294" s="263"/>
    </row>
    <row r="295" spans="12:25" x14ac:dyDescent="0.35">
      <c r="L295" s="189"/>
      <c r="M295" s="189"/>
      <c r="N295" s="189"/>
      <c r="O295" s="189"/>
      <c r="P295" s="189"/>
      <c r="Q295" s="189"/>
      <c r="R295" s="189"/>
      <c r="S295" s="189">
        <v>293</v>
      </c>
      <c r="T295" s="189">
        <v>150</v>
      </c>
      <c r="U295" s="189"/>
      <c r="V295" s="189"/>
      <c r="W295" s="263"/>
      <c r="X295" s="263"/>
      <c r="Y295" s="263"/>
    </row>
    <row r="296" spans="12:25" x14ac:dyDescent="0.35">
      <c r="L296" s="189"/>
      <c r="M296" s="189"/>
      <c r="N296" s="189"/>
      <c r="O296" s="189"/>
      <c r="P296" s="189"/>
      <c r="Q296" s="189"/>
      <c r="R296" s="189"/>
      <c r="S296" s="189">
        <v>294</v>
      </c>
      <c r="T296" s="189">
        <v>150</v>
      </c>
      <c r="U296" s="189"/>
      <c r="V296" s="189"/>
      <c r="W296" s="263"/>
      <c r="X296" s="263"/>
      <c r="Y296" s="263"/>
    </row>
    <row r="297" spans="12:25" x14ac:dyDescent="0.35">
      <c r="L297" s="189"/>
      <c r="M297" s="189"/>
      <c r="N297" s="189"/>
      <c r="O297" s="189"/>
      <c r="P297" s="189"/>
      <c r="Q297" s="189"/>
      <c r="R297" s="189"/>
      <c r="S297" s="189">
        <v>295</v>
      </c>
      <c r="T297" s="189">
        <v>150</v>
      </c>
      <c r="U297" s="189"/>
      <c r="V297" s="189"/>
      <c r="W297" s="263"/>
      <c r="X297" s="263"/>
      <c r="Y297" s="263"/>
    </row>
    <row r="298" spans="12:25" x14ac:dyDescent="0.35">
      <c r="L298" s="189"/>
      <c r="M298" s="189"/>
      <c r="N298" s="189"/>
      <c r="O298" s="189"/>
      <c r="P298" s="189"/>
      <c r="Q298" s="189"/>
      <c r="R298" s="189"/>
      <c r="S298" s="189">
        <v>296</v>
      </c>
      <c r="T298" s="189">
        <v>150</v>
      </c>
      <c r="U298" s="189"/>
      <c r="V298" s="189"/>
      <c r="W298" s="263"/>
      <c r="X298" s="263"/>
      <c r="Y298" s="263"/>
    </row>
    <row r="299" spans="12:25" x14ac:dyDescent="0.35">
      <c r="L299" s="189"/>
      <c r="M299" s="189"/>
      <c r="N299" s="189"/>
      <c r="O299" s="189"/>
      <c r="P299" s="189"/>
      <c r="Q299" s="189"/>
      <c r="R299" s="189"/>
      <c r="S299" s="189">
        <v>297</v>
      </c>
      <c r="T299" s="189">
        <v>150</v>
      </c>
      <c r="U299" s="189"/>
      <c r="V299" s="189"/>
      <c r="W299" s="263"/>
      <c r="X299" s="263"/>
      <c r="Y299" s="263"/>
    </row>
    <row r="300" spans="12:25" x14ac:dyDescent="0.35">
      <c r="L300" s="189"/>
      <c r="M300" s="189"/>
      <c r="N300" s="189"/>
      <c r="O300" s="189"/>
      <c r="P300" s="189"/>
      <c r="Q300" s="189"/>
      <c r="R300" s="189"/>
      <c r="S300" s="189">
        <v>298</v>
      </c>
      <c r="T300" s="189">
        <v>150</v>
      </c>
      <c r="U300" s="189"/>
      <c r="V300" s="189"/>
      <c r="W300" s="263"/>
      <c r="X300" s="263"/>
      <c r="Y300" s="263"/>
    </row>
    <row r="301" spans="12:25" x14ac:dyDescent="0.35">
      <c r="L301" s="189"/>
      <c r="M301" s="189"/>
      <c r="N301" s="189"/>
      <c r="O301" s="189"/>
      <c r="P301" s="189"/>
      <c r="Q301" s="189"/>
      <c r="R301" s="189"/>
      <c r="S301" s="189">
        <v>299</v>
      </c>
      <c r="T301" s="189">
        <v>150</v>
      </c>
      <c r="U301" s="189"/>
      <c r="V301" s="189"/>
      <c r="W301" s="263"/>
      <c r="X301" s="263"/>
      <c r="Y301" s="263"/>
    </row>
    <row r="302" spans="12:25" x14ac:dyDescent="0.35">
      <c r="L302" s="189"/>
      <c r="M302" s="189"/>
      <c r="N302" s="189"/>
      <c r="O302" s="189"/>
      <c r="P302" s="189"/>
      <c r="Q302" s="189"/>
      <c r="R302" s="189"/>
      <c r="S302" s="189">
        <v>300</v>
      </c>
      <c r="T302" s="189">
        <v>150</v>
      </c>
      <c r="U302" s="189">
        <v>300</v>
      </c>
      <c r="V302" s="189"/>
      <c r="W302" s="263"/>
      <c r="X302" s="263"/>
      <c r="Y302" s="263"/>
    </row>
    <row r="303" spans="12:25" x14ac:dyDescent="0.35">
      <c r="L303" s="189"/>
      <c r="M303" s="189"/>
      <c r="N303" s="189"/>
      <c r="O303" s="189"/>
      <c r="P303" s="189"/>
      <c r="Q303" s="189"/>
      <c r="R303" s="189"/>
      <c r="S303" s="189">
        <v>301</v>
      </c>
      <c r="T303" s="189">
        <v>150</v>
      </c>
      <c r="U303" s="189"/>
      <c r="V303" s="189"/>
      <c r="W303" s="263"/>
      <c r="X303" s="263"/>
      <c r="Y303" s="263"/>
    </row>
    <row r="304" spans="12:25" x14ac:dyDescent="0.35">
      <c r="L304" s="189"/>
      <c r="M304" s="189"/>
      <c r="N304" s="189"/>
      <c r="O304" s="189"/>
      <c r="P304" s="189"/>
      <c r="Q304" s="189"/>
      <c r="R304" s="189"/>
      <c r="S304" s="189">
        <v>302</v>
      </c>
      <c r="T304" s="189">
        <v>150</v>
      </c>
      <c r="U304" s="189"/>
      <c r="V304" s="189"/>
      <c r="W304" s="263"/>
      <c r="X304" s="263"/>
      <c r="Y304" s="263"/>
    </row>
    <row r="305" spans="12:25" x14ac:dyDescent="0.35">
      <c r="L305" s="189"/>
      <c r="M305" s="189"/>
      <c r="N305" s="189"/>
      <c r="O305" s="189"/>
      <c r="P305" s="189"/>
      <c r="Q305" s="189"/>
      <c r="R305" s="189"/>
      <c r="S305" s="189">
        <v>303</v>
      </c>
      <c r="T305" s="189">
        <v>150</v>
      </c>
      <c r="U305" s="189"/>
      <c r="V305" s="189"/>
      <c r="W305" s="263"/>
      <c r="X305" s="263"/>
      <c r="Y305" s="263"/>
    </row>
    <row r="306" spans="12:25" x14ac:dyDescent="0.35">
      <c r="L306" s="189"/>
      <c r="M306" s="189"/>
      <c r="N306" s="189"/>
      <c r="O306" s="189"/>
      <c r="P306" s="189"/>
      <c r="Q306" s="189"/>
      <c r="R306" s="189"/>
      <c r="S306" s="189">
        <v>304</v>
      </c>
      <c r="T306" s="189">
        <v>150</v>
      </c>
      <c r="U306" s="189"/>
      <c r="V306" s="189"/>
      <c r="W306" s="263"/>
      <c r="X306" s="263"/>
      <c r="Y306" s="263"/>
    </row>
    <row r="307" spans="12:25" x14ac:dyDescent="0.35">
      <c r="L307" s="189"/>
      <c r="M307" s="189"/>
      <c r="N307" s="189"/>
      <c r="O307" s="189"/>
      <c r="P307" s="189"/>
      <c r="Q307" s="189"/>
      <c r="R307" s="189"/>
      <c r="S307" s="189">
        <v>305</v>
      </c>
      <c r="T307" s="189">
        <v>150</v>
      </c>
      <c r="U307" s="189"/>
      <c r="V307" s="189"/>
      <c r="W307" s="263"/>
      <c r="X307" s="263"/>
      <c r="Y307" s="263"/>
    </row>
    <row r="308" spans="12:25" x14ac:dyDescent="0.35">
      <c r="L308" s="189"/>
      <c r="M308" s="189"/>
      <c r="N308" s="189"/>
      <c r="O308" s="189"/>
      <c r="P308" s="189"/>
      <c r="Q308" s="189"/>
      <c r="R308" s="189"/>
      <c r="S308" s="189">
        <v>306</v>
      </c>
      <c r="T308" s="189">
        <v>150</v>
      </c>
      <c r="U308" s="189"/>
      <c r="V308" s="189"/>
      <c r="W308" s="263"/>
      <c r="X308" s="263"/>
      <c r="Y308" s="263"/>
    </row>
    <row r="309" spans="12:25" x14ac:dyDescent="0.35">
      <c r="L309" s="189"/>
      <c r="M309" s="189"/>
      <c r="N309" s="189"/>
      <c r="O309" s="189"/>
      <c r="P309" s="189"/>
      <c r="Q309" s="189"/>
      <c r="R309" s="189"/>
      <c r="S309" s="189">
        <v>307</v>
      </c>
      <c r="T309" s="189">
        <v>150</v>
      </c>
      <c r="U309" s="189"/>
      <c r="V309" s="189"/>
      <c r="W309" s="263"/>
      <c r="X309" s="263"/>
      <c r="Y309" s="263"/>
    </row>
    <row r="310" spans="12:25" x14ac:dyDescent="0.35">
      <c r="L310" s="189"/>
      <c r="M310" s="189"/>
      <c r="N310" s="189"/>
      <c r="O310" s="189"/>
      <c r="P310" s="189"/>
      <c r="Q310" s="189"/>
      <c r="R310" s="189"/>
      <c r="S310" s="189">
        <v>308</v>
      </c>
      <c r="T310" s="189">
        <v>150</v>
      </c>
      <c r="U310" s="189"/>
      <c r="V310" s="189"/>
      <c r="W310" s="263"/>
      <c r="X310" s="263"/>
      <c r="Y310" s="263"/>
    </row>
    <row r="311" spans="12:25" x14ac:dyDescent="0.35">
      <c r="L311" s="189"/>
      <c r="M311" s="189"/>
      <c r="N311" s="189"/>
      <c r="O311" s="189"/>
      <c r="P311" s="189"/>
      <c r="Q311" s="189"/>
      <c r="R311" s="189"/>
      <c r="S311" s="189">
        <v>309</v>
      </c>
      <c r="T311" s="189">
        <v>150</v>
      </c>
      <c r="U311" s="189"/>
      <c r="V311" s="189"/>
      <c r="W311" s="263"/>
      <c r="X311" s="263"/>
      <c r="Y311" s="263"/>
    </row>
    <row r="312" spans="12:25" x14ac:dyDescent="0.35">
      <c r="L312" s="189"/>
      <c r="M312" s="189"/>
      <c r="N312" s="189"/>
      <c r="O312" s="189"/>
      <c r="P312" s="189"/>
      <c r="Q312" s="189"/>
      <c r="R312" s="189"/>
      <c r="S312" s="189">
        <v>310</v>
      </c>
      <c r="T312" s="189">
        <v>150</v>
      </c>
      <c r="U312" s="189"/>
      <c r="V312" s="189"/>
      <c r="W312" s="263"/>
      <c r="X312" s="263"/>
      <c r="Y312" s="263"/>
    </row>
    <row r="313" spans="12:25" x14ac:dyDescent="0.35">
      <c r="L313" s="189"/>
      <c r="M313" s="189"/>
      <c r="N313" s="189"/>
      <c r="O313" s="189"/>
      <c r="P313" s="189"/>
      <c r="Q313" s="189"/>
      <c r="R313" s="189"/>
      <c r="S313" s="189">
        <v>311</v>
      </c>
      <c r="T313" s="189">
        <v>150</v>
      </c>
      <c r="U313" s="189"/>
      <c r="V313" s="189"/>
      <c r="W313" s="263"/>
      <c r="X313" s="263"/>
      <c r="Y313" s="263"/>
    </row>
    <row r="314" spans="12:25" x14ac:dyDescent="0.35">
      <c r="L314" s="189"/>
      <c r="M314" s="189"/>
      <c r="N314" s="189"/>
      <c r="O314" s="189"/>
      <c r="P314" s="189"/>
      <c r="Q314" s="189"/>
      <c r="R314" s="189"/>
      <c r="S314" s="189">
        <v>312</v>
      </c>
      <c r="T314" s="189">
        <v>150</v>
      </c>
      <c r="U314" s="189"/>
      <c r="V314" s="189"/>
      <c r="W314" s="263"/>
      <c r="X314" s="263"/>
      <c r="Y314" s="263"/>
    </row>
    <row r="315" spans="12:25" x14ac:dyDescent="0.35">
      <c r="L315" s="189"/>
      <c r="M315" s="189"/>
      <c r="N315" s="189"/>
      <c r="O315" s="189"/>
      <c r="P315" s="189"/>
      <c r="Q315" s="189"/>
      <c r="R315" s="189"/>
      <c r="S315" s="189">
        <v>313</v>
      </c>
      <c r="T315" s="189">
        <v>150</v>
      </c>
      <c r="U315" s="189"/>
      <c r="V315" s="189"/>
      <c r="W315" s="263"/>
      <c r="X315" s="263"/>
      <c r="Y315" s="263"/>
    </row>
    <row r="316" spans="12:25" x14ac:dyDescent="0.35">
      <c r="L316" s="189"/>
      <c r="M316" s="189"/>
      <c r="N316" s="189"/>
      <c r="O316" s="189"/>
      <c r="P316" s="189"/>
      <c r="Q316" s="189"/>
      <c r="R316" s="189"/>
      <c r="S316" s="189">
        <v>314</v>
      </c>
      <c r="T316" s="189">
        <v>150</v>
      </c>
      <c r="U316" s="189"/>
      <c r="V316" s="189"/>
      <c r="W316" s="263"/>
      <c r="X316" s="263"/>
      <c r="Y316" s="263"/>
    </row>
    <row r="317" spans="12:25" x14ac:dyDescent="0.35">
      <c r="L317" s="189"/>
      <c r="M317" s="189"/>
      <c r="N317" s="189"/>
      <c r="O317" s="189"/>
      <c r="P317" s="189"/>
      <c r="Q317" s="189"/>
      <c r="R317" s="189"/>
      <c r="S317" s="189">
        <v>315</v>
      </c>
      <c r="T317" s="189">
        <v>150</v>
      </c>
      <c r="U317" s="189"/>
      <c r="V317" s="189"/>
      <c r="W317" s="263"/>
      <c r="X317" s="263"/>
      <c r="Y317" s="263"/>
    </row>
    <row r="318" spans="12:25" x14ac:dyDescent="0.35">
      <c r="L318" s="189"/>
      <c r="M318" s="189"/>
      <c r="N318" s="189"/>
      <c r="O318" s="189"/>
      <c r="P318" s="189"/>
      <c r="Q318" s="189"/>
      <c r="R318" s="189"/>
      <c r="S318" s="189">
        <v>316</v>
      </c>
      <c r="T318" s="189">
        <v>150</v>
      </c>
      <c r="U318" s="189"/>
      <c r="V318" s="189"/>
      <c r="W318" s="263"/>
      <c r="X318" s="263"/>
      <c r="Y318" s="263"/>
    </row>
    <row r="319" spans="12:25" x14ac:dyDescent="0.35">
      <c r="L319" s="189"/>
      <c r="M319" s="189"/>
      <c r="N319" s="189"/>
      <c r="O319" s="189"/>
      <c r="P319" s="189"/>
      <c r="Q319" s="189"/>
      <c r="R319" s="189"/>
      <c r="S319" s="189">
        <v>317</v>
      </c>
      <c r="T319" s="189">
        <v>150</v>
      </c>
      <c r="U319" s="189"/>
      <c r="V319" s="189"/>
      <c r="W319" s="263"/>
      <c r="X319" s="263"/>
      <c r="Y319" s="263"/>
    </row>
    <row r="320" spans="12:25" x14ac:dyDescent="0.35">
      <c r="L320" s="189"/>
      <c r="M320" s="189"/>
      <c r="N320" s="189"/>
      <c r="O320" s="189"/>
      <c r="P320" s="189"/>
      <c r="Q320" s="189"/>
      <c r="R320" s="189"/>
      <c r="S320" s="189">
        <v>318</v>
      </c>
      <c r="T320" s="189">
        <v>150</v>
      </c>
      <c r="U320" s="189"/>
      <c r="V320" s="189"/>
      <c r="W320" s="263"/>
      <c r="X320" s="263"/>
      <c r="Y320" s="263"/>
    </row>
    <row r="321" spans="12:25" x14ac:dyDescent="0.35">
      <c r="L321" s="189"/>
      <c r="M321" s="189"/>
      <c r="N321" s="189"/>
      <c r="O321" s="189"/>
      <c r="P321" s="189"/>
      <c r="Q321" s="189"/>
      <c r="R321" s="189"/>
      <c r="S321" s="189">
        <v>319</v>
      </c>
      <c r="T321" s="189">
        <v>150</v>
      </c>
      <c r="U321" s="189"/>
      <c r="V321" s="189"/>
      <c r="W321" s="263"/>
      <c r="X321" s="263"/>
      <c r="Y321" s="263"/>
    </row>
    <row r="322" spans="12:25" x14ac:dyDescent="0.35">
      <c r="L322" s="189"/>
      <c r="M322" s="189"/>
      <c r="N322" s="189"/>
      <c r="O322" s="189"/>
      <c r="P322" s="189"/>
      <c r="Q322" s="189"/>
      <c r="R322" s="189"/>
      <c r="S322" s="189">
        <v>320</v>
      </c>
      <c r="T322" s="189">
        <v>150</v>
      </c>
      <c r="U322" s="189"/>
      <c r="V322" s="189"/>
      <c r="W322" s="263"/>
      <c r="X322" s="263"/>
      <c r="Y322" s="263"/>
    </row>
    <row r="323" spans="12:25" x14ac:dyDescent="0.35">
      <c r="L323" s="189"/>
      <c r="M323" s="189"/>
      <c r="N323" s="189"/>
      <c r="O323" s="189"/>
      <c r="P323" s="189"/>
      <c r="Q323" s="189"/>
      <c r="R323" s="189"/>
      <c r="S323" s="189">
        <v>321</v>
      </c>
      <c r="T323" s="189">
        <v>150</v>
      </c>
      <c r="U323" s="189"/>
      <c r="V323" s="189"/>
      <c r="W323" s="263"/>
      <c r="X323" s="263"/>
      <c r="Y323" s="263"/>
    </row>
    <row r="324" spans="12:25" x14ac:dyDescent="0.35">
      <c r="L324" s="189"/>
      <c r="M324" s="189"/>
      <c r="N324" s="189"/>
      <c r="O324" s="189"/>
      <c r="P324" s="189"/>
      <c r="Q324" s="189"/>
      <c r="R324" s="189"/>
      <c r="S324" s="189">
        <v>322</v>
      </c>
      <c r="T324" s="189">
        <v>150</v>
      </c>
      <c r="U324" s="189"/>
      <c r="V324" s="189"/>
      <c r="W324" s="263"/>
      <c r="X324" s="263"/>
      <c r="Y324" s="263"/>
    </row>
    <row r="325" spans="12:25" x14ac:dyDescent="0.35">
      <c r="L325" s="189"/>
      <c r="M325" s="189"/>
      <c r="N325" s="189"/>
      <c r="O325" s="189"/>
      <c r="P325" s="189"/>
      <c r="Q325" s="189"/>
      <c r="R325" s="189"/>
      <c r="S325" s="189">
        <v>323</v>
      </c>
      <c r="T325" s="189">
        <v>150</v>
      </c>
      <c r="U325" s="189"/>
      <c r="V325" s="189"/>
      <c r="W325" s="263"/>
      <c r="X325" s="263"/>
      <c r="Y325" s="263"/>
    </row>
    <row r="326" spans="12:25" x14ac:dyDescent="0.35">
      <c r="L326" s="189"/>
      <c r="M326" s="189"/>
      <c r="N326" s="189"/>
      <c r="O326" s="189"/>
      <c r="P326" s="189"/>
      <c r="Q326" s="189"/>
      <c r="R326" s="189"/>
      <c r="S326" s="189">
        <v>324</v>
      </c>
      <c r="T326" s="189">
        <v>150</v>
      </c>
      <c r="U326" s="189"/>
      <c r="V326" s="189"/>
      <c r="W326" s="263"/>
      <c r="X326" s="263"/>
      <c r="Y326" s="263"/>
    </row>
    <row r="327" spans="12:25" x14ac:dyDescent="0.35">
      <c r="L327" s="189"/>
      <c r="M327" s="189"/>
      <c r="N327" s="189"/>
      <c r="O327" s="189"/>
      <c r="P327" s="189"/>
      <c r="Q327" s="189"/>
      <c r="R327" s="189"/>
      <c r="S327" s="189">
        <v>325</v>
      </c>
      <c r="T327" s="189">
        <v>150</v>
      </c>
      <c r="U327" s="189"/>
      <c r="V327" s="189"/>
      <c r="W327" s="263"/>
      <c r="X327" s="263"/>
      <c r="Y327" s="263"/>
    </row>
    <row r="328" spans="12:25" x14ac:dyDescent="0.35">
      <c r="L328" s="189"/>
      <c r="M328" s="189"/>
      <c r="N328" s="189"/>
      <c r="O328" s="189"/>
      <c r="P328" s="189"/>
      <c r="Q328" s="189"/>
      <c r="R328" s="189"/>
      <c r="S328" s="189">
        <v>326</v>
      </c>
      <c r="T328" s="189">
        <v>150</v>
      </c>
      <c r="U328" s="189"/>
      <c r="V328" s="189"/>
      <c r="W328" s="263"/>
      <c r="X328" s="263"/>
      <c r="Y328" s="263"/>
    </row>
    <row r="329" spans="12:25" x14ac:dyDescent="0.35">
      <c r="L329" s="189"/>
      <c r="M329" s="189"/>
      <c r="N329" s="189"/>
      <c r="O329" s="189"/>
      <c r="P329" s="189"/>
      <c r="Q329" s="189"/>
      <c r="R329" s="189"/>
      <c r="S329" s="189">
        <v>327</v>
      </c>
      <c r="T329" s="189">
        <v>150</v>
      </c>
      <c r="U329" s="189"/>
      <c r="V329" s="189"/>
      <c r="W329" s="263"/>
      <c r="X329" s="263"/>
      <c r="Y329" s="263"/>
    </row>
    <row r="330" spans="12:25" x14ac:dyDescent="0.35">
      <c r="L330" s="189"/>
      <c r="M330" s="189"/>
      <c r="N330" s="189"/>
      <c r="O330" s="189"/>
      <c r="P330" s="189"/>
      <c r="Q330" s="189"/>
      <c r="R330" s="189"/>
      <c r="S330" s="189">
        <v>328</v>
      </c>
      <c r="T330" s="189">
        <v>150</v>
      </c>
      <c r="U330" s="189"/>
      <c r="V330" s="189"/>
      <c r="W330" s="263"/>
      <c r="X330" s="263"/>
      <c r="Y330" s="263"/>
    </row>
    <row r="331" spans="12:25" x14ac:dyDescent="0.35">
      <c r="L331" s="189"/>
      <c r="M331" s="189"/>
      <c r="N331" s="189"/>
      <c r="O331" s="189"/>
      <c r="P331" s="189"/>
      <c r="Q331" s="189"/>
      <c r="R331" s="189"/>
      <c r="S331" s="189">
        <v>329</v>
      </c>
      <c r="T331" s="189">
        <v>150</v>
      </c>
      <c r="U331" s="189"/>
      <c r="V331" s="189"/>
      <c r="W331" s="263"/>
      <c r="X331" s="263"/>
      <c r="Y331" s="263"/>
    </row>
    <row r="332" spans="12:25" x14ac:dyDescent="0.35">
      <c r="L332" s="189"/>
      <c r="M332" s="189"/>
      <c r="N332" s="189"/>
      <c r="O332" s="189"/>
      <c r="P332" s="189"/>
      <c r="Q332" s="189"/>
      <c r="R332" s="189"/>
      <c r="S332" s="189">
        <v>330</v>
      </c>
      <c r="T332" s="189">
        <v>150</v>
      </c>
      <c r="U332" s="189"/>
      <c r="V332" s="189"/>
      <c r="W332" s="263"/>
      <c r="X332" s="263"/>
      <c r="Y332" s="263"/>
    </row>
    <row r="333" spans="12:25" x14ac:dyDescent="0.35">
      <c r="L333" s="189"/>
      <c r="M333" s="189"/>
      <c r="N333" s="189"/>
      <c r="O333" s="189"/>
      <c r="P333" s="189"/>
      <c r="Q333" s="189"/>
      <c r="R333" s="189"/>
      <c r="S333" s="189">
        <v>331</v>
      </c>
      <c r="T333" s="189">
        <v>150</v>
      </c>
      <c r="U333" s="189"/>
      <c r="V333" s="189"/>
      <c r="W333" s="263"/>
      <c r="X333" s="263"/>
      <c r="Y333" s="263"/>
    </row>
    <row r="334" spans="12:25" x14ac:dyDescent="0.35">
      <c r="L334" s="189"/>
      <c r="M334" s="189"/>
      <c r="N334" s="189"/>
      <c r="O334" s="189"/>
      <c r="P334" s="189"/>
      <c r="Q334" s="189"/>
      <c r="R334" s="189"/>
      <c r="S334" s="189">
        <v>332</v>
      </c>
      <c r="T334" s="189">
        <v>150</v>
      </c>
      <c r="U334" s="189"/>
      <c r="V334" s="189"/>
      <c r="W334" s="263"/>
      <c r="X334" s="263"/>
      <c r="Y334" s="263"/>
    </row>
    <row r="335" spans="12:25" x14ac:dyDescent="0.35">
      <c r="L335" s="189"/>
      <c r="M335" s="189"/>
      <c r="N335" s="189"/>
      <c r="O335" s="189"/>
      <c r="P335" s="189"/>
      <c r="Q335" s="189"/>
      <c r="R335" s="189"/>
      <c r="S335" s="189">
        <v>333</v>
      </c>
      <c r="T335" s="189">
        <v>150</v>
      </c>
      <c r="U335" s="189"/>
      <c r="V335" s="189"/>
      <c r="W335" s="263"/>
      <c r="X335" s="263"/>
      <c r="Y335" s="263"/>
    </row>
    <row r="336" spans="12:25" x14ac:dyDescent="0.35">
      <c r="L336" s="189"/>
      <c r="M336" s="189"/>
      <c r="N336" s="189"/>
      <c r="O336" s="189"/>
      <c r="P336" s="189"/>
      <c r="Q336" s="189"/>
      <c r="R336" s="189"/>
      <c r="S336" s="189">
        <v>334</v>
      </c>
      <c r="T336" s="189">
        <v>150</v>
      </c>
      <c r="U336" s="189"/>
      <c r="V336" s="189"/>
      <c r="W336" s="263"/>
      <c r="X336" s="263"/>
      <c r="Y336" s="263"/>
    </row>
    <row r="337" spans="12:25" x14ac:dyDescent="0.35">
      <c r="L337" s="189"/>
      <c r="M337" s="189"/>
      <c r="N337" s="189"/>
      <c r="O337" s="189"/>
      <c r="P337" s="189"/>
      <c r="Q337" s="189"/>
      <c r="R337" s="189"/>
      <c r="S337" s="189">
        <v>335</v>
      </c>
      <c r="T337" s="189">
        <v>150</v>
      </c>
      <c r="U337" s="189"/>
      <c r="V337" s="189"/>
      <c r="W337" s="263"/>
      <c r="X337" s="263"/>
      <c r="Y337" s="263"/>
    </row>
    <row r="338" spans="12:25" x14ac:dyDescent="0.35">
      <c r="L338" s="189"/>
      <c r="M338" s="189"/>
      <c r="N338" s="189"/>
      <c r="O338" s="189"/>
      <c r="P338" s="189"/>
      <c r="Q338" s="189"/>
      <c r="R338" s="189"/>
      <c r="S338" s="189">
        <v>336</v>
      </c>
      <c r="T338" s="189">
        <v>150</v>
      </c>
      <c r="U338" s="189"/>
      <c r="V338" s="189"/>
      <c r="W338" s="263"/>
      <c r="X338" s="263"/>
      <c r="Y338" s="263"/>
    </row>
    <row r="339" spans="12:25" x14ac:dyDescent="0.35">
      <c r="L339" s="189"/>
      <c r="M339" s="189"/>
      <c r="N339" s="189"/>
      <c r="O339" s="189"/>
      <c r="P339" s="189"/>
      <c r="Q339" s="189"/>
      <c r="R339" s="189"/>
      <c r="S339" s="189">
        <v>337</v>
      </c>
      <c r="T339" s="189">
        <v>150</v>
      </c>
      <c r="U339" s="189"/>
      <c r="V339" s="189"/>
      <c r="W339" s="263"/>
      <c r="X339" s="263"/>
      <c r="Y339" s="263"/>
    </row>
    <row r="340" spans="12:25" x14ac:dyDescent="0.35">
      <c r="L340" s="189"/>
      <c r="M340" s="189"/>
      <c r="N340" s="189"/>
      <c r="O340" s="189"/>
      <c r="P340" s="189"/>
      <c r="Q340" s="189"/>
      <c r="R340" s="189"/>
      <c r="S340" s="189">
        <v>338</v>
      </c>
      <c r="T340" s="189">
        <v>150</v>
      </c>
      <c r="U340" s="189"/>
      <c r="V340" s="189"/>
      <c r="W340" s="263"/>
      <c r="X340" s="263"/>
      <c r="Y340" s="263"/>
    </row>
    <row r="341" spans="12:25" x14ac:dyDescent="0.35">
      <c r="L341" s="189"/>
      <c r="M341" s="189"/>
      <c r="N341" s="189"/>
      <c r="O341" s="189"/>
      <c r="P341" s="189"/>
      <c r="Q341" s="189"/>
      <c r="R341" s="189"/>
      <c r="S341" s="189">
        <v>339</v>
      </c>
      <c r="T341" s="189">
        <v>150</v>
      </c>
      <c r="U341" s="189"/>
      <c r="V341" s="189"/>
      <c r="W341" s="263"/>
      <c r="X341" s="263"/>
      <c r="Y341" s="263"/>
    </row>
    <row r="342" spans="12:25" x14ac:dyDescent="0.35">
      <c r="L342" s="189"/>
      <c r="M342" s="189"/>
      <c r="N342" s="189"/>
      <c r="O342" s="189"/>
      <c r="P342" s="189"/>
      <c r="Q342" s="189"/>
      <c r="R342" s="189"/>
      <c r="S342" s="189">
        <v>340</v>
      </c>
      <c r="T342" s="189">
        <v>150</v>
      </c>
      <c r="U342" s="189"/>
      <c r="V342" s="189"/>
      <c r="W342" s="263"/>
      <c r="X342" s="263"/>
      <c r="Y342" s="263"/>
    </row>
    <row r="343" spans="12:25" x14ac:dyDescent="0.35">
      <c r="L343" s="189"/>
      <c r="M343" s="189"/>
      <c r="N343" s="189"/>
      <c r="O343" s="189"/>
      <c r="P343" s="189"/>
      <c r="Q343" s="189"/>
      <c r="R343" s="189"/>
      <c r="S343" s="189">
        <v>341</v>
      </c>
      <c r="T343" s="189">
        <v>150</v>
      </c>
      <c r="U343" s="189"/>
      <c r="V343" s="189"/>
      <c r="W343" s="263"/>
      <c r="X343" s="263"/>
      <c r="Y343" s="263"/>
    </row>
    <row r="344" spans="12:25" x14ac:dyDescent="0.35">
      <c r="L344" s="189"/>
      <c r="M344" s="189"/>
      <c r="N344" s="189"/>
      <c r="O344" s="189"/>
      <c r="P344" s="189"/>
      <c r="Q344" s="189"/>
      <c r="R344" s="189"/>
      <c r="S344" s="189">
        <v>342</v>
      </c>
      <c r="T344" s="189">
        <v>150</v>
      </c>
      <c r="U344" s="189"/>
      <c r="V344" s="189"/>
      <c r="W344" s="263"/>
      <c r="X344" s="263"/>
      <c r="Y344" s="263"/>
    </row>
    <row r="345" spans="12:25" x14ac:dyDescent="0.35">
      <c r="L345" s="189"/>
      <c r="M345" s="189"/>
      <c r="N345" s="189"/>
      <c r="O345" s="189"/>
      <c r="P345" s="189"/>
      <c r="Q345" s="189"/>
      <c r="R345" s="189"/>
      <c r="S345" s="189">
        <v>343</v>
      </c>
      <c r="T345" s="189">
        <v>150</v>
      </c>
      <c r="U345" s="189"/>
      <c r="V345" s="189"/>
      <c r="W345" s="263"/>
      <c r="X345" s="263"/>
      <c r="Y345" s="263"/>
    </row>
    <row r="346" spans="12:25" x14ac:dyDescent="0.35">
      <c r="L346" s="189"/>
      <c r="M346" s="189"/>
      <c r="N346" s="189"/>
      <c r="O346" s="189"/>
      <c r="P346" s="189"/>
      <c r="Q346" s="189"/>
      <c r="R346" s="189"/>
      <c r="S346" s="189">
        <v>344</v>
      </c>
      <c r="T346" s="189">
        <v>150</v>
      </c>
      <c r="U346" s="189"/>
      <c r="V346" s="189"/>
      <c r="W346" s="263"/>
      <c r="X346" s="263"/>
      <c r="Y346" s="263"/>
    </row>
    <row r="347" spans="12:25" x14ac:dyDescent="0.35">
      <c r="L347" s="189"/>
      <c r="M347" s="189"/>
      <c r="N347" s="189"/>
      <c r="O347" s="189"/>
      <c r="P347" s="189"/>
      <c r="Q347" s="189"/>
      <c r="R347" s="189"/>
      <c r="S347" s="189">
        <v>345</v>
      </c>
      <c r="T347" s="189">
        <v>150</v>
      </c>
      <c r="U347" s="189"/>
      <c r="V347" s="189"/>
      <c r="W347" s="263"/>
      <c r="X347" s="263"/>
      <c r="Y347" s="263"/>
    </row>
    <row r="348" spans="12:25" x14ac:dyDescent="0.35">
      <c r="L348" s="189"/>
      <c r="M348" s="189"/>
      <c r="N348" s="189"/>
      <c r="O348" s="189"/>
      <c r="P348" s="189"/>
      <c r="Q348" s="189"/>
      <c r="R348" s="189"/>
      <c r="S348" s="189">
        <v>346</v>
      </c>
      <c r="T348" s="189">
        <v>150</v>
      </c>
      <c r="U348" s="189"/>
      <c r="V348" s="189"/>
      <c r="W348" s="263"/>
      <c r="X348" s="263"/>
      <c r="Y348" s="263"/>
    </row>
    <row r="349" spans="12:25" x14ac:dyDescent="0.35">
      <c r="L349" s="189"/>
      <c r="M349" s="189"/>
      <c r="N349" s="189"/>
      <c r="O349" s="189"/>
      <c r="P349" s="189"/>
      <c r="Q349" s="189"/>
      <c r="R349" s="189"/>
      <c r="S349" s="189">
        <v>347</v>
      </c>
      <c r="T349" s="189">
        <v>150</v>
      </c>
      <c r="U349" s="189"/>
      <c r="V349" s="189"/>
      <c r="W349" s="263"/>
      <c r="X349" s="263"/>
      <c r="Y349" s="263"/>
    </row>
    <row r="350" spans="12:25" x14ac:dyDescent="0.35">
      <c r="L350" s="189"/>
      <c r="M350" s="189"/>
      <c r="N350" s="189"/>
      <c r="O350" s="189"/>
      <c r="P350" s="189"/>
      <c r="Q350" s="189"/>
      <c r="R350" s="189"/>
      <c r="S350" s="189">
        <v>348</v>
      </c>
      <c r="T350" s="189">
        <v>150</v>
      </c>
      <c r="U350" s="189"/>
      <c r="V350" s="189"/>
      <c r="W350" s="263"/>
      <c r="X350" s="263"/>
      <c r="Y350" s="263"/>
    </row>
    <row r="351" spans="12:25" x14ac:dyDescent="0.35">
      <c r="L351" s="189"/>
      <c r="M351" s="189"/>
      <c r="N351" s="189"/>
      <c r="O351" s="189"/>
      <c r="P351" s="189"/>
      <c r="Q351" s="189"/>
      <c r="R351" s="189"/>
      <c r="S351" s="189">
        <v>349</v>
      </c>
      <c r="T351" s="189">
        <v>150</v>
      </c>
      <c r="U351" s="189"/>
      <c r="V351" s="189"/>
      <c r="W351" s="263"/>
      <c r="X351" s="263"/>
      <c r="Y351" s="263"/>
    </row>
    <row r="352" spans="12:25" x14ac:dyDescent="0.35">
      <c r="L352" s="189"/>
      <c r="M352" s="189"/>
      <c r="N352" s="189"/>
      <c r="O352" s="189"/>
      <c r="P352" s="189"/>
      <c r="Q352" s="189"/>
      <c r="R352" s="189"/>
      <c r="S352" s="189">
        <v>350</v>
      </c>
      <c r="T352" s="189">
        <v>150</v>
      </c>
      <c r="U352" s="189"/>
      <c r="V352" s="189"/>
      <c r="W352" s="263"/>
      <c r="X352" s="263"/>
      <c r="Y352" s="263"/>
    </row>
    <row r="353" spans="12:25" x14ac:dyDescent="0.35">
      <c r="L353" s="189"/>
      <c r="M353" s="189"/>
      <c r="N353" s="189"/>
      <c r="O353" s="189"/>
      <c r="P353" s="189"/>
      <c r="Q353" s="189"/>
      <c r="R353" s="189"/>
      <c r="S353" s="189">
        <v>351</v>
      </c>
      <c r="T353" s="189">
        <v>150</v>
      </c>
      <c r="U353" s="189"/>
      <c r="V353" s="189"/>
      <c r="W353" s="263"/>
      <c r="X353" s="263"/>
      <c r="Y353" s="263"/>
    </row>
    <row r="354" spans="12:25" x14ac:dyDescent="0.35">
      <c r="L354" s="189"/>
      <c r="M354" s="189"/>
      <c r="N354" s="189"/>
      <c r="O354" s="189"/>
      <c r="P354" s="189"/>
      <c r="Q354" s="189"/>
      <c r="R354" s="189"/>
      <c r="S354" s="189">
        <v>352</v>
      </c>
      <c r="T354" s="189">
        <v>150</v>
      </c>
      <c r="U354" s="189"/>
      <c r="V354" s="189"/>
      <c r="W354" s="263"/>
      <c r="X354" s="263"/>
      <c r="Y354" s="263"/>
    </row>
    <row r="355" spans="12:25" x14ac:dyDescent="0.35">
      <c r="L355" s="189"/>
      <c r="M355" s="189"/>
      <c r="N355" s="189"/>
      <c r="O355" s="189"/>
      <c r="P355" s="189"/>
      <c r="Q355" s="189"/>
      <c r="R355" s="189"/>
      <c r="S355" s="189">
        <v>353</v>
      </c>
      <c r="T355" s="189">
        <v>150</v>
      </c>
      <c r="U355" s="189"/>
      <c r="V355" s="189"/>
      <c r="W355" s="263"/>
      <c r="X355" s="263"/>
      <c r="Y355" s="263"/>
    </row>
    <row r="356" spans="12:25" x14ac:dyDescent="0.35">
      <c r="L356" s="189"/>
      <c r="M356" s="189"/>
      <c r="N356" s="189"/>
      <c r="O356" s="189"/>
      <c r="P356" s="189"/>
      <c r="Q356" s="189"/>
      <c r="R356" s="189"/>
      <c r="S356" s="189">
        <v>354</v>
      </c>
      <c r="T356" s="189">
        <v>150</v>
      </c>
      <c r="U356" s="189"/>
      <c r="V356" s="189"/>
      <c r="W356" s="263"/>
      <c r="X356" s="263"/>
      <c r="Y356" s="263"/>
    </row>
    <row r="357" spans="12:25" x14ac:dyDescent="0.35">
      <c r="L357" s="189"/>
      <c r="M357" s="189"/>
      <c r="N357" s="189"/>
      <c r="O357" s="189"/>
      <c r="P357" s="189"/>
      <c r="Q357" s="189"/>
      <c r="R357" s="189"/>
      <c r="S357" s="189">
        <v>355</v>
      </c>
      <c r="T357" s="189">
        <v>150</v>
      </c>
      <c r="U357" s="189"/>
      <c r="V357" s="189"/>
      <c r="W357" s="263"/>
      <c r="X357" s="263"/>
      <c r="Y357" s="263"/>
    </row>
    <row r="358" spans="12:25" x14ac:dyDescent="0.35">
      <c r="L358" s="189"/>
      <c r="M358" s="189"/>
      <c r="N358" s="189"/>
      <c r="O358" s="189"/>
      <c r="P358" s="189"/>
      <c r="Q358" s="189"/>
      <c r="R358" s="189"/>
      <c r="S358" s="189">
        <v>356</v>
      </c>
      <c r="T358" s="189">
        <v>150</v>
      </c>
      <c r="U358" s="189"/>
      <c r="V358" s="189"/>
      <c r="W358" s="263"/>
      <c r="X358" s="263"/>
      <c r="Y358" s="263"/>
    </row>
    <row r="359" spans="12:25" x14ac:dyDescent="0.35">
      <c r="L359" s="189"/>
      <c r="M359" s="189"/>
      <c r="N359" s="189"/>
      <c r="O359" s="189"/>
      <c r="P359" s="189"/>
      <c r="Q359" s="189"/>
      <c r="R359" s="189"/>
      <c r="S359" s="189">
        <v>357</v>
      </c>
      <c r="T359" s="189">
        <v>150</v>
      </c>
      <c r="U359" s="189"/>
      <c r="V359" s="189"/>
      <c r="W359" s="263"/>
      <c r="X359" s="263"/>
      <c r="Y359" s="263"/>
    </row>
    <row r="360" spans="12:25" x14ac:dyDescent="0.35">
      <c r="L360" s="189"/>
      <c r="M360" s="189"/>
      <c r="N360" s="189"/>
      <c r="O360" s="189"/>
      <c r="P360" s="189"/>
      <c r="Q360" s="189"/>
      <c r="R360" s="189"/>
      <c r="S360" s="189">
        <v>358</v>
      </c>
      <c r="T360" s="189">
        <v>150</v>
      </c>
      <c r="U360" s="189"/>
      <c r="V360" s="189"/>
      <c r="W360" s="263"/>
      <c r="X360" s="263"/>
      <c r="Y360" s="263"/>
    </row>
    <row r="361" spans="12:25" x14ac:dyDescent="0.35">
      <c r="L361" s="189"/>
      <c r="M361" s="189"/>
      <c r="N361" s="189"/>
      <c r="O361" s="189"/>
      <c r="P361" s="189"/>
      <c r="Q361" s="189"/>
      <c r="R361" s="189"/>
      <c r="S361" s="189">
        <v>359</v>
      </c>
      <c r="T361" s="189">
        <v>150</v>
      </c>
      <c r="U361" s="189"/>
      <c r="V361" s="189"/>
      <c r="W361" s="263"/>
      <c r="X361" s="263"/>
      <c r="Y361" s="263"/>
    </row>
    <row r="362" spans="12:25" x14ac:dyDescent="0.35">
      <c r="L362" s="189"/>
      <c r="M362" s="189"/>
      <c r="N362" s="189"/>
      <c r="O362" s="189"/>
      <c r="P362" s="189"/>
      <c r="Q362" s="189"/>
      <c r="R362" s="189"/>
      <c r="S362" s="189">
        <v>360</v>
      </c>
      <c r="T362" s="189">
        <v>150</v>
      </c>
      <c r="U362" s="189">
        <v>360</v>
      </c>
      <c r="V362" s="189"/>
      <c r="W362" s="263"/>
      <c r="X362" s="263"/>
      <c r="Y362" s="263"/>
    </row>
    <row r="363" spans="12:25" x14ac:dyDescent="0.35">
      <c r="L363" s="189"/>
      <c r="M363" s="189"/>
      <c r="N363" s="189"/>
      <c r="O363" s="189"/>
      <c r="P363" s="189"/>
      <c r="Q363" s="189"/>
      <c r="R363" s="189"/>
      <c r="S363" s="189"/>
      <c r="T363" s="189"/>
      <c r="U363" s="189"/>
      <c r="V363" s="189"/>
      <c r="W363" s="263"/>
      <c r="X363" s="263"/>
      <c r="Y363" s="263"/>
    </row>
    <row r="364" spans="12:25" x14ac:dyDescent="0.35">
      <c r="L364" s="189"/>
      <c r="M364" s="189"/>
      <c r="N364" s="189"/>
      <c r="O364" s="189"/>
      <c r="P364" s="189"/>
      <c r="Q364" s="189"/>
      <c r="R364" s="189"/>
      <c r="S364" s="189"/>
      <c r="T364" s="189"/>
      <c r="U364" s="189"/>
      <c r="V364" s="189"/>
      <c r="W364" s="263"/>
      <c r="X364" s="263"/>
      <c r="Y364" s="263"/>
    </row>
    <row r="365" spans="12:25" x14ac:dyDescent="0.35">
      <c r="L365" s="189"/>
      <c r="M365" s="189"/>
      <c r="N365" s="189"/>
      <c r="O365" s="189"/>
      <c r="P365" s="189"/>
      <c r="Q365" s="189"/>
      <c r="R365" s="189"/>
      <c r="S365" s="189"/>
      <c r="T365" s="189"/>
      <c r="U365" s="189"/>
      <c r="V365" s="189"/>
      <c r="W365" s="263"/>
      <c r="X365" s="263"/>
      <c r="Y365" s="263"/>
    </row>
    <row r="366" spans="12:25" x14ac:dyDescent="0.35">
      <c r="L366" s="189"/>
      <c r="M366" s="189"/>
      <c r="N366" s="189"/>
      <c r="O366" s="189"/>
      <c r="P366" s="189"/>
      <c r="Q366" s="189"/>
      <c r="R366" s="189"/>
      <c r="S366" s="189"/>
      <c r="T366" s="189"/>
      <c r="U366" s="189"/>
      <c r="V366" s="189"/>
      <c r="W366" s="263"/>
      <c r="X366" s="263"/>
      <c r="Y366" s="263"/>
    </row>
    <row r="367" spans="12:25" x14ac:dyDescent="0.35">
      <c r="L367" s="189"/>
      <c r="M367" s="189"/>
      <c r="N367" s="189"/>
      <c r="O367" s="189"/>
      <c r="P367" s="189"/>
      <c r="Q367" s="189"/>
      <c r="R367" s="189"/>
      <c r="S367" s="189"/>
      <c r="T367" s="189"/>
      <c r="U367" s="189"/>
      <c r="V367" s="189"/>
      <c r="W367" s="263"/>
      <c r="X367" s="263"/>
      <c r="Y367" s="263"/>
    </row>
    <row r="368" spans="12:25" x14ac:dyDescent="0.35">
      <c r="L368" s="189"/>
      <c r="M368" s="189"/>
      <c r="N368" s="189"/>
      <c r="O368" s="189"/>
      <c r="P368" s="189"/>
      <c r="Q368" s="189"/>
      <c r="R368" s="189"/>
      <c r="S368" s="189"/>
      <c r="T368" s="189"/>
      <c r="U368" s="189"/>
      <c r="V368" s="189"/>
      <c r="W368" s="263"/>
      <c r="X368" s="263"/>
      <c r="Y368" s="263"/>
    </row>
    <row r="369" spans="12:25" x14ac:dyDescent="0.35">
      <c r="L369" s="189"/>
      <c r="M369" s="189"/>
      <c r="N369" s="189"/>
      <c r="O369" s="189"/>
      <c r="P369" s="189"/>
      <c r="Q369" s="189"/>
      <c r="R369" s="189"/>
      <c r="S369" s="189"/>
      <c r="T369" s="189"/>
      <c r="U369" s="189"/>
      <c r="V369" s="189"/>
      <c r="W369" s="263"/>
      <c r="X369" s="263"/>
      <c r="Y369" s="263"/>
    </row>
    <row r="370" spans="12:25" x14ac:dyDescent="0.35">
      <c r="L370" s="189"/>
      <c r="M370" s="189"/>
      <c r="N370" s="189"/>
      <c r="O370" s="189"/>
      <c r="P370" s="189"/>
      <c r="Q370" s="189"/>
      <c r="R370" s="189"/>
      <c r="S370" s="189"/>
      <c r="T370" s="189"/>
      <c r="U370" s="189"/>
      <c r="V370" s="189"/>
      <c r="W370" s="263"/>
      <c r="X370" s="263"/>
      <c r="Y370" s="263"/>
    </row>
    <row r="371" spans="12:25" x14ac:dyDescent="0.35">
      <c r="L371" s="189"/>
      <c r="M371" s="189"/>
      <c r="N371" s="189"/>
      <c r="O371" s="189"/>
      <c r="P371" s="189"/>
      <c r="Q371" s="189"/>
      <c r="R371" s="189"/>
      <c r="S371" s="189"/>
      <c r="T371" s="189"/>
      <c r="U371" s="189"/>
      <c r="V371" s="189"/>
      <c r="W371" s="263"/>
      <c r="X371" s="263"/>
      <c r="Y371" s="263"/>
    </row>
    <row r="372" spans="12:25" x14ac:dyDescent="0.35">
      <c r="L372" s="189"/>
      <c r="M372" s="189"/>
      <c r="N372" s="189"/>
      <c r="O372" s="189"/>
      <c r="P372" s="189"/>
      <c r="Q372" s="189"/>
      <c r="R372" s="189"/>
      <c r="S372" s="189"/>
      <c r="T372" s="189"/>
      <c r="U372" s="189"/>
      <c r="V372" s="189"/>
      <c r="W372" s="263"/>
      <c r="X372" s="263"/>
      <c r="Y372" s="263"/>
    </row>
    <row r="373" spans="12:25" x14ac:dyDescent="0.35">
      <c r="L373" s="189"/>
      <c r="M373" s="189"/>
      <c r="N373" s="189"/>
      <c r="O373" s="189"/>
      <c r="P373" s="189"/>
      <c r="Q373" s="189"/>
      <c r="R373" s="189"/>
      <c r="S373" s="189"/>
      <c r="T373" s="189"/>
      <c r="U373" s="189"/>
      <c r="V373" s="189"/>
      <c r="W373" s="263"/>
      <c r="X373" s="263"/>
      <c r="Y373" s="263"/>
    </row>
    <row r="374" spans="12:25" x14ac:dyDescent="0.35">
      <c r="L374" s="189"/>
      <c r="M374" s="189"/>
      <c r="N374" s="189"/>
      <c r="O374" s="189"/>
      <c r="P374" s="189"/>
      <c r="Q374" s="189"/>
      <c r="R374" s="189"/>
      <c r="S374" s="189"/>
      <c r="T374" s="189"/>
      <c r="U374" s="189"/>
      <c r="V374" s="189"/>
      <c r="W374" s="263"/>
      <c r="X374" s="263"/>
      <c r="Y374" s="263"/>
    </row>
    <row r="375" spans="12:25" x14ac:dyDescent="0.35">
      <c r="L375" s="189"/>
      <c r="M375" s="189"/>
      <c r="N375" s="189"/>
      <c r="O375" s="189"/>
      <c r="P375" s="189"/>
      <c r="Q375" s="189"/>
      <c r="R375" s="189"/>
      <c r="S375" s="189"/>
      <c r="T375" s="189"/>
      <c r="U375" s="189"/>
      <c r="V375" s="189"/>
      <c r="W375" s="263"/>
      <c r="X375" s="263"/>
      <c r="Y375" s="263"/>
    </row>
    <row r="376" spans="12:25" x14ac:dyDescent="0.35">
      <c r="L376" s="189"/>
      <c r="M376" s="189"/>
      <c r="N376" s="189"/>
      <c r="O376" s="189"/>
      <c r="P376" s="189"/>
      <c r="Q376" s="189"/>
      <c r="R376" s="189"/>
      <c r="S376" s="189"/>
      <c r="T376" s="189"/>
      <c r="U376" s="189"/>
      <c r="V376" s="189"/>
      <c r="W376" s="263"/>
      <c r="X376" s="263"/>
      <c r="Y376" s="263"/>
    </row>
    <row r="377" spans="12:25" x14ac:dyDescent="0.35">
      <c r="L377" s="189"/>
      <c r="M377" s="189"/>
      <c r="N377" s="189"/>
      <c r="O377" s="189"/>
      <c r="P377" s="189"/>
      <c r="Q377" s="189"/>
      <c r="R377" s="189"/>
      <c r="S377" s="189"/>
      <c r="T377" s="189"/>
      <c r="U377" s="189"/>
      <c r="V377" s="189"/>
      <c r="W377" s="263"/>
      <c r="X377" s="263"/>
      <c r="Y377" s="263"/>
    </row>
    <row r="378" spans="12:25" x14ac:dyDescent="0.35">
      <c r="L378" s="189"/>
      <c r="M378" s="189"/>
      <c r="N378" s="189"/>
      <c r="O378" s="189"/>
      <c r="P378" s="189"/>
      <c r="Q378" s="189"/>
      <c r="R378" s="189"/>
      <c r="S378" s="189"/>
      <c r="T378" s="189"/>
      <c r="U378" s="189"/>
      <c r="V378" s="189"/>
      <c r="W378" s="263"/>
      <c r="X378" s="263"/>
      <c r="Y378" s="263"/>
    </row>
    <row r="379" spans="12:25" x14ac:dyDescent="0.35">
      <c r="L379" s="189"/>
      <c r="M379" s="189"/>
      <c r="N379" s="189"/>
      <c r="O379" s="189"/>
      <c r="P379" s="189"/>
      <c r="Q379" s="189"/>
      <c r="R379" s="189"/>
      <c r="S379" s="189"/>
      <c r="T379" s="189"/>
      <c r="U379" s="189"/>
      <c r="V379" s="189"/>
      <c r="W379" s="263"/>
      <c r="X379" s="263"/>
      <c r="Y379" s="263"/>
    </row>
    <row r="380" spans="12:25" x14ac:dyDescent="0.35">
      <c r="L380" s="189"/>
      <c r="M380" s="189"/>
      <c r="N380" s="189"/>
      <c r="O380" s="189"/>
      <c r="P380" s="189"/>
      <c r="Q380" s="189"/>
      <c r="R380" s="189"/>
      <c r="S380" s="189"/>
      <c r="T380" s="189"/>
      <c r="U380" s="189"/>
      <c r="V380" s="189"/>
      <c r="W380" s="263"/>
      <c r="X380" s="263"/>
      <c r="Y380" s="263"/>
    </row>
    <row r="381" spans="12:25" x14ac:dyDescent="0.35">
      <c r="L381" s="189"/>
      <c r="M381" s="189"/>
      <c r="N381" s="189"/>
      <c r="O381" s="189"/>
      <c r="P381" s="189"/>
      <c r="Q381" s="189"/>
      <c r="R381" s="189"/>
      <c r="S381" s="189"/>
      <c r="T381" s="189"/>
      <c r="U381" s="189"/>
      <c r="V381" s="189"/>
      <c r="W381" s="263"/>
      <c r="X381" s="263"/>
      <c r="Y381" s="263"/>
    </row>
    <row r="382" spans="12:25" x14ac:dyDescent="0.35">
      <c r="L382" s="189"/>
      <c r="M382" s="189"/>
      <c r="N382" s="189"/>
      <c r="O382" s="189"/>
      <c r="P382" s="189"/>
      <c r="Q382" s="189"/>
      <c r="R382" s="189"/>
      <c r="S382" s="189"/>
      <c r="T382" s="189"/>
      <c r="U382" s="189"/>
      <c r="V382" s="189"/>
      <c r="W382" s="263"/>
      <c r="X382" s="263"/>
      <c r="Y382" s="263"/>
    </row>
    <row r="383" spans="12:25" x14ac:dyDescent="0.35">
      <c r="L383" s="189"/>
      <c r="M383" s="189"/>
      <c r="N383" s="189"/>
      <c r="O383" s="189"/>
      <c r="P383" s="189"/>
      <c r="Q383" s="189"/>
      <c r="R383" s="189"/>
      <c r="S383" s="189"/>
      <c r="T383" s="189"/>
      <c r="U383" s="189"/>
      <c r="V383" s="189"/>
      <c r="W383" s="263"/>
      <c r="X383" s="263"/>
      <c r="Y383" s="263"/>
    </row>
    <row r="384" spans="12:25" x14ac:dyDescent="0.35">
      <c r="L384" s="189"/>
      <c r="M384" s="189"/>
      <c r="N384" s="189"/>
      <c r="O384" s="189"/>
      <c r="P384" s="189"/>
      <c r="Q384" s="189"/>
      <c r="R384" s="189"/>
      <c r="S384" s="189"/>
      <c r="T384" s="189"/>
      <c r="U384" s="189"/>
      <c r="V384" s="189"/>
      <c r="W384" s="263"/>
      <c r="X384" s="263"/>
      <c r="Y384" s="263"/>
    </row>
    <row r="385" spans="12:25" x14ac:dyDescent="0.35">
      <c r="L385" s="189"/>
      <c r="M385" s="189"/>
      <c r="N385" s="189"/>
      <c r="O385" s="189"/>
      <c r="P385" s="189"/>
      <c r="Q385" s="189"/>
      <c r="R385" s="189"/>
      <c r="S385" s="189"/>
      <c r="T385" s="189"/>
      <c r="U385" s="189"/>
      <c r="V385" s="189"/>
      <c r="W385" s="263"/>
      <c r="X385" s="263"/>
      <c r="Y385" s="263"/>
    </row>
    <row r="386" spans="12:25" x14ac:dyDescent="0.35">
      <c r="L386" s="189"/>
      <c r="M386" s="189"/>
      <c r="N386" s="189"/>
      <c r="O386" s="189"/>
      <c r="P386" s="189"/>
      <c r="Q386" s="189"/>
      <c r="R386" s="189"/>
      <c r="S386" s="189"/>
      <c r="T386" s="189"/>
      <c r="U386" s="189"/>
      <c r="V386" s="189"/>
      <c r="W386" s="263"/>
      <c r="X386" s="263"/>
      <c r="Y386" s="263"/>
    </row>
    <row r="387" spans="12:25" x14ac:dyDescent="0.35">
      <c r="L387" s="189"/>
      <c r="M387" s="189"/>
      <c r="N387" s="189"/>
      <c r="O387" s="189"/>
      <c r="P387" s="189"/>
      <c r="Q387" s="189"/>
      <c r="R387" s="189"/>
      <c r="S387" s="189"/>
      <c r="T387" s="189"/>
      <c r="U387" s="189"/>
      <c r="V387" s="189"/>
      <c r="W387" s="263"/>
      <c r="X387" s="263"/>
      <c r="Y387" s="263"/>
    </row>
    <row r="388" spans="12:25" x14ac:dyDescent="0.35">
      <c r="L388" s="189"/>
      <c r="M388" s="189"/>
      <c r="N388" s="189"/>
      <c r="O388" s="189"/>
      <c r="P388" s="189"/>
      <c r="Q388" s="189"/>
      <c r="R388" s="189"/>
      <c r="S388" s="189"/>
      <c r="T388" s="189"/>
      <c r="U388" s="189"/>
      <c r="V388" s="189"/>
      <c r="W388" s="263"/>
      <c r="X388" s="263"/>
      <c r="Y388" s="263"/>
    </row>
    <row r="389" spans="12:25" x14ac:dyDescent="0.35">
      <c r="L389" s="189"/>
      <c r="M389" s="189"/>
      <c r="N389" s="189"/>
      <c r="O389" s="189"/>
      <c r="P389" s="189"/>
      <c r="Q389" s="189"/>
      <c r="R389" s="189"/>
      <c r="S389" s="189"/>
      <c r="T389" s="189"/>
      <c r="U389" s="189"/>
      <c r="V389" s="189"/>
      <c r="W389" s="263"/>
      <c r="X389" s="263"/>
      <c r="Y389" s="263"/>
    </row>
    <row r="390" spans="12:25" x14ac:dyDescent="0.35">
      <c r="L390" s="263"/>
      <c r="M390" s="263"/>
      <c r="N390" s="263"/>
      <c r="O390" s="263"/>
      <c r="P390" s="263"/>
      <c r="Q390" s="263"/>
      <c r="R390" s="263"/>
      <c r="S390" s="263"/>
      <c r="T390" s="263"/>
      <c r="U390" s="263"/>
      <c r="V390" s="263"/>
      <c r="W390" s="263"/>
      <c r="X390" s="263"/>
      <c r="Y390" s="263"/>
    </row>
    <row r="391" spans="12:25" x14ac:dyDescent="0.35">
      <c r="L391" s="263"/>
      <c r="M391" s="263"/>
      <c r="N391" s="263"/>
      <c r="O391" s="263"/>
      <c r="P391" s="263"/>
      <c r="Q391" s="263"/>
      <c r="R391" s="263"/>
      <c r="S391" s="263"/>
      <c r="T391" s="263"/>
      <c r="U391" s="263"/>
      <c r="V391" s="263"/>
      <c r="W391" s="263"/>
      <c r="X391" s="263"/>
      <c r="Y391" s="263"/>
    </row>
    <row r="392" spans="12:25" x14ac:dyDescent="0.35">
      <c r="L392" s="263"/>
      <c r="M392" s="263"/>
      <c r="N392" s="263"/>
      <c r="O392" s="263"/>
      <c r="P392" s="263"/>
      <c r="Q392" s="263"/>
      <c r="R392" s="263"/>
      <c r="S392" s="263"/>
      <c r="T392" s="263"/>
      <c r="U392" s="263"/>
      <c r="V392" s="263"/>
      <c r="W392" s="263"/>
      <c r="X392" s="263"/>
      <c r="Y392" s="263"/>
    </row>
    <row r="393" spans="12:25" x14ac:dyDescent="0.35">
      <c r="L393" s="263"/>
      <c r="M393" s="263"/>
      <c r="N393" s="263"/>
      <c r="O393" s="263"/>
      <c r="P393" s="263"/>
      <c r="Q393" s="263"/>
      <c r="R393" s="263"/>
      <c r="S393" s="263"/>
      <c r="T393" s="263"/>
      <c r="U393" s="263"/>
      <c r="V393" s="263"/>
      <c r="W393" s="263"/>
      <c r="X393" s="263"/>
      <c r="Y393" s="263"/>
    </row>
    <row r="394" spans="12:25" x14ac:dyDescent="0.35">
      <c r="L394" s="263"/>
      <c r="M394" s="263"/>
      <c r="N394" s="263"/>
      <c r="O394" s="263"/>
      <c r="P394" s="263"/>
      <c r="Q394" s="263"/>
      <c r="R394" s="263"/>
      <c r="S394" s="263"/>
      <c r="T394" s="263"/>
      <c r="U394" s="263"/>
      <c r="V394" s="263"/>
      <c r="W394" s="263"/>
      <c r="X394" s="263"/>
      <c r="Y394" s="263"/>
    </row>
    <row r="395" spans="12:25" x14ac:dyDescent="0.35">
      <c r="L395" s="263"/>
      <c r="M395" s="263"/>
      <c r="N395" s="263"/>
      <c r="O395" s="263"/>
      <c r="P395" s="263"/>
      <c r="Q395" s="263"/>
      <c r="R395" s="263"/>
      <c r="S395" s="263"/>
      <c r="T395" s="263"/>
      <c r="U395" s="263"/>
      <c r="V395" s="263"/>
      <c r="W395" s="263"/>
      <c r="X395" s="263"/>
      <c r="Y395" s="263"/>
    </row>
    <row r="396" spans="12:25" x14ac:dyDescent="0.35">
      <c r="L396" s="263"/>
      <c r="M396" s="263"/>
      <c r="N396" s="263"/>
      <c r="O396" s="263"/>
      <c r="P396" s="263"/>
      <c r="Q396" s="263"/>
      <c r="R396" s="263"/>
      <c r="S396" s="263"/>
      <c r="T396" s="263"/>
      <c r="U396" s="263"/>
      <c r="V396" s="263"/>
      <c r="W396" s="263"/>
      <c r="X396" s="263"/>
      <c r="Y396" s="263"/>
    </row>
    <row r="397" spans="12:25" x14ac:dyDescent="0.35">
      <c r="L397" s="263"/>
      <c r="M397" s="263"/>
      <c r="N397" s="263"/>
      <c r="O397" s="263"/>
      <c r="P397" s="263"/>
      <c r="Q397" s="263"/>
      <c r="R397" s="263"/>
      <c r="S397" s="263"/>
      <c r="T397" s="263"/>
      <c r="U397" s="263"/>
      <c r="V397" s="263"/>
      <c r="W397" s="263"/>
      <c r="X397" s="263"/>
      <c r="Y397" s="263"/>
    </row>
    <row r="398" spans="12:25" x14ac:dyDescent="0.35">
      <c r="L398" s="263"/>
      <c r="M398" s="263"/>
      <c r="N398" s="263"/>
      <c r="O398" s="263"/>
      <c r="P398" s="263"/>
      <c r="Q398" s="263"/>
      <c r="R398" s="263"/>
      <c r="S398" s="263"/>
      <c r="T398" s="263"/>
      <c r="U398" s="263"/>
      <c r="V398" s="263"/>
      <c r="W398" s="263"/>
      <c r="X398" s="263"/>
      <c r="Y398" s="263"/>
    </row>
    <row r="399" spans="12:25" x14ac:dyDescent="0.35">
      <c r="L399" s="263"/>
      <c r="M399" s="263"/>
      <c r="N399" s="263"/>
      <c r="O399" s="263"/>
      <c r="P399" s="263"/>
      <c r="Q399" s="263"/>
      <c r="R399" s="263"/>
      <c r="S399" s="263"/>
      <c r="T399" s="263"/>
      <c r="U399" s="263"/>
      <c r="V399" s="263"/>
      <c r="W399" s="263"/>
      <c r="X399" s="263"/>
      <c r="Y399" s="263"/>
    </row>
    <row r="400" spans="12:25" x14ac:dyDescent="0.35">
      <c r="L400" s="263"/>
      <c r="M400" s="263"/>
      <c r="N400" s="263"/>
      <c r="O400" s="263"/>
      <c r="P400" s="263"/>
      <c r="Q400" s="263"/>
      <c r="R400" s="263"/>
      <c r="S400" s="263"/>
      <c r="T400" s="263"/>
      <c r="U400" s="263"/>
      <c r="V400" s="263"/>
      <c r="W400" s="263"/>
      <c r="X400" s="263"/>
      <c r="Y400" s="263"/>
    </row>
    <row r="401" spans="12:25" x14ac:dyDescent="0.35">
      <c r="L401" s="263"/>
      <c r="M401" s="263"/>
      <c r="N401" s="263"/>
      <c r="O401" s="263"/>
      <c r="P401" s="263"/>
      <c r="Q401" s="263"/>
      <c r="R401" s="263"/>
      <c r="S401" s="263"/>
      <c r="T401" s="263"/>
      <c r="U401" s="263"/>
      <c r="V401" s="263"/>
      <c r="W401" s="263"/>
      <c r="X401" s="263"/>
      <c r="Y401" s="263"/>
    </row>
    <row r="402" spans="12:25" x14ac:dyDescent="0.35">
      <c r="L402" s="263"/>
      <c r="M402" s="263"/>
      <c r="N402" s="263"/>
      <c r="O402" s="263"/>
      <c r="P402" s="263"/>
      <c r="Q402" s="263"/>
      <c r="R402" s="263"/>
      <c r="S402" s="263"/>
      <c r="T402" s="263"/>
      <c r="U402" s="263"/>
      <c r="V402" s="263"/>
      <c r="W402" s="263"/>
      <c r="X402" s="263"/>
      <c r="Y402" s="263"/>
    </row>
    <row r="403" spans="12:25" x14ac:dyDescent="0.35">
      <c r="L403" s="263"/>
      <c r="M403" s="263"/>
      <c r="N403" s="263"/>
      <c r="O403" s="263"/>
      <c r="P403" s="263"/>
      <c r="Q403" s="263"/>
      <c r="R403" s="263"/>
      <c r="S403" s="263"/>
      <c r="T403" s="263"/>
      <c r="U403" s="263"/>
      <c r="V403" s="263"/>
      <c r="W403" s="263"/>
      <c r="X403" s="263"/>
      <c r="Y403" s="263"/>
    </row>
    <row r="404" spans="12:25" x14ac:dyDescent="0.35">
      <c r="L404" s="263"/>
      <c r="M404" s="263"/>
      <c r="N404" s="263"/>
      <c r="O404" s="263"/>
      <c r="P404" s="263"/>
      <c r="Q404" s="263"/>
      <c r="R404" s="263"/>
      <c r="S404" s="263"/>
      <c r="T404" s="263"/>
      <c r="U404" s="263"/>
      <c r="V404" s="263"/>
      <c r="W404" s="263"/>
      <c r="X404" s="263"/>
      <c r="Y404" s="263"/>
    </row>
    <row r="405" spans="12:25" x14ac:dyDescent="0.35">
      <c r="L405" s="263"/>
      <c r="M405" s="263"/>
      <c r="N405" s="263"/>
      <c r="O405" s="263"/>
      <c r="P405" s="263"/>
      <c r="Q405" s="263"/>
      <c r="R405" s="263"/>
      <c r="S405" s="263"/>
      <c r="T405" s="263"/>
      <c r="U405" s="263"/>
      <c r="V405" s="263"/>
      <c r="W405" s="263"/>
      <c r="X405" s="263"/>
      <c r="Y405" s="263"/>
    </row>
    <row r="406" spans="12:25" x14ac:dyDescent="0.35">
      <c r="L406" s="263"/>
      <c r="M406" s="263"/>
      <c r="N406" s="263"/>
      <c r="O406" s="263"/>
      <c r="P406" s="263"/>
      <c r="Q406" s="263"/>
      <c r="R406" s="263"/>
      <c r="S406" s="263"/>
      <c r="T406" s="263"/>
      <c r="U406" s="263"/>
      <c r="V406" s="263"/>
      <c r="W406" s="263"/>
      <c r="X406" s="263"/>
      <c r="Y406" s="263"/>
    </row>
    <row r="407" spans="12:25" x14ac:dyDescent="0.35">
      <c r="L407" s="263"/>
      <c r="M407" s="263"/>
      <c r="N407" s="263"/>
      <c r="O407" s="263"/>
      <c r="P407" s="263"/>
      <c r="Q407" s="263"/>
      <c r="R407" s="263"/>
      <c r="S407" s="263"/>
      <c r="T407" s="263"/>
      <c r="U407" s="263"/>
      <c r="V407" s="263"/>
      <c r="W407" s="263"/>
      <c r="X407" s="263"/>
      <c r="Y407" s="263"/>
    </row>
    <row r="408" spans="12:25" x14ac:dyDescent="0.35">
      <c r="L408" s="263"/>
      <c r="M408" s="263"/>
      <c r="N408" s="263"/>
      <c r="O408" s="263"/>
      <c r="P408" s="263"/>
      <c r="Q408" s="263"/>
      <c r="R408" s="263"/>
      <c r="S408" s="263"/>
      <c r="T408" s="263"/>
      <c r="U408" s="263"/>
      <c r="V408" s="263"/>
      <c r="W408" s="263"/>
      <c r="X408" s="263"/>
      <c r="Y408" s="263"/>
    </row>
    <row r="409" spans="12:25" x14ac:dyDescent="0.35">
      <c r="L409" s="263"/>
      <c r="M409" s="263"/>
      <c r="N409" s="263"/>
      <c r="O409" s="263"/>
      <c r="P409" s="263"/>
      <c r="Q409" s="263"/>
      <c r="R409" s="263"/>
      <c r="S409" s="263"/>
      <c r="T409" s="263"/>
      <c r="U409" s="263"/>
      <c r="V409" s="263"/>
      <c r="W409" s="263"/>
      <c r="X409" s="263"/>
      <c r="Y409" s="263"/>
    </row>
    <row r="410" spans="12:25" x14ac:dyDescent="0.35">
      <c r="L410" s="263"/>
      <c r="M410" s="263"/>
      <c r="N410" s="263"/>
      <c r="O410" s="263"/>
      <c r="P410" s="263"/>
      <c r="Q410" s="263"/>
      <c r="R410" s="263"/>
      <c r="S410" s="263"/>
      <c r="T410" s="263"/>
      <c r="U410" s="263"/>
      <c r="V410" s="263"/>
      <c r="W410" s="263"/>
      <c r="X410" s="263"/>
      <c r="Y410" s="263"/>
    </row>
    <row r="411" spans="12:25" x14ac:dyDescent="0.35">
      <c r="L411" s="263"/>
      <c r="M411" s="263"/>
      <c r="N411" s="263"/>
      <c r="O411" s="263"/>
      <c r="P411" s="263"/>
      <c r="Q411" s="263"/>
      <c r="R411" s="263"/>
      <c r="S411" s="263"/>
      <c r="T411" s="263"/>
      <c r="U411" s="263"/>
      <c r="V411" s="263"/>
      <c r="W411" s="263"/>
      <c r="X411" s="263"/>
      <c r="Y411" s="263"/>
    </row>
    <row r="412" spans="12:25" x14ac:dyDescent="0.35">
      <c r="L412" s="263"/>
      <c r="M412" s="263"/>
      <c r="N412" s="263"/>
      <c r="O412" s="263"/>
      <c r="P412" s="263"/>
      <c r="Q412" s="263"/>
      <c r="R412" s="263"/>
      <c r="S412" s="263"/>
      <c r="T412" s="263"/>
      <c r="U412" s="263"/>
      <c r="V412" s="263"/>
      <c r="W412" s="263"/>
      <c r="X412" s="263"/>
      <c r="Y412" s="263"/>
    </row>
    <row r="413" spans="12:25" x14ac:dyDescent="0.35">
      <c r="L413" s="263"/>
      <c r="M413" s="263"/>
      <c r="N413" s="263"/>
      <c r="O413" s="263"/>
      <c r="P413" s="263"/>
      <c r="Q413" s="263"/>
      <c r="R413" s="263"/>
      <c r="S413" s="263"/>
      <c r="T413" s="263"/>
      <c r="U413" s="263"/>
      <c r="V413" s="263"/>
      <c r="W413" s="263"/>
      <c r="X413" s="263"/>
      <c r="Y413" s="263"/>
    </row>
    <row r="414" spans="12:25" x14ac:dyDescent="0.35">
      <c r="L414" s="263"/>
      <c r="M414" s="263"/>
      <c r="N414" s="263"/>
      <c r="O414" s="263"/>
      <c r="P414" s="263"/>
      <c r="Q414" s="263"/>
      <c r="R414" s="263"/>
      <c r="S414" s="263"/>
      <c r="T414" s="263"/>
      <c r="U414" s="263"/>
      <c r="V414" s="263"/>
      <c r="W414" s="263"/>
      <c r="X414" s="263"/>
      <c r="Y414" s="263"/>
    </row>
    <row r="415" spans="12:25" x14ac:dyDescent="0.35">
      <c r="L415" s="263"/>
      <c r="M415" s="263"/>
      <c r="N415" s="263"/>
      <c r="O415" s="263"/>
      <c r="P415" s="263"/>
      <c r="Q415" s="263"/>
      <c r="R415" s="263"/>
      <c r="S415" s="263"/>
      <c r="T415" s="263"/>
      <c r="U415" s="263"/>
      <c r="V415" s="263"/>
      <c r="W415" s="263"/>
      <c r="X415" s="263"/>
      <c r="Y415" s="263"/>
    </row>
    <row r="416" spans="12:25" x14ac:dyDescent="0.35">
      <c r="L416" s="263"/>
      <c r="M416" s="263"/>
      <c r="N416" s="263"/>
      <c r="O416" s="263"/>
      <c r="P416" s="263"/>
      <c r="Q416" s="263"/>
      <c r="R416" s="263"/>
      <c r="S416" s="263"/>
      <c r="T416" s="263"/>
      <c r="U416" s="263"/>
      <c r="V416" s="263"/>
      <c r="W416" s="263"/>
      <c r="X416" s="263"/>
      <c r="Y416" s="263"/>
    </row>
    <row r="417" spans="12:25" x14ac:dyDescent="0.35">
      <c r="L417" s="263"/>
      <c r="M417" s="263"/>
      <c r="N417" s="263"/>
      <c r="O417" s="263"/>
      <c r="P417" s="263"/>
      <c r="Q417" s="263"/>
      <c r="R417" s="263"/>
      <c r="S417" s="263"/>
      <c r="T417" s="263"/>
      <c r="U417" s="263"/>
      <c r="V417" s="263"/>
      <c r="W417" s="263"/>
      <c r="X417" s="263"/>
      <c r="Y417" s="263"/>
    </row>
    <row r="418" spans="12:25" x14ac:dyDescent="0.35">
      <c r="L418" s="263"/>
      <c r="M418" s="263"/>
      <c r="N418" s="263"/>
      <c r="O418" s="263"/>
      <c r="P418" s="263"/>
      <c r="Q418" s="263"/>
      <c r="R418" s="263"/>
      <c r="S418" s="263"/>
      <c r="T418" s="263"/>
      <c r="U418" s="263"/>
      <c r="V418" s="263"/>
      <c r="W418" s="263"/>
      <c r="X418" s="263"/>
      <c r="Y418" s="263"/>
    </row>
    <row r="419" spans="12:25" x14ac:dyDescent="0.35">
      <c r="L419" s="263"/>
      <c r="M419" s="263"/>
      <c r="N419" s="263"/>
      <c r="O419" s="263"/>
      <c r="P419" s="263"/>
      <c r="Q419" s="263"/>
      <c r="R419" s="263"/>
      <c r="S419" s="263"/>
      <c r="T419" s="263"/>
      <c r="U419" s="263"/>
      <c r="V419" s="263"/>
      <c r="W419" s="263"/>
      <c r="X419" s="263"/>
      <c r="Y419" s="263"/>
    </row>
    <row r="420" spans="12:25" x14ac:dyDescent="0.35">
      <c r="L420" s="263"/>
      <c r="M420" s="263"/>
      <c r="N420" s="263"/>
      <c r="O420" s="263"/>
      <c r="P420" s="263"/>
      <c r="Q420" s="263"/>
      <c r="R420" s="263"/>
      <c r="S420" s="263"/>
      <c r="T420" s="263"/>
      <c r="U420" s="263"/>
      <c r="V420" s="263"/>
      <c r="W420" s="263"/>
      <c r="X420" s="263"/>
      <c r="Y420" s="263"/>
    </row>
    <row r="421" spans="12:25" x14ac:dyDescent="0.35">
      <c r="L421" s="263"/>
      <c r="M421" s="263"/>
      <c r="N421" s="263"/>
      <c r="O421" s="263"/>
      <c r="P421" s="263"/>
      <c r="Q421" s="263"/>
      <c r="R421" s="263"/>
      <c r="S421" s="263"/>
      <c r="T421" s="263"/>
      <c r="U421" s="263"/>
      <c r="V421" s="263"/>
      <c r="W421" s="263"/>
      <c r="X421" s="263"/>
      <c r="Y421" s="263"/>
    </row>
    <row r="422" spans="12:25" x14ac:dyDescent="0.35">
      <c r="L422" s="263"/>
      <c r="M422" s="263"/>
      <c r="N422" s="263"/>
      <c r="O422" s="263"/>
      <c r="P422" s="263"/>
      <c r="Q422" s="263"/>
      <c r="R422" s="263"/>
      <c r="S422" s="263"/>
      <c r="T422" s="263"/>
      <c r="U422" s="263"/>
      <c r="V422" s="263"/>
      <c r="W422" s="263"/>
      <c r="X422" s="263"/>
      <c r="Y422" s="263"/>
    </row>
    <row r="423" spans="12:25" x14ac:dyDescent="0.35">
      <c r="L423" s="263"/>
      <c r="M423" s="263"/>
      <c r="N423" s="263"/>
      <c r="O423" s="263"/>
      <c r="P423" s="263"/>
      <c r="Q423" s="263"/>
      <c r="R423" s="263"/>
      <c r="S423" s="263"/>
      <c r="T423" s="263"/>
      <c r="U423" s="263"/>
      <c r="V423" s="263"/>
      <c r="W423" s="263"/>
      <c r="X423" s="263"/>
      <c r="Y423" s="263"/>
    </row>
    <row r="424" spans="12:25" x14ac:dyDescent="0.35">
      <c r="L424" s="263"/>
      <c r="M424" s="263"/>
      <c r="N424" s="263"/>
      <c r="O424" s="263"/>
      <c r="P424" s="263"/>
      <c r="Q424" s="263"/>
      <c r="R424" s="263"/>
      <c r="S424" s="263"/>
      <c r="T424" s="263"/>
      <c r="U424" s="263"/>
      <c r="V424" s="263"/>
      <c r="W424" s="263"/>
      <c r="X424" s="263"/>
      <c r="Y424" s="263"/>
    </row>
    <row r="425" spans="12:25" x14ac:dyDescent="0.35">
      <c r="L425" s="263"/>
      <c r="M425" s="263"/>
      <c r="N425" s="263"/>
      <c r="O425" s="263"/>
      <c r="P425" s="263"/>
      <c r="Q425" s="263"/>
      <c r="R425" s="263"/>
      <c r="S425" s="263"/>
      <c r="T425" s="263"/>
      <c r="U425" s="263"/>
      <c r="V425" s="263"/>
      <c r="W425" s="263"/>
      <c r="X425" s="263"/>
      <c r="Y425" s="263"/>
    </row>
    <row r="426" spans="12:25" x14ac:dyDescent="0.35">
      <c r="L426" s="263"/>
      <c r="M426" s="263"/>
      <c r="N426" s="263"/>
      <c r="O426" s="263"/>
      <c r="P426" s="263"/>
      <c r="Q426" s="263"/>
      <c r="R426" s="263"/>
      <c r="S426" s="263"/>
      <c r="T426" s="263"/>
      <c r="U426" s="263"/>
      <c r="V426" s="263"/>
      <c r="W426" s="263"/>
      <c r="X426" s="263"/>
      <c r="Y426" s="263"/>
    </row>
    <row r="427" spans="12:25" x14ac:dyDescent="0.35">
      <c r="L427" s="263"/>
      <c r="M427" s="263"/>
      <c r="N427" s="263"/>
      <c r="O427" s="263"/>
      <c r="P427" s="263"/>
      <c r="Q427" s="263"/>
      <c r="R427" s="263"/>
      <c r="S427" s="263"/>
      <c r="T427" s="263"/>
      <c r="U427" s="263"/>
      <c r="V427" s="263"/>
      <c r="W427" s="263"/>
      <c r="X427" s="263"/>
      <c r="Y427" s="263"/>
    </row>
    <row r="428" spans="12:25" x14ac:dyDescent="0.35">
      <c r="L428" s="263"/>
      <c r="M428" s="263"/>
      <c r="N428" s="263"/>
      <c r="O428" s="263"/>
      <c r="P428" s="263"/>
      <c r="Q428" s="263"/>
      <c r="R428" s="263"/>
      <c r="S428" s="263"/>
      <c r="T428" s="263"/>
      <c r="U428" s="263"/>
      <c r="V428" s="263"/>
      <c r="W428" s="263"/>
      <c r="X428" s="263"/>
      <c r="Y428" s="263"/>
    </row>
    <row r="429" spans="12:25" x14ac:dyDescent="0.35">
      <c r="L429" s="263"/>
      <c r="M429" s="263"/>
      <c r="N429" s="263"/>
      <c r="O429" s="263"/>
      <c r="P429" s="263"/>
      <c r="Q429" s="263"/>
      <c r="R429" s="263"/>
      <c r="S429" s="263"/>
      <c r="T429" s="263"/>
      <c r="U429" s="263"/>
      <c r="V429" s="263"/>
      <c r="W429" s="263"/>
      <c r="X429" s="263"/>
      <c r="Y429" s="263"/>
    </row>
    <row r="430" spans="12:25" x14ac:dyDescent="0.35">
      <c r="L430" s="263"/>
      <c r="M430" s="263"/>
      <c r="N430" s="263"/>
      <c r="O430" s="263"/>
      <c r="P430" s="263"/>
      <c r="Q430" s="263"/>
      <c r="R430" s="263"/>
      <c r="S430" s="263"/>
      <c r="T430" s="263"/>
      <c r="U430" s="263"/>
      <c r="V430" s="263"/>
      <c r="W430" s="263"/>
      <c r="X430" s="263"/>
      <c r="Y430" s="263"/>
    </row>
    <row r="431" spans="12:25" x14ac:dyDescent="0.35">
      <c r="L431" s="263"/>
      <c r="M431" s="263"/>
      <c r="N431" s="263"/>
      <c r="O431" s="263"/>
      <c r="P431" s="263"/>
      <c r="Q431" s="263"/>
      <c r="R431" s="263"/>
      <c r="S431" s="263"/>
      <c r="T431" s="263"/>
      <c r="U431" s="263"/>
      <c r="V431" s="263"/>
      <c r="W431" s="263"/>
      <c r="X431" s="263"/>
      <c r="Y431" s="263"/>
    </row>
    <row r="432" spans="12:25" x14ac:dyDescent="0.35">
      <c r="L432" s="263"/>
      <c r="M432" s="263"/>
      <c r="N432" s="263"/>
      <c r="O432" s="263"/>
      <c r="P432" s="263"/>
      <c r="Q432" s="263"/>
      <c r="R432" s="263"/>
      <c r="S432" s="263"/>
      <c r="T432" s="263"/>
      <c r="U432" s="263"/>
      <c r="V432" s="263"/>
      <c r="W432" s="263"/>
      <c r="X432" s="263"/>
      <c r="Y432" s="263"/>
    </row>
    <row r="433" spans="12:25" x14ac:dyDescent="0.35">
      <c r="L433" s="263"/>
      <c r="M433" s="263"/>
      <c r="N433" s="263"/>
      <c r="O433" s="263"/>
      <c r="P433" s="263"/>
      <c r="Q433" s="263"/>
      <c r="R433" s="263"/>
      <c r="S433" s="263"/>
      <c r="T433" s="263"/>
      <c r="U433" s="263"/>
      <c r="V433" s="263"/>
      <c r="W433" s="263"/>
      <c r="X433" s="263"/>
      <c r="Y433" s="263"/>
    </row>
    <row r="434" spans="12:25" x14ac:dyDescent="0.35">
      <c r="L434" s="263"/>
      <c r="M434" s="263"/>
      <c r="N434" s="263"/>
      <c r="O434" s="263"/>
      <c r="P434" s="263"/>
      <c r="Q434" s="263"/>
      <c r="R434" s="263"/>
      <c r="S434" s="263"/>
      <c r="T434" s="263"/>
      <c r="U434" s="263"/>
      <c r="V434" s="263"/>
      <c r="W434" s="263"/>
      <c r="X434" s="263"/>
      <c r="Y434" s="263"/>
    </row>
    <row r="435" spans="12:25" x14ac:dyDescent="0.35">
      <c r="L435" s="263"/>
      <c r="M435" s="263"/>
      <c r="N435" s="263"/>
      <c r="O435" s="263"/>
      <c r="P435" s="263"/>
      <c r="Q435" s="263"/>
      <c r="R435" s="263"/>
      <c r="S435" s="263"/>
      <c r="T435" s="263"/>
      <c r="U435" s="263"/>
      <c r="V435" s="263"/>
      <c r="W435" s="263"/>
      <c r="X435" s="263"/>
      <c r="Y435" s="263"/>
    </row>
    <row r="436" spans="12:25" x14ac:dyDescent="0.35">
      <c r="L436" s="263"/>
      <c r="M436" s="263"/>
      <c r="N436" s="263"/>
      <c r="O436" s="263"/>
      <c r="P436" s="263"/>
      <c r="Q436" s="263"/>
      <c r="R436" s="263"/>
      <c r="S436" s="263"/>
      <c r="T436" s="263"/>
      <c r="U436" s="263"/>
      <c r="V436" s="263"/>
      <c r="W436" s="263"/>
      <c r="X436" s="263"/>
      <c r="Y436" s="263"/>
    </row>
    <row r="437" spans="12:25" x14ac:dyDescent="0.35">
      <c r="L437" s="263"/>
      <c r="M437" s="263"/>
      <c r="N437" s="263"/>
      <c r="O437" s="263"/>
      <c r="P437" s="263"/>
      <c r="Q437" s="263"/>
      <c r="R437" s="263"/>
      <c r="S437" s="263"/>
      <c r="T437" s="263"/>
      <c r="U437" s="263"/>
      <c r="V437" s="263"/>
      <c r="W437" s="263"/>
      <c r="X437" s="263"/>
      <c r="Y437" s="263"/>
    </row>
    <row r="438" spans="12:25" x14ac:dyDescent="0.35">
      <c r="L438" s="263"/>
      <c r="M438" s="263"/>
      <c r="N438" s="263"/>
      <c r="O438" s="263"/>
      <c r="P438" s="263"/>
      <c r="Q438" s="263"/>
      <c r="R438" s="263"/>
      <c r="S438" s="263"/>
      <c r="T438" s="263"/>
      <c r="U438" s="263"/>
      <c r="V438" s="263"/>
      <c r="W438" s="263"/>
      <c r="X438" s="263"/>
      <c r="Y438" s="263"/>
    </row>
    <row r="439" spans="12:25" x14ac:dyDescent="0.35">
      <c r="L439" s="263"/>
      <c r="M439" s="263"/>
      <c r="N439" s="263"/>
      <c r="O439" s="263"/>
      <c r="P439" s="263"/>
      <c r="Q439" s="263"/>
      <c r="R439" s="263"/>
      <c r="S439" s="263"/>
      <c r="T439" s="263"/>
      <c r="U439" s="263"/>
      <c r="V439" s="263"/>
      <c r="W439" s="263"/>
      <c r="X439" s="263"/>
      <c r="Y439" s="263"/>
    </row>
    <row r="440" spans="12:25" x14ac:dyDescent="0.35">
      <c r="L440" s="263"/>
      <c r="M440" s="263"/>
      <c r="N440" s="263"/>
      <c r="O440" s="263"/>
      <c r="P440" s="263"/>
      <c r="Q440" s="263"/>
      <c r="R440" s="263"/>
      <c r="S440" s="263"/>
      <c r="T440" s="263"/>
      <c r="U440" s="263"/>
      <c r="V440" s="263"/>
      <c r="W440" s="263"/>
      <c r="X440" s="263"/>
      <c r="Y440" s="263"/>
    </row>
    <row r="441" spans="12:25" x14ac:dyDescent="0.35">
      <c r="L441" s="263"/>
      <c r="M441" s="263"/>
      <c r="N441" s="263"/>
      <c r="O441" s="263"/>
      <c r="P441" s="263"/>
      <c r="Q441" s="263"/>
      <c r="R441" s="263"/>
      <c r="S441" s="263"/>
      <c r="T441" s="263"/>
      <c r="U441" s="263"/>
      <c r="V441" s="263"/>
      <c r="W441" s="263"/>
      <c r="X441" s="263"/>
      <c r="Y441" s="263"/>
    </row>
    <row r="442" spans="12:25" x14ac:dyDescent="0.35">
      <c r="L442" s="263"/>
      <c r="M442" s="263"/>
      <c r="N442" s="263"/>
      <c r="O442" s="263"/>
      <c r="P442" s="263"/>
      <c r="Q442" s="263"/>
      <c r="R442" s="263"/>
      <c r="S442" s="263"/>
      <c r="T442" s="263"/>
      <c r="U442" s="263"/>
      <c r="V442" s="263"/>
      <c r="W442" s="263"/>
      <c r="X442" s="263"/>
      <c r="Y442" s="263"/>
    </row>
    <row r="443" spans="12:25" x14ac:dyDescent="0.35">
      <c r="L443" s="263"/>
      <c r="M443" s="263"/>
      <c r="N443" s="263"/>
      <c r="O443" s="263"/>
      <c r="P443" s="263"/>
      <c r="Q443" s="263"/>
      <c r="R443" s="263"/>
      <c r="S443" s="263"/>
      <c r="T443" s="263"/>
      <c r="U443" s="263"/>
      <c r="V443" s="263"/>
      <c r="W443" s="263"/>
      <c r="X443" s="263"/>
      <c r="Y443" s="263"/>
    </row>
    <row r="444" spans="12:25" x14ac:dyDescent="0.35">
      <c r="L444" s="263"/>
      <c r="M444" s="263"/>
      <c r="N444" s="263"/>
      <c r="O444" s="263"/>
      <c r="P444" s="263"/>
      <c r="Q444" s="263"/>
      <c r="R444" s="263"/>
      <c r="S444" s="263"/>
      <c r="T444" s="263"/>
      <c r="U444" s="263"/>
      <c r="V444" s="263"/>
      <c r="W444" s="263"/>
      <c r="X444" s="263"/>
      <c r="Y444" s="263"/>
    </row>
    <row r="445" spans="12:25" x14ac:dyDescent="0.35">
      <c r="L445" s="263"/>
      <c r="M445" s="263"/>
      <c r="N445" s="263"/>
      <c r="O445" s="263"/>
      <c r="P445" s="263"/>
      <c r="Q445" s="263"/>
      <c r="R445" s="263"/>
      <c r="S445" s="263"/>
      <c r="T445" s="263"/>
      <c r="U445" s="263"/>
      <c r="V445" s="263"/>
      <c r="W445" s="263"/>
      <c r="X445" s="263"/>
      <c r="Y445" s="263"/>
    </row>
    <row r="446" spans="12:25" x14ac:dyDescent="0.35">
      <c r="L446" s="263"/>
      <c r="M446" s="263"/>
      <c r="N446" s="263"/>
      <c r="O446" s="263"/>
      <c r="P446" s="263"/>
      <c r="Q446" s="263"/>
      <c r="R446" s="263"/>
      <c r="S446" s="263"/>
      <c r="T446" s="263"/>
      <c r="U446" s="263"/>
      <c r="V446" s="263"/>
      <c r="W446" s="263"/>
      <c r="X446" s="263"/>
      <c r="Y446" s="263"/>
    </row>
    <row r="447" spans="12:25" x14ac:dyDescent="0.35">
      <c r="L447" s="263"/>
      <c r="M447" s="263"/>
      <c r="N447" s="263"/>
      <c r="O447" s="263"/>
      <c r="P447" s="263"/>
      <c r="Q447" s="263"/>
      <c r="R447" s="263"/>
      <c r="S447" s="263"/>
      <c r="T447" s="263"/>
      <c r="U447" s="263"/>
      <c r="V447" s="263"/>
      <c r="W447" s="263"/>
      <c r="X447" s="263"/>
      <c r="Y447" s="263"/>
    </row>
    <row r="448" spans="12:25" x14ac:dyDescent="0.35">
      <c r="L448" s="263"/>
      <c r="M448" s="263"/>
      <c r="N448" s="263"/>
      <c r="O448" s="263"/>
      <c r="P448" s="263"/>
      <c r="Q448" s="263"/>
      <c r="R448" s="263"/>
      <c r="S448" s="263"/>
      <c r="T448" s="263"/>
      <c r="U448" s="263"/>
      <c r="V448" s="263"/>
      <c r="W448" s="263"/>
      <c r="X448" s="263"/>
      <c r="Y448" s="263"/>
    </row>
    <row r="449" spans="12:25" x14ac:dyDescent="0.35">
      <c r="L449" s="263"/>
      <c r="M449" s="263"/>
      <c r="N449" s="263"/>
      <c r="O449" s="263"/>
      <c r="P449" s="263"/>
      <c r="Q449" s="263"/>
      <c r="R449" s="263"/>
      <c r="S449" s="263"/>
      <c r="T449" s="263"/>
      <c r="U449" s="263"/>
      <c r="V449" s="263"/>
      <c r="W449" s="263"/>
      <c r="X449" s="263"/>
      <c r="Y449" s="263"/>
    </row>
    <row r="450" spans="12:25" x14ac:dyDescent="0.35">
      <c r="L450" s="263"/>
      <c r="M450" s="263"/>
      <c r="N450" s="263"/>
      <c r="O450" s="263"/>
      <c r="P450" s="263"/>
      <c r="Q450" s="263"/>
      <c r="R450" s="263"/>
      <c r="S450" s="263"/>
      <c r="T450" s="263"/>
      <c r="U450" s="263"/>
      <c r="V450" s="263"/>
      <c r="W450" s="263"/>
      <c r="X450" s="263"/>
      <c r="Y450" s="263"/>
    </row>
    <row r="451" spans="12:25" x14ac:dyDescent="0.35">
      <c r="Y451" s="263"/>
    </row>
    <row r="452" spans="12:25" x14ac:dyDescent="0.35">
      <c r="Y452" s="263"/>
    </row>
  </sheetData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B7" sqref="B7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722</v>
      </c>
      <c r="B1" t="s">
        <v>292</v>
      </c>
      <c r="C1" t="s">
        <v>723</v>
      </c>
    </row>
    <row r="2" spans="1:3" x14ac:dyDescent="0.35">
      <c r="A2" t="s">
        <v>724</v>
      </c>
      <c r="B2" t="s">
        <v>348</v>
      </c>
    </row>
    <row r="3" spans="1:3" x14ac:dyDescent="0.35">
      <c r="A3" t="s">
        <v>724</v>
      </c>
      <c r="B3" t="s">
        <v>358</v>
      </c>
    </row>
    <row r="4" spans="1:3" x14ac:dyDescent="0.35">
      <c r="A4" t="s">
        <v>724</v>
      </c>
      <c r="B4" t="s">
        <v>213</v>
      </c>
    </row>
    <row r="5" spans="1:3" x14ac:dyDescent="0.35">
      <c r="A5" t="s">
        <v>724</v>
      </c>
      <c r="B5" t="s">
        <v>214</v>
      </c>
    </row>
    <row r="6" spans="1:3" x14ac:dyDescent="0.35">
      <c r="A6" t="s">
        <v>724</v>
      </c>
      <c r="B6" t="s">
        <v>215</v>
      </c>
    </row>
    <row r="7" spans="1:3" x14ac:dyDescent="0.35">
      <c r="A7" t="s">
        <v>724</v>
      </c>
      <c r="B7" t="s">
        <v>216</v>
      </c>
    </row>
    <row r="8" spans="1:3" x14ac:dyDescent="0.35">
      <c r="A8" t="s">
        <v>724</v>
      </c>
      <c r="B8" t="s">
        <v>217</v>
      </c>
    </row>
    <row r="9" spans="1:3" x14ac:dyDescent="0.35">
      <c r="A9" t="s">
        <v>724</v>
      </c>
      <c r="B9" t="s">
        <v>218</v>
      </c>
    </row>
    <row r="10" spans="1:3" x14ac:dyDescent="0.35">
      <c r="A10" t="s">
        <v>724</v>
      </c>
      <c r="B10" t="s">
        <v>381</v>
      </c>
      <c r="C10" s="36"/>
    </row>
    <row r="11" spans="1:3" x14ac:dyDescent="0.35">
      <c r="A11" t="s">
        <v>724</v>
      </c>
      <c r="B11" t="s">
        <v>455</v>
      </c>
      <c r="C11" s="36"/>
    </row>
    <row r="12" spans="1:3" x14ac:dyDescent="0.35">
      <c r="A12" t="s">
        <v>724</v>
      </c>
      <c r="B12" t="s">
        <v>456</v>
      </c>
    </row>
    <row r="13" spans="1:3" x14ac:dyDescent="0.35">
      <c r="A13" t="s">
        <v>724</v>
      </c>
      <c r="B13" t="s">
        <v>457</v>
      </c>
    </row>
    <row r="14" spans="1:3" x14ac:dyDescent="0.35">
      <c r="A14" t="s">
        <v>724</v>
      </c>
      <c r="B14" t="s">
        <v>458</v>
      </c>
    </row>
    <row r="15" spans="1:3" x14ac:dyDescent="0.35">
      <c r="A15" t="s">
        <v>724</v>
      </c>
      <c r="B15" t="s">
        <v>459</v>
      </c>
    </row>
    <row r="16" spans="1:3" x14ac:dyDescent="0.35">
      <c r="A16" t="s">
        <v>366</v>
      </c>
      <c r="B16" t="s">
        <v>367</v>
      </c>
    </row>
    <row r="17" spans="1:2" x14ac:dyDescent="0.35">
      <c r="A17" t="s">
        <v>366</v>
      </c>
      <c r="B17" t="s">
        <v>367</v>
      </c>
    </row>
    <row r="18" spans="1:2" x14ac:dyDescent="0.35">
      <c r="A18" t="s">
        <v>366</v>
      </c>
      <c r="B18" t="s">
        <v>367</v>
      </c>
    </row>
    <row r="19" spans="1:2" x14ac:dyDescent="0.35">
      <c r="A19" t="s">
        <v>366</v>
      </c>
      <c r="B19" t="s">
        <v>367</v>
      </c>
    </row>
    <row r="20" spans="1:2" x14ac:dyDescent="0.35">
      <c r="A20" t="s">
        <v>366</v>
      </c>
      <c r="B20" t="s">
        <v>367</v>
      </c>
    </row>
    <row r="21" spans="1:2" x14ac:dyDescent="0.35">
      <c r="A21" t="s">
        <v>366</v>
      </c>
      <c r="B21" t="s">
        <v>367</v>
      </c>
    </row>
    <row r="22" spans="1:2" x14ac:dyDescent="0.35">
      <c r="A22" t="s">
        <v>366</v>
      </c>
      <c r="B22" t="s">
        <v>367</v>
      </c>
    </row>
    <row r="23" spans="1:2" x14ac:dyDescent="0.35">
      <c r="A23" t="s">
        <v>366</v>
      </c>
      <c r="B23" t="s">
        <v>367</v>
      </c>
    </row>
    <row r="24" spans="1:2" x14ac:dyDescent="0.35">
      <c r="A24" t="s">
        <v>366</v>
      </c>
      <c r="B24" t="s">
        <v>367</v>
      </c>
    </row>
    <row r="25" spans="1:2" x14ac:dyDescent="0.35">
      <c r="A25" t="s">
        <v>366</v>
      </c>
      <c r="B25" t="s">
        <v>367</v>
      </c>
    </row>
    <row r="26" spans="1:2" x14ac:dyDescent="0.35">
      <c r="A26" t="s">
        <v>366</v>
      </c>
      <c r="B26" t="s">
        <v>367</v>
      </c>
    </row>
    <row r="27" spans="1:2" x14ac:dyDescent="0.35">
      <c r="A27" t="s">
        <v>366</v>
      </c>
      <c r="B27" t="s">
        <v>367</v>
      </c>
    </row>
    <row r="28" spans="1:2" x14ac:dyDescent="0.35">
      <c r="A28" t="s">
        <v>366</v>
      </c>
      <c r="B28" t="s">
        <v>367</v>
      </c>
    </row>
    <row r="29" spans="1:2" x14ac:dyDescent="0.35">
      <c r="A29" t="s">
        <v>366</v>
      </c>
      <c r="B29" t="s">
        <v>367</v>
      </c>
    </row>
    <row r="30" spans="1:2" x14ac:dyDescent="0.35">
      <c r="A30" t="s">
        <v>366</v>
      </c>
      <c r="B30" t="s">
        <v>367</v>
      </c>
    </row>
    <row r="31" spans="1:2" x14ac:dyDescent="0.35">
      <c r="A31" t="s">
        <v>366</v>
      </c>
      <c r="B31" t="s">
        <v>367</v>
      </c>
    </row>
    <row r="32" spans="1:2" x14ac:dyDescent="0.35">
      <c r="A32" t="s">
        <v>366</v>
      </c>
      <c r="B32" t="s">
        <v>367</v>
      </c>
    </row>
    <row r="33" spans="1:2" x14ac:dyDescent="0.35">
      <c r="A33" t="s">
        <v>366</v>
      </c>
      <c r="B33" t="s">
        <v>367</v>
      </c>
    </row>
    <row r="34" spans="1:2" x14ac:dyDescent="0.35">
      <c r="A34" t="s">
        <v>366</v>
      </c>
      <c r="B34" t="s">
        <v>367</v>
      </c>
    </row>
    <row r="35" spans="1:2" x14ac:dyDescent="0.35">
      <c r="A35" t="s">
        <v>366</v>
      </c>
      <c r="B35" t="s">
        <v>367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pageSetUpPr autoPageBreaks="0"/>
  </sheetPr>
  <dimension ref="A2:M208"/>
  <sheetViews>
    <sheetView zoomScaleNormal="100" workbookViewId="0">
      <selection activeCell="B81" sqref="B81"/>
    </sheetView>
  </sheetViews>
  <sheetFormatPr defaultColWidth="10.73046875" defaultRowHeight="12.65" customHeight="1" x14ac:dyDescent="0.35"/>
  <cols>
    <col min="1" max="1" width="2.73046875" style="57" customWidth="1"/>
    <col min="2" max="2" width="2.59765625" style="60" customWidth="1"/>
    <col min="3" max="3" width="14" style="57" customWidth="1"/>
    <col min="4" max="4" width="11.265625" style="57" customWidth="1"/>
    <col min="5" max="5" width="12.73046875" style="57" customWidth="1"/>
    <col min="6" max="6" width="10.73046875" style="57" customWidth="1"/>
    <col min="7" max="10" width="11.265625" style="57" customWidth="1"/>
    <col min="11" max="11" width="10.73046875" style="57" customWidth="1"/>
    <col min="12" max="12" width="10.73046875" style="100" customWidth="1"/>
    <col min="13" max="16384" width="10.73046875" style="57"/>
  </cols>
  <sheetData>
    <row r="2" spans="1:12" ht="12.65" customHeight="1" x14ac:dyDescent="0.35">
      <c r="B2" s="81"/>
      <c r="C2" s="82" t="s">
        <v>1427</v>
      </c>
      <c r="D2" s="55">
        <f ca="1">TODAY()</f>
        <v>42194</v>
      </c>
      <c r="E2" s="82" t="s">
        <v>1428</v>
      </c>
      <c r="F2" s="375" t="str">
        <f>AchterNaam&amp;", "&amp;VoorNaam</f>
        <v>Achternaam, Voornaam</v>
      </c>
      <c r="G2" s="375"/>
      <c r="H2" s="83" t="s">
        <v>873</v>
      </c>
      <c r="I2" s="57" t="str">
        <f>Gewicht/10&amp;" kg"</f>
        <v>10 kg</v>
      </c>
      <c r="J2" s="56"/>
      <c r="L2" s="99"/>
    </row>
    <row r="3" spans="1:12" ht="12.65" customHeight="1" x14ac:dyDescent="0.35">
      <c r="B3" s="81"/>
      <c r="C3" s="82" t="s">
        <v>612</v>
      </c>
      <c r="D3" s="58">
        <f ca="1">AfspraakDatum-OpnDatum+1</f>
        <v>832</v>
      </c>
      <c r="E3" s="82" t="s">
        <v>1426</v>
      </c>
      <c r="F3" s="59">
        <f>GebDatum</f>
        <v>40909</v>
      </c>
      <c r="G3" s="56"/>
      <c r="H3" s="83" t="s">
        <v>407</v>
      </c>
      <c r="I3" s="57" t="str">
        <f>Lengte&amp;" cm"</f>
        <v>80 cm</v>
      </c>
      <c r="J3" s="56"/>
      <c r="L3" s="99"/>
    </row>
    <row r="4" spans="1:12" ht="12" customHeight="1" x14ac:dyDescent="0.35">
      <c r="D4" s="56"/>
      <c r="F4" s="56"/>
      <c r="H4" s="83" t="s">
        <v>409</v>
      </c>
      <c r="I4" s="57" t="str">
        <f>ROUND(POWER(Gewicht/10,0.425)*POWER(((Lengte/100)*100),0.725)*0.007184,2)&amp;" m2"</f>
        <v>0,46 m2</v>
      </c>
      <c r="L4" s="99"/>
    </row>
    <row r="5" spans="1:12" ht="14.15" customHeight="1" x14ac:dyDescent="0.35">
      <c r="A5" s="64"/>
      <c r="B5" s="69" t="str">
        <f>Intake!C7</f>
        <v>Voeding</v>
      </c>
      <c r="C5" s="64"/>
      <c r="D5" s="64"/>
      <c r="E5" s="64"/>
      <c r="F5" s="64"/>
      <c r="G5" s="64"/>
      <c r="H5" s="64"/>
      <c r="I5" s="64"/>
      <c r="J5" s="64"/>
      <c r="K5" s="60"/>
      <c r="L5" s="99"/>
    </row>
    <row r="6" spans="1:12" ht="14.15" customHeight="1" x14ac:dyDescent="0.35">
      <c r="B6" s="81"/>
      <c r="C6" s="83" t="s">
        <v>703</v>
      </c>
      <c r="D6" s="83"/>
      <c r="E6" s="57" t="str">
        <f>INDEX(tblSonde,ber_PO!A1,1)</f>
        <v>Geen sonde</v>
      </c>
      <c r="K6" s="60"/>
      <c r="L6" s="99"/>
    </row>
    <row r="7" spans="1:12" ht="14.15" customHeight="1" x14ac:dyDescent="0.35">
      <c r="C7" s="57">
        <f>IF(E7&lt;&gt;"",INDEX(tblVoedingPO,KeuzePO_1,1),)</f>
        <v>0</v>
      </c>
      <c r="D7" s="57" t="str">
        <f>Intake!G8</f>
        <v/>
      </c>
      <c r="E7" s="57" t="str">
        <f>Intake!C8&amp;" "&amp;Intake!D8</f>
        <v xml:space="preserve"> </v>
      </c>
      <c r="F7" s="63" t="str">
        <f>IF(KeuzePO_2&gt;1,"met "&amp;Intake!C9&amp;" "&amp;Intake!D9&amp;" "&amp;INDEX(ber_PO!B22:B39,KeuzePO_2,1),"")</f>
        <v/>
      </c>
      <c r="I7" s="57" t="str">
        <f>Intake!I9</f>
        <v/>
      </c>
      <c r="K7" s="60"/>
      <c r="L7" s="99"/>
    </row>
    <row r="8" spans="1:12" ht="12.65" customHeight="1" x14ac:dyDescent="0.35">
      <c r="B8" s="81"/>
      <c r="C8" s="83"/>
      <c r="D8" s="83"/>
      <c r="F8" s="63" t="str">
        <f>IF(ber_PO!P24&gt;1,"met "&amp;Intake!C10&amp;" "&amp;Intake!D10&amp;" "&amp;INDEX(ber_PO!B22:B33,KeuzePO_3,1),"")</f>
        <v/>
      </c>
      <c r="I8" s="57" t="str">
        <f>Intake!I10</f>
        <v/>
      </c>
      <c r="K8" s="60"/>
      <c r="L8" s="99"/>
    </row>
    <row r="9" spans="1:12" ht="12.65" customHeight="1" x14ac:dyDescent="0.35">
      <c r="B9" s="81"/>
      <c r="C9" s="83"/>
      <c r="D9" s="83"/>
      <c r="F9" s="63" t="str">
        <f>IF(ber_PO!P25&gt;1,"met "&amp;Intake!C11&amp;" "&amp;Intake!D11&amp;" "&amp;INDEX(ber_PO!B22:B33,KeuzePO_4,1),"")</f>
        <v/>
      </c>
      <c r="I9" s="57" t="str">
        <f>Intake!I11</f>
        <v/>
      </c>
      <c r="K9" s="62"/>
      <c r="L9" s="99"/>
    </row>
    <row r="10" spans="1:12" ht="12.65" customHeight="1" x14ac:dyDescent="0.35">
      <c r="K10" s="62"/>
      <c r="L10" s="99"/>
    </row>
    <row r="11" spans="1:12" ht="12.65" customHeight="1" x14ac:dyDescent="0.35">
      <c r="A11" s="64"/>
      <c r="B11" s="84"/>
      <c r="C11" s="85" t="s">
        <v>906</v>
      </c>
      <c r="D11" s="376">
        <f>ber_Opm!C15</f>
        <v>0</v>
      </c>
      <c r="E11" s="377"/>
      <c r="F11" s="377"/>
      <c r="G11" s="377"/>
      <c r="H11" s="377"/>
      <c r="I11" s="377"/>
      <c r="J11" s="377"/>
      <c r="K11" s="62"/>
      <c r="L11" s="99"/>
    </row>
    <row r="12" spans="1:12" ht="12.65" customHeight="1" x14ac:dyDescent="0.35">
      <c r="L12" s="99"/>
    </row>
    <row r="13" spans="1:12" ht="12.65" customHeight="1" x14ac:dyDescent="0.35">
      <c r="A13" s="64"/>
      <c r="B13" s="69" t="s">
        <v>381</v>
      </c>
      <c r="C13" s="64"/>
      <c r="D13" s="64"/>
      <c r="E13" s="64"/>
      <c r="F13" s="64"/>
      <c r="G13" s="64"/>
      <c r="H13" s="64"/>
      <c r="I13" s="64"/>
      <c r="J13" s="64"/>
      <c r="L13" s="99"/>
    </row>
    <row r="14" spans="1:12" ht="12.65" customHeight="1" x14ac:dyDescent="0.35">
      <c r="B14" s="83"/>
      <c r="C14" s="83" t="s">
        <v>1176</v>
      </c>
      <c r="D14" s="387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88"/>
      <c r="F14" s="388"/>
      <c r="G14" s="388"/>
      <c r="H14" s="388"/>
      <c r="I14" s="388"/>
      <c r="J14" s="388"/>
      <c r="L14" s="99"/>
    </row>
    <row r="15" spans="1:12" ht="12.65" customHeight="1" x14ac:dyDescent="0.35">
      <c r="B15" s="83"/>
      <c r="C15" s="83" t="s">
        <v>1415</v>
      </c>
      <c r="D15" s="383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84"/>
      <c r="F15" s="384"/>
      <c r="G15" s="384"/>
      <c r="H15" s="384"/>
      <c r="I15" s="384"/>
      <c r="J15" s="384"/>
      <c r="L15" s="99"/>
    </row>
    <row r="16" spans="1:12" ht="12.65" customHeight="1" x14ac:dyDescent="0.35">
      <c r="B16" s="83"/>
      <c r="C16" s="83" t="s">
        <v>1416</v>
      </c>
      <c r="D16" s="383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89"/>
      <c r="F16" s="389"/>
      <c r="G16" s="389"/>
      <c r="H16" s="389"/>
      <c r="I16" s="389"/>
      <c r="J16" s="389"/>
      <c r="L16" s="99"/>
    </row>
    <row r="17" spans="1:12" ht="12.65" customHeight="1" x14ac:dyDescent="0.35">
      <c r="B17" s="83"/>
      <c r="C17" s="83" t="s">
        <v>445</v>
      </c>
      <c r="D17" s="383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89"/>
      <c r="F17" s="389"/>
      <c r="G17" s="389"/>
      <c r="H17" s="389"/>
      <c r="I17" s="389"/>
      <c r="J17" s="389"/>
      <c r="L17" s="99"/>
    </row>
    <row r="18" spans="1:12" ht="12.65" customHeight="1" x14ac:dyDescent="0.35">
      <c r="B18" s="83"/>
      <c r="C18" s="88" t="s">
        <v>71</v>
      </c>
      <c r="D18" s="383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90"/>
      <c r="F18" s="390"/>
      <c r="G18" s="390"/>
      <c r="H18" s="390"/>
      <c r="I18" s="390"/>
      <c r="J18" s="390"/>
      <c r="L18" s="99"/>
    </row>
    <row r="19" spans="1:12" ht="12.65" customHeight="1" x14ac:dyDescent="0.35">
      <c r="B19" s="83"/>
      <c r="C19" s="88" t="s">
        <v>906</v>
      </c>
      <c r="D19" s="378">
        <f>ber_Opm!C10</f>
        <v>0</v>
      </c>
      <c r="E19" s="379"/>
      <c r="F19" s="379"/>
      <c r="G19" s="379"/>
      <c r="H19" s="379"/>
      <c r="I19" s="379"/>
      <c r="J19" s="379"/>
      <c r="L19" s="99"/>
    </row>
    <row r="20" spans="1:12" ht="12.65" customHeight="1" x14ac:dyDescent="0.35">
      <c r="A20" s="64"/>
      <c r="B20" s="85"/>
      <c r="C20" s="87"/>
      <c r="D20" s="380"/>
      <c r="E20" s="380"/>
      <c r="F20" s="380"/>
      <c r="G20" s="380"/>
      <c r="H20" s="380"/>
      <c r="I20" s="380"/>
      <c r="J20" s="380"/>
      <c r="L20" s="99"/>
    </row>
    <row r="21" spans="1:12" ht="12.65" customHeight="1" x14ac:dyDescent="0.35">
      <c r="L21" s="99"/>
    </row>
    <row r="22" spans="1:12" ht="12.65" customHeight="1" x14ac:dyDescent="0.35">
      <c r="A22" s="64"/>
      <c r="B22" s="69" t="s">
        <v>227</v>
      </c>
      <c r="C22" s="66"/>
      <c r="D22" s="64"/>
      <c r="E22" s="64"/>
      <c r="F22" s="64"/>
      <c r="G22" s="64"/>
      <c r="H22" s="64"/>
      <c r="I22" s="64"/>
      <c r="J22" s="64"/>
      <c r="L22" s="99"/>
    </row>
    <row r="23" spans="1:12" ht="12.65" customHeight="1" x14ac:dyDescent="0.35">
      <c r="B23" s="60" t="s">
        <v>886</v>
      </c>
      <c r="C23" s="57">
        <f>INDEX(tblAanvAfspr,ber_Infusen!M1,1)</f>
        <v>0</v>
      </c>
      <c r="L23" s="99"/>
    </row>
    <row r="24" spans="1:12" ht="12.65" customHeight="1" x14ac:dyDescent="0.35">
      <c r="B24" s="60" t="s">
        <v>887</v>
      </c>
      <c r="C24" s="57">
        <f>INDEX(tblAanvAfspr,ber_Infusen!M2,1)</f>
        <v>0</v>
      </c>
      <c r="L24" s="99"/>
    </row>
    <row r="25" spans="1:12" ht="12.65" customHeight="1" x14ac:dyDescent="0.35">
      <c r="B25" s="60" t="s">
        <v>888</v>
      </c>
      <c r="C25" s="57">
        <f>INDEX(tblAanvAfspr,ber_Infusen!M3,1)</f>
        <v>0</v>
      </c>
      <c r="L25" s="99"/>
    </row>
    <row r="26" spans="1:12" ht="12.65" customHeight="1" x14ac:dyDescent="0.35">
      <c r="B26" s="60" t="s">
        <v>889</v>
      </c>
      <c r="C26" s="57">
        <f>INDEX(tblAanvAfspr,ber_Infusen!M4,1)</f>
        <v>0</v>
      </c>
      <c r="L26" s="99"/>
    </row>
    <row r="27" spans="1:12" ht="12.65" customHeight="1" x14ac:dyDescent="0.35">
      <c r="B27" s="60" t="s">
        <v>890</v>
      </c>
      <c r="C27" s="57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99"/>
    </row>
    <row r="28" spans="1:12" ht="12.65" customHeight="1" x14ac:dyDescent="0.35">
      <c r="B28" s="60" t="s">
        <v>228</v>
      </c>
      <c r="C28" s="382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82"/>
      <c r="E28" s="382"/>
      <c r="F28" s="382"/>
      <c r="G28" s="382"/>
      <c r="H28" s="382"/>
      <c r="I28" s="382"/>
      <c r="J28" s="382"/>
      <c r="L28" s="99"/>
    </row>
    <row r="29" spans="1:12" ht="12.65" customHeight="1" x14ac:dyDescent="0.35">
      <c r="C29" s="382"/>
      <c r="D29" s="382"/>
      <c r="E29" s="382"/>
      <c r="F29" s="382"/>
      <c r="G29" s="382"/>
      <c r="H29" s="382"/>
      <c r="I29" s="382"/>
      <c r="J29" s="382"/>
      <c r="L29" s="99"/>
    </row>
    <row r="30" spans="1:12" ht="12.65" customHeight="1" x14ac:dyDescent="0.35">
      <c r="B30" s="60" t="s">
        <v>229</v>
      </c>
      <c r="C30" s="385">
        <f>ber_Opm!C11</f>
        <v>0</v>
      </c>
      <c r="D30" s="385"/>
      <c r="E30" s="385"/>
      <c r="F30" s="385"/>
      <c r="G30" s="385"/>
      <c r="H30" s="385"/>
      <c r="I30" s="385"/>
      <c r="J30" s="385"/>
      <c r="L30" s="99"/>
    </row>
    <row r="31" spans="1:12" ht="7" customHeight="1" x14ac:dyDescent="0.35">
      <c r="C31" s="386"/>
      <c r="D31" s="386"/>
      <c r="E31" s="386"/>
      <c r="F31" s="386"/>
      <c r="G31" s="386"/>
      <c r="H31" s="386"/>
      <c r="I31" s="386"/>
      <c r="J31" s="386"/>
      <c r="L31" s="99"/>
    </row>
    <row r="32" spans="1:12" ht="7" customHeight="1" x14ac:dyDescent="0.35">
      <c r="C32" s="386"/>
      <c r="D32" s="386"/>
      <c r="E32" s="386"/>
      <c r="F32" s="386"/>
      <c r="G32" s="386"/>
      <c r="H32" s="386"/>
      <c r="I32" s="386"/>
      <c r="J32" s="386"/>
      <c r="L32" s="99"/>
    </row>
    <row r="33" spans="1:12" ht="7" customHeight="1" x14ac:dyDescent="0.35">
      <c r="C33" s="386"/>
      <c r="D33" s="386"/>
      <c r="E33" s="386"/>
      <c r="F33" s="386"/>
      <c r="G33" s="386"/>
      <c r="H33" s="386"/>
      <c r="I33" s="386"/>
      <c r="J33" s="386"/>
      <c r="L33" s="99"/>
    </row>
    <row r="34" spans="1:12" ht="12.65" customHeight="1" x14ac:dyDescent="0.35">
      <c r="B34" s="60">
        <v>8</v>
      </c>
      <c r="C34" s="326" t="s">
        <v>224</v>
      </c>
      <c r="D34" s="325"/>
      <c r="E34" s="325"/>
      <c r="F34" s="325"/>
      <c r="G34" s="325"/>
      <c r="H34" s="325"/>
      <c r="I34" s="325"/>
      <c r="J34" s="325"/>
      <c r="L34" s="99"/>
    </row>
    <row r="35" spans="1:12" ht="12.65" customHeight="1" x14ac:dyDescent="0.35">
      <c r="C35" s="326"/>
      <c r="D35" s="325"/>
      <c r="E35" s="325"/>
      <c r="F35" s="325"/>
      <c r="G35" s="325"/>
      <c r="H35" s="325"/>
      <c r="I35" s="325"/>
      <c r="J35" s="325"/>
      <c r="L35" s="99"/>
    </row>
    <row r="36" spans="1:12" ht="12.65" customHeight="1" x14ac:dyDescent="0.35">
      <c r="C36" s="326"/>
      <c r="D36" s="325"/>
      <c r="E36" s="325"/>
      <c r="F36" s="325"/>
      <c r="G36" s="325"/>
      <c r="H36" s="325"/>
      <c r="I36" s="325"/>
      <c r="J36" s="325"/>
      <c r="L36" s="99"/>
    </row>
    <row r="37" spans="1:12" ht="12.65" customHeight="1" x14ac:dyDescent="0.35">
      <c r="C37" s="326"/>
      <c r="D37" s="325"/>
      <c r="E37" s="325"/>
      <c r="F37" s="325"/>
      <c r="G37" s="325"/>
      <c r="H37" s="325"/>
      <c r="I37" s="325"/>
      <c r="J37" s="325"/>
      <c r="L37" s="99"/>
    </row>
    <row r="38" spans="1:12" ht="12.65" customHeight="1" x14ac:dyDescent="0.35">
      <c r="C38" s="326"/>
      <c r="D38" s="325"/>
      <c r="E38" s="325"/>
      <c r="F38" s="325"/>
      <c r="G38" s="325"/>
      <c r="H38" s="325"/>
      <c r="I38" s="325"/>
      <c r="J38" s="325"/>
      <c r="L38" s="99"/>
    </row>
    <row r="39" spans="1:12" ht="12.65" customHeight="1" x14ac:dyDescent="0.35">
      <c r="B39" s="70" t="s">
        <v>288</v>
      </c>
      <c r="C39" s="64"/>
      <c r="D39" s="64"/>
      <c r="F39" s="64" t="s">
        <v>1413</v>
      </c>
      <c r="G39" s="64"/>
      <c r="H39" s="64"/>
      <c r="I39" s="64"/>
      <c r="L39" s="99"/>
    </row>
    <row r="40" spans="1:12" ht="12.65" customHeight="1" x14ac:dyDescent="0.35">
      <c r="L40" s="99"/>
    </row>
    <row r="41" spans="1:12" ht="12.65" customHeight="1" x14ac:dyDescent="0.35">
      <c r="B41" s="81"/>
      <c r="C41" s="82" t="s">
        <v>1427</v>
      </c>
      <c r="D41" s="55">
        <f ca="1">TODAY()</f>
        <v>42194</v>
      </c>
      <c r="E41" s="82" t="s">
        <v>1428</v>
      </c>
      <c r="F41" s="375" t="str">
        <f>AchterNaam&amp;", "&amp;VoorNaam</f>
        <v>Achternaam, Voornaam</v>
      </c>
      <c r="G41" s="375"/>
      <c r="H41" s="83" t="s">
        <v>873</v>
      </c>
      <c r="I41" s="57" t="str">
        <f>Gewicht/10&amp;" kg"</f>
        <v>10 kg</v>
      </c>
      <c r="J41" s="349"/>
      <c r="L41" s="99"/>
    </row>
    <row r="42" spans="1:12" ht="12.65" customHeight="1" x14ac:dyDescent="0.35">
      <c r="B42" s="81"/>
      <c r="C42" s="82" t="s">
        <v>612</v>
      </c>
      <c r="D42" s="58">
        <f ca="1">AfspraakDatum-OpnDatum+1</f>
        <v>832</v>
      </c>
      <c r="E42" s="82" t="s">
        <v>1426</v>
      </c>
      <c r="F42" s="59">
        <f>GebDatum</f>
        <v>40909</v>
      </c>
      <c r="G42" s="349"/>
      <c r="H42" s="83" t="s">
        <v>407</v>
      </c>
      <c r="I42" s="57" t="str">
        <f>Lengte&amp;" cm"</f>
        <v>80 cm</v>
      </c>
      <c r="J42" s="349"/>
      <c r="L42" s="99"/>
    </row>
    <row r="43" spans="1:12" ht="12.65" customHeight="1" x14ac:dyDescent="0.35">
      <c r="D43" s="349"/>
      <c r="F43" s="349"/>
      <c r="H43" s="83" t="s">
        <v>409</v>
      </c>
      <c r="I43" s="57" t="str">
        <f>ROUND(POWER(Gewicht/10,0.425)*POWER(((Lengte/100)*100),0.725)*0.007184,2)&amp;" m2"</f>
        <v>0,46 m2</v>
      </c>
      <c r="L43" s="99"/>
    </row>
    <row r="44" spans="1:12" ht="12.65" customHeight="1" x14ac:dyDescent="0.35">
      <c r="D44" s="56"/>
      <c r="F44" s="56"/>
      <c r="L44" s="99"/>
    </row>
    <row r="45" spans="1:12" ht="12.65" customHeight="1" x14ac:dyDescent="0.35">
      <c r="A45" s="64"/>
      <c r="B45" s="69" t="s">
        <v>96</v>
      </c>
      <c r="C45" s="66"/>
      <c r="D45" s="64"/>
      <c r="E45" s="64"/>
      <c r="F45" s="64"/>
      <c r="G45" s="64"/>
      <c r="H45" s="67"/>
      <c r="I45" s="67"/>
      <c r="J45" s="67"/>
      <c r="L45" s="99"/>
    </row>
    <row r="46" spans="1:12" ht="12.65" customHeight="1" x14ac:dyDescent="0.35">
      <c r="B46" s="60">
        <v>1</v>
      </c>
      <c r="C46" s="57">
        <f>INDEX(tblInfusen,ber_Infusen!E2,1)</f>
        <v>0</v>
      </c>
      <c r="H46" s="61"/>
      <c r="I46" s="61"/>
      <c r="J46" s="61"/>
      <c r="L46" s="99" t="str">
        <f t="shared" ref="L46:L51" si="0">IF(C46=0,"D","")</f>
        <v>D</v>
      </c>
    </row>
    <row r="47" spans="1:12" ht="12.65" customHeight="1" x14ac:dyDescent="0.35">
      <c r="B47" s="60">
        <v>2</v>
      </c>
      <c r="C47" s="57">
        <f>INDEX(tblInfusen,ber_Infusen!E3,1)</f>
        <v>0</v>
      </c>
      <c r="H47" s="61"/>
      <c r="I47" s="61"/>
      <c r="J47" s="61"/>
      <c r="L47" s="99" t="str">
        <f t="shared" si="0"/>
        <v>D</v>
      </c>
    </row>
    <row r="48" spans="1:12" ht="12.65" customHeight="1" x14ac:dyDescent="0.35">
      <c r="B48" s="60">
        <v>3</v>
      </c>
      <c r="C48" s="57">
        <f>INDEX(tblInfusen,ber_Infusen!E4,1)</f>
        <v>0</v>
      </c>
      <c r="H48" s="61"/>
      <c r="I48" s="61"/>
      <c r="J48" s="61"/>
      <c r="L48" s="99" t="str">
        <f t="shared" si="0"/>
        <v>D</v>
      </c>
    </row>
    <row r="49" spans="1:12" ht="12.65" customHeight="1" x14ac:dyDescent="0.35">
      <c r="B49" s="60">
        <v>4</v>
      </c>
      <c r="C49" s="57">
        <f>INDEX(tblInfusen,ber_Infusen!E5,1)</f>
        <v>0</v>
      </c>
      <c r="H49" s="61"/>
      <c r="I49" s="61"/>
      <c r="J49" s="61"/>
      <c r="L49" s="99" t="str">
        <f t="shared" si="0"/>
        <v>D</v>
      </c>
    </row>
    <row r="50" spans="1:12" ht="12.65" customHeight="1" x14ac:dyDescent="0.35">
      <c r="B50" s="60">
        <v>5</v>
      </c>
      <c r="C50" s="57">
        <f>INDEX(tblInfusen,ber_Infusen!E6,1)</f>
        <v>0</v>
      </c>
      <c r="H50" s="61"/>
      <c r="I50" s="61"/>
      <c r="J50" s="61"/>
      <c r="L50" s="99" t="str">
        <f t="shared" si="0"/>
        <v>D</v>
      </c>
    </row>
    <row r="51" spans="1:12" ht="12.65" customHeight="1" x14ac:dyDescent="0.35">
      <c r="B51" s="60">
        <v>6</v>
      </c>
      <c r="C51" s="57">
        <f>INDEX(tblInfusen,ber_Infusen!E7,1)</f>
        <v>0</v>
      </c>
      <c r="H51" s="61"/>
      <c r="I51" s="61"/>
      <c r="J51" s="61"/>
      <c r="L51" s="99" t="str">
        <f t="shared" si="0"/>
        <v>D</v>
      </c>
    </row>
    <row r="52" spans="1:12" ht="12.65" customHeight="1" x14ac:dyDescent="0.35">
      <c r="H52" s="61"/>
      <c r="I52" s="61"/>
      <c r="J52" s="61"/>
      <c r="L52" s="99"/>
    </row>
    <row r="53" spans="1:12" ht="12.65" customHeight="1" x14ac:dyDescent="0.35">
      <c r="A53" s="64"/>
      <c r="B53" s="84"/>
      <c r="C53" s="85" t="s">
        <v>906</v>
      </c>
      <c r="D53" s="376">
        <f>ber_Opm!C3</f>
        <v>0</v>
      </c>
      <c r="E53" s="377"/>
      <c r="F53" s="377"/>
      <c r="G53" s="377"/>
      <c r="H53" s="377"/>
      <c r="I53" s="377"/>
      <c r="J53" s="377"/>
      <c r="L53" s="99"/>
    </row>
    <row r="54" spans="1:12" ht="12.65" customHeight="1" x14ac:dyDescent="0.35">
      <c r="L54" s="99"/>
    </row>
    <row r="55" spans="1:12" ht="12.65" customHeight="1" x14ac:dyDescent="0.35">
      <c r="L55" s="99"/>
    </row>
    <row r="56" spans="1:12" ht="12.65" customHeight="1" x14ac:dyDescent="0.35">
      <c r="A56" s="64"/>
      <c r="B56" s="69" t="s">
        <v>907</v>
      </c>
      <c r="C56" s="64"/>
      <c r="D56" s="64"/>
      <c r="E56" s="64"/>
      <c r="F56" s="64"/>
      <c r="G56" s="64"/>
      <c r="H56" s="64"/>
      <c r="I56" s="64"/>
      <c r="J56" s="64"/>
      <c r="L56" s="99"/>
    </row>
    <row r="57" spans="1:12" ht="12.65" customHeight="1" x14ac:dyDescent="0.35">
      <c r="B57" s="81"/>
      <c r="C57" s="83" t="s">
        <v>934</v>
      </c>
      <c r="D57" s="83"/>
      <c r="E57" s="83" t="s">
        <v>299</v>
      </c>
      <c r="F57" s="83"/>
      <c r="G57" s="83" t="s">
        <v>937</v>
      </c>
      <c r="H57" s="83"/>
      <c r="I57" s="83"/>
      <c r="J57" s="83" t="s">
        <v>588</v>
      </c>
      <c r="L57" s="99"/>
    </row>
    <row r="58" spans="1:12" ht="12.65" customHeight="1" x14ac:dyDescent="0.35">
      <c r="B58" s="60">
        <v>1</v>
      </c>
      <c r="C58" s="57">
        <f>MedicatieIV!C8</f>
        <v>0</v>
      </c>
      <c r="E58" s="57" t="str">
        <f>IF(C58&lt;&gt;0,MedicatieIV!D8&amp;" in "&amp;MedicatieIV!E8&amp;IF(AND(ber_IVmed!D5&lt;&gt;4,MedicatieIV!F8&lt;&gt;0)," "&amp;MedicatieIV!F8,""),"")</f>
        <v/>
      </c>
      <c r="G58" s="57" t="str">
        <f>IF(C58&lt;&gt;0,MedicatieIV!G8&amp;" (="&amp;MedicatieIV!H8&amp;")","")</f>
        <v/>
      </c>
      <c r="J58" s="57" t="str">
        <f>MedicatieIV!I8</f>
        <v/>
      </c>
      <c r="L58" s="99" t="str">
        <f t="shared" ref="L58:L72" si="1">IF(C58=0,"D","")</f>
        <v>D</v>
      </c>
    </row>
    <row r="59" spans="1:12" ht="12.65" customHeight="1" x14ac:dyDescent="0.35">
      <c r="B59" s="60">
        <v>2</v>
      </c>
      <c r="C59" s="57">
        <f>MedicatieIV!C9</f>
        <v>0</v>
      </c>
      <c r="E59" s="57" t="str">
        <f>IF(C59&lt;&gt;0,MedicatieIV!D9&amp;" in "&amp;MedicatieIV!E9&amp;IF(AND(ber_IVmed!D6&lt;&gt;4,MedicatieIV!F9&lt;&gt;0)," "&amp;MedicatieIV!F9,""),"")</f>
        <v/>
      </c>
      <c r="G59" s="57" t="str">
        <f>IF(C59&lt;&gt;0,MedicatieIV!G9&amp;" (="&amp;MedicatieIV!H9&amp;")","")</f>
        <v/>
      </c>
      <c r="J59" s="57" t="str">
        <f>MedicatieIV!I9</f>
        <v/>
      </c>
      <c r="L59" s="99" t="str">
        <f t="shared" si="1"/>
        <v>D</v>
      </c>
    </row>
    <row r="60" spans="1:12" ht="12.65" customHeight="1" x14ac:dyDescent="0.35">
      <c r="B60" s="60">
        <v>3</v>
      </c>
      <c r="C60" s="57">
        <f>MedicatieIV!C10</f>
        <v>0</v>
      </c>
      <c r="E60" s="57" t="str">
        <f>IF(C60&lt;&gt;0,MedicatieIV!D10&amp;" in "&amp;MedicatieIV!E10&amp;IF(AND(ber_IVmed!D7&lt;&gt;4,MedicatieIV!F10&lt;&gt;0)," "&amp;MedicatieIV!F10,""),"")</f>
        <v/>
      </c>
      <c r="G60" s="57" t="str">
        <f>IF(C60&lt;&gt;0,MedicatieIV!G10&amp;" (="&amp;MedicatieIV!H10&amp;")","")</f>
        <v/>
      </c>
      <c r="J60" s="57" t="str">
        <f>MedicatieIV!I10</f>
        <v/>
      </c>
      <c r="L60" s="99" t="str">
        <f t="shared" si="1"/>
        <v>D</v>
      </c>
    </row>
    <row r="61" spans="1:12" ht="12.65" customHeight="1" x14ac:dyDescent="0.35">
      <c r="B61" s="60">
        <v>4</v>
      </c>
      <c r="C61" s="57">
        <f>MedicatieIV!C11</f>
        <v>0</v>
      </c>
      <c r="E61" s="57" t="str">
        <f>IF(C61&lt;&gt;0,MedicatieIV!D11&amp;" in "&amp;MedicatieIV!E11&amp;IF(AND(ber_IVmed!D8&lt;&gt;4,MedicatieIV!F11&lt;&gt;0)," "&amp;MedicatieIV!F11,""),"")</f>
        <v/>
      </c>
      <c r="G61" s="57" t="str">
        <f>IF(C61&lt;&gt;0,MedicatieIV!G11&amp;" (="&amp;MedicatieIV!H11&amp;")","")</f>
        <v/>
      </c>
      <c r="J61" s="57" t="str">
        <f>MedicatieIV!I11</f>
        <v/>
      </c>
      <c r="L61" s="99" t="str">
        <f t="shared" si="1"/>
        <v>D</v>
      </c>
    </row>
    <row r="62" spans="1:12" ht="12.65" customHeight="1" x14ac:dyDescent="0.35">
      <c r="B62" s="60">
        <v>5</v>
      </c>
      <c r="C62" s="57">
        <f>MedicatieIV!C12</f>
        <v>0</v>
      </c>
      <c r="E62" s="57" t="str">
        <f>IF(C62&lt;&gt;0,MedicatieIV!D12&amp;" in "&amp;MedicatieIV!E12&amp;IF(AND(ber_IVmed!D10&lt;&gt;4,MedicatieIV!F12&lt;&gt;0)," "&amp;MedicatieIV!F12,""),"")</f>
        <v/>
      </c>
      <c r="G62" s="57" t="str">
        <f>IF(C62&lt;&gt;0,MedicatieIV!G12&amp;" (="&amp;MedicatieIV!H12&amp;")","")</f>
        <v/>
      </c>
      <c r="J62" s="57" t="str">
        <f>MedicatieIV!I12</f>
        <v/>
      </c>
      <c r="L62" s="99" t="str">
        <f t="shared" si="1"/>
        <v>D</v>
      </c>
    </row>
    <row r="63" spans="1:12" ht="12.65" customHeight="1" x14ac:dyDescent="0.35">
      <c r="B63" s="60">
        <v>6</v>
      </c>
      <c r="C63" s="57">
        <f>MedicatieIV!C13</f>
        <v>0</v>
      </c>
      <c r="E63" s="57" t="str">
        <f>IF(C63&lt;&gt;0,MedicatieIV!D13&amp;" in "&amp;MedicatieIV!E13&amp;IF(AND(ber_IVmed!D11&lt;&gt;4,MedicatieIV!F13&lt;&gt;0)," "&amp;MedicatieIV!F13,""),"")</f>
        <v/>
      </c>
      <c r="G63" s="57" t="str">
        <f>IF(C63&lt;&gt;0,MedicatieIV!G13&amp;" (="&amp;MedicatieIV!H13&amp;")","")</f>
        <v/>
      </c>
      <c r="J63" s="57" t="str">
        <f>MedicatieIV!I13</f>
        <v/>
      </c>
      <c r="L63" s="99" t="str">
        <f t="shared" si="1"/>
        <v>D</v>
      </c>
    </row>
    <row r="64" spans="1:12" ht="12.65" customHeight="1" x14ac:dyDescent="0.35">
      <c r="B64" s="60">
        <v>7</v>
      </c>
      <c r="C64" s="57">
        <f>MedicatieIV!C14</f>
        <v>0</v>
      </c>
      <c r="E64" s="57" t="str">
        <f>IF(C64&lt;&gt;0,MedicatieIV!D14&amp;" in "&amp;MedicatieIV!E14&amp;IF(AND(ber_IVmed!D12&lt;&gt;4,MedicatieIV!F14&lt;&gt;0)," "&amp;MedicatieIV!F14,""),"")</f>
        <v/>
      </c>
      <c r="G64" s="57" t="str">
        <f>IF(C64&lt;&gt;0,MedicatieIV!G14&amp;" (="&amp;MedicatieIV!H14&amp;")","")</f>
        <v/>
      </c>
      <c r="J64" s="57" t="str">
        <f>MedicatieIV!I14</f>
        <v/>
      </c>
      <c r="L64" s="99" t="str">
        <f t="shared" si="1"/>
        <v>D</v>
      </c>
    </row>
    <row r="65" spans="1:12" ht="12.65" customHeight="1" x14ac:dyDescent="0.35">
      <c r="B65" s="60">
        <v>8</v>
      </c>
      <c r="C65" s="57">
        <f>MedicatieIV!C15</f>
        <v>0</v>
      </c>
      <c r="E65" s="57" t="str">
        <f>IF(C65&lt;&gt;0,MedicatieIV!D15&amp;" in "&amp;MedicatieIV!E15&amp;IF(AND(ber_IVmed!D13&lt;&gt;4,MedicatieIV!F15&lt;&gt;0)," "&amp;MedicatieIV!F15,""),"")</f>
        <v/>
      </c>
      <c r="G65" s="57" t="str">
        <f>IF(C65&lt;&gt;0,MedicatieIV!G15&amp;" (="&amp;MedicatieIV!H15&amp;")","")</f>
        <v/>
      </c>
      <c r="J65" s="57" t="str">
        <f>MedicatieIV!I15</f>
        <v/>
      </c>
      <c r="L65" s="99" t="str">
        <f t="shared" si="1"/>
        <v>D</v>
      </c>
    </row>
    <row r="66" spans="1:12" ht="12.65" customHeight="1" x14ac:dyDescent="0.35">
      <c r="B66" s="60">
        <v>9</v>
      </c>
      <c r="C66" s="57">
        <f>MedicatieIV!C16</f>
        <v>0</v>
      </c>
      <c r="E66" s="57" t="str">
        <f>IF(C66&lt;&gt;0,MedicatieIV!D16&amp;" in "&amp;MedicatieIV!E16&amp;IF(AND(ber_IVmed!D14&lt;&gt;4,MedicatieIV!F16&lt;&gt;0)," "&amp;MedicatieIV!F16,""),"")</f>
        <v/>
      </c>
      <c r="G66" s="57" t="str">
        <f>IF(C66&lt;&gt;0,MedicatieIV!G16&amp;" (="&amp;MedicatieIV!H16&amp;")","")</f>
        <v/>
      </c>
      <c r="J66" s="57" t="str">
        <f>MedicatieIV!I16</f>
        <v/>
      </c>
      <c r="L66" s="99" t="str">
        <f t="shared" si="1"/>
        <v>D</v>
      </c>
    </row>
    <row r="67" spans="1:12" ht="12.65" customHeight="1" x14ac:dyDescent="0.35">
      <c r="B67" s="60">
        <v>10</v>
      </c>
      <c r="C67" s="57">
        <f>MedicatieIV!C17</f>
        <v>0</v>
      </c>
      <c r="E67" s="57" t="str">
        <f>IF(C67&lt;&gt;0,MedicatieIV!D17&amp;" in "&amp;MedicatieIV!E17&amp;IF(AND(ber_IVmed!D15&lt;&gt;4,MedicatieIV!F17&lt;&gt;0)," "&amp;MedicatieIV!F17,""),"")</f>
        <v/>
      </c>
      <c r="G67" s="57" t="str">
        <f>IF(C67&lt;&gt;0,MedicatieIV!G17&amp;" (="&amp;MedicatieIV!H17&amp;")","")</f>
        <v/>
      </c>
      <c r="J67" s="57" t="str">
        <f>MedicatieIV!I17</f>
        <v/>
      </c>
      <c r="L67" s="99" t="str">
        <f t="shared" si="1"/>
        <v>D</v>
      </c>
    </row>
    <row r="68" spans="1:12" ht="12.65" customHeight="1" x14ac:dyDescent="0.35">
      <c r="B68" s="60">
        <v>11</v>
      </c>
      <c r="C68" s="57">
        <f>MedicatieIV!C19</f>
        <v>0</v>
      </c>
      <c r="E68" s="57" t="str">
        <f>IF(C68&lt;&gt;0,MedicatieIV!D19&amp;" in "&amp;MedicatieIV!E19&amp;IF(AND(ber_IVmed!D27&lt;&gt;4,MedicatieIV!F19&lt;&gt;0)," "&amp;MedicatieIV!F19,""),"")</f>
        <v/>
      </c>
      <c r="G68" s="57">
        <f>MedicatieIV!G19</f>
        <v>0</v>
      </c>
      <c r="J68" s="57" t="str">
        <f>MedicatieIV!I19</f>
        <v/>
      </c>
      <c r="L68" s="99" t="str">
        <f t="shared" si="1"/>
        <v>D</v>
      </c>
    </row>
    <row r="69" spans="1:12" ht="12.65" customHeight="1" x14ac:dyDescent="0.35">
      <c r="B69" s="60">
        <v>12</v>
      </c>
      <c r="C69" s="57">
        <f>MedicatieIV!C20</f>
        <v>0</v>
      </c>
      <c r="E69" s="57" t="str">
        <f>IF(C69&lt;&gt;0,MedicatieIV!D20&amp;" in "&amp;MedicatieIV!E20&amp;IF(AND(ber_IVmed!D28&lt;&gt;4,MedicatieIV!F20&lt;&gt;0)," "&amp;MedicatieIV!F20,""),"")</f>
        <v/>
      </c>
      <c r="G69" s="57">
        <f>MedicatieIV!G20</f>
        <v>0</v>
      </c>
      <c r="J69" s="57" t="str">
        <f>MedicatieIV!I20</f>
        <v/>
      </c>
      <c r="L69" s="99" t="str">
        <f t="shared" si="1"/>
        <v>D</v>
      </c>
    </row>
    <row r="70" spans="1:12" ht="12.65" customHeight="1" x14ac:dyDescent="0.35">
      <c r="B70" s="60">
        <v>13</v>
      </c>
      <c r="C70" s="57">
        <f>MedicatieIV!C21</f>
        <v>0</v>
      </c>
      <c r="E70" s="57" t="str">
        <f>IF(C70&lt;&gt;0,MedicatieIV!D21&amp;" in "&amp;MedicatieIV!E21&amp;IF(AND(ber_IVmed!D29&lt;&gt;4,MedicatieIV!F21&lt;&gt;0)," "&amp;MedicatieIV!F21,""),"")</f>
        <v/>
      </c>
      <c r="G70" s="57">
        <f>MedicatieIV!G21</f>
        <v>0</v>
      </c>
      <c r="J70" s="57" t="str">
        <f>MedicatieIV!I21</f>
        <v/>
      </c>
      <c r="L70" s="99" t="str">
        <f t="shared" si="1"/>
        <v>D</v>
      </c>
    </row>
    <row r="71" spans="1:12" ht="12.65" customHeight="1" x14ac:dyDescent="0.35">
      <c r="B71" s="60">
        <v>14</v>
      </c>
      <c r="C71" s="57">
        <f>MedicatieIV!C22</f>
        <v>0</v>
      </c>
      <c r="E71" s="57" t="str">
        <f>IF(C71&lt;&gt;0,MedicatieIV!D22&amp;" in "&amp;MedicatieIV!E22&amp;IF(AND(ber_IVmed!D30&lt;&gt;4,MedicatieIV!F22&lt;&gt;0)," "&amp;MedicatieIV!F22,""),"")</f>
        <v/>
      </c>
      <c r="G71" s="57">
        <f>MedicatieIV!G22</f>
        <v>0</v>
      </c>
      <c r="J71" s="57" t="str">
        <f>MedicatieIV!I22</f>
        <v/>
      </c>
      <c r="L71" s="99" t="str">
        <f t="shared" si="1"/>
        <v>D</v>
      </c>
    </row>
    <row r="72" spans="1:12" ht="12.65" customHeight="1" x14ac:dyDescent="0.35">
      <c r="B72" s="60">
        <v>15</v>
      </c>
      <c r="C72" s="57">
        <f>MedicatieIV!C23</f>
        <v>0</v>
      </c>
      <c r="E72" s="57" t="str">
        <f>IF(C72&lt;&gt;0,MedicatieIV!D23&amp;" in "&amp;MedicatieIV!E23&amp;IF(AND(ber_IVmed!D31&lt;&gt;4,MedicatieIV!F23&lt;&gt;0)," "&amp;MedicatieIV!F23,""),"")</f>
        <v/>
      </c>
      <c r="G72" s="57">
        <f>MedicatieIV!G23</f>
        <v>0</v>
      </c>
      <c r="J72" s="57" t="str">
        <f>MedicatieIV!I23</f>
        <v/>
      </c>
      <c r="L72" s="99" t="str">
        <f t="shared" si="1"/>
        <v>D</v>
      </c>
    </row>
    <row r="73" spans="1:12" ht="12.65" customHeight="1" x14ac:dyDescent="0.35">
      <c r="L73" s="99"/>
    </row>
    <row r="74" spans="1:12" ht="12.65" customHeight="1" x14ac:dyDescent="0.35">
      <c r="B74" s="81"/>
      <c r="C74" s="83" t="s">
        <v>906</v>
      </c>
      <c r="D74" s="378">
        <f>ber_Opm!C4</f>
        <v>0</v>
      </c>
      <c r="E74" s="378"/>
      <c r="F74" s="378"/>
      <c r="G74" s="378"/>
      <c r="H74" s="378"/>
      <c r="I74" s="378"/>
      <c r="J74" s="378"/>
      <c r="L74" s="99"/>
    </row>
    <row r="75" spans="1:12" ht="12.65" customHeight="1" x14ac:dyDescent="0.35">
      <c r="D75" s="381"/>
      <c r="E75" s="381"/>
      <c r="F75" s="381"/>
      <c r="G75" s="381"/>
      <c r="H75" s="381"/>
      <c r="I75" s="381"/>
      <c r="J75" s="381"/>
      <c r="L75" s="99"/>
    </row>
    <row r="76" spans="1:12" ht="12.65" customHeight="1" x14ac:dyDescent="0.35">
      <c r="A76" s="64"/>
      <c r="B76" s="69" t="str">
        <f>Intake!C14</f>
        <v>Infuus</v>
      </c>
      <c r="C76" s="66"/>
      <c r="D76" s="64"/>
      <c r="E76" s="64"/>
      <c r="F76" s="64"/>
      <c r="G76" s="64"/>
      <c r="H76" s="64"/>
      <c r="I76" s="64"/>
      <c r="J76" s="64"/>
      <c r="L76" s="99"/>
    </row>
    <row r="77" spans="1:12" ht="12.65" customHeight="1" x14ac:dyDescent="0.35">
      <c r="B77" s="81"/>
      <c r="C77" s="83"/>
      <c r="D77" s="113">
        <f>IF(E77&lt;&gt;"",Intake!C15,)</f>
        <v>0</v>
      </c>
      <c r="E77" s="65" t="str">
        <f>IF(TPN2tot6kg!G21&lt;&gt;0,TPN2tot6kg!A14&amp;" ml","")</f>
        <v/>
      </c>
      <c r="F77" s="65" t="str">
        <f>IF(TPN2tot6kg!G21&lt;&gt;0,TPN2tot6kg!G21&amp;" ml","")</f>
        <v/>
      </c>
      <c r="G77" s="119"/>
      <c r="H77" s="113">
        <f>IF(I77&lt;&gt;"",Intake!H15,)</f>
        <v>0</v>
      </c>
      <c r="I77" s="65" t="str">
        <f>Intake!I15</f>
        <v/>
      </c>
      <c r="J77" s="65" t="str">
        <f>Intake!J15</f>
        <v/>
      </c>
      <c r="L77" s="99"/>
    </row>
    <row r="78" spans="1:12" ht="12.65" customHeight="1" x14ac:dyDescent="0.35">
      <c r="B78" s="81"/>
      <c r="C78" s="83"/>
      <c r="D78" s="82" t="str">
        <f>IF(F78&lt;&gt;"",ber_TPN!A27,"")</f>
        <v/>
      </c>
      <c r="E78" s="57" t="str">
        <f>IF(ber_TPN!B4=4,ROUND(ber_TPN!D4,1)&amp;" ml/uur","")</f>
        <v/>
      </c>
      <c r="F78" s="57" t="str">
        <f>Intake!E16</f>
        <v/>
      </c>
      <c r="G78" s="83"/>
      <c r="H78" s="82">
        <f>IF(J78&lt;&gt;"",INDEX(tblSSTGlucose,SSTGlucose_2,1),)</f>
        <v>0</v>
      </c>
      <c r="J78" s="57" t="str">
        <f>Intake!J17</f>
        <v/>
      </c>
      <c r="L78" s="99" t="str">
        <f>IF(AND(D78="",H78=0),"D","")</f>
        <v>D</v>
      </c>
    </row>
    <row r="79" spans="1:12" ht="12.65" customHeight="1" x14ac:dyDescent="0.35">
      <c r="B79" s="81"/>
      <c r="C79" s="83"/>
      <c r="D79" s="82" t="str">
        <f>IF(Intake!G16&lt;&gt;"","Peditrace","")</f>
        <v/>
      </c>
      <c r="E79" s="155" t="str">
        <f>IF(Intake!G16&lt;&gt;"",Intake!G16&amp;" "&amp;Intake!F17,"")</f>
        <v/>
      </c>
      <c r="F79" s="156"/>
      <c r="G79" s="83"/>
      <c r="H79" s="82">
        <f>IF(J79&lt;&gt;"",Intake!H18,)</f>
        <v>0</v>
      </c>
      <c r="J79" s="57" t="str">
        <f>Intake!J18</f>
        <v/>
      </c>
      <c r="L79" s="99" t="str">
        <f>IF(AND(D79="",H79=0),"D","")</f>
        <v>D</v>
      </c>
    </row>
    <row r="80" spans="1:12" ht="12.65" customHeight="1" x14ac:dyDescent="0.35">
      <c r="B80" s="81"/>
      <c r="C80" s="83"/>
      <c r="D80" s="82">
        <f>IF(F80&lt;&gt;"",INDEX(tblSSTGlucose,SSTglucose,1),)</f>
        <v>0</v>
      </c>
      <c r="F80" s="57" t="str">
        <f>IF(AND(TPN=2,SSTglucose&lt;11,Gewicht/10&lt;=50),ROUND(ber_TPN!F6,0)&amp;" ml","")</f>
        <v/>
      </c>
      <c r="G80" s="83"/>
      <c r="H80" s="82">
        <f>IF(J80&lt;&gt;"",Intake!H19,)</f>
        <v>0</v>
      </c>
      <c r="J80" s="57" t="str">
        <f>Intake!J19</f>
        <v/>
      </c>
      <c r="L80" s="99" t="str">
        <f>IF(AND(D80="",H80=0),"D","")</f>
        <v/>
      </c>
    </row>
    <row r="81" spans="2:12" ht="12.65" customHeight="1" x14ac:dyDescent="0.35">
      <c r="B81" s="81"/>
      <c r="C81" s="83"/>
      <c r="D81" s="82">
        <f>IF(F81&lt;&gt;"",Intake!C18,)</f>
        <v>0</v>
      </c>
      <c r="F81" s="57" t="str">
        <f>IF(AND(TPN2tot6kg!G14&lt;&gt;"",ber_TPN!$F$4&gt;0),TPN2tot6kg!G14&amp;" ml","")</f>
        <v/>
      </c>
      <c r="L81" s="99" t="str">
        <f>IF(D81=0,"D","")</f>
        <v>D</v>
      </c>
    </row>
    <row r="82" spans="2:12" ht="12.65" customHeight="1" x14ac:dyDescent="0.35">
      <c r="B82" s="81"/>
      <c r="C82" s="83"/>
      <c r="D82" s="82">
        <f>IF(F82&lt;&gt;"",Intake!C19,)</f>
        <v>0</v>
      </c>
      <c r="F82" s="57" t="str">
        <f>IF(AND(TPN2tot6kg!G15&lt;&gt;"",ber_TPN!$F$4&gt;0),TPN2tot6kg!G15&amp;" ml","")</f>
        <v/>
      </c>
      <c r="L82" s="99" t="str">
        <f>IF(D82=0,"D","")</f>
        <v>D</v>
      </c>
    </row>
    <row r="83" spans="2:12" ht="12.65" customHeight="1" x14ac:dyDescent="0.35">
      <c r="D83" s="68"/>
      <c r="H83" s="68"/>
      <c r="L83" s="99"/>
    </row>
    <row r="84" spans="2:12" ht="12.65" customHeight="1" x14ac:dyDescent="0.35">
      <c r="B84" s="81"/>
      <c r="C84" s="83"/>
      <c r="D84" s="114" t="str">
        <f>IF(F84&lt;&gt;"","Electrolyt/Glucose mengsel","")</f>
        <v/>
      </c>
      <c r="E84" s="64" t="str">
        <f>IF(AND(Gewicht/10&gt;50,TPNboven50kg!A27&lt;&gt;""),TPNboven50kg!A27,TPN2tot6kg!A29)</f>
        <v/>
      </c>
      <c r="F84" s="64" t="str">
        <f>IF(AND(Gewicht/10&gt;50,TPNboven50kg!G35&lt;&gt;0),TPNboven50kg!G35&amp;" ml",IF(TPN2tot6kg!G36&lt;&gt;0,TPN2tot6kg!G36&amp;" ml",""))</f>
        <v/>
      </c>
      <c r="G84" s="64"/>
      <c r="H84" s="116"/>
      <c r="I84" s="64"/>
      <c r="J84" s="64"/>
      <c r="L84" s="99"/>
    </row>
    <row r="85" spans="2:12" ht="12.65" customHeight="1" x14ac:dyDescent="0.35">
      <c r="B85" s="81"/>
      <c r="C85" s="83"/>
      <c r="D85" s="82">
        <f>IF(F85&lt;&gt;"",INDEX(tblSSTGlucose,SSTglucose,1),)</f>
        <v>0</v>
      </c>
      <c r="E85" s="112"/>
      <c r="F85" s="57" t="str">
        <f>IF(AND(OR(TPN=1,AND(TPN=2,SSTglucose&gt;10),Gewicht/10&gt;50),ROUND(ber_TPN!F6,0)&lt;&gt;0,SSTglucose&lt;&gt;2),ROUND(ber_TPN!F6,0)&amp;" ml","")</f>
        <v/>
      </c>
      <c r="L85" s="99" t="str">
        <f>IF(D85=0,"D","")</f>
        <v>D</v>
      </c>
    </row>
    <row r="86" spans="2:12" ht="12.65" customHeight="1" x14ac:dyDescent="0.35">
      <c r="B86" s="81"/>
      <c r="C86" s="83"/>
      <c r="D86" s="82">
        <f>IF(F86&lt;&gt;"","CaGluc 10%",)</f>
        <v>0</v>
      </c>
      <c r="F86" s="57" t="str">
        <f>Intake!E21</f>
        <v/>
      </c>
      <c r="L86" s="99" t="str">
        <f t="shared" ref="L86:L92" si="2">IF(D86=0,"D","")</f>
        <v>D</v>
      </c>
    </row>
    <row r="87" spans="2:12" ht="12.65" customHeight="1" x14ac:dyDescent="0.35">
      <c r="B87" s="81"/>
      <c r="C87" s="83"/>
      <c r="D87" s="82">
        <f>IF(F87&lt;&gt;"","MgCl 10%",)</f>
        <v>0</v>
      </c>
      <c r="F87" s="57" t="str">
        <f>Intake!E22</f>
        <v/>
      </c>
      <c r="L87" s="99" t="str">
        <f t="shared" si="2"/>
        <v>D</v>
      </c>
    </row>
    <row r="88" spans="2:12" ht="12.65" customHeight="1" x14ac:dyDescent="0.35">
      <c r="B88" s="81"/>
      <c r="C88" s="83"/>
      <c r="D88" s="82">
        <f>IF(F88&lt;&gt;"",Intake!C18,)</f>
        <v>0</v>
      </c>
      <c r="F88" s="57" t="str">
        <f>IF(AND(Gewicht/10&gt;50,TPNboven50kg!G27&lt;&gt;0),TPNboven50kg!G27&amp;" ml",IF(OR(AND(TPN2tot6kg!G29&lt;&gt;0,ber_TPN!$F$4=0),AND(TPN2tot6kg!G29&lt;&gt;0,Gewicht/10&gt;50)),TPN2tot6kg!G29&amp;" ml",""))</f>
        <v/>
      </c>
      <c r="H88" s="68"/>
      <c r="L88" s="99" t="str">
        <f t="shared" si="2"/>
        <v>D</v>
      </c>
    </row>
    <row r="89" spans="2:12" ht="12.65" customHeight="1" x14ac:dyDescent="0.35">
      <c r="B89" s="81"/>
      <c r="C89" s="83"/>
      <c r="D89" s="82">
        <f>IF(F89&lt;&gt;"",Intake!C19,)</f>
        <v>0</v>
      </c>
      <c r="F89" s="57" t="str">
        <f>IF(AND(Gewicht/10&gt;51,TPNboven50kg!G28&lt;&gt;0),TPNboven50kg!G28&amp;" ml",IF(OR(AND(TPN2tot6kg!G30&lt;&gt;0,ber_TPN!$F$4=0),AND(TPN2tot6kg!G30&lt;&gt;0,Gewicht/10&gt;50)),TPN2tot6kg!G30&amp;" ml",""))</f>
        <v/>
      </c>
      <c r="H89" s="68"/>
      <c r="L89" s="99" t="str">
        <f t="shared" si="2"/>
        <v>D</v>
      </c>
    </row>
    <row r="90" spans="2:12" ht="12.65" customHeight="1" x14ac:dyDescent="0.35">
      <c r="B90" s="81"/>
      <c r="C90" s="83"/>
      <c r="D90" s="82" t="str">
        <f>IF(F90&lt;&gt;"","Glucose 10%","")</f>
        <v/>
      </c>
      <c r="F90" s="57" t="str">
        <f>IF(AND(Gewicht/10&gt;51,TPNboven50kg!G31&lt;&gt;0),TPNboven50kg!G31&amp;" ml",IF(AND(TPN2tot6kg!G33&lt;&gt;0,Gewicht/10&lt;=50),TPN2tot6kg!G33&amp;" ml",""))</f>
        <v/>
      </c>
      <c r="H90" s="68"/>
      <c r="L90" s="99" t="str">
        <f t="shared" si="2"/>
        <v/>
      </c>
    </row>
    <row r="91" spans="2:12" ht="12.65" customHeight="1" x14ac:dyDescent="0.35">
      <c r="L91" s="99"/>
    </row>
    <row r="92" spans="2:12" ht="12.65" customHeight="1" x14ac:dyDescent="0.35">
      <c r="B92" s="81"/>
      <c r="C92" s="83"/>
      <c r="D92" s="120">
        <f>IF(E92&lt;&gt;" ","KNaFosfaat",)</f>
        <v>0</v>
      </c>
      <c r="E92" s="64" t="str">
        <f>Intake!E23&amp;" "&amp;Intake!H23</f>
        <v xml:space="preserve"> </v>
      </c>
      <c r="F92" s="64"/>
      <c r="L92" s="99" t="str">
        <f t="shared" si="2"/>
        <v>D</v>
      </c>
    </row>
    <row r="93" spans="2:12" ht="12.65" customHeight="1" x14ac:dyDescent="0.35">
      <c r="L93" s="99"/>
    </row>
    <row r="94" spans="2:12" ht="12.65" customHeight="1" x14ac:dyDescent="0.35">
      <c r="B94" s="81"/>
      <c r="C94" s="83"/>
      <c r="D94" s="115">
        <f>IF(E94&lt;&gt;"",Intake!C24,)</f>
        <v>0</v>
      </c>
      <c r="E94" s="64" t="str">
        <f>Intake!D24</f>
        <v/>
      </c>
      <c r="F94" s="64" t="str">
        <f>IF(ROUND(ber_TPN!F12,0)&gt;0,ROUND(ber_TPN!F12,0)&amp;" ml","")</f>
        <v/>
      </c>
      <c r="H94" s="56"/>
      <c r="L94" s="99"/>
    </row>
    <row r="95" spans="2:12" ht="12.65" customHeight="1" x14ac:dyDescent="0.35">
      <c r="B95" s="81"/>
      <c r="C95" s="83"/>
      <c r="D95" s="82">
        <f>IF(F95&lt;&gt;"","Intralipid 20%",)</f>
        <v>0</v>
      </c>
      <c r="F95" s="57" t="str">
        <f>Intake!E25</f>
        <v/>
      </c>
      <c r="H95" s="68"/>
      <c r="L95" s="99" t="str">
        <f>IF(D95=0,"D","")</f>
        <v>D</v>
      </c>
    </row>
    <row r="96" spans="2:12" ht="12.65" customHeight="1" x14ac:dyDescent="0.35">
      <c r="B96" s="81"/>
      <c r="C96" s="83"/>
      <c r="D96" s="82">
        <f>IF(F96&lt;&gt;"","Vitintra Infant",)</f>
        <v>0</v>
      </c>
      <c r="F96" s="57" t="str">
        <f>Intake!E26</f>
        <v/>
      </c>
      <c r="H96" s="68"/>
      <c r="L96" s="99" t="str">
        <f>IF(D96=0,"D","")</f>
        <v>D</v>
      </c>
    </row>
    <row r="97" spans="1:12" ht="12.65" customHeight="1" x14ac:dyDescent="0.35">
      <c r="B97" s="81"/>
      <c r="C97" s="83"/>
      <c r="D97" s="82">
        <f>IF(F97&lt;&gt;"","Soluvit",)</f>
        <v>0</v>
      </c>
      <c r="F97" s="57" t="str">
        <f>Intake!E27</f>
        <v/>
      </c>
      <c r="H97" s="68"/>
      <c r="L97" s="99" t="str">
        <f>IF(D97=0,"D","")</f>
        <v>D</v>
      </c>
    </row>
    <row r="98" spans="1:12" ht="12.65" customHeight="1" x14ac:dyDescent="0.35">
      <c r="C98" s="68"/>
      <c r="L98" s="99"/>
    </row>
    <row r="99" spans="1:12" ht="12.65" customHeight="1" x14ac:dyDescent="0.35">
      <c r="A99" s="64"/>
      <c r="B99" s="84"/>
      <c r="C99" s="85" t="s">
        <v>906</v>
      </c>
      <c r="D99" s="376">
        <f>ber_Opm!C9</f>
        <v>0</v>
      </c>
      <c r="E99" s="377"/>
      <c r="F99" s="377"/>
      <c r="G99" s="377"/>
      <c r="H99" s="377"/>
      <c r="I99" s="377"/>
      <c r="J99" s="377"/>
      <c r="L99" s="99"/>
    </row>
    <row r="100" spans="1:12" ht="12.65" customHeight="1" x14ac:dyDescent="0.35">
      <c r="L100" s="99"/>
    </row>
    <row r="101" spans="1:12" ht="12.65" customHeight="1" x14ac:dyDescent="0.35">
      <c r="L101" s="99"/>
    </row>
    <row r="102" spans="1:12" ht="12.65" customHeight="1" x14ac:dyDescent="0.35">
      <c r="A102" s="64"/>
      <c r="B102" s="69" t="s">
        <v>1090</v>
      </c>
      <c r="C102" s="66"/>
      <c r="D102" s="64"/>
      <c r="E102" s="64"/>
      <c r="F102" s="64"/>
      <c r="G102" s="64"/>
      <c r="H102" s="64"/>
      <c r="I102" s="64"/>
      <c r="J102" s="64"/>
      <c r="L102" s="99"/>
    </row>
    <row r="103" spans="1:12" ht="12.65" customHeight="1" x14ac:dyDescent="0.35">
      <c r="B103" s="81"/>
      <c r="C103" s="82" t="str">
        <f>Intake!B31</f>
        <v>Vocht</v>
      </c>
      <c r="D103" s="57" t="str">
        <f>Intake!D31</f>
        <v>0 ml/kg</v>
      </c>
      <c r="E103" s="82" t="str">
        <f>Intake!B32</f>
        <v>Calorieen</v>
      </c>
      <c r="F103" s="57" t="str">
        <f>Intake!D32</f>
        <v>0 kCal/kg</v>
      </c>
      <c r="G103" s="82" t="str">
        <f>Intake!B35</f>
        <v>Kalium</v>
      </c>
      <c r="H103" s="57" t="str">
        <f>Intake!D35</f>
        <v>0 mmol/kg</v>
      </c>
      <c r="I103" s="82" t="str">
        <f>Intake!B34</f>
        <v xml:space="preserve">Natrium </v>
      </c>
      <c r="J103" s="57" t="str">
        <f>Intake!D34</f>
        <v>0 mmol/kg</v>
      </c>
      <c r="L103" s="99"/>
    </row>
    <row r="104" spans="1:12" ht="12.65" customHeight="1" x14ac:dyDescent="0.35">
      <c r="B104" s="81"/>
      <c r="C104" s="82" t="str">
        <f>Intake!H31</f>
        <v>Eiwit</v>
      </c>
      <c r="D104" s="57" t="str">
        <f>Intake!I31</f>
        <v>0  gram/kg</v>
      </c>
      <c r="E104" s="82" t="str">
        <f>Intake!H32</f>
        <v>Vet</v>
      </c>
      <c r="F104" s="57" t="str">
        <f>Intake!I32</f>
        <v>0 gram/kg</v>
      </c>
      <c r="G104" s="82" t="str">
        <f>Intake!H33</f>
        <v>Calcium</v>
      </c>
      <c r="H104" s="57" t="str">
        <f>Intake!I33</f>
        <v>0 mmol/kg</v>
      </c>
      <c r="I104" s="82" t="str">
        <f>Intake!H35</f>
        <v>Fosfaat</v>
      </c>
      <c r="J104" s="57" t="str">
        <f>Intake!I35</f>
        <v>0 mmol/kg</v>
      </c>
      <c r="L104" s="99"/>
    </row>
    <row r="105" spans="1:12" ht="12.65" customHeight="1" x14ac:dyDescent="0.35">
      <c r="A105" s="64"/>
      <c r="B105" s="84"/>
      <c r="C105" s="86" t="str">
        <f>Intake!B33</f>
        <v>Glucose/KH</v>
      </c>
      <c r="D105" s="64" t="str">
        <f>Intake!D33</f>
        <v>0 g/kg</v>
      </c>
      <c r="E105" s="85"/>
      <c r="F105" s="64"/>
      <c r="G105" s="86" t="s">
        <v>971</v>
      </c>
      <c r="H105" s="64" t="str">
        <f>Intake!I34</f>
        <v>0 mmol/kg</v>
      </c>
      <c r="I105" s="85"/>
      <c r="J105" s="64"/>
      <c r="L105" s="99"/>
    </row>
    <row r="106" spans="1:12" ht="12.65" customHeight="1" x14ac:dyDescent="0.35">
      <c r="B106" s="81"/>
      <c r="C106" s="82" t="s">
        <v>1427</v>
      </c>
      <c r="D106" s="55">
        <f ca="1">TODAY()</f>
        <v>42194</v>
      </c>
      <c r="E106" s="82" t="s">
        <v>1428</v>
      </c>
      <c r="F106" s="375" t="str">
        <f>AchterNaam&amp;", "&amp;VoorNaam</f>
        <v>Achternaam, Voornaam</v>
      </c>
      <c r="G106" s="375"/>
      <c r="H106" s="83" t="s">
        <v>873</v>
      </c>
      <c r="I106" s="57" t="str">
        <f>Gewicht/10&amp;" kg"</f>
        <v>10 kg</v>
      </c>
      <c r="J106" s="349"/>
      <c r="L106" s="99"/>
    </row>
    <row r="107" spans="1:12" ht="12.65" customHeight="1" x14ac:dyDescent="0.35">
      <c r="B107" s="81"/>
      <c r="C107" s="82" t="s">
        <v>612</v>
      </c>
      <c r="D107" s="58">
        <f ca="1">AfspraakDatum-OpnDatum+1</f>
        <v>832</v>
      </c>
      <c r="E107" s="82" t="s">
        <v>1426</v>
      </c>
      <c r="F107" s="59">
        <f>GebDatum</f>
        <v>40909</v>
      </c>
      <c r="G107" s="349"/>
      <c r="H107" s="83" t="s">
        <v>407</v>
      </c>
      <c r="I107" s="57" t="str">
        <f>Lengte&amp;" cm"</f>
        <v>80 cm</v>
      </c>
      <c r="J107" s="349"/>
      <c r="L107" s="99"/>
    </row>
    <row r="108" spans="1:12" ht="12.65" customHeight="1" x14ac:dyDescent="0.35">
      <c r="D108" s="349"/>
      <c r="F108" s="349"/>
      <c r="H108" s="83" t="s">
        <v>409</v>
      </c>
      <c r="I108" s="57" t="str">
        <f>ROUND(POWER(Gewicht/10,0.425)*POWER(((Lengte/100)*100),0.725)*0.007184,2)&amp;" m2"</f>
        <v>0,46 m2</v>
      </c>
      <c r="L108" s="99"/>
    </row>
    <row r="109" spans="1:12" ht="12.65" customHeight="1" x14ac:dyDescent="0.35">
      <c r="D109" s="56"/>
      <c r="F109" s="56"/>
      <c r="L109" s="99"/>
    </row>
    <row r="110" spans="1:12" ht="12.65" customHeight="1" x14ac:dyDescent="0.35">
      <c r="D110" s="56"/>
      <c r="F110" s="56"/>
      <c r="L110" s="99"/>
    </row>
    <row r="111" spans="1:12" ht="12.65" customHeight="1" x14ac:dyDescent="0.35">
      <c r="D111" s="56"/>
      <c r="F111" s="56"/>
      <c r="L111" s="99"/>
    </row>
    <row r="112" spans="1:12" ht="12.65" customHeight="1" x14ac:dyDescent="0.35">
      <c r="B112" s="69" t="s">
        <v>111</v>
      </c>
      <c r="C112" s="64"/>
      <c r="D112" s="70"/>
      <c r="E112" s="64"/>
      <c r="F112" s="69" t="str">
        <f>IF(Comfort,"Ja","Nee")</f>
        <v>Ja</v>
      </c>
      <c r="L112" s="99"/>
    </row>
    <row r="113" spans="1:13" ht="12.65" customHeight="1" x14ac:dyDescent="0.35">
      <c r="L113" s="99"/>
    </row>
    <row r="114" spans="1:13" ht="12.65" customHeight="1" x14ac:dyDescent="0.35">
      <c r="D114" s="315" t="s">
        <v>865</v>
      </c>
      <c r="G114" s="315" t="s">
        <v>400</v>
      </c>
      <c r="L114" s="99"/>
    </row>
    <row r="115" spans="1:13" ht="25" customHeight="1" x14ac:dyDescent="0.4">
      <c r="A115" s="373" t="s">
        <v>398</v>
      </c>
      <c r="B115" s="374"/>
      <c r="C115" s="142" t="s">
        <v>399</v>
      </c>
      <c r="D115" s="142" t="s">
        <v>401</v>
      </c>
      <c r="E115" s="373" t="s">
        <v>403</v>
      </c>
      <c r="F115" s="374"/>
      <c r="G115" s="147" t="s">
        <v>401</v>
      </c>
      <c r="H115" s="373" t="s">
        <v>402</v>
      </c>
      <c r="I115" s="374"/>
      <c r="J115" s="147" t="s">
        <v>720</v>
      </c>
      <c r="K115" s="60"/>
      <c r="L115" s="99"/>
    </row>
    <row r="116" spans="1:13" ht="20.100000000000001" customHeight="1" x14ac:dyDescent="0.35">
      <c r="A116" s="143"/>
      <c r="B116" s="317"/>
      <c r="C116" s="142"/>
      <c r="D116" s="142"/>
      <c r="E116" s="143"/>
      <c r="F116" s="317"/>
      <c r="G116" s="144"/>
      <c r="H116" s="145"/>
      <c r="I116" s="146"/>
      <c r="J116" s="148"/>
      <c r="K116" s="60"/>
      <c r="L116" s="99"/>
    </row>
    <row r="117" spans="1:13" ht="20.100000000000001" customHeight="1" x14ac:dyDescent="0.35">
      <c r="A117" s="143"/>
      <c r="B117" s="317"/>
      <c r="C117" s="142"/>
      <c r="D117" s="142"/>
      <c r="E117" s="143"/>
      <c r="F117" s="317"/>
      <c r="G117" s="144"/>
      <c r="H117" s="145"/>
      <c r="I117" s="146"/>
      <c r="J117" s="148"/>
      <c r="K117" s="60"/>
      <c r="L117" s="99"/>
    </row>
    <row r="118" spans="1:13" ht="20.100000000000001" customHeight="1" x14ac:dyDescent="0.35">
      <c r="A118" s="143"/>
      <c r="B118" s="317"/>
      <c r="C118" s="142"/>
      <c r="D118" s="142"/>
      <c r="E118" s="143"/>
      <c r="F118" s="317"/>
      <c r="G118" s="144"/>
      <c r="H118" s="145"/>
      <c r="I118" s="146"/>
      <c r="J118" s="148"/>
      <c r="K118" s="60"/>
      <c r="L118" s="99"/>
    </row>
    <row r="119" spans="1:13" ht="20.100000000000001" customHeight="1" x14ac:dyDescent="0.35">
      <c r="A119" s="143"/>
      <c r="B119" s="317"/>
      <c r="C119" s="142"/>
      <c r="D119" s="142"/>
      <c r="E119" s="143"/>
      <c r="F119" s="317"/>
      <c r="G119" s="144"/>
      <c r="H119" s="145"/>
      <c r="I119" s="146"/>
      <c r="J119" s="148"/>
      <c r="K119" s="60"/>
      <c r="L119" s="99"/>
    </row>
    <row r="120" spans="1:13" ht="20.100000000000001" customHeight="1" x14ac:dyDescent="0.35">
      <c r="A120" s="143"/>
      <c r="B120" s="317"/>
      <c r="C120" s="142"/>
      <c r="D120" s="142"/>
      <c r="E120" s="143"/>
      <c r="F120" s="317"/>
      <c r="G120" s="144"/>
      <c r="H120" s="145"/>
      <c r="I120" s="146"/>
      <c r="J120" s="148"/>
      <c r="K120" s="60"/>
      <c r="L120" s="99"/>
    </row>
    <row r="121" spans="1:13" ht="20.100000000000001" customHeight="1" x14ac:dyDescent="0.35">
      <c r="A121" s="143"/>
      <c r="B121" s="317"/>
      <c r="C121" s="142"/>
      <c r="D121" s="142"/>
      <c r="E121" s="143"/>
      <c r="F121" s="317"/>
      <c r="G121" s="144"/>
      <c r="H121" s="145"/>
      <c r="I121" s="146"/>
      <c r="J121" s="148"/>
      <c r="K121" s="60"/>
      <c r="L121" s="99"/>
    </row>
    <row r="122" spans="1:13" ht="20.100000000000001" customHeight="1" x14ac:dyDescent="0.35">
      <c r="A122" s="143"/>
      <c r="B122" s="317"/>
      <c r="C122" s="142"/>
      <c r="D122" s="142"/>
      <c r="E122" s="143"/>
      <c r="F122" s="317"/>
      <c r="G122" s="144"/>
      <c r="H122" s="145"/>
      <c r="I122" s="146"/>
      <c r="J122" s="148"/>
      <c r="K122" s="60"/>
      <c r="L122" s="99"/>
    </row>
    <row r="123" spans="1:13" ht="20.100000000000001" customHeight="1" x14ac:dyDescent="0.35">
      <c r="A123" s="143"/>
      <c r="B123" s="317"/>
      <c r="C123" s="142"/>
      <c r="D123" s="142"/>
      <c r="E123" s="143"/>
      <c r="F123" s="317"/>
      <c r="G123" s="144"/>
      <c r="H123" s="145"/>
      <c r="I123" s="146"/>
      <c r="J123" s="148"/>
      <c r="K123" s="60"/>
      <c r="L123" s="99"/>
    </row>
    <row r="124" spans="1:13" ht="20.100000000000001" customHeight="1" x14ac:dyDescent="0.35">
      <c r="A124" s="143"/>
      <c r="B124" s="317"/>
      <c r="C124" s="142"/>
      <c r="D124" s="142"/>
      <c r="E124" s="143"/>
      <c r="F124" s="317"/>
      <c r="G124" s="144"/>
      <c r="H124" s="145"/>
      <c r="I124" s="146"/>
      <c r="J124" s="148"/>
      <c r="K124" s="60"/>
      <c r="L124" s="99"/>
    </row>
    <row r="125" spans="1:13" ht="20.100000000000001" customHeight="1" x14ac:dyDescent="0.35">
      <c r="A125" s="143"/>
      <c r="B125" s="317"/>
      <c r="C125" s="142"/>
      <c r="D125" s="142"/>
      <c r="E125" s="143"/>
      <c r="F125" s="317"/>
      <c r="G125" s="144"/>
      <c r="H125" s="145"/>
      <c r="I125" s="146"/>
      <c r="J125" s="148"/>
      <c r="K125"/>
      <c r="L125" s="99"/>
      <c r="M125" s="100"/>
    </row>
    <row r="126" spans="1:13" ht="20.100000000000001" customHeight="1" x14ac:dyDescent="0.35">
      <c r="A126" s="143"/>
      <c r="B126" s="317"/>
      <c r="C126" s="142"/>
      <c r="D126" s="142"/>
      <c r="E126" s="143"/>
      <c r="F126" s="317"/>
      <c r="G126" s="144"/>
      <c r="H126" s="145"/>
      <c r="I126" s="146"/>
      <c r="J126" s="148"/>
      <c r="K126"/>
      <c r="L126" s="99"/>
      <c r="M126" s="100"/>
    </row>
    <row r="127" spans="1:13" ht="20.100000000000001" customHeight="1" x14ac:dyDescent="0.35">
      <c r="A127" s="143"/>
      <c r="B127" s="317"/>
      <c r="C127" s="142"/>
      <c r="D127" s="142"/>
      <c r="E127" s="143"/>
      <c r="F127" s="317"/>
      <c r="G127" s="144"/>
      <c r="H127" s="145"/>
      <c r="I127" s="146"/>
      <c r="J127" s="148"/>
      <c r="K127"/>
      <c r="L127" s="99"/>
      <c r="M127" s="100"/>
    </row>
    <row r="128" spans="1:13" ht="20.100000000000001" customHeight="1" x14ac:dyDescent="0.35">
      <c r="A128" s="143"/>
      <c r="B128" s="317"/>
      <c r="C128" s="142"/>
      <c r="D128" s="142"/>
      <c r="E128" s="143"/>
      <c r="F128" s="317"/>
      <c r="G128" s="144"/>
      <c r="H128" s="145"/>
      <c r="I128" s="146"/>
      <c r="J128" s="148"/>
      <c r="K128"/>
      <c r="L128" s="99"/>
      <c r="M128" s="100"/>
    </row>
    <row r="129" spans="1:13" ht="20.100000000000001" customHeight="1" x14ac:dyDescent="0.35">
      <c r="A129" s="143"/>
      <c r="B129" s="317"/>
      <c r="C129" s="142"/>
      <c r="D129" s="142"/>
      <c r="E129" s="143"/>
      <c r="F129" s="317"/>
      <c r="G129" s="144"/>
      <c r="H129" s="145"/>
      <c r="I129" s="146"/>
      <c r="J129" s="148"/>
      <c r="K129"/>
      <c r="L129" s="99"/>
      <c r="M129" s="100"/>
    </row>
    <row r="130" spans="1:13" ht="20.100000000000001" customHeight="1" x14ac:dyDescent="0.35">
      <c r="A130" s="143"/>
      <c r="B130" s="317"/>
      <c r="C130" s="142"/>
      <c r="D130" s="142"/>
      <c r="E130" s="143"/>
      <c r="F130" s="317"/>
      <c r="G130" s="144"/>
      <c r="H130" s="145"/>
      <c r="I130" s="146"/>
      <c r="J130" s="148"/>
      <c r="K130"/>
      <c r="L130" s="99"/>
      <c r="M130" s="100"/>
    </row>
    <row r="131" spans="1:13" ht="20.100000000000001" customHeight="1" x14ac:dyDescent="0.35">
      <c r="A131" s="143"/>
      <c r="B131" s="317"/>
      <c r="C131" s="142"/>
      <c r="D131" s="142"/>
      <c r="E131" s="143"/>
      <c r="F131" s="317"/>
      <c r="G131" s="144"/>
      <c r="H131" s="145"/>
      <c r="I131" s="146"/>
      <c r="J131" s="148"/>
      <c r="K131"/>
      <c r="L131" s="99"/>
      <c r="M131" s="100"/>
    </row>
    <row r="132" spans="1:13" ht="20.100000000000001" customHeight="1" x14ac:dyDescent="0.35">
      <c r="A132" s="143"/>
      <c r="B132" s="317"/>
      <c r="C132" s="142"/>
      <c r="D132" s="142"/>
      <c r="E132" s="143"/>
      <c r="F132" s="317"/>
      <c r="G132" s="144"/>
      <c r="H132" s="145"/>
      <c r="I132" s="146"/>
      <c r="J132" s="148"/>
      <c r="K132"/>
      <c r="L132" s="99"/>
      <c r="M132" s="100"/>
    </row>
    <row r="133" spans="1:13" ht="30" customHeight="1" x14ac:dyDescent="0.4">
      <c r="A133" s="321" t="s">
        <v>404</v>
      </c>
      <c r="B133" s="319"/>
      <c r="C133" s="318"/>
      <c r="D133" s="318"/>
      <c r="E133" s="318"/>
      <c r="F133" s="319"/>
      <c r="G133" s="319"/>
      <c r="H133" s="320"/>
      <c r="I133" s="320"/>
      <c r="J133" s="320"/>
      <c r="K133"/>
      <c r="L133" s="99"/>
      <c r="M133" s="100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100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100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100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100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100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100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100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57"/>
      <c r="L147" s="99"/>
    </row>
    <row r="148" spans="1:12" ht="30" customHeight="1" x14ac:dyDescent="0.35">
      <c r="B148" s="57"/>
      <c r="L148" s="99"/>
    </row>
    <row r="149" spans="1:12" ht="30" customHeight="1" x14ac:dyDescent="0.35">
      <c r="B149" s="57"/>
      <c r="L149" s="99"/>
    </row>
    <row r="150" spans="1:12" ht="30" customHeight="1" x14ac:dyDescent="0.35">
      <c r="B150" s="57"/>
      <c r="L150" s="99"/>
    </row>
    <row r="151" spans="1:12" ht="30" customHeight="1" x14ac:dyDescent="0.35">
      <c r="B151" s="57"/>
      <c r="L151" s="99"/>
    </row>
    <row r="152" spans="1:12" ht="30" customHeight="1" x14ac:dyDescent="0.35">
      <c r="B152" s="57"/>
      <c r="L152" s="99"/>
    </row>
    <row r="153" spans="1:12" ht="30" customHeight="1" x14ac:dyDescent="0.35">
      <c r="B153" s="57"/>
      <c r="L153" s="99"/>
    </row>
    <row r="154" spans="1:12" ht="30" customHeight="1" x14ac:dyDescent="0.35">
      <c r="B154" s="57"/>
      <c r="L154" s="99"/>
    </row>
    <row r="155" spans="1:12" ht="30" customHeight="1" x14ac:dyDescent="0.35">
      <c r="B155" s="57"/>
      <c r="L155" s="99"/>
    </row>
    <row r="156" spans="1:12" ht="30" customHeight="1" x14ac:dyDescent="0.35">
      <c r="B156" s="57"/>
      <c r="L156" s="99"/>
    </row>
    <row r="157" spans="1:12" ht="11.7" x14ac:dyDescent="0.35">
      <c r="B157" s="57"/>
      <c r="L157" s="99"/>
    </row>
    <row r="158" spans="1:12" ht="11.7" x14ac:dyDescent="0.35">
      <c r="B158" s="57"/>
      <c r="L158" s="99"/>
    </row>
    <row r="159" spans="1:12" ht="11.7" x14ac:dyDescent="0.35">
      <c r="B159" s="57"/>
      <c r="L159" s="99"/>
    </row>
    <row r="160" spans="1:12" ht="11.7" x14ac:dyDescent="0.35">
      <c r="B160" s="57"/>
      <c r="L160" s="99"/>
    </row>
    <row r="161" spans="2:12" ht="11.7" x14ac:dyDescent="0.35">
      <c r="B161" s="57"/>
      <c r="L161" s="99"/>
    </row>
    <row r="162" spans="2:12" ht="12.65" customHeight="1" x14ac:dyDescent="0.35">
      <c r="B162" s="57"/>
      <c r="L162" s="99"/>
    </row>
    <row r="163" spans="2:12" ht="12.65" customHeight="1" x14ac:dyDescent="0.35">
      <c r="B163" s="57"/>
      <c r="L163" s="99"/>
    </row>
    <row r="164" spans="2:12" ht="12.65" customHeight="1" x14ac:dyDescent="0.35">
      <c r="B164" s="57"/>
      <c r="L164" s="99" t="str">
        <f t="shared" ref="L164:L169" si="3">IF(C23=0,"D","")</f>
        <v>D</v>
      </c>
    </row>
    <row r="165" spans="2:12" ht="12.65" customHeight="1" x14ac:dyDescent="0.35">
      <c r="B165" s="57"/>
      <c r="L165" s="99" t="str">
        <f t="shared" si="3"/>
        <v>D</v>
      </c>
    </row>
    <row r="166" spans="2:12" ht="12.65" customHeight="1" x14ac:dyDescent="0.35">
      <c r="B166" s="57"/>
      <c r="L166" s="99" t="str">
        <f t="shared" si="3"/>
        <v>D</v>
      </c>
    </row>
    <row r="167" spans="2:12" ht="12.65" customHeight="1" x14ac:dyDescent="0.35">
      <c r="B167" s="57"/>
      <c r="L167" s="99" t="str">
        <f t="shared" si="3"/>
        <v>D</v>
      </c>
    </row>
    <row r="168" spans="2:12" ht="12.65" customHeight="1" x14ac:dyDescent="0.35">
      <c r="B168" s="57"/>
      <c r="L168" s="99" t="str">
        <f t="shared" si="3"/>
        <v/>
      </c>
    </row>
    <row r="169" spans="2:12" ht="12.65" customHeight="1" x14ac:dyDescent="0.35">
      <c r="B169" s="57"/>
      <c r="L169" s="99" t="str">
        <f t="shared" si="3"/>
        <v/>
      </c>
    </row>
    <row r="170" spans="2:12" ht="12.65" customHeight="1" x14ac:dyDescent="0.35">
      <c r="B170" s="57"/>
      <c r="L170" s="99"/>
    </row>
    <row r="171" spans="2:12" ht="12.65" customHeight="1" x14ac:dyDescent="0.35">
      <c r="B171" s="57"/>
      <c r="L171" s="99"/>
    </row>
    <row r="172" spans="2:12" ht="12.65" customHeight="1" x14ac:dyDescent="0.35">
      <c r="B172" s="57"/>
      <c r="L172" s="99"/>
    </row>
    <row r="173" spans="2:12" ht="12.65" customHeight="1" x14ac:dyDescent="0.35">
      <c r="L173" s="99"/>
    </row>
    <row r="174" spans="2:12" ht="12.65" customHeight="1" x14ac:dyDescent="0.35">
      <c r="L174" s="99"/>
    </row>
    <row r="175" spans="2:12" ht="12.65" customHeight="1" x14ac:dyDescent="0.35">
      <c r="L175" s="99"/>
    </row>
    <row r="176" spans="2:12" ht="12.65" customHeight="1" x14ac:dyDescent="0.35">
      <c r="L176" s="99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mergeCells count="18"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  <mergeCell ref="E115:F115"/>
    <mergeCell ref="H115:I115"/>
    <mergeCell ref="A115:B115"/>
    <mergeCell ref="F106:G106"/>
    <mergeCell ref="D99:J99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1174</v>
      </c>
      <c r="B1" t="s">
        <v>623</v>
      </c>
      <c r="C1" t="s">
        <v>624</v>
      </c>
      <c r="D1" t="s">
        <v>625</v>
      </c>
      <c r="E1" t="s">
        <v>626</v>
      </c>
      <c r="F1" t="s">
        <v>627</v>
      </c>
      <c r="G1" t="s">
        <v>873</v>
      </c>
      <c r="H1" t="s">
        <v>407</v>
      </c>
      <c r="I1" t="s">
        <v>1106</v>
      </c>
      <c r="J1" t="s">
        <v>628</v>
      </c>
      <c r="K1" t="s">
        <v>1125</v>
      </c>
      <c r="L1" t="s">
        <v>408</v>
      </c>
      <c r="M1" t="s">
        <v>1354</v>
      </c>
      <c r="N1" t="s">
        <v>988</v>
      </c>
      <c r="O1" t="s">
        <v>859</v>
      </c>
      <c r="P1" t="s">
        <v>860</v>
      </c>
      <c r="Q1" t="s">
        <v>348</v>
      </c>
      <c r="R1" t="s">
        <v>629</v>
      </c>
      <c r="S1" t="s">
        <v>698</v>
      </c>
      <c r="T1" t="s">
        <v>699</v>
      </c>
      <c r="U1" t="s">
        <v>862</v>
      </c>
      <c r="V1" t="s">
        <v>1127</v>
      </c>
      <c r="W1" t="s">
        <v>1128</v>
      </c>
      <c r="X1" t="s">
        <v>1129</v>
      </c>
      <c r="Y1" t="s">
        <v>700</v>
      </c>
      <c r="Z1" t="s">
        <v>701</v>
      </c>
      <c r="AA1" t="s">
        <v>702</v>
      </c>
      <c r="AB1" t="s">
        <v>1130</v>
      </c>
      <c r="AC1" t="s">
        <v>944</v>
      </c>
      <c r="AD1" t="s">
        <v>1114</v>
      </c>
      <c r="AE1" t="s">
        <v>1115</v>
      </c>
      <c r="AF1" t="s">
        <v>1116</v>
      </c>
      <c r="AG1" t="s">
        <v>1117</v>
      </c>
      <c r="AH1" t="s">
        <v>619</v>
      </c>
      <c r="AI1" t="s">
        <v>1118</v>
      </c>
      <c r="AJ1" t="s">
        <v>1119</v>
      </c>
      <c r="AK1" t="s">
        <v>1120</v>
      </c>
      <c r="AL1" t="s">
        <v>1121</v>
      </c>
      <c r="AM1" t="s">
        <v>1122</v>
      </c>
      <c r="AN1" t="s">
        <v>1123</v>
      </c>
      <c r="AO1" t="s">
        <v>1124</v>
      </c>
      <c r="AP1" t="s">
        <v>1084</v>
      </c>
      <c r="AQ1" t="s">
        <v>1397</v>
      </c>
    </row>
    <row r="2" spans="1:43" x14ac:dyDescent="0.35">
      <c r="B2" s="41">
        <f ca="1">TODAY()</f>
        <v>42194</v>
      </c>
      <c r="C2" s="41">
        <v>41363</v>
      </c>
      <c r="D2" t="s">
        <v>853</v>
      </c>
      <c r="E2" t="s">
        <v>854</v>
      </c>
      <c r="F2" s="41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1083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38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697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50"/>
  <sheetViews>
    <sheetView workbookViewId="0">
      <selection sqref="A1:B75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515</v>
      </c>
      <c r="B1" t="s">
        <v>516</v>
      </c>
    </row>
    <row r="2" spans="1:2 4305:4305" x14ac:dyDescent="0.35">
      <c r="A2" t="s">
        <v>625</v>
      </c>
      <c r="B2" t="s">
        <v>853</v>
      </c>
      <c r="FIO2">
        <v>30</v>
      </c>
    </row>
    <row r="3" spans="1:2 4305:4305" x14ac:dyDescent="0.35">
      <c r="A3" t="s">
        <v>85</v>
      </c>
      <c r="B3">
        <v>10</v>
      </c>
    </row>
    <row r="4" spans="1:2 4305:4305" x14ac:dyDescent="0.35">
      <c r="A4" t="s">
        <v>86</v>
      </c>
      <c r="B4">
        <v>20</v>
      </c>
    </row>
    <row r="5" spans="1:2 4305:4305" x14ac:dyDescent="0.35">
      <c r="A5" t="s">
        <v>87</v>
      </c>
      <c r="B5">
        <v>5000</v>
      </c>
    </row>
    <row r="6" spans="1:2 4305:4305" x14ac:dyDescent="0.35">
      <c r="A6" t="s">
        <v>351</v>
      </c>
      <c r="B6">
        <v>2</v>
      </c>
    </row>
    <row r="7" spans="1:2 4305:4305" x14ac:dyDescent="0.35">
      <c r="A7" t="s">
        <v>352</v>
      </c>
      <c r="B7">
        <v>10</v>
      </c>
    </row>
    <row r="8" spans="1:2 4305:4305" x14ac:dyDescent="0.35">
      <c r="A8" t="s">
        <v>353</v>
      </c>
      <c r="B8">
        <v>5</v>
      </c>
    </row>
    <row r="9" spans="1:2 4305:4305" x14ac:dyDescent="0.35">
      <c r="A9" t="s">
        <v>1179</v>
      </c>
      <c r="B9">
        <v>10</v>
      </c>
    </row>
    <row r="10" spans="1:2 4305:4305" x14ac:dyDescent="0.35">
      <c r="A10" t="s">
        <v>1369</v>
      </c>
      <c r="B10">
        <v>10</v>
      </c>
    </row>
    <row r="11" spans="1:2 4305:4305" x14ac:dyDescent="0.35">
      <c r="A11" t="s">
        <v>1362</v>
      </c>
    </row>
    <row r="12" spans="1:2 4305:4305" x14ac:dyDescent="0.35">
      <c r="A12" t="s">
        <v>1363</v>
      </c>
      <c r="B12">
        <v>5</v>
      </c>
    </row>
    <row r="13" spans="1:2 4305:4305" x14ac:dyDescent="0.35">
      <c r="A13" t="s">
        <v>1364</v>
      </c>
    </row>
    <row r="14" spans="1:2 4305:4305" x14ac:dyDescent="0.35">
      <c r="A14" t="s">
        <v>1180</v>
      </c>
      <c r="B14">
        <v>1</v>
      </c>
    </row>
    <row r="15" spans="1:2 4305:4305" x14ac:dyDescent="0.35">
      <c r="A15" t="s">
        <v>1365</v>
      </c>
    </row>
    <row r="16" spans="1:2 4305:4305" x14ac:dyDescent="0.35">
      <c r="A16" t="s">
        <v>1366</v>
      </c>
      <c r="B16">
        <v>50</v>
      </c>
    </row>
    <row r="17" spans="1:2" x14ac:dyDescent="0.35">
      <c r="A17" t="s">
        <v>1367</v>
      </c>
      <c r="B17">
        <v>5</v>
      </c>
    </row>
    <row r="18" spans="1:2" x14ac:dyDescent="0.35">
      <c r="A18" t="s">
        <v>1368</v>
      </c>
      <c r="B18">
        <v>500</v>
      </c>
    </row>
    <row r="19" spans="1:2" x14ac:dyDescent="0.35">
      <c r="A19" t="s">
        <v>1181</v>
      </c>
      <c r="B19">
        <v>10</v>
      </c>
    </row>
    <row r="20" spans="1:2" x14ac:dyDescent="0.35">
      <c r="A20" t="s">
        <v>1182</v>
      </c>
      <c r="B20">
        <v>50</v>
      </c>
    </row>
    <row r="21" spans="1:2" x14ac:dyDescent="0.35">
      <c r="A21" t="s">
        <v>1183</v>
      </c>
      <c r="B21">
        <v>150</v>
      </c>
    </row>
    <row r="22" spans="1:2" x14ac:dyDescent="0.35">
      <c r="A22" t="s">
        <v>1184</v>
      </c>
      <c r="B22">
        <v>2500</v>
      </c>
    </row>
    <row r="23" spans="1:2" x14ac:dyDescent="0.35">
      <c r="A23" t="s">
        <v>1185</v>
      </c>
      <c r="B23">
        <v>200</v>
      </c>
    </row>
    <row r="24" spans="1:2" x14ac:dyDescent="0.35">
      <c r="A24" t="s">
        <v>1186</v>
      </c>
      <c r="B24">
        <v>50</v>
      </c>
    </row>
    <row r="25" spans="1:2" x14ac:dyDescent="0.35">
      <c r="A25" t="s">
        <v>1187</v>
      </c>
      <c r="B25">
        <v>100</v>
      </c>
    </row>
    <row r="26" spans="1:2" x14ac:dyDescent="0.35">
      <c r="A26" t="s">
        <v>861</v>
      </c>
      <c r="B26">
        <v>1</v>
      </c>
    </row>
    <row r="27" spans="1:2" x14ac:dyDescent="0.35">
      <c r="A27" t="s">
        <v>348</v>
      </c>
      <c r="B27" t="s">
        <v>1083</v>
      </c>
    </row>
    <row r="28" spans="1:2" x14ac:dyDescent="0.35">
      <c r="A28" t="s">
        <v>1147</v>
      </c>
      <c r="B28" t="b">
        <v>0</v>
      </c>
    </row>
    <row r="29" spans="1:2" x14ac:dyDescent="0.35">
      <c r="A29" t="s">
        <v>1148</v>
      </c>
    </row>
    <row r="30" spans="1:2" x14ac:dyDescent="0.35">
      <c r="A30" t="s">
        <v>619</v>
      </c>
    </row>
    <row r="31" spans="1:2" x14ac:dyDescent="0.35">
      <c r="A31" t="s">
        <v>864</v>
      </c>
      <c r="B31" t="b">
        <v>1</v>
      </c>
    </row>
    <row r="32" spans="1:2" x14ac:dyDescent="0.35">
      <c r="A32" t="s">
        <v>1223</v>
      </c>
    </row>
    <row r="33" spans="1:1" x14ac:dyDescent="0.35">
      <c r="A33" t="s">
        <v>1086</v>
      </c>
    </row>
    <row r="34" spans="1:1" x14ac:dyDescent="0.35">
      <c r="A34" t="s">
        <v>1087</v>
      </c>
    </row>
    <row r="35" spans="1:1" x14ac:dyDescent="0.35">
      <c r="A35" t="s">
        <v>1088</v>
      </c>
    </row>
    <row r="36" spans="1:1" x14ac:dyDescent="0.35">
      <c r="A36" t="s">
        <v>1089</v>
      </c>
    </row>
    <row r="37" spans="1:1" x14ac:dyDescent="0.35">
      <c r="A37" t="s">
        <v>1112</v>
      </c>
    </row>
    <row r="38" spans="1:1" x14ac:dyDescent="0.35">
      <c r="A38" t="s">
        <v>1113</v>
      </c>
    </row>
    <row r="39" spans="1:1" x14ac:dyDescent="0.35">
      <c r="A39" t="s">
        <v>1144</v>
      </c>
    </row>
    <row r="40" spans="1:1" x14ac:dyDescent="0.35">
      <c r="A40" t="s">
        <v>1145</v>
      </c>
    </row>
    <row r="41" spans="1:1" x14ac:dyDescent="0.35">
      <c r="A41" t="s">
        <v>1146</v>
      </c>
    </row>
    <row r="42" spans="1:1" x14ac:dyDescent="0.35">
      <c r="A42" t="s">
        <v>1117</v>
      </c>
    </row>
    <row r="43" spans="1:1" x14ac:dyDescent="0.35">
      <c r="A43" t="s">
        <v>1122</v>
      </c>
    </row>
    <row r="44" spans="1:1" x14ac:dyDescent="0.35">
      <c r="A44" t="s">
        <v>140</v>
      </c>
    </row>
    <row r="45" spans="1:1" x14ac:dyDescent="0.35">
      <c r="A45" t="s">
        <v>141</v>
      </c>
    </row>
    <row r="46" spans="1:1" x14ac:dyDescent="0.35">
      <c r="A46" t="s">
        <v>142</v>
      </c>
    </row>
    <row r="47" spans="1:1" x14ac:dyDescent="0.35">
      <c r="A47" t="s">
        <v>143</v>
      </c>
    </row>
    <row r="48" spans="1:1" x14ac:dyDescent="0.35">
      <c r="A48" t="s">
        <v>39</v>
      </c>
    </row>
    <row r="49" spans="1:2" x14ac:dyDescent="0.35">
      <c r="A49" t="s">
        <v>40</v>
      </c>
    </row>
    <row r="50" spans="1:2" x14ac:dyDescent="0.35">
      <c r="A50" t="s">
        <v>1053</v>
      </c>
    </row>
    <row r="51" spans="1:2" x14ac:dyDescent="0.35">
      <c r="A51" t="s">
        <v>1054</v>
      </c>
    </row>
    <row r="52" spans="1:2" x14ac:dyDescent="0.35">
      <c r="A52" t="s">
        <v>1055</v>
      </c>
    </row>
    <row r="53" spans="1:2" x14ac:dyDescent="0.35">
      <c r="A53" t="s">
        <v>1056</v>
      </c>
    </row>
    <row r="54" spans="1:2" x14ac:dyDescent="0.35">
      <c r="A54" t="s">
        <v>641</v>
      </c>
    </row>
    <row r="55" spans="1:2" x14ac:dyDescent="0.35">
      <c r="A55" t="s">
        <v>642</v>
      </c>
    </row>
    <row r="56" spans="1:2" x14ac:dyDescent="0.35">
      <c r="A56" t="s">
        <v>643</v>
      </c>
    </row>
    <row r="57" spans="1:2" x14ac:dyDescent="0.35">
      <c r="A57" t="s">
        <v>644</v>
      </c>
    </row>
    <row r="58" spans="1:2" x14ac:dyDescent="0.35">
      <c r="A58" t="s">
        <v>112</v>
      </c>
    </row>
    <row r="59" spans="1:2" x14ac:dyDescent="0.35">
      <c r="A59" t="s">
        <v>113</v>
      </c>
    </row>
    <row r="60" spans="1:2" x14ac:dyDescent="0.35">
      <c r="A60" t="s">
        <v>114</v>
      </c>
    </row>
    <row r="61" spans="1:2" x14ac:dyDescent="0.35">
      <c r="A61" t="s">
        <v>115</v>
      </c>
    </row>
    <row r="62" spans="1:2" x14ac:dyDescent="0.35">
      <c r="A62" t="s">
        <v>116</v>
      </c>
    </row>
    <row r="63" spans="1:2" x14ac:dyDescent="0.35">
      <c r="A63" t="s">
        <v>232</v>
      </c>
    </row>
    <row r="64" spans="1:2" x14ac:dyDescent="0.35">
      <c r="A64" t="s">
        <v>1114</v>
      </c>
      <c r="B64">
        <v>30</v>
      </c>
    </row>
    <row r="65" spans="1:2" x14ac:dyDescent="0.35">
      <c r="A65" t="s">
        <v>1121</v>
      </c>
    </row>
    <row r="66" spans="1:2" x14ac:dyDescent="0.35">
      <c r="A66" t="s">
        <v>408</v>
      </c>
      <c r="B66">
        <v>1</v>
      </c>
    </row>
    <row r="67" spans="1:2" x14ac:dyDescent="0.35">
      <c r="A67" t="s">
        <v>233</v>
      </c>
    </row>
    <row r="68" spans="1:2" x14ac:dyDescent="0.35">
      <c r="A68" t="s">
        <v>234</v>
      </c>
    </row>
    <row r="69" spans="1:2" x14ac:dyDescent="0.35">
      <c r="A69" t="s">
        <v>235</v>
      </c>
    </row>
    <row r="70" spans="1:2" x14ac:dyDescent="0.35">
      <c r="A70" t="s">
        <v>236</v>
      </c>
    </row>
    <row r="71" spans="1:2" x14ac:dyDescent="0.35">
      <c r="A71" t="s">
        <v>237</v>
      </c>
    </row>
    <row r="72" spans="1:2" x14ac:dyDescent="0.35">
      <c r="A72" t="s">
        <v>238</v>
      </c>
    </row>
    <row r="73" spans="1:2" x14ac:dyDescent="0.35">
      <c r="A73" t="s">
        <v>239</v>
      </c>
    </row>
    <row r="74" spans="1:2" x14ac:dyDescent="0.35">
      <c r="A74" t="s">
        <v>240</v>
      </c>
    </row>
    <row r="75" spans="1:2" x14ac:dyDescent="0.35">
      <c r="A75" t="s">
        <v>241</v>
      </c>
    </row>
    <row r="76" spans="1:2" x14ac:dyDescent="0.35">
      <c r="A76" t="s">
        <v>242</v>
      </c>
    </row>
    <row r="77" spans="1:2" x14ac:dyDescent="0.35">
      <c r="A77" t="s">
        <v>243</v>
      </c>
    </row>
    <row r="78" spans="1:2" x14ac:dyDescent="0.35">
      <c r="A78" t="s">
        <v>244</v>
      </c>
    </row>
    <row r="79" spans="1:2" x14ac:dyDescent="0.35">
      <c r="A79" t="s">
        <v>245</v>
      </c>
    </row>
    <row r="80" spans="1:2" x14ac:dyDescent="0.35">
      <c r="A80" t="s">
        <v>246</v>
      </c>
    </row>
    <row r="81" spans="1:2" x14ac:dyDescent="0.35">
      <c r="A81" t="s">
        <v>247</v>
      </c>
    </row>
    <row r="82" spans="1:2" x14ac:dyDescent="0.35">
      <c r="A82" t="s">
        <v>248</v>
      </c>
    </row>
    <row r="83" spans="1:2" x14ac:dyDescent="0.35">
      <c r="A83" t="s">
        <v>249</v>
      </c>
    </row>
    <row r="84" spans="1:2" x14ac:dyDescent="0.35">
      <c r="A84" t="s">
        <v>670</v>
      </c>
    </row>
    <row r="85" spans="1:2" x14ac:dyDescent="0.35">
      <c r="A85" t="s">
        <v>671</v>
      </c>
    </row>
    <row r="86" spans="1:2" x14ac:dyDescent="0.35">
      <c r="A86" t="s">
        <v>695</v>
      </c>
    </row>
    <row r="87" spans="1:2" x14ac:dyDescent="0.35">
      <c r="A87" t="s">
        <v>460</v>
      </c>
      <c r="B87">
        <v>1</v>
      </c>
    </row>
    <row r="88" spans="1:2" x14ac:dyDescent="0.35">
      <c r="A88" t="s">
        <v>461</v>
      </c>
    </row>
    <row r="89" spans="1:2" x14ac:dyDescent="0.35">
      <c r="A89" t="s">
        <v>462</v>
      </c>
    </row>
    <row r="90" spans="1:2" x14ac:dyDescent="0.35">
      <c r="A90" t="s">
        <v>463</v>
      </c>
    </row>
    <row r="91" spans="1:2" x14ac:dyDescent="0.35">
      <c r="A91" t="s">
        <v>627</v>
      </c>
      <c r="B91">
        <v>40909</v>
      </c>
    </row>
    <row r="92" spans="1:2" x14ac:dyDescent="0.35">
      <c r="A92" t="s">
        <v>873</v>
      </c>
      <c r="B92">
        <v>100</v>
      </c>
    </row>
    <row r="93" spans="1:2" x14ac:dyDescent="0.35">
      <c r="A93" t="s">
        <v>860</v>
      </c>
      <c r="B93" t="b">
        <v>0</v>
      </c>
    </row>
    <row r="94" spans="1:2" x14ac:dyDescent="0.35">
      <c r="A94" t="s">
        <v>450</v>
      </c>
      <c r="B94">
        <v>1</v>
      </c>
    </row>
    <row r="95" spans="1:2" x14ac:dyDescent="0.35">
      <c r="A95" t="s">
        <v>451</v>
      </c>
      <c r="B95">
        <v>1</v>
      </c>
    </row>
    <row r="96" spans="1:2" x14ac:dyDescent="0.35">
      <c r="A96" t="s">
        <v>452</v>
      </c>
      <c r="B96">
        <v>1</v>
      </c>
    </row>
    <row r="97" spans="1:2" x14ac:dyDescent="0.35">
      <c r="A97" t="s">
        <v>453</v>
      </c>
      <c r="B97">
        <v>1</v>
      </c>
    </row>
    <row r="98" spans="1:2" x14ac:dyDescent="0.35">
      <c r="A98" t="s">
        <v>454</v>
      </c>
      <c r="B98">
        <v>1</v>
      </c>
    </row>
    <row r="99" spans="1:2" x14ac:dyDescent="0.35">
      <c r="A99" t="s">
        <v>1154</v>
      </c>
      <c r="B99">
        <v>1</v>
      </c>
    </row>
    <row r="100" spans="1:2" x14ac:dyDescent="0.35">
      <c r="A100" t="s">
        <v>1120</v>
      </c>
    </row>
    <row r="101" spans="1:2" x14ac:dyDescent="0.35">
      <c r="A101" t="s">
        <v>1155</v>
      </c>
      <c r="B101">
        <v>5</v>
      </c>
    </row>
    <row r="102" spans="1:2" x14ac:dyDescent="0.35">
      <c r="A102" t="s">
        <v>1156</v>
      </c>
      <c r="B102">
        <v>20</v>
      </c>
    </row>
    <row r="103" spans="1:2" x14ac:dyDescent="0.35">
      <c r="A103" t="s">
        <v>1157</v>
      </c>
      <c r="B103">
        <v>15</v>
      </c>
    </row>
    <row r="104" spans="1:2" x14ac:dyDescent="0.35">
      <c r="A104" t="s">
        <v>1158</v>
      </c>
      <c r="B104">
        <v>10</v>
      </c>
    </row>
    <row r="105" spans="1:2" x14ac:dyDescent="0.35">
      <c r="A105" t="s">
        <v>1159</v>
      </c>
      <c r="B105">
        <v>10</v>
      </c>
    </row>
    <row r="106" spans="1:2" x14ac:dyDescent="0.35">
      <c r="A106" t="s">
        <v>846</v>
      </c>
      <c r="B106">
        <v>10</v>
      </c>
    </row>
    <row r="107" spans="1:2" x14ac:dyDescent="0.35">
      <c r="A107" t="s">
        <v>847</v>
      </c>
      <c r="B107">
        <v>30</v>
      </c>
    </row>
    <row r="108" spans="1:2" x14ac:dyDescent="0.35">
      <c r="A108" t="s">
        <v>848</v>
      </c>
      <c r="B108">
        <v>250</v>
      </c>
    </row>
    <row r="109" spans="1:2" x14ac:dyDescent="0.35">
      <c r="A109" t="s">
        <v>1403</v>
      </c>
    </row>
    <row r="110" spans="1:2" x14ac:dyDescent="0.35">
      <c r="A110" t="s">
        <v>1404</v>
      </c>
      <c r="B110">
        <v>10</v>
      </c>
    </row>
    <row r="111" spans="1:2" x14ac:dyDescent="0.35">
      <c r="A111" t="s">
        <v>1405</v>
      </c>
    </row>
    <row r="112" spans="1:2" x14ac:dyDescent="0.35">
      <c r="A112" t="s">
        <v>1160</v>
      </c>
      <c r="B112">
        <v>10</v>
      </c>
    </row>
    <row r="113" spans="1:2" x14ac:dyDescent="0.35">
      <c r="A113" t="s">
        <v>1370</v>
      </c>
    </row>
    <row r="114" spans="1:2" x14ac:dyDescent="0.35">
      <c r="A114" t="s">
        <v>1371</v>
      </c>
      <c r="B114">
        <v>6</v>
      </c>
    </row>
    <row r="115" spans="1:2" x14ac:dyDescent="0.35">
      <c r="A115" t="s">
        <v>1401</v>
      </c>
      <c r="B115">
        <v>2</v>
      </c>
    </row>
    <row r="116" spans="1:2" x14ac:dyDescent="0.35">
      <c r="A116" t="s">
        <v>1402</v>
      </c>
      <c r="B116">
        <v>70</v>
      </c>
    </row>
    <row r="117" spans="1:2" x14ac:dyDescent="0.35">
      <c r="A117" t="s">
        <v>1161</v>
      </c>
      <c r="B117">
        <v>5</v>
      </c>
    </row>
    <row r="118" spans="1:2" x14ac:dyDescent="0.35">
      <c r="A118" t="s">
        <v>1162</v>
      </c>
      <c r="B118">
        <v>25</v>
      </c>
    </row>
    <row r="119" spans="1:2" x14ac:dyDescent="0.35">
      <c r="A119" t="s">
        <v>1163</v>
      </c>
      <c r="B119">
        <v>100</v>
      </c>
    </row>
    <row r="120" spans="1:2" x14ac:dyDescent="0.35">
      <c r="A120" t="s">
        <v>1164</v>
      </c>
      <c r="B120">
        <v>10</v>
      </c>
    </row>
    <row r="121" spans="1:2" x14ac:dyDescent="0.35">
      <c r="A121" t="s">
        <v>1165</v>
      </c>
      <c r="B121">
        <v>5</v>
      </c>
    </row>
    <row r="122" spans="1:2" x14ac:dyDescent="0.35">
      <c r="A122" t="s">
        <v>1166</v>
      </c>
      <c r="B122">
        <v>10</v>
      </c>
    </row>
    <row r="123" spans="1:2" x14ac:dyDescent="0.35">
      <c r="A123" t="s">
        <v>633</v>
      </c>
      <c r="B123">
        <v>5</v>
      </c>
    </row>
    <row r="124" spans="1:2" x14ac:dyDescent="0.35">
      <c r="A124" t="s">
        <v>1273</v>
      </c>
      <c r="B124">
        <v>10</v>
      </c>
    </row>
    <row r="125" spans="1:2" x14ac:dyDescent="0.35">
      <c r="A125" t="s">
        <v>1274</v>
      </c>
      <c r="B125">
        <v>10</v>
      </c>
    </row>
    <row r="126" spans="1:2" x14ac:dyDescent="0.35">
      <c r="A126" t="s">
        <v>1275</v>
      </c>
      <c r="B126">
        <v>10</v>
      </c>
    </row>
    <row r="127" spans="1:2" x14ac:dyDescent="0.35">
      <c r="A127" t="s">
        <v>1276</v>
      </c>
      <c r="B127">
        <v>10</v>
      </c>
    </row>
    <row r="128" spans="1:2" x14ac:dyDescent="0.35">
      <c r="A128" t="s">
        <v>1277</v>
      </c>
      <c r="B128">
        <v>10</v>
      </c>
    </row>
    <row r="129" spans="1:2" x14ac:dyDescent="0.35">
      <c r="A129" t="s">
        <v>1000</v>
      </c>
      <c r="B129">
        <v>10</v>
      </c>
    </row>
    <row r="130" spans="1:2" x14ac:dyDescent="0.35">
      <c r="A130" t="s">
        <v>1001</v>
      </c>
      <c r="B130">
        <v>10</v>
      </c>
    </row>
    <row r="131" spans="1:2" x14ac:dyDescent="0.35">
      <c r="A131" t="s">
        <v>845</v>
      </c>
      <c r="B131">
        <v>10</v>
      </c>
    </row>
    <row r="132" spans="1:2" x14ac:dyDescent="0.35">
      <c r="A132" t="s">
        <v>1410</v>
      </c>
    </row>
    <row r="133" spans="1:2" x14ac:dyDescent="0.35">
      <c r="A133" t="s">
        <v>1411</v>
      </c>
      <c r="B133">
        <v>10</v>
      </c>
    </row>
    <row r="134" spans="1:2" x14ac:dyDescent="0.35">
      <c r="A134" t="s">
        <v>1412</v>
      </c>
    </row>
    <row r="135" spans="1:2" x14ac:dyDescent="0.35">
      <c r="A135" t="s">
        <v>1278</v>
      </c>
      <c r="B135">
        <v>10</v>
      </c>
    </row>
    <row r="136" spans="1:2" x14ac:dyDescent="0.35">
      <c r="A136" t="s">
        <v>1406</v>
      </c>
    </row>
    <row r="137" spans="1:2" x14ac:dyDescent="0.35">
      <c r="A137" t="s">
        <v>1407</v>
      </c>
      <c r="B137">
        <v>10</v>
      </c>
    </row>
    <row r="138" spans="1:2" x14ac:dyDescent="0.35">
      <c r="A138" t="s">
        <v>1408</v>
      </c>
      <c r="B138">
        <v>10</v>
      </c>
    </row>
    <row r="139" spans="1:2" x14ac:dyDescent="0.35">
      <c r="A139" t="s">
        <v>1409</v>
      </c>
      <c r="B139">
        <v>10</v>
      </c>
    </row>
    <row r="140" spans="1:2" x14ac:dyDescent="0.35">
      <c r="A140" t="s">
        <v>1279</v>
      </c>
      <c r="B140">
        <v>10</v>
      </c>
    </row>
    <row r="141" spans="1:2" x14ac:dyDescent="0.35">
      <c r="A141" t="s">
        <v>485</v>
      </c>
      <c r="B141">
        <v>10</v>
      </c>
    </row>
    <row r="142" spans="1:2" x14ac:dyDescent="0.35">
      <c r="A142" t="s">
        <v>650</v>
      </c>
      <c r="B142">
        <v>10</v>
      </c>
    </row>
    <row r="143" spans="1:2" x14ac:dyDescent="0.35">
      <c r="A143" t="s">
        <v>1002</v>
      </c>
      <c r="B143">
        <v>10</v>
      </c>
    </row>
    <row r="144" spans="1:2" x14ac:dyDescent="0.35">
      <c r="A144" t="s">
        <v>1003</v>
      </c>
      <c r="B144">
        <v>10</v>
      </c>
    </row>
    <row r="145" spans="1:2" x14ac:dyDescent="0.35">
      <c r="A145" t="s">
        <v>144</v>
      </c>
      <c r="B145">
        <v>10</v>
      </c>
    </row>
    <row r="146" spans="1:2" x14ac:dyDescent="0.35">
      <c r="A146" t="s">
        <v>145</v>
      </c>
      <c r="B146">
        <v>10</v>
      </c>
    </row>
    <row r="147" spans="1:2" x14ac:dyDescent="0.35">
      <c r="A147" t="s">
        <v>422</v>
      </c>
      <c r="B147" t="b">
        <v>0</v>
      </c>
    </row>
    <row r="148" spans="1:2" x14ac:dyDescent="0.35">
      <c r="A148" t="s">
        <v>1103</v>
      </c>
    </row>
    <row r="149" spans="1:2" x14ac:dyDescent="0.35">
      <c r="A149" t="s">
        <v>423</v>
      </c>
    </row>
    <row r="150" spans="1:2" x14ac:dyDescent="0.35">
      <c r="A150" t="s">
        <v>1104</v>
      </c>
    </row>
    <row r="151" spans="1:2" x14ac:dyDescent="0.35">
      <c r="A151" t="s">
        <v>464</v>
      </c>
      <c r="B151">
        <v>1</v>
      </c>
    </row>
    <row r="152" spans="1:2" x14ac:dyDescent="0.35">
      <c r="A152" t="s">
        <v>465</v>
      </c>
    </row>
    <row r="153" spans="1:2" x14ac:dyDescent="0.35">
      <c r="A153" t="s">
        <v>466</v>
      </c>
    </row>
    <row r="154" spans="1:2" x14ac:dyDescent="0.35">
      <c r="A154" t="s">
        <v>467</v>
      </c>
    </row>
    <row r="155" spans="1:2" x14ac:dyDescent="0.35">
      <c r="A155" t="s">
        <v>970</v>
      </c>
      <c r="B155" t="b">
        <v>0</v>
      </c>
    </row>
    <row r="156" spans="1:2" x14ac:dyDescent="0.35">
      <c r="A156" t="s">
        <v>120</v>
      </c>
    </row>
    <row r="157" spans="1:2" x14ac:dyDescent="0.35">
      <c r="A157" t="s">
        <v>1188</v>
      </c>
    </row>
    <row r="158" spans="1:2" x14ac:dyDescent="0.35">
      <c r="A158" t="s">
        <v>1196</v>
      </c>
    </row>
    <row r="159" spans="1:2" x14ac:dyDescent="0.35">
      <c r="A159" t="s">
        <v>1197</v>
      </c>
    </row>
    <row r="160" spans="1:2" x14ac:dyDescent="0.35">
      <c r="A160" t="s">
        <v>446</v>
      </c>
    </row>
    <row r="161" spans="1:1" x14ac:dyDescent="0.35">
      <c r="A161" t="s">
        <v>447</v>
      </c>
    </row>
    <row r="162" spans="1:1" x14ac:dyDescent="0.35">
      <c r="A162" t="s">
        <v>448</v>
      </c>
    </row>
    <row r="163" spans="1:1" x14ac:dyDescent="0.35">
      <c r="A163" t="s">
        <v>449</v>
      </c>
    </row>
    <row r="164" spans="1:1" x14ac:dyDescent="0.35">
      <c r="A164" t="s">
        <v>917</v>
      </c>
    </row>
    <row r="165" spans="1:1" x14ac:dyDescent="0.35">
      <c r="A165" t="s">
        <v>918</v>
      </c>
    </row>
    <row r="166" spans="1:1" x14ac:dyDescent="0.35">
      <c r="A166" t="s">
        <v>1189</v>
      </c>
    </row>
    <row r="167" spans="1:1" x14ac:dyDescent="0.35">
      <c r="A167" t="s">
        <v>1190</v>
      </c>
    </row>
    <row r="168" spans="1:1" x14ac:dyDescent="0.35">
      <c r="A168" t="s">
        <v>1191</v>
      </c>
    </row>
    <row r="169" spans="1:1" x14ac:dyDescent="0.35">
      <c r="A169" t="s">
        <v>1192</v>
      </c>
    </row>
    <row r="170" spans="1:1" x14ac:dyDescent="0.35">
      <c r="A170" t="s">
        <v>1193</v>
      </c>
    </row>
    <row r="171" spans="1:1" x14ac:dyDescent="0.35">
      <c r="A171" t="s">
        <v>1194</v>
      </c>
    </row>
    <row r="172" spans="1:1" x14ac:dyDescent="0.35">
      <c r="A172" t="s">
        <v>1195</v>
      </c>
    </row>
    <row r="173" spans="1:1" x14ac:dyDescent="0.35">
      <c r="A173" t="s">
        <v>327</v>
      </c>
    </row>
    <row r="174" spans="1:1" x14ac:dyDescent="0.35">
      <c r="A174" t="s">
        <v>328</v>
      </c>
    </row>
    <row r="175" spans="1:1" x14ac:dyDescent="0.35">
      <c r="A175" t="s">
        <v>329</v>
      </c>
    </row>
    <row r="176" spans="1:1" x14ac:dyDescent="0.35">
      <c r="A176" t="s">
        <v>330</v>
      </c>
    </row>
    <row r="177" spans="1:1" x14ac:dyDescent="0.35">
      <c r="A177" t="s">
        <v>331</v>
      </c>
    </row>
    <row r="178" spans="1:1" x14ac:dyDescent="0.35">
      <c r="A178" t="s">
        <v>332</v>
      </c>
    </row>
    <row r="179" spans="1:1" x14ac:dyDescent="0.35">
      <c r="A179" t="s">
        <v>333</v>
      </c>
    </row>
    <row r="180" spans="1:1" x14ac:dyDescent="0.35">
      <c r="A180" t="s">
        <v>334</v>
      </c>
    </row>
    <row r="181" spans="1:1" x14ac:dyDescent="0.35">
      <c r="A181" t="s">
        <v>335</v>
      </c>
    </row>
    <row r="182" spans="1:1" x14ac:dyDescent="0.35">
      <c r="A182" t="s">
        <v>336</v>
      </c>
    </row>
    <row r="183" spans="1:1" x14ac:dyDescent="0.35">
      <c r="A183" t="s">
        <v>337</v>
      </c>
    </row>
    <row r="184" spans="1:1" x14ac:dyDescent="0.35">
      <c r="A184" t="s">
        <v>338</v>
      </c>
    </row>
    <row r="185" spans="1:1" x14ac:dyDescent="0.35">
      <c r="A185" t="s">
        <v>339</v>
      </c>
    </row>
    <row r="186" spans="1:1" x14ac:dyDescent="0.35">
      <c r="A186" t="s">
        <v>340</v>
      </c>
    </row>
    <row r="187" spans="1:1" x14ac:dyDescent="0.35">
      <c r="A187" t="s">
        <v>341</v>
      </c>
    </row>
    <row r="188" spans="1:1" x14ac:dyDescent="0.35">
      <c r="A188" t="s">
        <v>342</v>
      </c>
    </row>
    <row r="189" spans="1:1" x14ac:dyDescent="0.35">
      <c r="A189" t="s">
        <v>778</v>
      </c>
    </row>
    <row r="190" spans="1:1" x14ac:dyDescent="0.35">
      <c r="A190" t="s">
        <v>779</v>
      </c>
    </row>
    <row r="191" spans="1:1" x14ac:dyDescent="0.35">
      <c r="A191" t="s">
        <v>780</v>
      </c>
    </row>
    <row r="192" spans="1:1" x14ac:dyDescent="0.35">
      <c r="A192" t="s">
        <v>781</v>
      </c>
    </row>
    <row r="193" spans="1:1" x14ac:dyDescent="0.35">
      <c r="A193" t="s">
        <v>782</v>
      </c>
    </row>
    <row r="194" spans="1:1" x14ac:dyDescent="0.35">
      <c r="A194" t="s">
        <v>783</v>
      </c>
    </row>
    <row r="195" spans="1:1" x14ac:dyDescent="0.35">
      <c r="A195" t="s">
        <v>784</v>
      </c>
    </row>
    <row r="196" spans="1:1" x14ac:dyDescent="0.35">
      <c r="A196" t="s">
        <v>785</v>
      </c>
    </row>
    <row r="197" spans="1:1" x14ac:dyDescent="0.35">
      <c r="A197" t="s">
        <v>786</v>
      </c>
    </row>
    <row r="198" spans="1:1" x14ac:dyDescent="0.35">
      <c r="A198" t="s">
        <v>787</v>
      </c>
    </row>
    <row r="199" spans="1:1" x14ac:dyDescent="0.35">
      <c r="A199" t="s">
        <v>788</v>
      </c>
    </row>
    <row r="200" spans="1:1" x14ac:dyDescent="0.35">
      <c r="A200" t="s">
        <v>789</v>
      </c>
    </row>
    <row r="201" spans="1:1" x14ac:dyDescent="0.35">
      <c r="A201" t="s">
        <v>790</v>
      </c>
    </row>
    <row r="202" spans="1:1" x14ac:dyDescent="0.35">
      <c r="A202" t="s">
        <v>791</v>
      </c>
    </row>
    <row r="203" spans="1:1" x14ac:dyDescent="0.35">
      <c r="A203" t="s">
        <v>792</v>
      </c>
    </row>
    <row r="204" spans="1:1" x14ac:dyDescent="0.35">
      <c r="A204" t="s">
        <v>793</v>
      </c>
    </row>
    <row r="205" spans="1:1" x14ac:dyDescent="0.35">
      <c r="A205" t="s">
        <v>794</v>
      </c>
    </row>
    <row r="206" spans="1:1" x14ac:dyDescent="0.35">
      <c r="A206" t="s">
        <v>795</v>
      </c>
    </row>
    <row r="207" spans="1:1" x14ac:dyDescent="0.35">
      <c r="A207" t="s">
        <v>796</v>
      </c>
    </row>
    <row r="208" spans="1:1" x14ac:dyDescent="0.35">
      <c r="A208" t="s">
        <v>797</v>
      </c>
    </row>
    <row r="209" spans="1:1" x14ac:dyDescent="0.35">
      <c r="A209" t="s">
        <v>798</v>
      </c>
    </row>
    <row r="210" spans="1:1" x14ac:dyDescent="0.35">
      <c r="A210" t="s">
        <v>799</v>
      </c>
    </row>
    <row r="211" spans="1:1" x14ac:dyDescent="0.35">
      <c r="A211" t="s">
        <v>800</v>
      </c>
    </row>
    <row r="212" spans="1:1" x14ac:dyDescent="0.35">
      <c r="A212" t="s">
        <v>801</v>
      </c>
    </row>
    <row r="213" spans="1:1" x14ac:dyDescent="0.35">
      <c r="A213" t="s">
        <v>802</v>
      </c>
    </row>
    <row r="214" spans="1:1" x14ac:dyDescent="0.35">
      <c r="A214" t="s">
        <v>803</v>
      </c>
    </row>
    <row r="215" spans="1:1" x14ac:dyDescent="0.35">
      <c r="A215" t="s">
        <v>804</v>
      </c>
    </row>
    <row r="216" spans="1:1" x14ac:dyDescent="0.35">
      <c r="A216" t="s">
        <v>805</v>
      </c>
    </row>
    <row r="217" spans="1:1" x14ac:dyDescent="0.35">
      <c r="A217" t="s">
        <v>806</v>
      </c>
    </row>
    <row r="218" spans="1:1" x14ac:dyDescent="0.35">
      <c r="A218" t="s">
        <v>807</v>
      </c>
    </row>
    <row r="219" spans="1:1" x14ac:dyDescent="0.35">
      <c r="A219" t="s">
        <v>808</v>
      </c>
    </row>
    <row r="220" spans="1:1" x14ac:dyDescent="0.35">
      <c r="A220" t="s">
        <v>809</v>
      </c>
    </row>
    <row r="221" spans="1:1" x14ac:dyDescent="0.35">
      <c r="A221" t="s">
        <v>810</v>
      </c>
    </row>
    <row r="222" spans="1:1" x14ac:dyDescent="0.35">
      <c r="A222" t="s">
        <v>811</v>
      </c>
    </row>
    <row r="223" spans="1:1" x14ac:dyDescent="0.35">
      <c r="A223" t="s">
        <v>812</v>
      </c>
    </row>
    <row r="224" spans="1:1" x14ac:dyDescent="0.35">
      <c r="A224" t="s">
        <v>813</v>
      </c>
    </row>
    <row r="225" spans="1:1" x14ac:dyDescent="0.35">
      <c r="A225" t="s">
        <v>814</v>
      </c>
    </row>
    <row r="226" spans="1:1" x14ac:dyDescent="0.35">
      <c r="A226" t="s">
        <v>815</v>
      </c>
    </row>
    <row r="227" spans="1:1" x14ac:dyDescent="0.35">
      <c r="A227" t="s">
        <v>816</v>
      </c>
    </row>
    <row r="228" spans="1:1" x14ac:dyDescent="0.35">
      <c r="A228" t="s">
        <v>817</v>
      </c>
    </row>
    <row r="229" spans="1:1" x14ac:dyDescent="0.35">
      <c r="A229" t="s">
        <v>818</v>
      </c>
    </row>
    <row r="230" spans="1:1" x14ac:dyDescent="0.35">
      <c r="A230" t="s">
        <v>819</v>
      </c>
    </row>
    <row r="231" spans="1:1" x14ac:dyDescent="0.35">
      <c r="A231" t="s">
        <v>820</v>
      </c>
    </row>
    <row r="232" spans="1:1" x14ac:dyDescent="0.35">
      <c r="A232" t="s">
        <v>821</v>
      </c>
    </row>
    <row r="233" spans="1:1" x14ac:dyDescent="0.35">
      <c r="A233" t="s">
        <v>822</v>
      </c>
    </row>
    <row r="234" spans="1:1" x14ac:dyDescent="0.35">
      <c r="A234" t="s">
        <v>823</v>
      </c>
    </row>
    <row r="235" spans="1:1" x14ac:dyDescent="0.35">
      <c r="A235" t="s">
        <v>824</v>
      </c>
    </row>
    <row r="236" spans="1:1" x14ac:dyDescent="0.35">
      <c r="A236" t="s">
        <v>825</v>
      </c>
    </row>
    <row r="237" spans="1:1" x14ac:dyDescent="0.35">
      <c r="A237" t="s">
        <v>826</v>
      </c>
    </row>
    <row r="238" spans="1:1" x14ac:dyDescent="0.35">
      <c r="A238" t="s">
        <v>827</v>
      </c>
    </row>
    <row r="239" spans="1:1" x14ac:dyDescent="0.35">
      <c r="A239" t="s">
        <v>828</v>
      </c>
    </row>
    <row r="240" spans="1:1" x14ac:dyDescent="0.35">
      <c r="A240" t="s">
        <v>829</v>
      </c>
    </row>
    <row r="241" spans="1:1" x14ac:dyDescent="0.35">
      <c r="A241" t="s">
        <v>830</v>
      </c>
    </row>
    <row r="242" spans="1:1" x14ac:dyDescent="0.35">
      <c r="A242" t="s">
        <v>831</v>
      </c>
    </row>
    <row r="243" spans="1:1" x14ac:dyDescent="0.35">
      <c r="A243" t="s">
        <v>832</v>
      </c>
    </row>
    <row r="244" spans="1:1" x14ac:dyDescent="0.35">
      <c r="A244" t="s">
        <v>833</v>
      </c>
    </row>
    <row r="245" spans="1:1" x14ac:dyDescent="0.35">
      <c r="A245" t="s">
        <v>834</v>
      </c>
    </row>
    <row r="246" spans="1:1" x14ac:dyDescent="0.35">
      <c r="A246" t="s">
        <v>835</v>
      </c>
    </row>
    <row r="247" spans="1:1" x14ac:dyDescent="0.35">
      <c r="A247" t="s">
        <v>836</v>
      </c>
    </row>
    <row r="248" spans="1:1" x14ac:dyDescent="0.35">
      <c r="A248" t="s">
        <v>837</v>
      </c>
    </row>
    <row r="249" spans="1:1" x14ac:dyDescent="0.35">
      <c r="A249" t="s">
        <v>838</v>
      </c>
    </row>
    <row r="250" spans="1:1" x14ac:dyDescent="0.35">
      <c r="A250" t="s">
        <v>839</v>
      </c>
    </row>
    <row r="251" spans="1:1" x14ac:dyDescent="0.35">
      <c r="A251" t="s">
        <v>840</v>
      </c>
    </row>
    <row r="252" spans="1:1" x14ac:dyDescent="0.35">
      <c r="A252" t="s">
        <v>841</v>
      </c>
    </row>
    <row r="253" spans="1:1" x14ac:dyDescent="0.35">
      <c r="A253" t="s">
        <v>842</v>
      </c>
    </row>
    <row r="254" spans="1:1" x14ac:dyDescent="0.35">
      <c r="A254" t="s">
        <v>843</v>
      </c>
    </row>
    <row r="255" spans="1:1" x14ac:dyDescent="0.35">
      <c r="A255" t="s">
        <v>844</v>
      </c>
    </row>
    <row r="256" spans="1:1" x14ac:dyDescent="0.35">
      <c r="A256" t="s">
        <v>424</v>
      </c>
    </row>
    <row r="257" spans="1:1" x14ac:dyDescent="0.35">
      <c r="A257" t="s">
        <v>425</v>
      </c>
    </row>
    <row r="258" spans="1:1" x14ac:dyDescent="0.35">
      <c r="A258" t="s">
        <v>426</v>
      </c>
    </row>
    <row r="259" spans="1:1" x14ac:dyDescent="0.35">
      <c r="A259" t="s">
        <v>427</v>
      </c>
    </row>
    <row r="260" spans="1:1" x14ac:dyDescent="0.35">
      <c r="A260" t="s">
        <v>428</v>
      </c>
    </row>
    <row r="261" spans="1:1" x14ac:dyDescent="0.35">
      <c r="A261" t="s">
        <v>429</v>
      </c>
    </row>
    <row r="262" spans="1:1" x14ac:dyDescent="0.35">
      <c r="A262" t="s">
        <v>430</v>
      </c>
    </row>
    <row r="263" spans="1:1" x14ac:dyDescent="0.35">
      <c r="A263" t="s">
        <v>431</v>
      </c>
    </row>
    <row r="264" spans="1:1" x14ac:dyDescent="0.35">
      <c r="A264" t="s">
        <v>432</v>
      </c>
    </row>
    <row r="265" spans="1:1" x14ac:dyDescent="0.35">
      <c r="A265" t="s">
        <v>1062</v>
      </c>
    </row>
    <row r="266" spans="1:1" x14ac:dyDescent="0.35">
      <c r="A266" t="s">
        <v>254</v>
      </c>
    </row>
    <row r="267" spans="1:1" x14ac:dyDescent="0.35">
      <c r="A267" t="s">
        <v>263</v>
      </c>
    </row>
    <row r="268" spans="1:1" x14ac:dyDescent="0.35">
      <c r="A268" t="s">
        <v>264</v>
      </c>
    </row>
    <row r="269" spans="1:1" x14ac:dyDescent="0.35">
      <c r="A269" t="s">
        <v>265</v>
      </c>
    </row>
    <row r="270" spans="1:1" x14ac:dyDescent="0.35">
      <c r="A270" t="s">
        <v>266</v>
      </c>
    </row>
    <row r="271" spans="1:1" x14ac:dyDescent="0.35">
      <c r="A271" t="s">
        <v>267</v>
      </c>
    </row>
    <row r="272" spans="1:1" x14ac:dyDescent="0.35">
      <c r="A272" t="s">
        <v>268</v>
      </c>
    </row>
    <row r="273" spans="1:1" x14ac:dyDescent="0.35">
      <c r="A273" t="s">
        <v>269</v>
      </c>
    </row>
    <row r="274" spans="1:1" x14ac:dyDescent="0.35">
      <c r="A274" t="s">
        <v>1063</v>
      </c>
    </row>
    <row r="275" spans="1:1" x14ac:dyDescent="0.35">
      <c r="A275" t="s">
        <v>1064</v>
      </c>
    </row>
    <row r="276" spans="1:1" x14ac:dyDescent="0.35">
      <c r="A276" t="s">
        <v>1065</v>
      </c>
    </row>
    <row r="277" spans="1:1" x14ac:dyDescent="0.35">
      <c r="A277" t="s">
        <v>1066</v>
      </c>
    </row>
    <row r="278" spans="1:1" x14ac:dyDescent="0.35">
      <c r="A278" t="s">
        <v>1067</v>
      </c>
    </row>
    <row r="279" spans="1:1" x14ac:dyDescent="0.35">
      <c r="A279" t="s">
        <v>1068</v>
      </c>
    </row>
    <row r="280" spans="1:1" x14ac:dyDescent="0.35">
      <c r="A280" t="s">
        <v>250</v>
      </c>
    </row>
    <row r="281" spans="1:1" x14ac:dyDescent="0.35">
      <c r="A281" t="s">
        <v>251</v>
      </c>
    </row>
    <row r="282" spans="1:1" x14ac:dyDescent="0.35">
      <c r="A282" t="s">
        <v>252</v>
      </c>
    </row>
    <row r="283" spans="1:1" x14ac:dyDescent="0.35">
      <c r="A283" t="s">
        <v>253</v>
      </c>
    </row>
    <row r="284" spans="1:1" x14ac:dyDescent="0.35">
      <c r="A284" t="s">
        <v>255</v>
      </c>
    </row>
    <row r="285" spans="1:1" x14ac:dyDescent="0.35">
      <c r="A285" t="s">
        <v>256</v>
      </c>
    </row>
    <row r="286" spans="1:1" x14ac:dyDescent="0.35">
      <c r="A286" t="s">
        <v>257</v>
      </c>
    </row>
    <row r="287" spans="1:1" x14ac:dyDescent="0.35">
      <c r="A287" t="s">
        <v>258</v>
      </c>
    </row>
    <row r="288" spans="1:1" x14ac:dyDescent="0.35">
      <c r="A288" t="s">
        <v>259</v>
      </c>
    </row>
    <row r="289" spans="1:1" x14ac:dyDescent="0.35">
      <c r="A289" t="s">
        <v>260</v>
      </c>
    </row>
    <row r="290" spans="1:1" x14ac:dyDescent="0.35">
      <c r="A290" t="s">
        <v>261</v>
      </c>
    </row>
    <row r="291" spans="1:1" x14ac:dyDescent="0.35">
      <c r="A291" t="s">
        <v>262</v>
      </c>
    </row>
    <row r="292" spans="1:1" x14ac:dyDescent="0.35">
      <c r="A292" t="s">
        <v>309</v>
      </c>
    </row>
    <row r="293" spans="1:1" x14ac:dyDescent="0.35">
      <c r="A293" t="s">
        <v>319</v>
      </c>
    </row>
    <row r="294" spans="1:1" x14ac:dyDescent="0.35">
      <c r="A294" t="s">
        <v>320</v>
      </c>
    </row>
    <row r="295" spans="1:1" x14ac:dyDescent="0.35">
      <c r="A295" t="s">
        <v>321</v>
      </c>
    </row>
    <row r="296" spans="1:1" x14ac:dyDescent="0.35">
      <c r="A296" t="s">
        <v>322</v>
      </c>
    </row>
    <row r="297" spans="1:1" x14ac:dyDescent="0.35">
      <c r="A297" t="s">
        <v>323</v>
      </c>
    </row>
    <row r="298" spans="1:1" x14ac:dyDescent="0.35">
      <c r="A298" t="s">
        <v>324</v>
      </c>
    </row>
    <row r="299" spans="1:1" x14ac:dyDescent="0.35">
      <c r="A299" t="s">
        <v>325</v>
      </c>
    </row>
    <row r="300" spans="1:1" x14ac:dyDescent="0.35">
      <c r="A300" t="s">
        <v>326</v>
      </c>
    </row>
    <row r="301" spans="1:1" x14ac:dyDescent="0.35">
      <c r="A301" t="s">
        <v>310</v>
      </c>
    </row>
    <row r="302" spans="1:1" x14ac:dyDescent="0.35">
      <c r="A302" t="s">
        <v>311</v>
      </c>
    </row>
    <row r="303" spans="1:1" x14ac:dyDescent="0.35">
      <c r="A303" t="s">
        <v>312</v>
      </c>
    </row>
    <row r="304" spans="1:1" x14ac:dyDescent="0.35">
      <c r="A304" t="s">
        <v>313</v>
      </c>
    </row>
    <row r="305" spans="1:1" x14ac:dyDescent="0.35">
      <c r="A305" t="s">
        <v>314</v>
      </c>
    </row>
    <row r="306" spans="1:1" x14ac:dyDescent="0.35">
      <c r="A306" t="s">
        <v>315</v>
      </c>
    </row>
    <row r="307" spans="1:1" x14ac:dyDescent="0.35">
      <c r="A307" t="s">
        <v>316</v>
      </c>
    </row>
    <row r="308" spans="1:1" x14ac:dyDescent="0.35">
      <c r="A308" t="s">
        <v>317</v>
      </c>
    </row>
    <row r="309" spans="1:1" x14ac:dyDescent="0.35">
      <c r="A309" t="s">
        <v>318</v>
      </c>
    </row>
    <row r="310" spans="1:1" x14ac:dyDescent="0.35">
      <c r="A310" t="s">
        <v>270</v>
      </c>
    </row>
    <row r="311" spans="1:1" x14ac:dyDescent="0.35">
      <c r="A311" t="s">
        <v>271</v>
      </c>
    </row>
    <row r="312" spans="1:1" x14ac:dyDescent="0.35">
      <c r="A312" t="s">
        <v>272</v>
      </c>
    </row>
    <row r="313" spans="1:1" x14ac:dyDescent="0.35">
      <c r="A313" t="s">
        <v>273</v>
      </c>
    </row>
    <row r="314" spans="1:1" x14ac:dyDescent="0.35">
      <c r="A314" t="s">
        <v>274</v>
      </c>
    </row>
    <row r="315" spans="1:1" x14ac:dyDescent="0.35">
      <c r="A315" t="s">
        <v>275</v>
      </c>
    </row>
    <row r="316" spans="1:1" x14ac:dyDescent="0.35">
      <c r="A316" t="s">
        <v>276</v>
      </c>
    </row>
    <row r="317" spans="1:1" x14ac:dyDescent="0.35">
      <c r="A317" t="s">
        <v>277</v>
      </c>
    </row>
    <row r="318" spans="1:1" x14ac:dyDescent="0.35">
      <c r="A318" t="s">
        <v>710</v>
      </c>
    </row>
    <row r="319" spans="1:1" x14ac:dyDescent="0.35">
      <c r="A319" t="s">
        <v>0</v>
      </c>
    </row>
    <row r="320" spans="1:1" x14ac:dyDescent="0.35">
      <c r="A320" t="s">
        <v>10</v>
      </c>
    </row>
    <row r="321" spans="1:1" x14ac:dyDescent="0.35">
      <c r="A321" t="s">
        <v>11</v>
      </c>
    </row>
    <row r="322" spans="1:1" x14ac:dyDescent="0.35">
      <c r="A322" t="s">
        <v>12</v>
      </c>
    </row>
    <row r="323" spans="1:1" x14ac:dyDescent="0.35">
      <c r="A323" t="s">
        <v>13</v>
      </c>
    </row>
    <row r="324" spans="1:1" x14ac:dyDescent="0.35">
      <c r="A324" t="s">
        <v>14</v>
      </c>
    </row>
    <row r="325" spans="1:1" x14ac:dyDescent="0.35">
      <c r="A325" t="s">
        <v>15</v>
      </c>
    </row>
    <row r="326" spans="1:1" x14ac:dyDescent="0.35">
      <c r="A326" t="s">
        <v>16</v>
      </c>
    </row>
    <row r="327" spans="1:1" x14ac:dyDescent="0.35">
      <c r="A327" t="s">
        <v>17</v>
      </c>
    </row>
    <row r="328" spans="1:1" x14ac:dyDescent="0.35">
      <c r="A328" t="s">
        <v>1</v>
      </c>
    </row>
    <row r="329" spans="1:1" x14ac:dyDescent="0.35">
      <c r="A329" t="s">
        <v>2</v>
      </c>
    </row>
    <row r="330" spans="1:1" x14ac:dyDescent="0.35">
      <c r="A330" t="s">
        <v>3</v>
      </c>
    </row>
    <row r="331" spans="1:1" x14ac:dyDescent="0.35">
      <c r="A331" t="s">
        <v>4</v>
      </c>
    </row>
    <row r="332" spans="1:1" x14ac:dyDescent="0.35">
      <c r="A332" t="s">
        <v>5</v>
      </c>
    </row>
    <row r="333" spans="1:1" x14ac:dyDescent="0.35">
      <c r="A333" t="s">
        <v>6</v>
      </c>
    </row>
    <row r="334" spans="1:1" x14ac:dyDescent="0.35">
      <c r="A334" t="s">
        <v>7</v>
      </c>
    </row>
    <row r="335" spans="1:1" x14ac:dyDescent="0.35">
      <c r="A335" t="s">
        <v>8</v>
      </c>
    </row>
    <row r="336" spans="1:1" x14ac:dyDescent="0.35">
      <c r="A336" t="s">
        <v>9</v>
      </c>
    </row>
    <row r="337" spans="1:2" x14ac:dyDescent="0.35">
      <c r="A337" t="s">
        <v>711</v>
      </c>
    </row>
    <row r="338" spans="1:2" x14ac:dyDescent="0.35">
      <c r="A338" t="s">
        <v>712</v>
      </c>
    </row>
    <row r="339" spans="1:2" x14ac:dyDescent="0.35">
      <c r="A339" t="s">
        <v>713</v>
      </c>
    </row>
    <row r="340" spans="1:2" x14ac:dyDescent="0.35">
      <c r="A340" t="s">
        <v>714</v>
      </c>
    </row>
    <row r="341" spans="1:2" x14ac:dyDescent="0.35">
      <c r="A341" t="s">
        <v>715</v>
      </c>
    </row>
    <row r="342" spans="1:2" x14ac:dyDescent="0.35">
      <c r="A342" t="s">
        <v>716</v>
      </c>
    </row>
    <row r="343" spans="1:2" x14ac:dyDescent="0.35">
      <c r="A343" t="s">
        <v>717</v>
      </c>
    </row>
    <row r="344" spans="1:2" x14ac:dyDescent="0.35">
      <c r="A344" t="s">
        <v>718</v>
      </c>
    </row>
    <row r="345" spans="1:2" x14ac:dyDescent="0.35">
      <c r="A345" t="s">
        <v>719</v>
      </c>
    </row>
    <row r="346" spans="1:2" x14ac:dyDescent="0.35">
      <c r="A346" t="s">
        <v>407</v>
      </c>
      <c r="B346">
        <v>80</v>
      </c>
    </row>
    <row r="347" spans="1:2" x14ac:dyDescent="0.35">
      <c r="A347" t="s">
        <v>1045</v>
      </c>
      <c r="B347">
        <v>0</v>
      </c>
    </row>
    <row r="348" spans="1:2" x14ac:dyDescent="0.35">
      <c r="A348" t="s">
        <v>137</v>
      </c>
    </row>
    <row r="349" spans="1:2" x14ac:dyDescent="0.35">
      <c r="A349" t="s">
        <v>138</v>
      </c>
    </row>
    <row r="350" spans="1:2" x14ac:dyDescent="0.35">
      <c r="A350" t="s">
        <v>491</v>
      </c>
    </row>
    <row r="351" spans="1:2" x14ac:dyDescent="0.35">
      <c r="A351" t="s">
        <v>469</v>
      </c>
    </row>
    <row r="352" spans="1:2" x14ac:dyDescent="0.35">
      <c r="A352" t="s">
        <v>470</v>
      </c>
    </row>
    <row r="353" spans="1:1" x14ac:dyDescent="0.35">
      <c r="A353" t="s">
        <v>471</v>
      </c>
    </row>
    <row r="354" spans="1:1" x14ac:dyDescent="0.35">
      <c r="A354" t="s">
        <v>220</v>
      </c>
    </row>
    <row r="355" spans="1:1" x14ac:dyDescent="0.35">
      <c r="A355" t="s">
        <v>221</v>
      </c>
    </row>
    <row r="356" spans="1:1" x14ac:dyDescent="0.35">
      <c r="A356" t="s">
        <v>222</v>
      </c>
    </row>
    <row r="357" spans="1:1" x14ac:dyDescent="0.35">
      <c r="A357" t="s">
        <v>1017</v>
      </c>
    </row>
    <row r="358" spans="1:1" x14ac:dyDescent="0.35">
      <c r="A358" t="s">
        <v>1018</v>
      </c>
    </row>
    <row r="359" spans="1:1" x14ac:dyDescent="0.35">
      <c r="A359" t="s">
        <v>1019</v>
      </c>
    </row>
    <row r="360" spans="1:1" x14ac:dyDescent="0.35">
      <c r="A360" t="s">
        <v>1020</v>
      </c>
    </row>
    <row r="361" spans="1:1" x14ac:dyDescent="0.35">
      <c r="A361" t="s">
        <v>1021</v>
      </c>
    </row>
    <row r="362" spans="1:1" x14ac:dyDescent="0.35">
      <c r="A362" t="s">
        <v>770</v>
      </c>
    </row>
    <row r="363" spans="1:1" x14ac:dyDescent="0.35">
      <c r="A363" t="s">
        <v>771</v>
      </c>
    </row>
    <row r="364" spans="1:1" x14ac:dyDescent="0.35">
      <c r="A364" t="s">
        <v>772</v>
      </c>
    </row>
    <row r="365" spans="1:1" x14ac:dyDescent="0.35">
      <c r="A365" t="s">
        <v>773</v>
      </c>
    </row>
    <row r="366" spans="1:1" x14ac:dyDescent="0.35">
      <c r="A366" t="s">
        <v>911</v>
      </c>
    </row>
    <row r="367" spans="1:1" x14ac:dyDescent="0.35">
      <c r="A367" t="s">
        <v>912</v>
      </c>
    </row>
    <row r="368" spans="1:1" x14ac:dyDescent="0.35">
      <c r="A368" t="s">
        <v>472</v>
      </c>
    </row>
    <row r="369" spans="1:1" x14ac:dyDescent="0.35">
      <c r="A369" t="s">
        <v>473</v>
      </c>
    </row>
    <row r="370" spans="1:1" x14ac:dyDescent="0.35">
      <c r="A370" t="s">
        <v>474</v>
      </c>
    </row>
    <row r="371" spans="1:1" x14ac:dyDescent="0.35">
      <c r="A371" t="s">
        <v>475</v>
      </c>
    </row>
    <row r="372" spans="1:1" x14ac:dyDescent="0.35">
      <c r="A372" t="s">
        <v>476</v>
      </c>
    </row>
    <row r="373" spans="1:1" x14ac:dyDescent="0.35">
      <c r="A373" t="s">
        <v>477</v>
      </c>
    </row>
    <row r="374" spans="1:1" x14ac:dyDescent="0.35">
      <c r="A374" t="s">
        <v>1022</v>
      </c>
    </row>
    <row r="375" spans="1:1" x14ac:dyDescent="0.35">
      <c r="A375" t="s">
        <v>1023</v>
      </c>
    </row>
    <row r="376" spans="1:1" x14ac:dyDescent="0.35">
      <c r="A376" t="s">
        <v>1024</v>
      </c>
    </row>
    <row r="377" spans="1:1" x14ac:dyDescent="0.35">
      <c r="A377" t="s">
        <v>1025</v>
      </c>
    </row>
    <row r="378" spans="1:1" x14ac:dyDescent="0.35">
      <c r="A378" t="s">
        <v>672</v>
      </c>
    </row>
    <row r="379" spans="1:1" x14ac:dyDescent="0.35">
      <c r="A379" t="s">
        <v>673</v>
      </c>
    </row>
    <row r="380" spans="1:1" x14ac:dyDescent="0.35">
      <c r="A380" t="s">
        <v>674</v>
      </c>
    </row>
    <row r="381" spans="1:1" x14ac:dyDescent="0.35">
      <c r="A381" t="s">
        <v>1348</v>
      </c>
    </row>
    <row r="382" spans="1:1" x14ac:dyDescent="0.35">
      <c r="A382" t="s">
        <v>501</v>
      </c>
    </row>
    <row r="383" spans="1:1" x14ac:dyDescent="0.35">
      <c r="A383" t="s">
        <v>502</v>
      </c>
    </row>
    <row r="384" spans="1:1" x14ac:dyDescent="0.35">
      <c r="A384" t="s">
        <v>503</v>
      </c>
    </row>
    <row r="385" spans="1:2" x14ac:dyDescent="0.35">
      <c r="A385" t="s">
        <v>1199</v>
      </c>
    </row>
    <row r="386" spans="1:2" x14ac:dyDescent="0.35">
      <c r="A386" t="s">
        <v>1200</v>
      </c>
    </row>
    <row r="387" spans="1:2" x14ac:dyDescent="0.35">
      <c r="A387" t="s">
        <v>1201</v>
      </c>
    </row>
    <row r="388" spans="1:2" x14ac:dyDescent="0.35">
      <c r="A388" t="s">
        <v>1202</v>
      </c>
      <c r="B388">
        <v>1</v>
      </c>
    </row>
    <row r="389" spans="1:2" x14ac:dyDescent="0.35">
      <c r="A389" t="s">
        <v>1203</v>
      </c>
      <c r="B389">
        <v>1</v>
      </c>
    </row>
    <row r="390" spans="1:2" x14ac:dyDescent="0.35">
      <c r="A390" t="s">
        <v>1204</v>
      </c>
    </row>
    <row r="391" spans="1:2" x14ac:dyDescent="0.35">
      <c r="A391" t="s">
        <v>1205</v>
      </c>
    </row>
    <row r="392" spans="1:2" x14ac:dyDescent="0.35">
      <c r="A392" t="s">
        <v>1206</v>
      </c>
    </row>
    <row r="393" spans="1:2" x14ac:dyDescent="0.35">
      <c r="A393" t="s">
        <v>1261</v>
      </c>
    </row>
    <row r="394" spans="1:2" x14ac:dyDescent="0.35">
      <c r="A394" t="s">
        <v>1262</v>
      </c>
    </row>
    <row r="395" spans="1:2" x14ac:dyDescent="0.35">
      <c r="A395" t="s">
        <v>1263</v>
      </c>
      <c r="B395">
        <v>1</v>
      </c>
    </row>
    <row r="396" spans="1:2" x14ac:dyDescent="0.35">
      <c r="A396" t="s">
        <v>1264</v>
      </c>
      <c r="B396">
        <v>1</v>
      </c>
    </row>
    <row r="397" spans="1:2" x14ac:dyDescent="0.35">
      <c r="A397" t="s">
        <v>1265</v>
      </c>
      <c r="B397">
        <v>1</v>
      </c>
    </row>
    <row r="398" spans="1:2" x14ac:dyDescent="0.35">
      <c r="A398" t="s">
        <v>1266</v>
      </c>
      <c r="B398">
        <v>1</v>
      </c>
    </row>
    <row r="399" spans="1:2" x14ac:dyDescent="0.35">
      <c r="A399" t="s">
        <v>1267</v>
      </c>
      <c r="B399">
        <v>1</v>
      </c>
    </row>
    <row r="400" spans="1:2" x14ac:dyDescent="0.35">
      <c r="A400" t="s">
        <v>684</v>
      </c>
      <c r="B400">
        <v>1</v>
      </c>
    </row>
    <row r="401" spans="1:2" x14ac:dyDescent="0.35">
      <c r="A401" t="s">
        <v>685</v>
      </c>
      <c r="B401">
        <v>1</v>
      </c>
    </row>
    <row r="402" spans="1:2" x14ac:dyDescent="0.35">
      <c r="A402" t="s">
        <v>686</v>
      </c>
      <c r="B402">
        <v>1</v>
      </c>
    </row>
    <row r="403" spans="1:2" x14ac:dyDescent="0.35">
      <c r="A403" t="s">
        <v>687</v>
      </c>
    </row>
    <row r="404" spans="1:2" x14ac:dyDescent="0.35">
      <c r="A404" t="s">
        <v>688</v>
      </c>
    </row>
    <row r="405" spans="1:2" x14ac:dyDescent="0.35">
      <c r="A405" t="s">
        <v>689</v>
      </c>
    </row>
    <row r="406" spans="1:2" x14ac:dyDescent="0.35">
      <c r="A406" t="s">
        <v>690</v>
      </c>
    </row>
    <row r="407" spans="1:2" x14ac:dyDescent="0.35">
      <c r="A407" t="s">
        <v>691</v>
      </c>
    </row>
    <row r="408" spans="1:2" x14ac:dyDescent="0.35">
      <c r="A408" t="s">
        <v>692</v>
      </c>
    </row>
    <row r="409" spans="1:2" x14ac:dyDescent="0.35">
      <c r="A409" t="s">
        <v>693</v>
      </c>
      <c r="B409">
        <v>50</v>
      </c>
    </row>
    <row r="410" spans="1:2" x14ac:dyDescent="0.35">
      <c r="A410" t="s">
        <v>694</v>
      </c>
      <c r="B410">
        <v>50</v>
      </c>
    </row>
    <row r="411" spans="1:2" x14ac:dyDescent="0.35">
      <c r="A411" t="s">
        <v>709</v>
      </c>
      <c r="B411">
        <v>50</v>
      </c>
    </row>
    <row r="412" spans="1:2" x14ac:dyDescent="0.35">
      <c r="A412" t="s">
        <v>1339</v>
      </c>
      <c r="B412">
        <v>50</v>
      </c>
    </row>
    <row r="413" spans="1:2" x14ac:dyDescent="0.35">
      <c r="A413" t="s">
        <v>1340</v>
      </c>
      <c r="B413">
        <v>50</v>
      </c>
    </row>
    <row r="414" spans="1:2" x14ac:dyDescent="0.35">
      <c r="A414" t="s">
        <v>209</v>
      </c>
      <c r="B414">
        <v>50</v>
      </c>
    </row>
    <row r="415" spans="1:2" x14ac:dyDescent="0.35">
      <c r="A415" t="s">
        <v>210</v>
      </c>
      <c r="B415">
        <v>50</v>
      </c>
    </row>
    <row r="416" spans="1:2" x14ac:dyDescent="0.35">
      <c r="A416" t="s">
        <v>999</v>
      </c>
      <c r="B416">
        <v>50</v>
      </c>
    </row>
    <row r="417" spans="1:2" x14ac:dyDescent="0.35">
      <c r="A417" t="s">
        <v>65</v>
      </c>
    </row>
    <row r="418" spans="1:2" x14ac:dyDescent="0.35">
      <c r="A418" t="s">
        <v>66</v>
      </c>
      <c r="B418">
        <v>50</v>
      </c>
    </row>
    <row r="419" spans="1:2" x14ac:dyDescent="0.35">
      <c r="A419" t="s">
        <v>67</v>
      </c>
    </row>
    <row r="420" spans="1:2" x14ac:dyDescent="0.35">
      <c r="A420" t="s">
        <v>867</v>
      </c>
      <c r="B420">
        <v>50</v>
      </c>
    </row>
    <row r="421" spans="1:2" x14ac:dyDescent="0.35">
      <c r="A421" t="s">
        <v>61</v>
      </c>
    </row>
    <row r="422" spans="1:2" x14ac:dyDescent="0.35">
      <c r="A422" t="s">
        <v>62</v>
      </c>
      <c r="B422">
        <v>50</v>
      </c>
    </row>
    <row r="423" spans="1:2" x14ac:dyDescent="0.35">
      <c r="A423" t="s">
        <v>63</v>
      </c>
      <c r="B423">
        <v>50</v>
      </c>
    </row>
    <row r="424" spans="1:2" x14ac:dyDescent="0.35">
      <c r="A424" t="s">
        <v>64</v>
      </c>
      <c r="B424">
        <v>50</v>
      </c>
    </row>
    <row r="425" spans="1:2" x14ac:dyDescent="0.35">
      <c r="A425" t="s">
        <v>868</v>
      </c>
      <c r="B425">
        <v>1</v>
      </c>
    </row>
    <row r="426" spans="1:2" x14ac:dyDescent="0.35">
      <c r="A426" t="s">
        <v>869</v>
      </c>
      <c r="B426">
        <v>50</v>
      </c>
    </row>
    <row r="427" spans="1:2" x14ac:dyDescent="0.35">
      <c r="A427" t="s">
        <v>1332</v>
      </c>
      <c r="B427">
        <v>50</v>
      </c>
    </row>
    <row r="428" spans="1:2" x14ac:dyDescent="0.35">
      <c r="A428" t="s">
        <v>752</v>
      </c>
      <c r="B428">
        <v>50</v>
      </c>
    </row>
    <row r="429" spans="1:2" x14ac:dyDescent="0.35">
      <c r="A429" t="s">
        <v>753</v>
      </c>
      <c r="B429">
        <v>50</v>
      </c>
    </row>
    <row r="430" spans="1:2" x14ac:dyDescent="0.35">
      <c r="A430" t="s">
        <v>754</v>
      </c>
      <c r="B430">
        <v>50</v>
      </c>
    </row>
    <row r="431" spans="1:2" x14ac:dyDescent="0.35">
      <c r="A431" t="s">
        <v>1149</v>
      </c>
      <c r="B431">
        <v>50</v>
      </c>
    </row>
    <row r="432" spans="1:2" x14ac:dyDescent="0.35">
      <c r="A432" t="s">
        <v>1150</v>
      </c>
      <c r="B432">
        <v>4</v>
      </c>
    </row>
    <row r="433" spans="1:2" x14ac:dyDescent="0.35">
      <c r="A433" t="s">
        <v>1151</v>
      </c>
      <c r="B433">
        <v>4</v>
      </c>
    </row>
    <row r="434" spans="1:2" x14ac:dyDescent="0.35">
      <c r="A434" t="s">
        <v>1152</v>
      </c>
      <c r="B434">
        <v>4</v>
      </c>
    </row>
    <row r="435" spans="1:2" x14ac:dyDescent="0.35">
      <c r="A435" t="s">
        <v>1014</v>
      </c>
      <c r="B435">
        <v>4</v>
      </c>
    </row>
    <row r="436" spans="1:2" x14ac:dyDescent="0.35">
      <c r="A436" t="s">
        <v>1108</v>
      </c>
      <c r="B436">
        <v>4</v>
      </c>
    </row>
    <row r="437" spans="1:2" x14ac:dyDescent="0.35">
      <c r="A437" t="s">
        <v>1109</v>
      </c>
      <c r="B437">
        <v>4</v>
      </c>
    </row>
    <row r="438" spans="1:2" x14ac:dyDescent="0.35">
      <c r="A438" t="s">
        <v>1110</v>
      </c>
      <c r="B438">
        <v>4</v>
      </c>
    </row>
    <row r="439" spans="1:2" x14ac:dyDescent="0.35">
      <c r="A439" t="s">
        <v>1111</v>
      </c>
      <c r="B439">
        <v>4</v>
      </c>
    </row>
    <row r="440" spans="1:2" x14ac:dyDescent="0.35">
      <c r="A440" t="s">
        <v>1012</v>
      </c>
      <c r="B440">
        <v>4</v>
      </c>
    </row>
    <row r="441" spans="1:2" x14ac:dyDescent="0.35">
      <c r="A441" t="s">
        <v>1013</v>
      </c>
      <c r="B441">
        <v>4</v>
      </c>
    </row>
    <row r="442" spans="1:2" x14ac:dyDescent="0.35">
      <c r="A442" t="s">
        <v>1008</v>
      </c>
      <c r="B442">
        <v>4</v>
      </c>
    </row>
    <row r="443" spans="1:2" x14ac:dyDescent="0.35">
      <c r="A443" t="s">
        <v>1009</v>
      </c>
      <c r="B443">
        <v>4</v>
      </c>
    </row>
    <row r="444" spans="1:2" x14ac:dyDescent="0.35">
      <c r="A444" t="s">
        <v>1010</v>
      </c>
      <c r="B444">
        <v>4</v>
      </c>
    </row>
    <row r="445" spans="1:2" x14ac:dyDescent="0.35">
      <c r="A445" t="s">
        <v>994</v>
      </c>
      <c r="B445">
        <v>4</v>
      </c>
    </row>
    <row r="446" spans="1:2" x14ac:dyDescent="0.35">
      <c r="A446" t="s">
        <v>995</v>
      </c>
      <c r="B446">
        <v>4</v>
      </c>
    </row>
    <row r="447" spans="1:2" x14ac:dyDescent="0.35">
      <c r="A447" t="s">
        <v>996</v>
      </c>
      <c r="B447">
        <v>1</v>
      </c>
    </row>
    <row r="448" spans="1:2" x14ac:dyDescent="0.35">
      <c r="A448" t="s">
        <v>997</v>
      </c>
    </row>
    <row r="449" spans="1:1" x14ac:dyDescent="0.35">
      <c r="A449" t="s">
        <v>998</v>
      </c>
    </row>
    <row r="450" spans="1:1" x14ac:dyDescent="0.35">
      <c r="A450" t="s">
        <v>1234</v>
      </c>
    </row>
    <row r="451" spans="1:1" x14ac:dyDescent="0.35">
      <c r="A451" t="s">
        <v>1235</v>
      </c>
    </row>
    <row r="452" spans="1:1" x14ac:dyDescent="0.35">
      <c r="A452" t="s">
        <v>1236</v>
      </c>
    </row>
    <row r="453" spans="1:1" x14ac:dyDescent="0.35">
      <c r="A453" t="s">
        <v>1237</v>
      </c>
    </row>
    <row r="454" spans="1:1" x14ac:dyDescent="0.35">
      <c r="A454" t="s">
        <v>1238</v>
      </c>
    </row>
    <row r="455" spans="1:1" x14ac:dyDescent="0.35">
      <c r="A455" t="s">
        <v>1239</v>
      </c>
    </row>
    <row r="456" spans="1:1" x14ac:dyDescent="0.35">
      <c r="A456" t="s">
        <v>1240</v>
      </c>
    </row>
    <row r="457" spans="1:1" x14ac:dyDescent="0.35">
      <c r="A457" t="s">
        <v>1241</v>
      </c>
    </row>
    <row r="458" spans="1:1" x14ac:dyDescent="0.35">
      <c r="A458" t="s">
        <v>1242</v>
      </c>
    </row>
    <row r="459" spans="1:1" x14ac:dyDescent="0.35">
      <c r="A459" t="s">
        <v>1243</v>
      </c>
    </row>
    <row r="460" spans="1:1" x14ac:dyDescent="0.35">
      <c r="A460" t="s">
        <v>1244</v>
      </c>
    </row>
    <row r="461" spans="1:1" x14ac:dyDescent="0.35">
      <c r="A461" t="s">
        <v>1245</v>
      </c>
    </row>
    <row r="462" spans="1:1" x14ac:dyDescent="0.35">
      <c r="A462" t="s">
        <v>1246</v>
      </c>
    </row>
    <row r="463" spans="1:1" x14ac:dyDescent="0.35">
      <c r="A463" t="s">
        <v>898</v>
      </c>
    </row>
    <row r="464" spans="1:1" x14ac:dyDescent="0.35">
      <c r="A464" t="s">
        <v>899</v>
      </c>
    </row>
    <row r="465" spans="1:1" x14ac:dyDescent="0.35">
      <c r="A465" t="s">
        <v>900</v>
      </c>
    </row>
    <row r="466" spans="1:1" x14ac:dyDescent="0.35">
      <c r="A466" t="s">
        <v>359</v>
      </c>
    </row>
    <row r="467" spans="1:1" x14ac:dyDescent="0.35">
      <c r="A467" t="s">
        <v>360</v>
      </c>
    </row>
    <row r="468" spans="1:1" x14ac:dyDescent="0.35">
      <c r="A468" t="s">
        <v>361</v>
      </c>
    </row>
    <row r="469" spans="1:1" x14ac:dyDescent="0.35">
      <c r="A469" t="s">
        <v>362</v>
      </c>
    </row>
    <row r="470" spans="1:1" x14ac:dyDescent="0.35">
      <c r="A470" t="s">
        <v>363</v>
      </c>
    </row>
    <row r="471" spans="1:1" x14ac:dyDescent="0.35">
      <c r="A471" t="s">
        <v>364</v>
      </c>
    </row>
    <row r="472" spans="1:1" x14ac:dyDescent="0.35">
      <c r="A472" t="s">
        <v>901</v>
      </c>
    </row>
    <row r="473" spans="1:1" x14ac:dyDescent="0.35">
      <c r="A473" t="s">
        <v>902</v>
      </c>
    </row>
    <row r="474" spans="1:1" x14ac:dyDescent="0.35">
      <c r="A474" t="s">
        <v>903</v>
      </c>
    </row>
    <row r="475" spans="1:1" x14ac:dyDescent="0.35">
      <c r="A475" t="s">
        <v>561</v>
      </c>
    </row>
    <row r="476" spans="1:1" x14ac:dyDescent="0.35">
      <c r="A476" t="s">
        <v>562</v>
      </c>
    </row>
    <row r="477" spans="1:1" x14ac:dyDescent="0.35">
      <c r="A477" t="s">
        <v>563</v>
      </c>
    </row>
    <row r="478" spans="1:1" x14ac:dyDescent="0.35">
      <c r="A478" t="s">
        <v>564</v>
      </c>
    </row>
    <row r="479" spans="1:1" x14ac:dyDescent="0.35">
      <c r="A479" t="s">
        <v>565</v>
      </c>
    </row>
    <row r="480" spans="1:1" x14ac:dyDescent="0.35">
      <c r="A480" t="s">
        <v>566</v>
      </c>
    </row>
    <row r="481" spans="1:1" x14ac:dyDescent="0.35">
      <c r="A481" t="s">
        <v>567</v>
      </c>
    </row>
    <row r="482" spans="1:1" x14ac:dyDescent="0.35">
      <c r="A482" t="s">
        <v>568</v>
      </c>
    </row>
    <row r="483" spans="1:1" x14ac:dyDescent="0.35">
      <c r="A483" t="s">
        <v>569</v>
      </c>
    </row>
    <row r="484" spans="1:1" x14ac:dyDescent="0.35">
      <c r="A484" t="s">
        <v>570</v>
      </c>
    </row>
    <row r="485" spans="1:1" x14ac:dyDescent="0.35">
      <c r="A485" t="s">
        <v>571</v>
      </c>
    </row>
    <row r="486" spans="1:1" x14ac:dyDescent="0.35">
      <c r="A486" t="s">
        <v>572</v>
      </c>
    </row>
    <row r="487" spans="1:1" x14ac:dyDescent="0.35">
      <c r="A487" t="s">
        <v>573</v>
      </c>
    </row>
    <row r="488" spans="1:1" x14ac:dyDescent="0.35">
      <c r="A488" t="s">
        <v>574</v>
      </c>
    </row>
    <row r="489" spans="1:1" x14ac:dyDescent="0.35">
      <c r="A489" t="s">
        <v>575</v>
      </c>
    </row>
    <row r="490" spans="1:1" x14ac:dyDescent="0.35">
      <c r="A490" t="s">
        <v>576</v>
      </c>
    </row>
    <row r="491" spans="1:1" x14ac:dyDescent="0.35">
      <c r="A491" t="s">
        <v>577</v>
      </c>
    </row>
    <row r="492" spans="1:1" x14ac:dyDescent="0.35">
      <c r="A492" t="s">
        <v>578</v>
      </c>
    </row>
    <row r="493" spans="1:1" x14ac:dyDescent="0.35">
      <c r="A493" t="s">
        <v>579</v>
      </c>
    </row>
    <row r="494" spans="1:1" x14ac:dyDescent="0.35">
      <c r="A494" t="s">
        <v>923</v>
      </c>
    </row>
    <row r="495" spans="1:1" x14ac:dyDescent="0.35">
      <c r="A495" t="s">
        <v>924</v>
      </c>
    </row>
    <row r="496" spans="1:1" x14ac:dyDescent="0.35">
      <c r="A496" t="s">
        <v>1211</v>
      </c>
    </row>
    <row r="497" spans="1:1" x14ac:dyDescent="0.35">
      <c r="A497" t="s">
        <v>736</v>
      </c>
    </row>
    <row r="498" spans="1:1" x14ac:dyDescent="0.35">
      <c r="A498" t="s">
        <v>737</v>
      </c>
    </row>
    <row r="499" spans="1:1" x14ac:dyDescent="0.35">
      <c r="A499" t="s">
        <v>517</v>
      </c>
    </row>
    <row r="500" spans="1:1" x14ac:dyDescent="0.35">
      <c r="A500" t="s">
        <v>518</v>
      </c>
    </row>
    <row r="501" spans="1:1" x14ac:dyDescent="0.35">
      <c r="A501" t="s">
        <v>519</v>
      </c>
    </row>
    <row r="502" spans="1:1" x14ac:dyDescent="0.35">
      <c r="A502" t="s">
        <v>520</v>
      </c>
    </row>
    <row r="503" spans="1:1" x14ac:dyDescent="0.35">
      <c r="A503" t="s">
        <v>521</v>
      </c>
    </row>
    <row r="504" spans="1:1" x14ac:dyDescent="0.35">
      <c r="A504" t="s">
        <v>365</v>
      </c>
    </row>
    <row r="505" spans="1:1" x14ac:dyDescent="0.35">
      <c r="A505" t="s">
        <v>1333</v>
      </c>
    </row>
    <row r="506" spans="1:1" x14ac:dyDescent="0.35">
      <c r="A506" t="s">
        <v>1334</v>
      </c>
    </row>
    <row r="507" spans="1:1" x14ac:dyDescent="0.35">
      <c r="A507" t="s">
        <v>1335</v>
      </c>
    </row>
    <row r="508" spans="1:1" x14ac:dyDescent="0.35">
      <c r="A508" t="s">
        <v>1336</v>
      </c>
    </row>
    <row r="509" spans="1:1" x14ac:dyDescent="0.35">
      <c r="A509" t="s">
        <v>1337</v>
      </c>
    </row>
    <row r="510" spans="1:1" x14ac:dyDescent="0.35">
      <c r="A510" t="s">
        <v>1338</v>
      </c>
    </row>
    <row r="511" spans="1:1" x14ac:dyDescent="0.35">
      <c r="A511" t="s">
        <v>131</v>
      </c>
    </row>
    <row r="512" spans="1:1" x14ac:dyDescent="0.35">
      <c r="A512" t="s">
        <v>132</v>
      </c>
    </row>
    <row r="513" spans="1:2" x14ac:dyDescent="0.35">
      <c r="A513" t="s">
        <v>133</v>
      </c>
    </row>
    <row r="514" spans="1:2" x14ac:dyDescent="0.35">
      <c r="A514" t="s">
        <v>134</v>
      </c>
    </row>
    <row r="515" spans="1:2" x14ac:dyDescent="0.35">
      <c r="A515" t="s">
        <v>135</v>
      </c>
    </row>
    <row r="516" spans="1:2" x14ac:dyDescent="0.35">
      <c r="A516" t="s">
        <v>136</v>
      </c>
    </row>
    <row r="517" spans="1:2" x14ac:dyDescent="0.35">
      <c r="A517" t="s">
        <v>421</v>
      </c>
    </row>
    <row r="518" spans="1:2" x14ac:dyDescent="0.35">
      <c r="A518" t="s">
        <v>230</v>
      </c>
    </row>
    <row r="519" spans="1:2" x14ac:dyDescent="0.35">
      <c r="A519" t="s">
        <v>231</v>
      </c>
    </row>
    <row r="520" spans="1:2" x14ac:dyDescent="0.35">
      <c r="A520" t="s">
        <v>104</v>
      </c>
    </row>
    <row r="521" spans="1:2" x14ac:dyDescent="0.35">
      <c r="A521" t="s">
        <v>105</v>
      </c>
    </row>
    <row r="522" spans="1:2" x14ac:dyDescent="0.35">
      <c r="A522" t="s">
        <v>981</v>
      </c>
    </row>
    <row r="523" spans="1:2" x14ac:dyDescent="0.35">
      <c r="A523" t="s">
        <v>982</v>
      </c>
    </row>
    <row r="524" spans="1:2" x14ac:dyDescent="0.35">
      <c r="A524" t="s">
        <v>983</v>
      </c>
    </row>
    <row r="525" spans="1:2" x14ac:dyDescent="0.35">
      <c r="A525" t="s">
        <v>916</v>
      </c>
    </row>
    <row r="526" spans="1:2" x14ac:dyDescent="0.35">
      <c r="A526" t="s">
        <v>962</v>
      </c>
    </row>
    <row r="527" spans="1:2" x14ac:dyDescent="0.35">
      <c r="A527" t="s">
        <v>963</v>
      </c>
      <c r="B527">
        <v>1500</v>
      </c>
    </row>
    <row r="528" spans="1:2" x14ac:dyDescent="0.35">
      <c r="A528" t="s">
        <v>964</v>
      </c>
      <c r="B528">
        <v>1500</v>
      </c>
    </row>
    <row r="529" spans="1:2" x14ac:dyDescent="0.35">
      <c r="A529" t="s">
        <v>965</v>
      </c>
      <c r="B529">
        <v>1500</v>
      </c>
    </row>
    <row r="530" spans="1:2" x14ac:dyDescent="0.35">
      <c r="A530" t="s">
        <v>125</v>
      </c>
      <c r="B530">
        <v>1500</v>
      </c>
    </row>
    <row r="531" spans="1:2" x14ac:dyDescent="0.35">
      <c r="A531" t="s">
        <v>126</v>
      </c>
      <c r="B531">
        <v>1500</v>
      </c>
    </row>
    <row r="532" spans="1:2" x14ac:dyDescent="0.35">
      <c r="A532" t="s">
        <v>211</v>
      </c>
      <c r="B532">
        <v>1500</v>
      </c>
    </row>
    <row r="533" spans="1:2" x14ac:dyDescent="0.35">
      <c r="A533" t="s">
        <v>212</v>
      </c>
      <c r="B533">
        <v>1500</v>
      </c>
    </row>
    <row r="534" spans="1:2" x14ac:dyDescent="0.35">
      <c r="A534" t="s">
        <v>738</v>
      </c>
      <c r="B534">
        <v>1500</v>
      </c>
    </row>
    <row r="535" spans="1:2" x14ac:dyDescent="0.35">
      <c r="A535" t="s">
        <v>746</v>
      </c>
      <c r="B535">
        <v>1500</v>
      </c>
    </row>
    <row r="536" spans="1:2" x14ac:dyDescent="0.35">
      <c r="A536" t="s">
        <v>747</v>
      </c>
      <c r="B536">
        <v>1500</v>
      </c>
    </row>
    <row r="537" spans="1:2" x14ac:dyDescent="0.35">
      <c r="A537" t="s">
        <v>748</v>
      </c>
      <c r="B537">
        <v>1500</v>
      </c>
    </row>
    <row r="538" spans="1:2" x14ac:dyDescent="0.35">
      <c r="A538" t="s">
        <v>749</v>
      </c>
      <c r="B538">
        <v>1500</v>
      </c>
    </row>
    <row r="539" spans="1:2" x14ac:dyDescent="0.35">
      <c r="A539" t="s">
        <v>750</v>
      </c>
      <c r="B539">
        <v>1500</v>
      </c>
    </row>
    <row r="540" spans="1:2" x14ac:dyDescent="0.35">
      <c r="A540" t="s">
        <v>751</v>
      </c>
      <c r="B540">
        <v>1500</v>
      </c>
    </row>
    <row r="541" spans="1:2" x14ac:dyDescent="0.35">
      <c r="A541" t="s">
        <v>745</v>
      </c>
      <c r="B541">
        <v>1500</v>
      </c>
    </row>
    <row r="542" spans="1:2" x14ac:dyDescent="0.35">
      <c r="A542" t="s">
        <v>101</v>
      </c>
      <c r="B542">
        <v>1500</v>
      </c>
    </row>
    <row r="543" spans="1:2" x14ac:dyDescent="0.35">
      <c r="A543" t="s">
        <v>102</v>
      </c>
      <c r="B543">
        <v>1500</v>
      </c>
    </row>
    <row r="544" spans="1:2" x14ac:dyDescent="0.35">
      <c r="A544" t="s">
        <v>103</v>
      </c>
      <c r="B544">
        <v>1500</v>
      </c>
    </row>
    <row r="545" spans="1:2" x14ac:dyDescent="0.35">
      <c r="A545" t="s">
        <v>533</v>
      </c>
      <c r="B545">
        <v>1500</v>
      </c>
    </row>
    <row r="546" spans="1:2" x14ac:dyDescent="0.35">
      <c r="A546" t="s">
        <v>534</v>
      </c>
      <c r="B546">
        <v>1500</v>
      </c>
    </row>
    <row r="547" spans="1:2" x14ac:dyDescent="0.35">
      <c r="A547" t="s">
        <v>732</v>
      </c>
      <c r="B547">
        <v>1</v>
      </c>
    </row>
    <row r="548" spans="1:2" x14ac:dyDescent="0.35">
      <c r="A548" t="s">
        <v>733</v>
      </c>
      <c r="B548">
        <v>1</v>
      </c>
    </row>
    <row r="549" spans="1:2" x14ac:dyDescent="0.35">
      <c r="A549" t="s">
        <v>734</v>
      </c>
      <c r="B549">
        <v>1</v>
      </c>
    </row>
    <row r="550" spans="1:2" x14ac:dyDescent="0.35">
      <c r="A550" t="s">
        <v>735</v>
      </c>
      <c r="B550">
        <v>1</v>
      </c>
    </row>
    <row r="551" spans="1:2" x14ac:dyDescent="0.35">
      <c r="A551" t="s">
        <v>1225</v>
      </c>
      <c r="B551">
        <v>1</v>
      </c>
    </row>
    <row r="552" spans="1:2" x14ac:dyDescent="0.35">
      <c r="A552" t="s">
        <v>1226</v>
      </c>
      <c r="B552">
        <v>1</v>
      </c>
    </row>
    <row r="553" spans="1:2" x14ac:dyDescent="0.35">
      <c r="A553" t="s">
        <v>1227</v>
      </c>
      <c r="B553">
        <v>1</v>
      </c>
    </row>
    <row r="554" spans="1:2" x14ac:dyDescent="0.35">
      <c r="A554" t="s">
        <v>1228</v>
      </c>
      <c r="B554">
        <v>1</v>
      </c>
    </row>
    <row r="555" spans="1:2" x14ac:dyDescent="0.35">
      <c r="A555" t="s">
        <v>1229</v>
      </c>
      <c r="B555">
        <v>1</v>
      </c>
    </row>
    <row r="556" spans="1:2" x14ac:dyDescent="0.35">
      <c r="A556" t="s">
        <v>1247</v>
      </c>
      <c r="B556">
        <v>1</v>
      </c>
    </row>
    <row r="557" spans="1:2" x14ac:dyDescent="0.35">
      <c r="A557" t="s">
        <v>1248</v>
      </c>
      <c r="B557">
        <v>1</v>
      </c>
    </row>
    <row r="558" spans="1:2" x14ac:dyDescent="0.35">
      <c r="A558" t="s">
        <v>1249</v>
      </c>
      <c r="B558">
        <v>1</v>
      </c>
    </row>
    <row r="559" spans="1:2" x14ac:dyDescent="0.35">
      <c r="A559" t="s">
        <v>1250</v>
      </c>
      <c r="B559">
        <v>1</v>
      </c>
    </row>
    <row r="560" spans="1:2" x14ac:dyDescent="0.35">
      <c r="A560" t="s">
        <v>1251</v>
      </c>
      <c r="B560">
        <v>1</v>
      </c>
    </row>
    <row r="561" spans="1:2" x14ac:dyDescent="0.35">
      <c r="A561" t="s">
        <v>1252</v>
      </c>
      <c r="B561">
        <v>1</v>
      </c>
    </row>
    <row r="562" spans="1:2" x14ac:dyDescent="0.35">
      <c r="A562" t="s">
        <v>1253</v>
      </c>
      <c r="B562">
        <v>1</v>
      </c>
    </row>
    <row r="563" spans="1:2" x14ac:dyDescent="0.35">
      <c r="A563" t="s">
        <v>1026</v>
      </c>
      <c r="B563">
        <v>1</v>
      </c>
    </row>
    <row r="564" spans="1:2" x14ac:dyDescent="0.35">
      <c r="A564" t="s">
        <v>1131</v>
      </c>
      <c r="B564">
        <v>1</v>
      </c>
    </row>
    <row r="565" spans="1:2" x14ac:dyDescent="0.35">
      <c r="A565" t="s">
        <v>1132</v>
      </c>
      <c r="B565">
        <v>1</v>
      </c>
    </row>
    <row r="566" spans="1:2" x14ac:dyDescent="0.35">
      <c r="A566" t="s">
        <v>1133</v>
      </c>
      <c r="B566">
        <v>1</v>
      </c>
    </row>
    <row r="567" spans="1:2" x14ac:dyDescent="0.35">
      <c r="A567" t="s">
        <v>1134</v>
      </c>
    </row>
    <row r="568" spans="1:2" x14ac:dyDescent="0.35">
      <c r="A568" t="s">
        <v>1135</v>
      </c>
    </row>
    <row r="569" spans="1:2" x14ac:dyDescent="0.35">
      <c r="A569" t="s">
        <v>584</v>
      </c>
    </row>
    <row r="570" spans="1:2" x14ac:dyDescent="0.35">
      <c r="A570" t="s">
        <v>739</v>
      </c>
    </row>
    <row r="571" spans="1:2" x14ac:dyDescent="0.35">
      <c r="A571" t="s">
        <v>740</v>
      </c>
    </row>
    <row r="572" spans="1:2" x14ac:dyDescent="0.35">
      <c r="A572" t="s">
        <v>741</v>
      </c>
    </row>
    <row r="573" spans="1:2" x14ac:dyDescent="0.35">
      <c r="A573" t="s">
        <v>742</v>
      </c>
    </row>
    <row r="574" spans="1:2" x14ac:dyDescent="0.35">
      <c r="A574" t="s">
        <v>743</v>
      </c>
    </row>
    <row r="575" spans="1:2" x14ac:dyDescent="0.35">
      <c r="A575" t="s">
        <v>744</v>
      </c>
    </row>
    <row r="576" spans="1:2" x14ac:dyDescent="0.35">
      <c r="A576" t="s">
        <v>1093</v>
      </c>
    </row>
    <row r="577" spans="1:2" x14ac:dyDescent="0.35">
      <c r="A577" t="s">
        <v>1058</v>
      </c>
    </row>
    <row r="578" spans="1:2" x14ac:dyDescent="0.35">
      <c r="A578" t="s">
        <v>1059</v>
      </c>
    </row>
    <row r="579" spans="1:2" x14ac:dyDescent="0.35">
      <c r="A579" t="s">
        <v>1060</v>
      </c>
    </row>
    <row r="580" spans="1:2" x14ac:dyDescent="0.35">
      <c r="A580" t="s">
        <v>1061</v>
      </c>
    </row>
    <row r="581" spans="1:2" x14ac:dyDescent="0.35">
      <c r="A581" t="s">
        <v>1207</v>
      </c>
    </row>
    <row r="582" spans="1:2" x14ac:dyDescent="0.35">
      <c r="A582" t="s">
        <v>1269</v>
      </c>
    </row>
    <row r="583" spans="1:2" x14ac:dyDescent="0.35">
      <c r="A583" t="s">
        <v>1270</v>
      </c>
    </row>
    <row r="584" spans="1:2" x14ac:dyDescent="0.35">
      <c r="A584" t="s">
        <v>1271</v>
      </c>
    </row>
    <row r="585" spans="1:2" x14ac:dyDescent="0.35">
      <c r="A585" t="s">
        <v>1272</v>
      </c>
    </row>
    <row r="586" spans="1:2" x14ac:dyDescent="0.35">
      <c r="A586" t="s">
        <v>357</v>
      </c>
    </row>
    <row r="587" spans="1:2" x14ac:dyDescent="0.35">
      <c r="A587" t="s">
        <v>506</v>
      </c>
      <c r="B587" t="b">
        <v>0</v>
      </c>
    </row>
    <row r="588" spans="1:2" x14ac:dyDescent="0.35">
      <c r="A588" t="s">
        <v>507</v>
      </c>
    </row>
    <row r="589" spans="1:2" x14ac:dyDescent="0.35">
      <c r="A589" t="s">
        <v>862</v>
      </c>
      <c r="B589">
        <v>6</v>
      </c>
    </row>
    <row r="590" spans="1:2" x14ac:dyDescent="0.35">
      <c r="A590" t="s">
        <v>508</v>
      </c>
      <c r="B590" t="b">
        <v>0</v>
      </c>
    </row>
    <row r="591" spans="1:2" x14ac:dyDescent="0.35">
      <c r="A591" t="s">
        <v>97</v>
      </c>
    </row>
    <row r="592" spans="1:2" x14ac:dyDescent="0.35">
      <c r="A592" t="s">
        <v>1216</v>
      </c>
    </row>
    <row r="593" spans="1:1" x14ac:dyDescent="0.35">
      <c r="A593" t="s">
        <v>98</v>
      </c>
    </row>
    <row r="594" spans="1:1" x14ac:dyDescent="0.35">
      <c r="A594" t="s">
        <v>1355</v>
      </c>
    </row>
    <row r="595" spans="1:1" x14ac:dyDescent="0.35">
      <c r="A595" t="s">
        <v>368</v>
      </c>
    </row>
    <row r="596" spans="1:1" x14ac:dyDescent="0.35">
      <c r="A596" t="s">
        <v>369</v>
      </c>
    </row>
    <row r="597" spans="1:1" x14ac:dyDescent="0.35">
      <c r="A597" t="s">
        <v>926</v>
      </c>
    </row>
    <row r="598" spans="1:1" x14ac:dyDescent="0.35">
      <c r="A598" t="s">
        <v>927</v>
      </c>
    </row>
    <row r="599" spans="1:1" x14ac:dyDescent="0.35">
      <c r="A599" t="s">
        <v>928</v>
      </c>
    </row>
    <row r="600" spans="1:1" x14ac:dyDescent="0.35">
      <c r="A600" t="s">
        <v>479</v>
      </c>
    </row>
    <row r="601" spans="1:1" x14ac:dyDescent="0.35">
      <c r="A601" t="s">
        <v>480</v>
      </c>
    </row>
    <row r="602" spans="1:1" x14ac:dyDescent="0.35">
      <c r="A602" t="s">
        <v>481</v>
      </c>
    </row>
    <row r="603" spans="1:1" x14ac:dyDescent="0.35">
      <c r="A603" t="s">
        <v>482</v>
      </c>
    </row>
    <row r="604" spans="1:1" x14ac:dyDescent="0.35">
      <c r="A604" t="s">
        <v>483</v>
      </c>
    </row>
    <row r="605" spans="1:1" x14ac:dyDescent="0.35">
      <c r="A605" t="s">
        <v>632</v>
      </c>
    </row>
    <row r="606" spans="1:1" x14ac:dyDescent="0.35">
      <c r="A606" t="s">
        <v>509</v>
      </c>
    </row>
    <row r="607" spans="1:1" x14ac:dyDescent="0.35">
      <c r="A607" t="s">
        <v>510</v>
      </c>
    </row>
    <row r="608" spans="1:1" x14ac:dyDescent="0.35">
      <c r="A608" t="s">
        <v>511</v>
      </c>
    </row>
    <row r="609" spans="1:1" x14ac:dyDescent="0.35">
      <c r="A609" t="s">
        <v>487</v>
      </c>
    </row>
    <row r="610" spans="1:1" x14ac:dyDescent="0.35">
      <c r="A610" t="s">
        <v>488</v>
      </c>
    </row>
    <row r="611" spans="1:1" x14ac:dyDescent="0.35">
      <c r="A611" t="s">
        <v>1015</v>
      </c>
    </row>
    <row r="612" spans="1:1" x14ac:dyDescent="0.35">
      <c r="A612" t="s">
        <v>1016</v>
      </c>
    </row>
    <row r="613" spans="1:1" x14ac:dyDescent="0.35">
      <c r="A613" t="s">
        <v>920</v>
      </c>
    </row>
    <row r="614" spans="1:1" x14ac:dyDescent="0.35">
      <c r="A614" t="s">
        <v>921</v>
      </c>
    </row>
    <row r="615" spans="1:1" x14ac:dyDescent="0.35">
      <c r="A615" t="s">
        <v>922</v>
      </c>
    </row>
    <row r="616" spans="1:1" x14ac:dyDescent="0.35">
      <c r="A616" t="s">
        <v>393</v>
      </c>
    </row>
    <row r="617" spans="1:1" x14ac:dyDescent="0.35">
      <c r="A617" t="s">
        <v>394</v>
      </c>
    </row>
    <row r="618" spans="1:1" x14ac:dyDescent="0.35">
      <c r="A618" t="s">
        <v>395</v>
      </c>
    </row>
    <row r="619" spans="1:1" x14ac:dyDescent="0.35">
      <c r="A619" t="s">
        <v>396</v>
      </c>
    </row>
    <row r="620" spans="1:1" x14ac:dyDescent="0.35">
      <c r="A620" t="s">
        <v>397</v>
      </c>
    </row>
    <row r="621" spans="1:1" x14ac:dyDescent="0.35">
      <c r="A621" t="s">
        <v>531</v>
      </c>
    </row>
    <row r="622" spans="1:1" x14ac:dyDescent="0.35">
      <c r="A622" t="s">
        <v>526</v>
      </c>
    </row>
    <row r="623" spans="1:1" x14ac:dyDescent="0.35">
      <c r="A623" t="s">
        <v>527</v>
      </c>
    </row>
    <row r="624" spans="1:1" x14ac:dyDescent="0.35">
      <c r="A624" t="s">
        <v>528</v>
      </c>
    </row>
    <row r="625" spans="1:2" x14ac:dyDescent="0.35">
      <c r="A625" t="s">
        <v>529</v>
      </c>
    </row>
    <row r="626" spans="1:2" x14ac:dyDescent="0.35">
      <c r="A626" t="s">
        <v>530</v>
      </c>
    </row>
    <row r="627" spans="1:2" x14ac:dyDescent="0.35">
      <c r="A627" t="s">
        <v>941</v>
      </c>
    </row>
    <row r="628" spans="1:2" x14ac:dyDescent="0.35">
      <c r="A628" t="s">
        <v>1091</v>
      </c>
    </row>
    <row r="629" spans="1:2" x14ac:dyDescent="0.35">
      <c r="A629" t="s">
        <v>624</v>
      </c>
      <c r="B629">
        <v>41363</v>
      </c>
    </row>
    <row r="630" spans="1:2" x14ac:dyDescent="0.35">
      <c r="A630" t="s">
        <v>305</v>
      </c>
      <c r="B630">
        <v>1</v>
      </c>
    </row>
    <row r="631" spans="1:2" x14ac:dyDescent="0.35">
      <c r="A631" t="s">
        <v>1046</v>
      </c>
      <c r="B631">
        <v>1</v>
      </c>
    </row>
    <row r="632" spans="1:2" x14ac:dyDescent="0.35">
      <c r="A632" t="s">
        <v>1047</v>
      </c>
      <c r="B632">
        <v>1</v>
      </c>
    </row>
    <row r="633" spans="1:2" x14ac:dyDescent="0.35">
      <c r="A633" t="s">
        <v>1048</v>
      </c>
      <c r="B633">
        <v>1</v>
      </c>
    </row>
    <row r="634" spans="1:2" x14ac:dyDescent="0.35">
      <c r="A634" t="s">
        <v>1049</v>
      </c>
      <c r="B634">
        <v>1</v>
      </c>
    </row>
    <row r="635" spans="1:2" x14ac:dyDescent="0.35">
      <c r="A635" t="s">
        <v>1050</v>
      </c>
      <c r="B635">
        <v>1</v>
      </c>
    </row>
    <row r="636" spans="1:2" x14ac:dyDescent="0.35">
      <c r="A636" t="s">
        <v>1174</v>
      </c>
    </row>
    <row r="637" spans="1:2" x14ac:dyDescent="0.35">
      <c r="A637" t="s">
        <v>952</v>
      </c>
    </row>
    <row r="638" spans="1:2" x14ac:dyDescent="0.35">
      <c r="A638" t="s">
        <v>699</v>
      </c>
      <c r="B638">
        <v>5</v>
      </c>
    </row>
    <row r="639" spans="1:2" x14ac:dyDescent="0.35">
      <c r="A639" t="s">
        <v>768</v>
      </c>
    </row>
    <row r="640" spans="1:2" x14ac:dyDescent="0.35">
      <c r="A640" t="s">
        <v>204</v>
      </c>
    </row>
    <row r="641" spans="1:1" x14ac:dyDescent="0.35">
      <c r="A641" t="s">
        <v>207</v>
      </c>
    </row>
    <row r="642" spans="1:1" x14ac:dyDescent="0.35">
      <c r="A642" t="s">
        <v>206</v>
      </c>
    </row>
    <row r="643" spans="1:1" x14ac:dyDescent="0.35">
      <c r="A643" t="s">
        <v>203</v>
      </c>
    </row>
    <row r="644" spans="1:1" x14ac:dyDescent="0.35">
      <c r="A644" t="s">
        <v>202</v>
      </c>
    </row>
    <row r="645" spans="1:1" x14ac:dyDescent="0.35">
      <c r="A645" t="s">
        <v>205</v>
      </c>
    </row>
    <row r="646" spans="1:1" x14ac:dyDescent="0.35">
      <c r="A646" t="s">
        <v>208</v>
      </c>
    </row>
    <row r="647" spans="1:1" x14ac:dyDescent="0.35">
      <c r="A647" t="s">
        <v>944</v>
      </c>
    </row>
    <row r="648" spans="1:1" x14ac:dyDescent="0.35">
      <c r="A648" t="s">
        <v>1130</v>
      </c>
    </row>
    <row r="649" spans="1:1" x14ac:dyDescent="0.35">
      <c r="A649" t="s">
        <v>774</v>
      </c>
    </row>
    <row r="650" spans="1:1" x14ac:dyDescent="0.35">
      <c r="A650" t="s">
        <v>775</v>
      </c>
    </row>
    <row r="651" spans="1:1" x14ac:dyDescent="0.35">
      <c r="A651" t="s">
        <v>776</v>
      </c>
    </row>
    <row r="652" spans="1:1" x14ac:dyDescent="0.35">
      <c r="A652" t="s">
        <v>777</v>
      </c>
    </row>
    <row r="653" spans="1:1" x14ac:dyDescent="0.35">
      <c r="A653" t="s">
        <v>1311</v>
      </c>
    </row>
    <row r="654" spans="1:1" x14ac:dyDescent="0.35">
      <c r="A654" t="s">
        <v>1312</v>
      </c>
    </row>
    <row r="655" spans="1:1" x14ac:dyDescent="0.35">
      <c r="A655" t="s">
        <v>1313</v>
      </c>
    </row>
    <row r="656" spans="1:1" x14ac:dyDescent="0.35">
      <c r="A656" t="s">
        <v>1314</v>
      </c>
    </row>
    <row r="657" spans="1:2" x14ac:dyDescent="0.35">
      <c r="A657" t="s">
        <v>708</v>
      </c>
    </row>
    <row r="658" spans="1:2" x14ac:dyDescent="0.35">
      <c r="A658" t="s">
        <v>1208</v>
      </c>
    </row>
    <row r="659" spans="1:2" x14ac:dyDescent="0.35">
      <c r="A659" t="s">
        <v>1209</v>
      </c>
    </row>
    <row r="660" spans="1:2" x14ac:dyDescent="0.35">
      <c r="A660" t="s">
        <v>1210</v>
      </c>
    </row>
    <row r="661" spans="1:2" x14ac:dyDescent="0.35">
      <c r="A661" t="s">
        <v>675</v>
      </c>
    </row>
    <row r="662" spans="1:2" x14ac:dyDescent="0.35">
      <c r="A662" t="s">
        <v>676</v>
      </c>
    </row>
    <row r="663" spans="1:2" x14ac:dyDescent="0.35">
      <c r="A663" t="s">
        <v>677</v>
      </c>
    </row>
    <row r="664" spans="1:2" x14ac:dyDescent="0.35">
      <c r="A664" t="s">
        <v>678</v>
      </c>
    </row>
    <row r="665" spans="1:2" x14ac:dyDescent="0.35">
      <c r="A665" t="s">
        <v>679</v>
      </c>
    </row>
    <row r="666" spans="1:2" x14ac:dyDescent="0.35">
      <c r="A666" t="s">
        <v>680</v>
      </c>
    </row>
    <row r="667" spans="1:2" x14ac:dyDescent="0.35">
      <c r="A667" t="s">
        <v>681</v>
      </c>
    </row>
    <row r="668" spans="1:2" x14ac:dyDescent="0.35">
      <c r="A668" t="s">
        <v>682</v>
      </c>
    </row>
    <row r="669" spans="1:2" x14ac:dyDescent="0.35">
      <c r="A669" t="s">
        <v>701</v>
      </c>
      <c r="B669">
        <v>5</v>
      </c>
    </row>
    <row r="670" spans="1:2" x14ac:dyDescent="0.35">
      <c r="A670" t="s">
        <v>608</v>
      </c>
      <c r="B670" t="b">
        <v>0</v>
      </c>
    </row>
    <row r="671" spans="1:2" x14ac:dyDescent="0.35">
      <c r="A671" t="s">
        <v>1217</v>
      </c>
      <c r="B671">
        <v>1</v>
      </c>
    </row>
    <row r="672" spans="1:2" x14ac:dyDescent="0.35">
      <c r="A672" t="s">
        <v>621</v>
      </c>
      <c r="B672">
        <v>1</v>
      </c>
    </row>
    <row r="673" spans="1:2" x14ac:dyDescent="0.35">
      <c r="A673" t="s">
        <v>955</v>
      </c>
    </row>
    <row r="674" spans="1:2" x14ac:dyDescent="0.35">
      <c r="A674" t="s">
        <v>956</v>
      </c>
    </row>
    <row r="675" spans="1:2" x14ac:dyDescent="0.35">
      <c r="A675" t="s">
        <v>957</v>
      </c>
    </row>
    <row r="676" spans="1:2" x14ac:dyDescent="0.35">
      <c r="A676" t="s">
        <v>958</v>
      </c>
    </row>
    <row r="677" spans="1:2" x14ac:dyDescent="0.35">
      <c r="A677" t="s">
        <v>959</v>
      </c>
    </row>
    <row r="678" spans="1:2" x14ac:dyDescent="0.35">
      <c r="A678" t="s">
        <v>960</v>
      </c>
    </row>
    <row r="679" spans="1:2" x14ac:dyDescent="0.35">
      <c r="A679" t="s">
        <v>580</v>
      </c>
    </row>
    <row r="680" spans="1:2" x14ac:dyDescent="0.35">
      <c r="A680" t="s">
        <v>1232</v>
      </c>
    </row>
    <row r="681" spans="1:2" x14ac:dyDescent="0.35">
      <c r="A681" t="s">
        <v>1233</v>
      </c>
    </row>
    <row r="682" spans="1:2" x14ac:dyDescent="0.35">
      <c r="A682" t="s">
        <v>950</v>
      </c>
      <c r="B682">
        <v>0</v>
      </c>
    </row>
    <row r="683" spans="1:2" x14ac:dyDescent="0.35">
      <c r="A683" t="s">
        <v>910</v>
      </c>
      <c r="B683">
        <v>1</v>
      </c>
    </row>
    <row r="684" spans="1:2" x14ac:dyDescent="0.35">
      <c r="A684" t="s">
        <v>1310</v>
      </c>
      <c r="B684">
        <v>1</v>
      </c>
    </row>
    <row r="685" spans="1:2" x14ac:dyDescent="0.35">
      <c r="A685" t="s">
        <v>1218</v>
      </c>
    </row>
    <row r="686" spans="1:2" x14ac:dyDescent="0.35">
      <c r="A686" t="s">
        <v>492</v>
      </c>
    </row>
    <row r="687" spans="1:2" x14ac:dyDescent="0.35">
      <c r="A687" t="s">
        <v>493</v>
      </c>
    </row>
    <row r="688" spans="1:2" x14ac:dyDescent="0.35">
      <c r="A688" t="s">
        <v>494</v>
      </c>
    </row>
    <row r="689" spans="1:1" x14ac:dyDescent="0.35">
      <c r="A689" t="s">
        <v>495</v>
      </c>
    </row>
    <row r="690" spans="1:1" x14ac:dyDescent="0.35">
      <c r="A690" t="s">
        <v>496</v>
      </c>
    </row>
    <row r="691" spans="1:1" x14ac:dyDescent="0.35">
      <c r="A691" t="s">
        <v>497</v>
      </c>
    </row>
    <row r="692" spans="1:1" x14ac:dyDescent="0.35">
      <c r="A692" t="s">
        <v>498</v>
      </c>
    </row>
    <row r="693" spans="1:1" x14ac:dyDescent="0.35">
      <c r="A693" t="s">
        <v>499</v>
      </c>
    </row>
    <row r="694" spans="1:1" x14ac:dyDescent="0.35">
      <c r="A694" t="s">
        <v>500</v>
      </c>
    </row>
    <row r="695" spans="1:1" x14ac:dyDescent="0.35">
      <c r="A695" t="s">
        <v>74</v>
      </c>
    </row>
    <row r="696" spans="1:1" x14ac:dyDescent="0.35">
      <c r="A696" t="s">
        <v>75</v>
      </c>
    </row>
    <row r="697" spans="1:1" x14ac:dyDescent="0.35">
      <c r="A697" t="s">
        <v>76</v>
      </c>
    </row>
    <row r="698" spans="1:1" x14ac:dyDescent="0.35">
      <c r="A698" t="s">
        <v>77</v>
      </c>
    </row>
    <row r="699" spans="1:1" x14ac:dyDescent="0.35">
      <c r="A699" t="s">
        <v>78</v>
      </c>
    </row>
    <row r="700" spans="1:1" x14ac:dyDescent="0.35">
      <c r="A700" t="s">
        <v>79</v>
      </c>
    </row>
    <row r="701" spans="1:1" x14ac:dyDescent="0.35">
      <c r="A701" t="s">
        <v>80</v>
      </c>
    </row>
    <row r="702" spans="1:1" x14ac:dyDescent="0.35">
      <c r="A702" t="s">
        <v>81</v>
      </c>
    </row>
    <row r="703" spans="1:1" x14ac:dyDescent="0.35">
      <c r="A703" t="s">
        <v>82</v>
      </c>
    </row>
    <row r="704" spans="1:1" x14ac:dyDescent="0.35">
      <c r="A704" t="s">
        <v>83</v>
      </c>
    </row>
    <row r="705" spans="1:2" x14ac:dyDescent="0.35">
      <c r="A705" t="s">
        <v>84</v>
      </c>
    </row>
    <row r="706" spans="1:2" x14ac:dyDescent="0.35">
      <c r="A706" t="s">
        <v>1356</v>
      </c>
      <c r="B706">
        <v>1500</v>
      </c>
    </row>
    <row r="707" spans="1:2" x14ac:dyDescent="0.35">
      <c r="A707" t="s">
        <v>1357</v>
      </c>
      <c r="B707">
        <v>1500</v>
      </c>
    </row>
    <row r="708" spans="1:2" x14ac:dyDescent="0.35">
      <c r="A708" t="s">
        <v>1358</v>
      </c>
      <c r="B708">
        <v>1500</v>
      </c>
    </row>
    <row r="709" spans="1:2" x14ac:dyDescent="0.35">
      <c r="A709" t="s">
        <v>1359</v>
      </c>
      <c r="B709">
        <v>1500</v>
      </c>
    </row>
    <row r="710" spans="1:2" x14ac:dyDescent="0.35">
      <c r="A710" t="s">
        <v>34</v>
      </c>
      <c r="B710">
        <v>1500</v>
      </c>
    </row>
    <row r="711" spans="1:2" x14ac:dyDescent="0.35">
      <c r="A711" t="s">
        <v>35</v>
      </c>
      <c r="B711">
        <v>1500</v>
      </c>
    </row>
    <row r="712" spans="1:2" x14ac:dyDescent="0.35">
      <c r="A712" t="s">
        <v>36</v>
      </c>
      <c r="B712">
        <v>1500</v>
      </c>
    </row>
    <row r="713" spans="1:2" x14ac:dyDescent="0.35">
      <c r="A713" t="s">
        <v>37</v>
      </c>
      <c r="B713">
        <v>1500</v>
      </c>
    </row>
    <row r="714" spans="1:2" x14ac:dyDescent="0.35">
      <c r="A714" t="s">
        <v>38</v>
      </c>
      <c r="B714">
        <v>1500</v>
      </c>
    </row>
    <row r="715" spans="1:2" x14ac:dyDescent="0.35">
      <c r="A715" t="s">
        <v>542</v>
      </c>
      <c r="B715">
        <v>1500</v>
      </c>
    </row>
    <row r="716" spans="1:2" x14ac:dyDescent="0.35">
      <c r="A716" t="s">
        <v>543</v>
      </c>
      <c r="B716">
        <v>1500</v>
      </c>
    </row>
    <row r="717" spans="1:2" x14ac:dyDescent="0.35">
      <c r="A717" t="s">
        <v>544</v>
      </c>
      <c r="B717">
        <v>1500</v>
      </c>
    </row>
    <row r="718" spans="1:2" x14ac:dyDescent="0.35">
      <c r="A718" t="s">
        <v>92</v>
      </c>
      <c r="B718">
        <v>1500</v>
      </c>
    </row>
    <row r="719" spans="1:2" x14ac:dyDescent="0.35">
      <c r="A719" t="s">
        <v>93</v>
      </c>
      <c r="B719">
        <v>1500</v>
      </c>
    </row>
    <row r="720" spans="1:2" x14ac:dyDescent="0.35">
      <c r="A720" t="s">
        <v>94</v>
      </c>
      <c r="B720">
        <v>1500</v>
      </c>
    </row>
    <row r="721" spans="1:2" x14ac:dyDescent="0.35">
      <c r="A721" t="s">
        <v>95</v>
      </c>
      <c r="B721">
        <v>1500</v>
      </c>
    </row>
    <row r="722" spans="1:2" x14ac:dyDescent="0.35">
      <c r="A722" t="s">
        <v>849</v>
      </c>
      <c r="B722">
        <v>1500</v>
      </c>
    </row>
    <row r="723" spans="1:2" x14ac:dyDescent="0.35">
      <c r="A723" t="s">
        <v>850</v>
      </c>
      <c r="B723">
        <v>1500</v>
      </c>
    </row>
    <row r="724" spans="1:2" x14ac:dyDescent="0.35">
      <c r="A724" t="s">
        <v>851</v>
      </c>
      <c r="B724">
        <v>1500</v>
      </c>
    </row>
    <row r="725" spans="1:2" x14ac:dyDescent="0.35">
      <c r="A725" t="s">
        <v>852</v>
      </c>
      <c r="B725">
        <v>1500</v>
      </c>
    </row>
    <row r="726" spans="1:2" x14ac:dyDescent="0.35">
      <c r="A726" t="s">
        <v>1124</v>
      </c>
    </row>
    <row r="727" spans="1:2" x14ac:dyDescent="0.35">
      <c r="A727" t="s">
        <v>1129</v>
      </c>
      <c r="B727">
        <v>40</v>
      </c>
    </row>
    <row r="728" spans="1:2" x14ac:dyDescent="0.35">
      <c r="A728" t="s">
        <v>1128</v>
      </c>
      <c r="B728">
        <v>80</v>
      </c>
    </row>
    <row r="729" spans="1:2" x14ac:dyDescent="0.35">
      <c r="A729" t="s">
        <v>1118</v>
      </c>
    </row>
    <row r="730" spans="1:2" x14ac:dyDescent="0.35">
      <c r="A730" t="s">
        <v>1116</v>
      </c>
    </row>
    <row r="731" spans="1:2" x14ac:dyDescent="0.35">
      <c r="A731" t="s">
        <v>1123</v>
      </c>
    </row>
    <row r="732" spans="1:2" x14ac:dyDescent="0.35">
      <c r="A732" t="s">
        <v>1106</v>
      </c>
      <c r="B732">
        <v>1</v>
      </c>
    </row>
    <row r="733" spans="1:2" x14ac:dyDescent="0.35">
      <c r="A733" t="s">
        <v>700</v>
      </c>
      <c r="B733">
        <v>0</v>
      </c>
    </row>
    <row r="734" spans="1:2" x14ac:dyDescent="0.35">
      <c r="A734" t="s">
        <v>665</v>
      </c>
      <c r="B734">
        <v>1</v>
      </c>
    </row>
    <row r="735" spans="1:2" x14ac:dyDescent="0.35">
      <c r="A735" t="s">
        <v>1219</v>
      </c>
    </row>
    <row r="736" spans="1:2" x14ac:dyDescent="0.35">
      <c r="A736" t="s">
        <v>702</v>
      </c>
      <c r="B736">
        <v>17</v>
      </c>
    </row>
    <row r="737" spans="1:2" x14ac:dyDescent="0.35">
      <c r="A737" t="s">
        <v>1125</v>
      </c>
      <c r="B737">
        <v>18</v>
      </c>
    </row>
    <row r="738" spans="1:2" x14ac:dyDescent="0.35">
      <c r="A738" t="s">
        <v>628</v>
      </c>
      <c r="B738">
        <v>60</v>
      </c>
    </row>
    <row r="739" spans="1:2" x14ac:dyDescent="0.35">
      <c r="A739" t="s">
        <v>1220</v>
      </c>
      <c r="B739" t="b">
        <v>0</v>
      </c>
    </row>
    <row r="740" spans="1:2" x14ac:dyDescent="0.35">
      <c r="A740" t="s">
        <v>1221</v>
      </c>
      <c r="B740">
        <v>1</v>
      </c>
    </row>
    <row r="741" spans="1:2" x14ac:dyDescent="0.35">
      <c r="A741" t="s">
        <v>468</v>
      </c>
      <c r="B741">
        <v>0</v>
      </c>
    </row>
    <row r="742" spans="1:2" x14ac:dyDescent="0.35">
      <c r="A742" t="s">
        <v>1051</v>
      </c>
    </row>
    <row r="743" spans="1:2" x14ac:dyDescent="0.35">
      <c r="A743" t="s">
        <v>1052</v>
      </c>
    </row>
    <row r="744" spans="1:2" x14ac:dyDescent="0.35">
      <c r="A744" t="s">
        <v>634</v>
      </c>
    </row>
    <row r="745" spans="1:2" x14ac:dyDescent="0.35">
      <c r="A745" t="s">
        <v>626</v>
      </c>
      <c r="B745" t="s">
        <v>854</v>
      </c>
    </row>
    <row r="746" spans="1:2" x14ac:dyDescent="0.35">
      <c r="A746" t="s">
        <v>925</v>
      </c>
      <c r="B746" t="b">
        <v>0</v>
      </c>
    </row>
    <row r="747" spans="1:2" x14ac:dyDescent="0.35">
      <c r="A747" t="s">
        <v>1354</v>
      </c>
      <c r="B747">
        <v>1</v>
      </c>
    </row>
    <row r="748" spans="1:2" x14ac:dyDescent="0.35">
      <c r="A748" t="s">
        <v>1389</v>
      </c>
      <c r="B748" t="b">
        <v>0</v>
      </c>
    </row>
    <row r="749" spans="1:2" x14ac:dyDescent="0.35">
      <c r="A749" t="s">
        <v>1390</v>
      </c>
      <c r="B749">
        <v>30</v>
      </c>
    </row>
    <row r="750" spans="1:2" x14ac:dyDescent="0.35">
      <c r="A750" t="s">
        <v>1361</v>
      </c>
      <c r="B750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155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3" customWidth="1"/>
    <col min="7" max="7" width="18.59765625" customWidth="1"/>
  </cols>
  <sheetData>
    <row r="1" spans="1:20" x14ac:dyDescent="0.35">
      <c r="A1" t="s">
        <v>515</v>
      </c>
      <c r="B1" t="s">
        <v>516</v>
      </c>
      <c r="C1" s="73" t="s">
        <v>721</v>
      </c>
      <c r="T1">
        <v>0</v>
      </c>
    </row>
    <row r="2" spans="1:20" x14ac:dyDescent="0.35">
      <c r="A2" s="24" t="s">
        <v>625</v>
      </c>
      <c r="B2" s="73" t="s">
        <v>853</v>
      </c>
      <c r="C2" s="73" t="s">
        <v>853</v>
      </c>
    </row>
    <row r="3" spans="1:20" x14ac:dyDescent="0.35">
      <c r="A3" s="24" t="s">
        <v>85</v>
      </c>
      <c r="B3" s="73">
        <v>10</v>
      </c>
      <c r="C3" s="73">
        <v>10</v>
      </c>
      <c r="D3">
        <v>10</v>
      </c>
    </row>
    <row r="4" spans="1:20" x14ac:dyDescent="0.35">
      <c r="A4" s="24" t="s">
        <v>86</v>
      </c>
      <c r="B4" s="73">
        <v>20</v>
      </c>
      <c r="C4" s="73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4" t="s">
        <v>351</v>
      </c>
      <c r="B6" s="73">
        <v>2</v>
      </c>
      <c r="C6" s="73">
        <v>2</v>
      </c>
      <c r="D6">
        <v>2</v>
      </c>
    </row>
    <row r="7" spans="1:20" x14ac:dyDescent="0.35">
      <c r="A7" s="24" t="s">
        <v>352</v>
      </c>
      <c r="B7" s="73">
        <v>10</v>
      </c>
      <c r="C7" s="73">
        <v>10</v>
      </c>
      <c r="D7">
        <v>5</v>
      </c>
    </row>
    <row r="8" spans="1:20" x14ac:dyDescent="0.35">
      <c r="A8" s="24" t="s">
        <v>353</v>
      </c>
      <c r="B8" s="73">
        <v>5</v>
      </c>
      <c r="C8" s="73">
        <v>5</v>
      </c>
      <c r="D8">
        <v>50</v>
      </c>
    </row>
    <row r="9" spans="1:20" x14ac:dyDescent="0.35">
      <c r="A9" s="24" t="s">
        <v>1179</v>
      </c>
      <c r="B9" s="73">
        <v>10</v>
      </c>
      <c r="C9" s="73">
        <v>10</v>
      </c>
      <c r="D9">
        <v>1</v>
      </c>
    </row>
    <row r="10" spans="1:20" x14ac:dyDescent="0.35">
      <c r="A10" s="24" t="s">
        <v>1369</v>
      </c>
      <c r="B10" s="73">
        <v>10</v>
      </c>
      <c r="C10" s="73">
        <v>10</v>
      </c>
      <c r="D10">
        <v>1</v>
      </c>
    </row>
    <row r="11" spans="1:20" x14ac:dyDescent="0.35">
      <c r="A11" t="s">
        <v>1362</v>
      </c>
      <c r="C11"/>
    </row>
    <row r="12" spans="1:20" x14ac:dyDescent="0.35">
      <c r="A12" t="s">
        <v>1363</v>
      </c>
      <c r="B12">
        <v>5</v>
      </c>
      <c r="C12">
        <v>5</v>
      </c>
      <c r="D12">
        <v>1</v>
      </c>
    </row>
    <row r="13" spans="1:20" x14ac:dyDescent="0.35">
      <c r="A13" t="s">
        <v>1364</v>
      </c>
      <c r="C13"/>
    </row>
    <row r="14" spans="1:20" x14ac:dyDescent="0.35">
      <c r="A14" s="24" t="s">
        <v>1180</v>
      </c>
      <c r="B14" s="73">
        <v>1</v>
      </c>
      <c r="C14" s="73">
        <v>1</v>
      </c>
      <c r="D14">
        <v>0.1</v>
      </c>
    </row>
    <row r="15" spans="1:20" x14ac:dyDescent="0.35">
      <c r="A15" t="s">
        <v>1365</v>
      </c>
      <c r="C15"/>
    </row>
    <row r="16" spans="1:20" x14ac:dyDescent="0.35">
      <c r="A16" t="s">
        <v>1366</v>
      </c>
      <c r="B16">
        <v>50</v>
      </c>
      <c r="C16">
        <v>50</v>
      </c>
      <c r="D16">
        <v>10</v>
      </c>
    </row>
    <row r="17" spans="1:4" x14ac:dyDescent="0.35">
      <c r="A17" t="s">
        <v>1367</v>
      </c>
      <c r="B17">
        <v>5</v>
      </c>
      <c r="C17">
        <v>5</v>
      </c>
      <c r="D17">
        <v>1</v>
      </c>
    </row>
    <row r="18" spans="1:4" x14ac:dyDescent="0.35">
      <c r="A18" t="s">
        <v>1368</v>
      </c>
      <c r="B18">
        <v>500</v>
      </c>
      <c r="C18">
        <v>500</v>
      </c>
      <c r="D18">
        <v>100</v>
      </c>
    </row>
    <row r="19" spans="1:4" x14ac:dyDescent="0.35">
      <c r="A19" s="24" t="s">
        <v>1181</v>
      </c>
      <c r="B19" s="73">
        <v>10</v>
      </c>
      <c r="C19" s="73">
        <v>10</v>
      </c>
      <c r="D19">
        <v>10</v>
      </c>
    </row>
    <row r="20" spans="1:4" x14ac:dyDescent="0.35">
      <c r="A20" s="24" t="s">
        <v>1182</v>
      </c>
      <c r="B20" s="73">
        <v>50</v>
      </c>
      <c r="C20" s="73">
        <v>50</v>
      </c>
      <c r="D20">
        <v>0.5</v>
      </c>
    </row>
    <row r="21" spans="1:4" x14ac:dyDescent="0.35">
      <c r="A21" s="24" t="s">
        <v>1183</v>
      </c>
      <c r="B21" s="73">
        <v>150</v>
      </c>
      <c r="C21" s="73">
        <v>150</v>
      </c>
      <c r="D21">
        <v>0.15</v>
      </c>
    </row>
    <row r="22" spans="1:4" x14ac:dyDescent="0.35">
      <c r="A22" s="24" t="s">
        <v>1184</v>
      </c>
      <c r="B22" s="73">
        <v>2500</v>
      </c>
      <c r="C22" s="73">
        <v>2500</v>
      </c>
      <c r="D22">
        <v>12.5</v>
      </c>
    </row>
    <row r="23" spans="1:4" x14ac:dyDescent="0.35">
      <c r="A23" s="24" t="s">
        <v>1185</v>
      </c>
      <c r="B23" s="73">
        <v>200</v>
      </c>
      <c r="C23" s="73">
        <v>200</v>
      </c>
      <c r="D23">
        <v>40</v>
      </c>
    </row>
    <row r="24" spans="1:4" x14ac:dyDescent="0.35">
      <c r="A24" s="24" t="s">
        <v>1186</v>
      </c>
      <c r="B24" s="73">
        <v>50</v>
      </c>
      <c r="C24" s="73">
        <v>50</v>
      </c>
      <c r="D24">
        <v>5</v>
      </c>
    </row>
    <row r="25" spans="1:4" x14ac:dyDescent="0.35">
      <c r="A25" s="24" t="s">
        <v>1187</v>
      </c>
      <c r="B25" s="73">
        <v>100</v>
      </c>
      <c r="C25" s="73">
        <v>100</v>
      </c>
      <c r="D25">
        <v>25</v>
      </c>
    </row>
    <row r="26" spans="1:4" x14ac:dyDescent="0.35">
      <c r="A26" s="24" t="s">
        <v>861</v>
      </c>
      <c r="B26" s="73">
        <v>1</v>
      </c>
      <c r="C26" s="73">
        <v>1</v>
      </c>
    </row>
    <row r="27" spans="1:4" x14ac:dyDescent="0.35">
      <c r="A27" s="24" t="s">
        <v>348</v>
      </c>
      <c r="B27" s="73" t="s">
        <v>1083</v>
      </c>
      <c r="C27" s="73" t="s">
        <v>1083</v>
      </c>
    </row>
    <row r="28" spans="1:4" x14ac:dyDescent="0.35">
      <c r="A28" s="24" t="s">
        <v>1147</v>
      </c>
      <c r="B28" s="73" t="b">
        <v>0</v>
      </c>
      <c r="C28" s="73" t="b">
        <v>0</v>
      </c>
    </row>
    <row r="29" spans="1:4" x14ac:dyDescent="0.35">
      <c r="A29" s="24" t="s">
        <v>1148</v>
      </c>
      <c r="B29" s="73"/>
    </row>
    <row r="30" spans="1:4" x14ac:dyDescent="0.35">
      <c r="A30" s="24" t="s">
        <v>619</v>
      </c>
      <c r="B30" s="73"/>
    </row>
    <row r="31" spans="1:4" x14ac:dyDescent="0.35">
      <c r="A31" s="24" t="s">
        <v>864</v>
      </c>
      <c r="B31" t="b">
        <v>1</v>
      </c>
      <c r="C31" t="b">
        <v>1</v>
      </c>
    </row>
    <row r="32" spans="1:4" x14ac:dyDescent="0.35">
      <c r="A32" s="101" t="s">
        <v>1223</v>
      </c>
      <c r="C32"/>
    </row>
    <row r="33" spans="1:3" x14ac:dyDescent="0.35">
      <c r="A33" s="101" t="s">
        <v>1086</v>
      </c>
      <c r="C33"/>
    </row>
    <row r="34" spans="1:3" x14ac:dyDescent="0.35">
      <c r="A34" s="101" t="s">
        <v>1087</v>
      </c>
      <c r="C34"/>
    </row>
    <row r="35" spans="1:3" x14ac:dyDescent="0.35">
      <c r="A35" s="101" t="s">
        <v>1088</v>
      </c>
      <c r="C35"/>
    </row>
    <row r="36" spans="1:3" x14ac:dyDescent="0.35">
      <c r="A36" s="101" t="s">
        <v>1089</v>
      </c>
      <c r="C36"/>
    </row>
    <row r="37" spans="1:3" x14ac:dyDescent="0.35">
      <c r="A37" s="101" t="s">
        <v>1112</v>
      </c>
      <c r="C37"/>
    </row>
    <row r="38" spans="1:3" x14ac:dyDescent="0.35">
      <c r="A38" s="101" t="s">
        <v>1113</v>
      </c>
      <c r="C38"/>
    </row>
    <row r="39" spans="1:3" x14ac:dyDescent="0.35">
      <c r="A39" s="101" t="s">
        <v>1144</v>
      </c>
      <c r="C39"/>
    </row>
    <row r="40" spans="1:3" x14ac:dyDescent="0.35">
      <c r="A40" s="101" t="s">
        <v>1145</v>
      </c>
      <c r="C40"/>
    </row>
    <row r="41" spans="1:3" x14ac:dyDescent="0.35">
      <c r="A41" s="101" t="s">
        <v>1146</v>
      </c>
      <c r="C41"/>
    </row>
    <row r="42" spans="1:3" x14ac:dyDescent="0.35">
      <c r="A42" s="24" t="s">
        <v>1117</v>
      </c>
      <c r="B42" s="73"/>
    </row>
    <row r="43" spans="1:3" x14ac:dyDescent="0.35">
      <c r="A43" s="24" t="s">
        <v>1122</v>
      </c>
      <c r="B43" s="73"/>
    </row>
    <row r="44" spans="1:3" x14ac:dyDescent="0.35">
      <c r="A44" s="24" t="s">
        <v>140</v>
      </c>
      <c r="B44" s="73"/>
    </row>
    <row r="45" spans="1:3" x14ac:dyDescent="0.35">
      <c r="A45" s="24" t="s">
        <v>141</v>
      </c>
      <c r="B45" s="73"/>
    </row>
    <row r="46" spans="1:3" x14ac:dyDescent="0.35">
      <c r="A46" s="24" t="s">
        <v>142</v>
      </c>
      <c r="B46" s="73"/>
    </row>
    <row r="47" spans="1:3" x14ac:dyDescent="0.35">
      <c r="A47" s="24" t="s">
        <v>143</v>
      </c>
      <c r="B47" s="73"/>
    </row>
    <row r="48" spans="1:3" x14ac:dyDescent="0.35">
      <c r="A48" s="24" t="s">
        <v>39</v>
      </c>
      <c r="B48" s="73"/>
    </row>
    <row r="49" spans="1:3" x14ac:dyDescent="0.35">
      <c r="A49" s="24" t="s">
        <v>40</v>
      </c>
      <c r="B49" s="73"/>
    </row>
    <row r="50" spans="1:3" x14ac:dyDescent="0.35">
      <c r="A50" s="24" t="s">
        <v>1053</v>
      </c>
      <c r="B50" s="73"/>
    </row>
    <row r="51" spans="1:3" x14ac:dyDescent="0.35">
      <c r="A51" s="24" t="s">
        <v>1054</v>
      </c>
      <c r="B51" s="73"/>
    </row>
    <row r="52" spans="1:3" x14ac:dyDescent="0.35">
      <c r="A52" s="24" t="s">
        <v>1055</v>
      </c>
      <c r="B52" s="73"/>
    </row>
    <row r="53" spans="1:3" x14ac:dyDescent="0.35">
      <c r="A53" s="24" t="s">
        <v>1056</v>
      </c>
      <c r="B53" s="73"/>
    </row>
    <row r="54" spans="1:3" x14ac:dyDescent="0.35">
      <c r="A54" s="24" t="s">
        <v>641</v>
      </c>
      <c r="B54" s="73"/>
    </row>
    <row r="55" spans="1:3" x14ac:dyDescent="0.35">
      <c r="A55" s="24" t="s">
        <v>642</v>
      </c>
      <c r="B55" s="73"/>
    </row>
    <row r="56" spans="1:3" x14ac:dyDescent="0.35">
      <c r="A56" s="24" t="s">
        <v>643</v>
      </c>
      <c r="B56" s="73"/>
    </row>
    <row r="57" spans="1:3" x14ac:dyDescent="0.35">
      <c r="A57" s="24" t="s">
        <v>644</v>
      </c>
      <c r="B57" s="73"/>
    </row>
    <row r="58" spans="1:3" x14ac:dyDescent="0.35">
      <c r="A58" s="24" t="s">
        <v>112</v>
      </c>
      <c r="B58" s="73"/>
    </row>
    <row r="59" spans="1:3" x14ac:dyDescent="0.35">
      <c r="A59" s="24" t="s">
        <v>113</v>
      </c>
      <c r="B59" s="73"/>
    </row>
    <row r="60" spans="1:3" x14ac:dyDescent="0.35">
      <c r="A60" s="24" t="s">
        <v>114</v>
      </c>
      <c r="B60" s="73"/>
    </row>
    <row r="61" spans="1:3" x14ac:dyDescent="0.35">
      <c r="A61" s="24" t="s">
        <v>115</v>
      </c>
      <c r="B61" s="73"/>
    </row>
    <row r="62" spans="1:3" x14ac:dyDescent="0.35">
      <c r="A62" s="24" t="s">
        <v>116</v>
      </c>
      <c r="B62" s="73"/>
    </row>
    <row r="63" spans="1:3" x14ac:dyDescent="0.35">
      <c r="A63" s="24" t="s">
        <v>232</v>
      </c>
      <c r="B63" s="73"/>
    </row>
    <row r="64" spans="1:3" x14ac:dyDescent="0.35">
      <c r="A64" s="24" t="s">
        <v>1114</v>
      </c>
      <c r="B64" s="73">
        <v>30</v>
      </c>
      <c r="C64" s="73">
        <v>30</v>
      </c>
    </row>
    <row r="65" spans="1:3" x14ac:dyDescent="0.35">
      <c r="A65" s="24" t="s">
        <v>1121</v>
      </c>
      <c r="B65" s="73"/>
    </row>
    <row r="66" spans="1:3" x14ac:dyDescent="0.35">
      <c r="A66" s="24" t="s">
        <v>408</v>
      </c>
      <c r="B66" s="73">
        <v>1</v>
      </c>
      <c r="C66" s="73">
        <v>1</v>
      </c>
    </row>
    <row r="67" spans="1:3" x14ac:dyDescent="0.35">
      <c r="A67" s="24" t="s">
        <v>233</v>
      </c>
      <c r="B67" s="73"/>
    </row>
    <row r="68" spans="1:3" x14ac:dyDescent="0.35">
      <c r="A68" s="24" t="s">
        <v>234</v>
      </c>
      <c r="B68" s="73"/>
    </row>
    <row r="69" spans="1:3" x14ac:dyDescent="0.35">
      <c r="A69" s="24" t="s">
        <v>235</v>
      </c>
      <c r="B69" s="73"/>
    </row>
    <row r="70" spans="1:3" x14ac:dyDescent="0.35">
      <c r="A70" s="24" t="s">
        <v>236</v>
      </c>
      <c r="B70" s="73"/>
    </row>
    <row r="71" spans="1:3" x14ac:dyDescent="0.35">
      <c r="A71" s="24" t="s">
        <v>237</v>
      </c>
      <c r="B71" s="73"/>
    </row>
    <row r="72" spans="1:3" x14ac:dyDescent="0.35">
      <c r="A72" s="24" t="s">
        <v>238</v>
      </c>
      <c r="B72" s="73"/>
    </row>
    <row r="73" spans="1:3" x14ac:dyDescent="0.35">
      <c r="A73" s="24" t="s">
        <v>239</v>
      </c>
      <c r="B73" s="73"/>
    </row>
    <row r="74" spans="1:3" x14ac:dyDescent="0.35">
      <c r="A74" s="24" t="s">
        <v>240</v>
      </c>
      <c r="B74" s="73"/>
    </row>
    <row r="75" spans="1:3" x14ac:dyDescent="0.35">
      <c r="A75" s="24" t="s">
        <v>241</v>
      </c>
      <c r="B75" s="73"/>
    </row>
    <row r="76" spans="1:3" x14ac:dyDescent="0.35">
      <c r="A76" s="24" t="s">
        <v>242</v>
      </c>
      <c r="B76" s="73"/>
    </row>
    <row r="77" spans="1:3" x14ac:dyDescent="0.35">
      <c r="A77" s="24" t="s">
        <v>243</v>
      </c>
      <c r="B77" s="73"/>
    </row>
    <row r="78" spans="1:3" x14ac:dyDescent="0.35">
      <c r="A78" s="24" t="s">
        <v>244</v>
      </c>
      <c r="B78" s="73"/>
    </row>
    <row r="79" spans="1:3" x14ac:dyDescent="0.35">
      <c r="A79" s="24" t="s">
        <v>245</v>
      </c>
      <c r="B79" s="73"/>
    </row>
    <row r="80" spans="1:3" x14ac:dyDescent="0.35">
      <c r="A80" s="24" t="s">
        <v>246</v>
      </c>
      <c r="B80" s="73"/>
    </row>
    <row r="81" spans="1:3" x14ac:dyDescent="0.35">
      <c r="A81" s="24" t="s">
        <v>247</v>
      </c>
      <c r="B81" s="73"/>
    </row>
    <row r="82" spans="1:3" x14ac:dyDescent="0.35">
      <c r="A82" s="24" t="s">
        <v>248</v>
      </c>
      <c r="B82" s="73"/>
    </row>
    <row r="83" spans="1:3" x14ac:dyDescent="0.35">
      <c r="A83" s="24" t="s">
        <v>249</v>
      </c>
      <c r="B83" s="73"/>
    </row>
    <row r="84" spans="1:3" x14ac:dyDescent="0.35">
      <c r="A84" s="24" t="s">
        <v>670</v>
      </c>
      <c r="B84" s="73"/>
    </row>
    <row r="85" spans="1:3" x14ac:dyDescent="0.35">
      <c r="A85" s="24" t="s">
        <v>671</v>
      </c>
      <c r="B85" s="73"/>
    </row>
    <row r="86" spans="1:3" x14ac:dyDescent="0.35">
      <c r="A86" s="24" t="s">
        <v>695</v>
      </c>
      <c r="B86" s="73"/>
    </row>
    <row r="87" spans="1:3" x14ac:dyDescent="0.35">
      <c r="A87" s="72" t="s">
        <v>460</v>
      </c>
      <c r="B87" s="73">
        <v>1</v>
      </c>
      <c r="C87" s="73">
        <v>1</v>
      </c>
    </row>
    <row r="88" spans="1:3" x14ac:dyDescent="0.35">
      <c r="A88" s="72" t="s">
        <v>461</v>
      </c>
      <c r="B88" s="73"/>
    </row>
    <row r="89" spans="1:3" x14ac:dyDescent="0.35">
      <c r="A89" s="72" t="s">
        <v>462</v>
      </c>
      <c r="B89" s="73"/>
    </row>
    <row r="90" spans="1:3" x14ac:dyDescent="0.35">
      <c r="A90" s="72" t="s">
        <v>463</v>
      </c>
      <c r="B90" s="73"/>
    </row>
    <row r="91" spans="1:3" x14ac:dyDescent="0.35">
      <c r="A91" s="24" t="s">
        <v>627</v>
      </c>
      <c r="B91" s="74">
        <v>40909</v>
      </c>
      <c r="C91" s="74">
        <v>40909</v>
      </c>
    </row>
    <row r="92" spans="1:3" x14ac:dyDescent="0.35">
      <c r="A92" s="24" t="s">
        <v>873</v>
      </c>
      <c r="B92" s="73">
        <v>100</v>
      </c>
      <c r="C92" s="73">
        <v>100</v>
      </c>
    </row>
    <row r="93" spans="1:3" x14ac:dyDescent="0.35">
      <c r="A93" s="24" t="s">
        <v>860</v>
      </c>
      <c r="B93" s="73" t="b">
        <v>0</v>
      </c>
      <c r="C93" s="73" t="b">
        <v>0</v>
      </c>
    </row>
    <row r="94" spans="1:3" x14ac:dyDescent="0.35">
      <c r="A94" s="24" t="s">
        <v>450</v>
      </c>
      <c r="B94" s="73">
        <v>1</v>
      </c>
      <c r="C94" s="73">
        <v>1</v>
      </c>
    </row>
    <row r="95" spans="1:3" x14ac:dyDescent="0.35">
      <c r="A95" s="24" t="s">
        <v>451</v>
      </c>
      <c r="B95" s="73">
        <v>1</v>
      </c>
      <c r="C95" s="73">
        <v>1</v>
      </c>
    </row>
    <row r="96" spans="1:3" x14ac:dyDescent="0.35">
      <c r="A96" s="24" t="s">
        <v>452</v>
      </c>
      <c r="B96" s="73">
        <v>1</v>
      </c>
      <c r="C96" s="73">
        <v>1</v>
      </c>
    </row>
    <row r="97" spans="1:3" x14ac:dyDescent="0.35">
      <c r="A97" s="24" t="s">
        <v>453</v>
      </c>
      <c r="B97" s="73">
        <v>1</v>
      </c>
      <c r="C97" s="73">
        <v>1</v>
      </c>
    </row>
    <row r="98" spans="1:3" x14ac:dyDescent="0.35">
      <c r="A98" s="24" t="s">
        <v>454</v>
      </c>
      <c r="B98" s="73">
        <v>1</v>
      </c>
      <c r="C98" s="73">
        <v>1</v>
      </c>
    </row>
    <row r="99" spans="1:3" x14ac:dyDescent="0.35">
      <c r="A99" s="24" t="s">
        <v>1154</v>
      </c>
      <c r="B99" s="73">
        <v>1</v>
      </c>
      <c r="C99" s="73">
        <v>1</v>
      </c>
    </row>
    <row r="100" spans="1:3" x14ac:dyDescent="0.35">
      <c r="A100" s="24" t="s">
        <v>1120</v>
      </c>
      <c r="B100" s="73"/>
    </row>
    <row r="101" spans="1:3" x14ac:dyDescent="0.35">
      <c r="A101" s="24" t="s">
        <v>1155</v>
      </c>
      <c r="B101" s="73">
        <v>5</v>
      </c>
      <c r="C101" s="73">
        <v>5</v>
      </c>
    </row>
    <row r="102" spans="1:3" x14ac:dyDescent="0.35">
      <c r="A102" s="24" t="s">
        <v>1156</v>
      </c>
      <c r="B102" s="73">
        <v>20</v>
      </c>
      <c r="C102" s="73">
        <v>20</v>
      </c>
    </row>
    <row r="103" spans="1:3" x14ac:dyDescent="0.35">
      <c r="A103" s="24" t="s">
        <v>1157</v>
      </c>
      <c r="B103" s="73">
        <v>15</v>
      </c>
      <c r="C103" s="73">
        <v>15</v>
      </c>
    </row>
    <row r="104" spans="1:3" x14ac:dyDescent="0.35">
      <c r="A104" s="24" t="s">
        <v>1158</v>
      </c>
      <c r="B104" s="73">
        <v>10</v>
      </c>
      <c r="C104" s="73">
        <v>10</v>
      </c>
    </row>
    <row r="105" spans="1:3" x14ac:dyDescent="0.35">
      <c r="A105" s="24" t="s">
        <v>1159</v>
      </c>
      <c r="B105" s="73">
        <v>10</v>
      </c>
      <c r="C105" s="73">
        <v>10</v>
      </c>
    </row>
    <row r="106" spans="1:3" x14ac:dyDescent="0.35">
      <c r="A106" t="s">
        <v>846</v>
      </c>
      <c r="B106">
        <v>10</v>
      </c>
      <c r="C106">
        <v>10</v>
      </c>
    </row>
    <row r="107" spans="1:3" x14ac:dyDescent="0.35">
      <c r="A107" t="s">
        <v>847</v>
      </c>
      <c r="B107">
        <v>30</v>
      </c>
      <c r="C107">
        <v>30</v>
      </c>
    </row>
    <row r="108" spans="1:3" x14ac:dyDescent="0.35">
      <c r="A108" t="s">
        <v>848</v>
      </c>
      <c r="B108">
        <v>250</v>
      </c>
      <c r="C108">
        <v>250</v>
      </c>
    </row>
    <row r="109" spans="1:3" x14ac:dyDescent="0.35">
      <c r="A109" t="s">
        <v>1403</v>
      </c>
      <c r="C109"/>
    </row>
    <row r="110" spans="1:3" x14ac:dyDescent="0.35">
      <c r="A110" t="s">
        <v>1404</v>
      </c>
      <c r="B110">
        <v>10</v>
      </c>
      <c r="C110">
        <v>10</v>
      </c>
    </row>
    <row r="111" spans="1:3" x14ac:dyDescent="0.35">
      <c r="A111" t="s">
        <v>1405</v>
      </c>
      <c r="C111"/>
    </row>
    <row r="112" spans="1:3" x14ac:dyDescent="0.35">
      <c r="A112" s="24" t="s">
        <v>1160</v>
      </c>
      <c r="B112" s="73">
        <v>10</v>
      </c>
      <c r="C112" s="73">
        <v>10</v>
      </c>
    </row>
    <row r="113" spans="1:3" x14ac:dyDescent="0.35">
      <c r="A113" s="24" t="s">
        <v>1370</v>
      </c>
      <c r="B113" s="73"/>
    </row>
    <row r="114" spans="1:3" x14ac:dyDescent="0.35">
      <c r="A114" s="24" t="s">
        <v>1371</v>
      </c>
      <c r="B114" s="73">
        <v>6</v>
      </c>
      <c r="C114" s="73">
        <v>6</v>
      </c>
    </row>
    <row r="115" spans="1:3" x14ac:dyDescent="0.35">
      <c r="A115" s="24" t="s">
        <v>1401</v>
      </c>
      <c r="B115" s="73">
        <v>2</v>
      </c>
      <c r="C115" s="73">
        <v>2</v>
      </c>
    </row>
    <row r="116" spans="1:3" x14ac:dyDescent="0.35">
      <c r="A116" s="24" t="s">
        <v>1402</v>
      </c>
      <c r="B116" s="73">
        <v>70</v>
      </c>
      <c r="C116" s="73">
        <v>70</v>
      </c>
    </row>
    <row r="117" spans="1:3" x14ac:dyDescent="0.35">
      <c r="A117" s="24" t="s">
        <v>1161</v>
      </c>
      <c r="B117" s="73">
        <v>5</v>
      </c>
      <c r="C117" s="73">
        <v>5</v>
      </c>
    </row>
    <row r="118" spans="1:3" x14ac:dyDescent="0.35">
      <c r="A118" s="24" t="s">
        <v>1162</v>
      </c>
      <c r="B118" s="73">
        <v>25</v>
      </c>
      <c r="C118" s="73">
        <v>25</v>
      </c>
    </row>
    <row r="119" spans="1:3" x14ac:dyDescent="0.35">
      <c r="A119" s="24" t="s">
        <v>1163</v>
      </c>
      <c r="B119" s="73">
        <v>100</v>
      </c>
      <c r="C119" s="73">
        <v>100</v>
      </c>
    </row>
    <row r="120" spans="1:3" x14ac:dyDescent="0.35">
      <c r="A120" s="24" t="s">
        <v>1164</v>
      </c>
      <c r="B120" s="73">
        <v>10</v>
      </c>
      <c r="C120" s="73">
        <v>10</v>
      </c>
    </row>
    <row r="121" spans="1:3" x14ac:dyDescent="0.35">
      <c r="A121" s="24" t="s">
        <v>1165</v>
      </c>
      <c r="B121" s="73">
        <v>5</v>
      </c>
      <c r="C121" s="73">
        <v>5</v>
      </c>
    </row>
    <row r="122" spans="1:3" x14ac:dyDescent="0.35">
      <c r="A122" s="24" t="s">
        <v>1166</v>
      </c>
      <c r="B122" s="73">
        <v>10</v>
      </c>
      <c r="C122" s="73">
        <v>10</v>
      </c>
    </row>
    <row r="123" spans="1:3" x14ac:dyDescent="0.35">
      <c r="A123" s="24" t="s">
        <v>633</v>
      </c>
      <c r="B123" s="73">
        <v>5</v>
      </c>
      <c r="C123" s="73">
        <v>5</v>
      </c>
    </row>
    <row r="124" spans="1:3" x14ac:dyDescent="0.35">
      <c r="A124" s="24" t="s">
        <v>1273</v>
      </c>
      <c r="B124" s="73">
        <v>10</v>
      </c>
      <c r="C124" s="73">
        <v>10</v>
      </c>
    </row>
    <row r="125" spans="1:3" x14ac:dyDescent="0.35">
      <c r="A125" s="24" t="s">
        <v>1274</v>
      </c>
      <c r="B125" s="73">
        <v>10</v>
      </c>
      <c r="C125" s="73">
        <v>10</v>
      </c>
    </row>
    <row r="126" spans="1:3" x14ac:dyDescent="0.35">
      <c r="A126" s="24" t="s">
        <v>1275</v>
      </c>
      <c r="B126" s="73">
        <v>10</v>
      </c>
      <c r="C126" s="73">
        <v>10</v>
      </c>
    </row>
    <row r="127" spans="1:3" x14ac:dyDescent="0.35">
      <c r="A127" s="24" t="s">
        <v>1276</v>
      </c>
      <c r="B127" s="73">
        <v>10</v>
      </c>
      <c r="C127" s="73">
        <v>10</v>
      </c>
    </row>
    <row r="128" spans="1:3" x14ac:dyDescent="0.35">
      <c r="A128" s="24" t="s">
        <v>1277</v>
      </c>
      <c r="B128" s="73">
        <v>10</v>
      </c>
      <c r="C128" s="73">
        <v>10</v>
      </c>
    </row>
    <row r="129" spans="1:3" x14ac:dyDescent="0.35">
      <c r="A129" t="s">
        <v>1000</v>
      </c>
      <c r="B129">
        <v>10</v>
      </c>
      <c r="C129">
        <v>10</v>
      </c>
    </row>
    <row r="130" spans="1:3" x14ac:dyDescent="0.35">
      <c r="A130" t="s">
        <v>1001</v>
      </c>
      <c r="B130">
        <v>10</v>
      </c>
      <c r="C130">
        <v>10</v>
      </c>
    </row>
    <row r="131" spans="1:3" x14ac:dyDescent="0.35">
      <c r="A131" t="s">
        <v>845</v>
      </c>
      <c r="B131">
        <v>10</v>
      </c>
      <c r="C131">
        <v>10</v>
      </c>
    </row>
    <row r="132" spans="1:3" x14ac:dyDescent="0.35">
      <c r="A132" t="s">
        <v>1410</v>
      </c>
      <c r="C132"/>
    </row>
    <row r="133" spans="1:3" x14ac:dyDescent="0.35">
      <c r="A133" t="s">
        <v>1411</v>
      </c>
      <c r="B133">
        <v>10</v>
      </c>
      <c r="C133">
        <v>10</v>
      </c>
    </row>
    <row r="134" spans="1:3" x14ac:dyDescent="0.35">
      <c r="A134" t="s">
        <v>1412</v>
      </c>
      <c r="C134"/>
    </row>
    <row r="135" spans="1:3" x14ac:dyDescent="0.35">
      <c r="A135" s="24" t="s">
        <v>1278</v>
      </c>
      <c r="B135" s="73">
        <v>10</v>
      </c>
      <c r="C135" s="73">
        <v>10</v>
      </c>
    </row>
    <row r="136" spans="1:3" x14ac:dyDescent="0.35">
      <c r="A136" s="24" t="s">
        <v>1406</v>
      </c>
      <c r="B136" s="73"/>
    </row>
    <row r="137" spans="1:3" x14ac:dyDescent="0.35">
      <c r="A137" s="24" t="s">
        <v>1407</v>
      </c>
      <c r="B137" s="73">
        <v>10</v>
      </c>
      <c r="C137" s="73">
        <v>10</v>
      </c>
    </row>
    <row r="138" spans="1:3" x14ac:dyDescent="0.35">
      <c r="A138" s="24" t="s">
        <v>1408</v>
      </c>
      <c r="B138" s="73">
        <v>10</v>
      </c>
      <c r="C138" s="73">
        <v>10</v>
      </c>
    </row>
    <row r="139" spans="1:3" x14ac:dyDescent="0.35">
      <c r="A139" s="24" t="s">
        <v>1409</v>
      </c>
      <c r="B139" s="73">
        <v>10</v>
      </c>
      <c r="C139" s="73">
        <v>10</v>
      </c>
    </row>
    <row r="140" spans="1:3" x14ac:dyDescent="0.35">
      <c r="A140" s="24" t="s">
        <v>1279</v>
      </c>
      <c r="B140" s="73">
        <v>10</v>
      </c>
      <c r="C140" s="73">
        <v>10</v>
      </c>
    </row>
    <row r="141" spans="1:3" x14ac:dyDescent="0.35">
      <c r="A141" s="24" t="s">
        <v>485</v>
      </c>
      <c r="B141" s="73">
        <v>10</v>
      </c>
      <c r="C141" s="73">
        <v>10</v>
      </c>
    </row>
    <row r="142" spans="1:3" x14ac:dyDescent="0.35">
      <c r="A142" s="24" t="s">
        <v>650</v>
      </c>
      <c r="B142" s="73">
        <v>10</v>
      </c>
      <c r="C142" s="73">
        <v>10</v>
      </c>
    </row>
    <row r="143" spans="1:3" x14ac:dyDescent="0.35">
      <c r="A143" s="24" t="s">
        <v>1002</v>
      </c>
      <c r="B143" s="73">
        <v>10</v>
      </c>
      <c r="C143" s="73">
        <v>10</v>
      </c>
    </row>
    <row r="144" spans="1:3" x14ac:dyDescent="0.35">
      <c r="A144" s="24" t="s">
        <v>1003</v>
      </c>
      <c r="B144" s="73">
        <v>10</v>
      </c>
      <c r="C144" s="73">
        <v>10</v>
      </c>
    </row>
    <row r="145" spans="1:8" x14ac:dyDescent="0.35">
      <c r="A145" s="24" t="s">
        <v>144</v>
      </c>
      <c r="B145" s="73">
        <v>10</v>
      </c>
      <c r="C145" s="73">
        <v>10</v>
      </c>
    </row>
    <row r="146" spans="1:8" x14ac:dyDescent="0.35">
      <c r="A146" s="24" t="s">
        <v>145</v>
      </c>
      <c r="B146" s="73">
        <v>10</v>
      </c>
      <c r="C146" s="73">
        <v>10</v>
      </c>
    </row>
    <row r="147" spans="1:8" x14ac:dyDescent="0.35">
      <c r="A147" s="24" t="s">
        <v>422</v>
      </c>
      <c r="B147" s="73" t="b">
        <v>0</v>
      </c>
      <c r="C147" s="73" t="b">
        <v>0</v>
      </c>
    </row>
    <row r="148" spans="1:8" x14ac:dyDescent="0.35">
      <c r="A148" s="24" t="s">
        <v>1103</v>
      </c>
      <c r="C148"/>
    </row>
    <row r="149" spans="1:8" x14ac:dyDescent="0.35">
      <c r="A149" s="24" t="s">
        <v>423</v>
      </c>
      <c r="B149" s="73"/>
    </row>
    <row r="150" spans="1:8" x14ac:dyDescent="0.35">
      <c r="A150" s="24" t="s">
        <v>1104</v>
      </c>
      <c r="C150"/>
    </row>
    <row r="151" spans="1:8" x14ac:dyDescent="0.35">
      <c r="A151" s="72" t="s">
        <v>464</v>
      </c>
      <c r="B151" s="73">
        <v>1</v>
      </c>
      <c r="C151" s="73">
        <v>1</v>
      </c>
    </row>
    <row r="152" spans="1:8" x14ac:dyDescent="0.35">
      <c r="A152" s="72" t="s">
        <v>465</v>
      </c>
      <c r="B152" s="73"/>
    </row>
    <row r="153" spans="1:8" x14ac:dyDescent="0.35">
      <c r="A153" s="72" t="s">
        <v>466</v>
      </c>
      <c r="B153" s="73"/>
      <c r="G153" s="24"/>
      <c r="H153" s="24"/>
    </row>
    <row r="154" spans="1:8" x14ac:dyDescent="0.35">
      <c r="A154" s="72" t="s">
        <v>467</v>
      </c>
      <c r="B154" s="73"/>
      <c r="G154" s="24"/>
      <c r="H154" s="24"/>
    </row>
    <row r="155" spans="1:8" x14ac:dyDescent="0.35">
      <c r="A155" s="24" t="s">
        <v>970</v>
      </c>
      <c r="B155" s="73" t="b">
        <v>0</v>
      </c>
      <c r="C155" s="73" t="b">
        <v>0</v>
      </c>
      <c r="G155" s="24"/>
      <c r="H155" s="24"/>
    </row>
    <row r="156" spans="1:8" x14ac:dyDescent="0.35">
      <c r="A156" s="24" t="s">
        <v>120</v>
      </c>
      <c r="B156" s="73"/>
      <c r="G156" s="24"/>
      <c r="H156" s="24"/>
    </row>
    <row r="157" spans="1:8" x14ac:dyDescent="0.35">
      <c r="A157" s="24" t="s">
        <v>1188</v>
      </c>
      <c r="B157" s="73"/>
      <c r="G157" s="24"/>
      <c r="H157" s="24"/>
    </row>
    <row r="158" spans="1:8" x14ac:dyDescent="0.35">
      <c r="A158" s="24" t="s">
        <v>1196</v>
      </c>
      <c r="B158" s="73"/>
      <c r="G158" s="24"/>
      <c r="H158" s="24"/>
    </row>
    <row r="159" spans="1:8" x14ac:dyDescent="0.35">
      <c r="A159" s="24" t="s">
        <v>1197</v>
      </c>
      <c r="B159" s="73"/>
      <c r="G159" s="24"/>
      <c r="H159" s="24"/>
    </row>
    <row r="160" spans="1:8" x14ac:dyDescent="0.35">
      <c r="A160" s="24" t="s">
        <v>446</v>
      </c>
      <c r="B160" s="73"/>
      <c r="G160" s="24"/>
      <c r="H160" s="24"/>
    </row>
    <row r="161" spans="1:8" x14ac:dyDescent="0.35">
      <c r="A161" s="24" t="s">
        <v>447</v>
      </c>
      <c r="B161" s="73"/>
      <c r="G161" s="24"/>
      <c r="H161" s="24"/>
    </row>
    <row r="162" spans="1:8" x14ac:dyDescent="0.35">
      <c r="A162" s="24" t="s">
        <v>448</v>
      </c>
      <c r="B162" s="73"/>
      <c r="G162" s="24"/>
      <c r="H162" s="24"/>
    </row>
    <row r="163" spans="1:8" x14ac:dyDescent="0.35">
      <c r="A163" s="24" t="s">
        <v>449</v>
      </c>
      <c r="B163" s="73"/>
      <c r="G163" s="24"/>
      <c r="H163" s="24"/>
    </row>
    <row r="164" spans="1:8" x14ac:dyDescent="0.35">
      <c r="A164" s="24" t="s">
        <v>917</v>
      </c>
      <c r="B164" s="73"/>
      <c r="G164" s="24"/>
      <c r="H164" s="24"/>
    </row>
    <row r="165" spans="1:8" x14ac:dyDescent="0.35">
      <c r="A165" s="24" t="s">
        <v>918</v>
      </c>
      <c r="B165" s="73"/>
      <c r="G165" s="24"/>
      <c r="H165" s="24"/>
    </row>
    <row r="166" spans="1:8" x14ac:dyDescent="0.35">
      <c r="A166" s="24" t="s">
        <v>1189</v>
      </c>
      <c r="B166" s="73"/>
      <c r="G166" s="24"/>
      <c r="H166" s="24"/>
    </row>
    <row r="167" spans="1:8" x14ac:dyDescent="0.35">
      <c r="A167" s="24" t="s">
        <v>1190</v>
      </c>
      <c r="B167" s="73"/>
      <c r="G167" s="24"/>
      <c r="H167" s="24"/>
    </row>
    <row r="168" spans="1:8" x14ac:dyDescent="0.35">
      <c r="A168" s="24" t="s">
        <v>1191</v>
      </c>
      <c r="B168" s="73"/>
      <c r="G168" s="24"/>
      <c r="H168" s="24"/>
    </row>
    <row r="169" spans="1:8" x14ac:dyDescent="0.35">
      <c r="A169" s="24" t="s">
        <v>1192</v>
      </c>
      <c r="B169" s="73"/>
      <c r="G169" s="24"/>
      <c r="H169" s="24"/>
    </row>
    <row r="170" spans="1:8" x14ac:dyDescent="0.35">
      <c r="A170" s="24" t="s">
        <v>1193</v>
      </c>
      <c r="B170" s="73"/>
      <c r="G170" s="24"/>
      <c r="H170" s="24"/>
    </row>
    <row r="171" spans="1:8" x14ac:dyDescent="0.35">
      <c r="A171" s="24" t="s">
        <v>1194</v>
      </c>
      <c r="B171" s="73"/>
      <c r="G171" s="24"/>
      <c r="H171" s="24"/>
    </row>
    <row r="172" spans="1:8" x14ac:dyDescent="0.35">
      <c r="A172" s="24" t="s">
        <v>1195</v>
      </c>
      <c r="B172" s="73"/>
      <c r="G172" s="24"/>
      <c r="H172" s="24"/>
    </row>
    <row r="173" spans="1:8" x14ac:dyDescent="0.35">
      <c r="A173" s="24" t="s">
        <v>327</v>
      </c>
      <c r="B173" s="73"/>
      <c r="G173" s="24"/>
      <c r="H173" s="24"/>
    </row>
    <row r="174" spans="1:8" x14ac:dyDescent="0.35">
      <c r="A174" s="24" t="s">
        <v>328</v>
      </c>
      <c r="B174" s="73"/>
      <c r="G174" s="24"/>
      <c r="H174" s="24"/>
    </row>
    <row r="175" spans="1:8" x14ac:dyDescent="0.35">
      <c r="A175" s="24" t="s">
        <v>329</v>
      </c>
      <c r="B175" s="73"/>
      <c r="G175" s="24"/>
      <c r="H175" s="24"/>
    </row>
    <row r="176" spans="1:8" x14ac:dyDescent="0.35">
      <c r="A176" s="24" t="s">
        <v>330</v>
      </c>
      <c r="B176" s="73"/>
      <c r="G176" s="24"/>
      <c r="H176" s="24"/>
    </row>
    <row r="177" spans="1:8" x14ac:dyDescent="0.35">
      <c r="A177" s="24" t="s">
        <v>331</v>
      </c>
      <c r="B177" s="73"/>
      <c r="G177" s="24"/>
      <c r="H177" s="24"/>
    </row>
    <row r="178" spans="1:8" x14ac:dyDescent="0.35">
      <c r="A178" s="24" t="s">
        <v>332</v>
      </c>
      <c r="B178" s="73"/>
      <c r="G178" s="24"/>
      <c r="H178" s="24"/>
    </row>
    <row r="179" spans="1:8" x14ac:dyDescent="0.35">
      <c r="A179" s="24" t="s">
        <v>333</v>
      </c>
      <c r="B179" s="73"/>
      <c r="G179" s="24"/>
      <c r="H179" s="24"/>
    </row>
    <row r="180" spans="1:8" x14ac:dyDescent="0.35">
      <c r="A180" s="24" t="s">
        <v>334</v>
      </c>
      <c r="B180" s="73"/>
      <c r="G180" s="24"/>
      <c r="H180" s="24"/>
    </row>
    <row r="181" spans="1:8" x14ac:dyDescent="0.35">
      <c r="A181" s="24" t="s">
        <v>335</v>
      </c>
      <c r="B181" s="73"/>
      <c r="G181" s="24"/>
      <c r="H181" s="24"/>
    </row>
    <row r="182" spans="1:8" x14ac:dyDescent="0.35">
      <c r="A182" s="24" t="s">
        <v>336</v>
      </c>
      <c r="B182" s="73"/>
      <c r="G182" s="24"/>
      <c r="H182" s="24"/>
    </row>
    <row r="183" spans="1:8" x14ac:dyDescent="0.35">
      <c r="A183" s="24" t="s">
        <v>337</v>
      </c>
      <c r="B183" s="73"/>
      <c r="G183" s="24"/>
      <c r="H183" s="24"/>
    </row>
    <row r="184" spans="1:8" x14ac:dyDescent="0.35">
      <c r="A184" s="24" t="s">
        <v>338</v>
      </c>
      <c r="B184" s="73"/>
      <c r="G184" s="24"/>
      <c r="H184" s="24"/>
    </row>
    <row r="185" spans="1:8" x14ac:dyDescent="0.35">
      <c r="A185" s="24" t="s">
        <v>339</v>
      </c>
      <c r="B185" s="73"/>
      <c r="G185" s="24"/>
      <c r="H185" s="24"/>
    </row>
    <row r="186" spans="1:8" x14ac:dyDescent="0.35">
      <c r="A186" s="24" t="s">
        <v>340</v>
      </c>
      <c r="B186" s="73"/>
      <c r="G186" s="24"/>
      <c r="H186" s="24"/>
    </row>
    <row r="187" spans="1:8" x14ac:dyDescent="0.35">
      <c r="A187" s="24" t="s">
        <v>341</v>
      </c>
      <c r="B187" s="73"/>
      <c r="G187" s="24"/>
      <c r="H187" s="24"/>
    </row>
    <row r="188" spans="1:8" x14ac:dyDescent="0.35">
      <c r="A188" s="24" t="s">
        <v>342</v>
      </c>
      <c r="B188" s="73"/>
      <c r="G188" s="24"/>
      <c r="H188" s="24"/>
    </row>
    <row r="189" spans="1:8" x14ac:dyDescent="0.35">
      <c r="A189" s="24" t="s">
        <v>778</v>
      </c>
      <c r="B189" s="73"/>
      <c r="G189" s="24"/>
      <c r="H189" s="24"/>
    </row>
    <row r="190" spans="1:8" x14ac:dyDescent="0.35">
      <c r="A190" s="24" t="s">
        <v>779</v>
      </c>
      <c r="B190" s="73"/>
      <c r="G190" s="24"/>
      <c r="H190" s="24"/>
    </row>
    <row r="191" spans="1:8" x14ac:dyDescent="0.35">
      <c r="A191" s="24" t="s">
        <v>780</v>
      </c>
      <c r="B191" s="73"/>
      <c r="G191" s="24"/>
      <c r="H191" s="24"/>
    </row>
    <row r="192" spans="1:8" x14ac:dyDescent="0.35">
      <c r="A192" s="24" t="s">
        <v>781</v>
      </c>
      <c r="B192" s="73"/>
      <c r="G192" s="24"/>
      <c r="H192" s="24"/>
    </row>
    <row r="193" spans="1:8" x14ac:dyDescent="0.35">
      <c r="A193" s="24" t="s">
        <v>782</v>
      </c>
      <c r="B193" s="73"/>
      <c r="G193" s="24"/>
      <c r="H193" s="24"/>
    </row>
    <row r="194" spans="1:8" x14ac:dyDescent="0.35">
      <c r="A194" s="24" t="s">
        <v>783</v>
      </c>
      <c r="B194" s="73"/>
      <c r="G194" s="24"/>
      <c r="H194" s="24"/>
    </row>
    <row r="195" spans="1:8" x14ac:dyDescent="0.35">
      <c r="A195" s="24" t="s">
        <v>784</v>
      </c>
      <c r="B195" s="73"/>
      <c r="G195" s="24"/>
      <c r="H195" s="24"/>
    </row>
    <row r="196" spans="1:8" x14ac:dyDescent="0.35">
      <c r="A196" s="24" t="s">
        <v>785</v>
      </c>
      <c r="B196" s="73"/>
      <c r="G196" s="24"/>
      <c r="H196" s="24"/>
    </row>
    <row r="197" spans="1:8" x14ac:dyDescent="0.35">
      <c r="A197" s="24" t="s">
        <v>786</v>
      </c>
      <c r="B197" s="73"/>
      <c r="G197" s="24"/>
      <c r="H197" s="24"/>
    </row>
    <row r="198" spans="1:8" x14ac:dyDescent="0.35">
      <c r="A198" s="24" t="s">
        <v>787</v>
      </c>
      <c r="B198" s="73"/>
      <c r="G198" s="24"/>
      <c r="H198" s="24"/>
    </row>
    <row r="199" spans="1:8" x14ac:dyDescent="0.35">
      <c r="A199" s="24" t="s">
        <v>788</v>
      </c>
      <c r="B199" s="73"/>
      <c r="G199" s="24"/>
      <c r="H199" s="24"/>
    </row>
    <row r="200" spans="1:8" x14ac:dyDescent="0.35">
      <c r="A200" s="24" t="s">
        <v>789</v>
      </c>
      <c r="B200" s="73"/>
      <c r="G200" s="24"/>
      <c r="H200" s="24"/>
    </row>
    <row r="201" spans="1:8" x14ac:dyDescent="0.35">
      <c r="A201" s="24" t="s">
        <v>790</v>
      </c>
      <c r="B201" s="73"/>
      <c r="G201" s="24"/>
      <c r="H201" s="24"/>
    </row>
    <row r="202" spans="1:8" x14ac:dyDescent="0.35">
      <c r="A202" s="24" t="s">
        <v>791</v>
      </c>
      <c r="B202" s="73"/>
      <c r="G202" s="24"/>
      <c r="H202" s="24"/>
    </row>
    <row r="203" spans="1:8" x14ac:dyDescent="0.35">
      <c r="A203" s="24" t="s">
        <v>792</v>
      </c>
      <c r="B203" s="73"/>
      <c r="G203" s="24"/>
      <c r="H203" s="24"/>
    </row>
    <row r="204" spans="1:8" x14ac:dyDescent="0.35">
      <c r="A204" s="24" t="s">
        <v>793</v>
      </c>
      <c r="B204" s="73"/>
      <c r="G204" s="24"/>
      <c r="H204" s="24"/>
    </row>
    <row r="205" spans="1:8" x14ac:dyDescent="0.35">
      <c r="A205" s="24" t="s">
        <v>794</v>
      </c>
      <c r="B205" s="73"/>
      <c r="G205" s="24"/>
      <c r="H205" s="24"/>
    </row>
    <row r="206" spans="1:8" x14ac:dyDescent="0.35">
      <c r="A206" s="24" t="s">
        <v>795</v>
      </c>
      <c r="B206" s="73"/>
      <c r="G206" s="24"/>
      <c r="H206" s="24"/>
    </row>
    <row r="207" spans="1:8" x14ac:dyDescent="0.35">
      <c r="A207" s="24" t="s">
        <v>796</v>
      </c>
      <c r="B207" s="73"/>
      <c r="G207" s="24"/>
      <c r="H207" s="24"/>
    </row>
    <row r="208" spans="1:8" x14ac:dyDescent="0.35">
      <c r="A208" s="24" t="s">
        <v>797</v>
      </c>
      <c r="B208" s="73"/>
      <c r="G208" s="24"/>
      <c r="H208" s="24"/>
    </row>
    <row r="209" spans="1:8" x14ac:dyDescent="0.35">
      <c r="A209" s="24" t="s">
        <v>798</v>
      </c>
      <c r="B209" s="73"/>
      <c r="G209" s="24"/>
      <c r="H209" s="24"/>
    </row>
    <row r="210" spans="1:8" x14ac:dyDescent="0.35">
      <c r="A210" s="24" t="s">
        <v>799</v>
      </c>
      <c r="B210" s="73"/>
      <c r="G210" s="24"/>
      <c r="H210" s="24"/>
    </row>
    <row r="211" spans="1:8" x14ac:dyDescent="0.35">
      <c r="A211" s="24" t="s">
        <v>800</v>
      </c>
      <c r="B211" s="73"/>
      <c r="G211" s="24"/>
      <c r="H211" s="24"/>
    </row>
    <row r="212" spans="1:8" x14ac:dyDescent="0.35">
      <c r="A212" s="24" t="s">
        <v>801</v>
      </c>
      <c r="B212" s="73"/>
      <c r="G212" s="24"/>
      <c r="H212" s="24"/>
    </row>
    <row r="213" spans="1:8" x14ac:dyDescent="0.35">
      <c r="A213" s="24" t="s">
        <v>802</v>
      </c>
      <c r="B213" s="73"/>
      <c r="G213" s="24"/>
      <c r="H213" s="24"/>
    </row>
    <row r="214" spans="1:8" x14ac:dyDescent="0.35">
      <c r="A214" s="24" t="s">
        <v>803</v>
      </c>
      <c r="B214" s="73"/>
      <c r="G214" s="24"/>
      <c r="H214" s="24"/>
    </row>
    <row r="215" spans="1:8" x14ac:dyDescent="0.35">
      <c r="A215" s="24" t="s">
        <v>804</v>
      </c>
      <c r="B215" s="73"/>
      <c r="G215" s="24"/>
      <c r="H215" s="24"/>
    </row>
    <row r="216" spans="1:8" x14ac:dyDescent="0.35">
      <c r="A216" s="24" t="s">
        <v>805</v>
      </c>
      <c r="B216" s="73"/>
      <c r="G216" s="24"/>
      <c r="H216" s="24"/>
    </row>
    <row r="217" spans="1:8" x14ac:dyDescent="0.35">
      <c r="A217" s="24" t="s">
        <v>806</v>
      </c>
      <c r="B217" s="73"/>
      <c r="G217" s="24"/>
      <c r="H217" s="24"/>
    </row>
    <row r="218" spans="1:8" x14ac:dyDescent="0.35">
      <c r="A218" s="24" t="s">
        <v>807</v>
      </c>
      <c r="B218" s="73"/>
      <c r="G218" s="24"/>
      <c r="H218" s="24"/>
    </row>
    <row r="219" spans="1:8" x14ac:dyDescent="0.35">
      <c r="A219" s="24" t="s">
        <v>808</v>
      </c>
      <c r="B219" s="73"/>
      <c r="G219" s="24"/>
      <c r="H219" s="24"/>
    </row>
    <row r="220" spans="1:8" x14ac:dyDescent="0.35">
      <c r="A220" s="24" t="s">
        <v>809</v>
      </c>
      <c r="B220" s="73"/>
      <c r="G220" s="24"/>
      <c r="H220" s="24"/>
    </row>
    <row r="221" spans="1:8" x14ac:dyDescent="0.35">
      <c r="A221" s="24" t="s">
        <v>810</v>
      </c>
      <c r="B221" s="73"/>
      <c r="G221" s="24"/>
      <c r="H221" s="24"/>
    </row>
    <row r="222" spans="1:8" x14ac:dyDescent="0.35">
      <c r="A222" s="24" t="s">
        <v>811</v>
      </c>
      <c r="B222" s="73"/>
      <c r="G222" s="24"/>
      <c r="H222" s="24"/>
    </row>
    <row r="223" spans="1:8" x14ac:dyDescent="0.35">
      <c r="A223" s="24" t="s">
        <v>812</v>
      </c>
      <c r="B223" s="73"/>
      <c r="G223" s="24"/>
      <c r="H223" s="24"/>
    </row>
    <row r="224" spans="1:8" x14ac:dyDescent="0.35">
      <c r="A224" s="24" t="s">
        <v>813</v>
      </c>
      <c r="B224" s="73"/>
      <c r="G224" s="24"/>
      <c r="H224" s="24"/>
    </row>
    <row r="225" spans="1:8" x14ac:dyDescent="0.35">
      <c r="A225" s="24" t="s">
        <v>814</v>
      </c>
      <c r="B225" s="73"/>
      <c r="G225" s="24"/>
      <c r="H225" s="24"/>
    </row>
    <row r="226" spans="1:8" x14ac:dyDescent="0.35">
      <c r="A226" s="24" t="s">
        <v>815</v>
      </c>
      <c r="B226" s="73"/>
      <c r="G226" s="24"/>
      <c r="H226" s="24"/>
    </row>
    <row r="227" spans="1:8" x14ac:dyDescent="0.35">
      <c r="A227" s="24" t="s">
        <v>816</v>
      </c>
      <c r="B227" s="73"/>
      <c r="G227" s="24"/>
      <c r="H227" s="24"/>
    </row>
    <row r="228" spans="1:8" x14ac:dyDescent="0.35">
      <c r="A228" s="24" t="s">
        <v>817</v>
      </c>
      <c r="B228" s="73"/>
      <c r="G228" s="24"/>
      <c r="H228" s="24"/>
    </row>
    <row r="229" spans="1:8" x14ac:dyDescent="0.35">
      <c r="A229" s="24" t="s">
        <v>818</v>
      </c>
      <c r="B229" s="73"/>
      <c r="G229" s="24"/>
      <c r="H229" s="24"/>
    </row>
    <row r="230" spans="1:8" x14ac:dyDescent="0.35">
      <c r="A230" s="24" t="s">
        <v>819</v>
      </c>
      <c r="B230" s="73"/>
      <c r="G230" s="24"/>
      <c r="H230" s="24"/>
    </row>
    <row r="231" spans="1:8" x14ac:dyDescent="0.35">
      <c r="A231" s="24" t="s">
        <v>820</v>
      </c>
      <c r="B231" s="73"/>
      <c r="G231" s="24"/>
      <c r="H231" s="24"/>
    </row>
    <row r="232" spans="1:8" x14ac:dyDescent="0.35">
      <c r="A232" s="24" t="s">
        <v>821</v>
      </c>
      <c r="B232" s="73"/>
      <c r="G232" s="24"/>
      <c r="H232" s="24"/>
    </row>
    <row r="233" spans="1:8" x14ac:dyDescent="0.35">
      <c r="A233" s="24" t="s">
        <v>822</v>
      </c>
      <c r="B233" s="73"/>
      <c r="G233" s="24"/>
      <c r="H233" s="24"/>
    </row>
    <row r="234" spans="1:8" x14ac:dyDescent="0.35">
      <c r="A234" s="24" t="s">
        <v>823</v>
      </c>
      <c r="B234" s="73"/>
      <c r="G234" s="24"/>
      <c r="H234" s="24"/>
    </row>
    <row r="235" spans="1:8" x14ac:dyDescent="0.35">
      <c r="A235" s="24" t="s">
        <v>824</v>
      </c>
      <c r="B235" s="73"/>
      <c r="G235" s="24"/>
      <c r="H235" s="24"/>
    </row>
    <row r="236" spans="1:8" x14ac:dyDescent="0.35">
      <c r="A236" s="24" t="s">
        <v>825</v>
      </c>
      <c r="B236" s="73"/>
      <c r="G236" s="24"/>
      <c r="H236" s="24"/>
    </row>
    <row r="237" spans="1:8" x14ac:dyDescent="0.35">
      <c r="A237" s="24" t="s">
        <v>826</v>
      </c>
      <c r="B237" s="73"/>
      <c r="G237" s="24"/>
      <c r="H237" s="24"/>
    </row>
    <row r="238" spans="1:8" x14ac:dyDescent="0.35">
      <c r="A238" s="24" t="s">
        <v>827</v>
      </c>
      <c r="B238" s="73"/>
      <c r="G238" s="24"/>
      <c r="H238" s="24"/>
    </row>
    <row r="239" spans="1:8" x14ac:dyDescent="0.35">
      <c r="A239" s="24" t="s">
        <v>828</v>
      </c>
      <c r="B239" s="73"/>
      <c r="G239" s="24"/>
      <c r="H239" s="24"/>
    </row>
    <row r="240" spans="1:8" x14ac:dyDescent="0.35">
      <c r="A240" s="24" t="s">
        <v>829</v>
      </c>
      <c r="B240" s="73"/>
      <c r="G240" s="24"/>
      <c r="H240" s="24"/>
    </row>
    <row r="241" spans="1:8" x14ac:dyDescent="0.35">
      <c r="A241" s="24" t="s">
        <v>830</v>
      </c>
      <c r="B241" s="73"/>
      <c r="G241" s="24"/>
      <c r="H241" s="24"/>
    </row>
    <row r="242" spans="1:8" x14ac:dyDescent="0.35">
      <c r="A242" s="24" t="s">
        <v>831</v>
      </c>
      <c r="B242" s="73"/>
      <c r="G242" s="24"/>
      <c r="H242" s="24"/>
    </row>
    <row r="243" spans="1:8" x14ac:dyDescent="0.35">
      <c r="A243" s="24" t="s">
        <v>832</v>
      </c>
      <c r="B243" s="73"/>
      <c r="G243" s="24"/>
      <c r="H243" s="24"/>
    </row>
    <row r="244" spans="1:8" x14ac:dyDescent="0.35">
      <c r="A244" s="24" t="s">
        <v>833</v>
      </c>
      <c r="B244" s="73"/>
      <c r="G244" s="24"/>
      <c r="H244" s="24"/>
    </row>
    <row r="245" spans="1:8" x14ac:dyDescent="0.35">
      <c r="A245" s="24" t="s">
        <v>834</v>
      </c>
      <c r="B245" s="73"/>
      <c r="G245" s="24"/>
      <c r="H245" s="24"/>
    </row>
    <row r="246" spans="1:8" x14ac:dyDescent="0.35">
      <c r="A246" s="24" t="s">
        <v>835</v>
      </c>
      <c r="B246" s="73"/>
      <c r="G246" s="24"/>
      <c r="H246" s="24"/>
    </row>
    <row r="247" spans="1:8" x14ac:dyDescent="0.35">
      <c r="A247" s="24" t="s">
        <v>836</v>
      </c>
      <c r="B247" s="73"/>
      <c r="G247" s="24"/>
      <c r="H247" s="24"/>
    </row>
    <row r="248" spans="1:8" x14ac:dyDescent="0.35">
      <c r="A248" s="24" t="s">
        <v>837</v>
      </c>
      <c r="B248" s="73"/>
      <c r="G248" s="24"/>
      <c r="H248" s="24"/>
    </row>
    <row r="249" spans="1:8" x14ac:dyDescent="0.35">
      <c r="A249" s="24" t="s">
        <v>838</v>
      </c>
      <c r="B249" s="73"/>
      <c r="G249" s="24"/>
      <c r="H249" s="24"/>
    </row>
    <row r="250" spans="1:8" x14ac:dyDescent="0.35">
      <c r="A250" s="24" t="s">
        <v>839</v>
      </c>
      <c r="B250" s="73"/>
      <c r="G250" s="24"/>
      <c r="H250" s="24"/>
    </row>
    <row r="251" spans="1:8" x14ac:dyDescent="0.35">
      <c r="A251" s="24" t="s">
        <v>840</v>
      </c>
      <c r="B251" s="73"/>
      <c r="G251" s="24"/>
      <c r="H251" s="24"/>
    </row>
    <row r="252" spans="1:8" x14ac:dyDescent="0.35">
      <c r="A252" s="24" t="s">
        <v>841</v>
      </c>
      <c r="B252" s="73"/>
      <c r="G252" s="24"/>
      <c r="H252" s="24"/>
    </row>
    <row r="253" spans="1:8" x14ac:dyDescent="0.35">
      <c r="A253" s="24" t="s">
        <v>842</v>
      </c>
      <c r="B253" s="73"/>
      <c r="G253" s="24"/>
      <c r="H253" s="24"/>
    </row>
    <row r="254" spans="1:8" x14ac:dyDescent="0.35">
      <c r="A254" s="24" t="s">
        <v>843</v>
      </c>
      <c r="B254" s="73"/>
      <c r="G254" s="24"/>
      <c r="H254" s="24"/>
    </row>
    <row r="255" spans="1:8" x14ac:dyDescent="0.35">
      <c r="A255" s="24" t="s">
        <v>844</v>
      </c>
      <c r="B255" s="73"/>
      <c r="G255" s="24"/>
      <c r="H255" s="24"/>
    </row>
    <row r="256" spans="1:8" x14ac:dyDescent="0.35">
      <c r="A256" s="24" t="s">
        <v>424</v>
      </c>
      <c r="B256" s="73"/>
      <c r="G256" s="24"/>
      <c r="H256" s="24"/>
    </row>
    <row r="257" spans="1:8" x14ac:dyDescent="0.35">
      <c r="A257" s="24" t="s">
        <v>425</v>
      </c>
      <c r="B257" s="73"/>
      <c r="G257" s="24"/>
      <c r="H257" s="24"/>
    </row>
    <row r="258" spans="1:8" x14ac:dyDescent="0.35">
      <c r="A258" s="24" t="s">
        <v>426</v>
      </c>
      <c r="B258" s="73"/>
      <c r="G258" s="24"/>
      <c r="H258" s="24"/>
    </row>
    <row r="259" spans="1:8" x14ac:dyDescent="0.35">
      <c r="A259" s="24" t="s">
        <v>427</v>
      </c>
      <c r="B259" s="73"/>
      <c r="G259" s="24"/>
      <c r="H259" s="24"/>
    </row>
    <row r="260" spans="1:8" x14ac:dyDescent="0.35">
      <c r="A260" s="24" t="s">
        <v>428</v>
      </c>
      <c r="B260" s="73"/>
      <c r="G260" s="24"/>
      <c r="H260" s="24"/>
    </row>
    <row r="261" spans="1:8" x14ac:dyDescent="0.35">
      <c r="A261" s="24" t="s">
        <v>429</v>
      </c>
      <c r="B261" s="73"/>
      <c r="G261" s="24"/>
      <c r="H261" s="24"/>
    </row>
    <row r="262" spans="1:8" x14ac:dyDescent="0.35">
      <c r="A262" s="24" t="s">
        <v>430</v>
      </c>
      <c r="B262" s="73"/>
      <c r="G262" s="24"/>
      <c r="H262" s="24"/>
    </row>
    <row r="263" spans="1:8" x14ac:dyDescent="0.35">
      <c r="A263" s="24" t="s">
        <v>431</v>
      </c>
      <c r="B263" s="73"/>
      <c r="G263" s="24"/>
      <c r="H263" s="24"/>
    </row>
    <row r="264" spans="1:8" x14ac:dyDescent="0.35">
      <c r="A264" s="24" t="s">
        <v>432</v>
      </c>
      <c r="B264" s="73"/>
      <c r="G264" s="24"/>
      <c r="H264" s="24"/>
    </row>
    <row r="265" spans="1:8" x14ac:dyDescent="0.35">
      <c r="A265" s="24" t="s">
        <v>1062</v>
      </c>
      <c r="B265" s="73"/>
      <c r="G265" s="24"/>
      <c r="H265" s="24"/>
    </row>
    <row r="266" spans="1:8" x14ac:dyDescent="0.35">
      <c r="A266" s="24" t="s">
        <v>254</v>
      </c>
      <c r="B266" s="73"/>
      <c r="G266" s="24"/>
      <c r="H266" s="24"/>
    </row>
    <row r="267" spans="1:8" x14ac:dyDescent="0.35">
      <c r="A267" s="24" t="s">
        <v>263</v>
      </c>
      <c r="B267" s="73"/>
      <c r="G267" s="24"/>
      <c r="H267" s="24"/>
    </row>
    <row r="268" spans="1:8" x14ac:dyDescent="0.35">
      <c r="A268" s="24" t="s">
        <v>264</v>
      </c>
      <c r="B268" s="73"/>
      <c r="G268" s="24"/>
      <c r="H268" s="24"/>
    </row>
    <row r="269" spans="1:8" x14ac:dyDescent="0.35">
      <c r="A269" s="24" t="s">
        <v>265</v>
      </c>
      <c r="B269" s="73"/>
      <c r="G269" s="24"/>
      <c r="H269" s="24"/>
    </row>
    <row r="270" spans="1:8" x14ac:dyDescent="0.35">
      <c r="A270" s="24" t="s">
        <v>266</v>
      </c>
      <c r="B270" s="73"/>
      <c r="G270" s="24"/>
      <c r="H270" s="24"/>
    </row>
    <row r="271" spans="1:8" x14ac:dyDescent="0.35">
      <c r="A271" s="24" t="s">
        <v>267</v>
      </c>
      <c r="B271" s="73"/>
      <c r="G271" s="24"/>
      <c r="H271" s="24"/>
    </row>
    <row r="272" spans="1:8" x14ac:dyDescent="0.35">
      <c r="A272" s="24" t="s">
        <v>268</v>
      </c>
      <c r="B272" s="73"/>
      <c r="G272" s="24"/>
      <c r="H272" s="24"/>
    </row>
    <row r="273" spans="1:8" x14ac:dyDescent="0.35">
      <c r="A273" s="24" t="s">
        <v>269</v>
      </c>
      <c r="B273" s="73"/>
      <c r="G273" s="24"/>
      <c r="H273" s="24"/>
    </row>
    <row r="274" spans="1:8" x14ac:dyDescent="0.35">
      <c r="A274" s="24" t="s">
        <v>1063</v>
      </c>
      <c r="B274" s="73"/>
      <c r="G274" s="24"/>
      <c r="H274" s="24"/>
    </row>
    <row r="275" spans="1:8" x14ac:dyDescent="0.35">
      <c r="A275" s="24" t="s">
        <v>1064</v>
      </c>
      <c r="B275" s="73"/>
      <c r="G275" s="24"/>
      <c r="H275" s="24"/>
    </row>
    <row r="276" spans="1:8" x14ac:dyDescent="0.35">
      <c r="A276" s="24" t="s">
        <v>1065</v>
      </c>
      <c r="B276" s="73"/>
      <c r="G276" s="24"/>
      <c r="H276" s="24"/>
    </row>
    <row r="277" spans="1:8" x14ac:dyDescent="0.35">
      <c r="A277" s="24" t="s">
        <v>1066</v>
      </c>
      <c r="B277" s="73"/>
      <c r="G277" s="24"/>
      <c r="H277" s="24"/>
    </row>
    <row r="278" spans="1:8" x14ac:dyDescent="0.35">
      <c r="A278" s="24" t="s">
        <v>1067</v>
      </c>
      <c r="B278" s="73"/>
      <c r="G278" s="24"/>
      <c r="H278" s="24"/>
    </row>
    <row r="279" spans="1:8" x14ac:dyDescent="0.35">
      <c r="A279" s="24" t="s">
        <v>1068</v>
      </c>
      <c r="B279" s="73"/>
      <c r="G279" s="24"/>
      <c r="H279" s="24"/>
    </row>
    <row r="280" spans="1:8" x14ac:dyDescent="0.35">
      <c r="A280" s="24" t="s">
        <v>250</v>
      </c>
      <c r="B280" s="73"/>
      <c r="G280" s="24"/>
      <c r="H280" s="24"/>
    </row>
    <row r="281" spans="1:8" x14ac:dyDescent="0.35">
      <c r="A281" s="24" t="s">
        <v>251</v>
      </c>
      <c r="B281" s="73"/>
      <c r="G281" s="24"/>
      <c r="H281" s="24"/>
    </row>
    <row r="282" spans="1:8" x14ac:dyDescent="0.35">
      <c r="A282" s="24" t="s">
        <v>252</v>
      </c>
      <c r="B282" s="73"/>
      <c r="G282" s="24"/>
      <c r="H282" s="24"/>
    </row>
    <row r="283" spans="1:8" x14ac:dyDescent="0.35">
      <c r="A283" s="24" t="s">
        <v>253</v>
      </c>
      <c r="B283" s="73"/>
      <c r="G283" s="24"/>
      <c r="H283" s="24"/>
    </row>
    <row r="284" spans="1:8" x14ac:dyDescent="0.35">
      <c r="A284" s="24" t="s">
        <v>255</v>
      </c>
      <c r="B284" s="73"/>
      <c r="G284" s="24"/>
      <c r="H284" s="24"/>
    </row>
    <row r="285" spans="1:8" x14ac:dyDescent="0.35">
      <c r="A285" s="24" t="s">
        <v>256</v>
      </c>
      <c r="B285" s="73"/>
      <c r="G285" s="24"/>
      <c r="H285" s="24"/>
    </row>
    <row r="286" spans="1:8" x14ac:dyDescent="0.35">
      <c r="A286" s="24" t="s">
        <v>257</v>
      </c>
      <c r="B286" s="73"/>
      <c r="G286" s="24"/>
      <c r="H286" s="24"/>
    </row>
    <row r="287" spans="1:8" x14ac:dyDescent="0.35">
      <c r="A287" s="24" t="s">
        <v>258</v>
      </c>
      <c r="B287" s="73"/>
      <c r="G287" s="24"/>
      <c r="H287" s="24"/>
    </row>
    <row r="288" spans="1:8" x14ac:dyDescent="0.35">
      <c r="A288" s="24" t="s">
        <v>259</v>
      </c>
      <c r="B288" s="73"/>
      <c r="G288" s="24"/>
      <c r="H288" s="24"/>
    </row>
    <row r="289" spans="1:8" x14ac:dyDescent="0.35">
      <c r="A289" s="24" t="s">
        <v>260</v>
      </c>
      <c r="B289" s="73"/>
      <c r="G289" s="24"/>
      <c r="H289" s="24"/>
    </row>
    <row r="290" spans="1:8" x14ac:dyDescent="0.35">
      <c r="A290" s="24" t="s">
        <v>261</v>
      </c>
      <c r="B290" s="73"/>
      <c r="G290" s="24"/>
      <c r="H290" s="24"/>
    </row>
    <row r="291" spans="1:8" x14ac:dyDescent="0.35">
      <c r="A291" s="24" t="s">
        <v>262</v>
      </c>
      <c r="B291" s="73"/>
      <c r="G291" s="24"/>
      <c r="H291" s="24"/>
    </row>
    <row r="292" spans="1:8" x14ac:dyDescent="0.35">
      <c r="A292" s="24" t="s">
        <v>309</v>
      </c>
      <c r="B292" s="73"/>
      <c r="G292" s="24"/>
      <c r="H292" s="24"/>
    </row>
    <row r="293" spans="1:8" x14ac:dyDescent="0.35">
      <c r="A293" s="24" t="s">
        <v>319</v>
      </c>
      <c r="B293" s="73"/>
      <c r="G293" s="24"/>
      <c r="H293" s="24"/>
    </row>
    <row r="294" spans="1:8" x14ac:dyDescent="0.35">
      <c r="A294" s="24" t="s">
        <v>320</v>
      </c>
      <c r="B294" s="73"/>
      <c r="G294" s="24"/>
      <c r="H294" s="24"/>
    </row>
    <row r="295" spans="1:8" x14ac:dyDescent="0.35">
      <c r="A295" s="24" t="s">
        <v>321</v>
      </c>
      <c r="B295" s="73"/>
      <c r="G295" s="24"/>
      <c r="H295" s="24"/>
    </row>
    <row r="296" spans="1:8" x14ac:dyDescent="0.35">
      <c r="A296" s="24" t="s">
        <v>322</v>
      </c>
      <c r="B296" s="73"/>
      <c r="G296" s="24"/>
      <c r="H296" s="24"/>
    </row>
    <row r="297" spans="1:8" x14ac:dyDescent="0.35">
      <c r="A297" s="24" t="s">
        <v>323</v>
      </c>
      <c r="B297" s="73"/>
      <c r="G297" s="24"/>
      <c r="H297" s="24"/>
    </row>
    <row r="298" spans="1:8" x14ac:dyDescent="0.35">
      <c r="A298" s="24" t="s">
        <v>324</v>
      </c>
      <c r="B298" s="73"/>
      <c r="G298" s="24"/>
      <c r="H298" s="24"/>
    </row>
    <row r="299" spans="1:8" x14ac:dyDescent="0.35">
      <c r="A299" s="24" t="s">
        <v>325</v>
      </c>
      <c r="B299" s="73"/>
      <c r="G299" s="24"/>
      <c r="H299" s="24"/>
    </row>
    <row r="300" spans="1:8" x14ac:dyDescent="0.35">
      <c r="A300" s="24" t="s">
        <v>326</v>
      </c>
      <c r="B300" s="73"/>
      <c r="G300" s="24"/>
      <c r="H300" s="24"/>
    </row>
    <row r="301" spans="1:8" x14ac:dyDescent="0.35">
      <c r="A301" s="24" t="s">
        <v>310</v>
      </c>
      <c r="B301" s="73"/>
      <c r="G301" s="24"/>
      <c r="H301" s="24"/>
    </row>
    <row r="302" spans="1:8" x14ac:dyDescent="0.35">
      <c r="A302" s="24" t="s">
        <v>311</v>
      </c>
      <c r="B302" s="73"/>
      <c r="G302" s="24"/>
      <c r="H302" s="24"/>
    </row>
    <row r="303" spans="1:8" x14ac:dyDescent="0.35">
      <c r="A303" s="24" t="s">
        <v>312</v>
      </c>
      <c r="B303" s="73"/>
      <c r="G303" s="24"/>
      <c r="H303" s="24"/>
    </row>
    <row r="304" spans="1:8" x14ac:dyDescent="0.35">
      <c r="A304" s="24" t="s">
        <v>313</v>
      </c>
      <c r="B304" s="73"/>
      <c r="G304" s="24"/>
      <c r="H304" s="24"/>
    </row>
    <row r="305" spans="1:8" x14ac:dyDescent="0.35">
      <c r="A305" s="24" t="s">
        <v>314</v>
      </c>
      <c r="B305" s="73"/>
      <c r="G305" s="24"/>
      <c r="H305" s="24"/>
    </row>
    <row r="306" spans="1:8" x14ac:dyDescent="0.35">
      <c r="A306" s="24" t="s">
        <v>315</v>
      </c>
      <c r="B306" s="73"/>
      <c r="G306" s="24"/>
      <c r="H306" s="24"/>
    </row>
    <row r="307" spans="1:8" x14ac:dyDescent="0.35">
      <c r="A307" s="24" t="s">
        <v>316</v>
      </c>
      <c r="B307" s="73"/>
      <c r="G307" s="24"/>
      <c r="H307" s="24"/>
    </row>
    <row r="308" spans="1:8" x14ac:dyDescent="0.35">
      <c r="A308" s="24" t="s">
        <v>317</v>
      </c>
      <c r="B308" s="73"/>
      <c r="G308" s="24"/>
      <c r="H308" s="24"/>
    </row>
    <row r="309" spans="1:8" x14ac:dyDescent="0.35">
      <c r="A309" s="24" t="s">
        <v>318</v>
      </c>
      <c r="B309" s="73"/>
      <c r="G309" s="24"/>
      <c r="H309" s="24"/>
    </row>
    <row r="310" spans="1:8" x14ac:dyDescent="0.35">
      <c r="A310" s="24" t="s">
        <v>270</v>
      </c>
      <c r="B310" s="73"/>
      <c r="G310" s="24"/>
      <c r="H310" s="24"/>
    </row>
    <row r="311" spans="1:8" x14ac:dyDescent="0.35">
      <c r="A311" s="24" t="s">
        <v>271</v>
      </c>
      <c r="B311" s="73"/>
      <c r="G311" s="24"/>
      <c r="H311" s="24"/>
    </row>
    <row r="312" spans="1:8" x14ac:dyDescent="0.35">
      <c r="A312" s="24" t="s">
        <v>272</v>
      </c>
      <c r="B312" s="73"/>
      <c r="G312" s="24"/>
      <c r="H312" s="24"/>
    </row>
    <row r="313" spans="1:8" x14ac:dyDescent="0.35">
      <c r="A313" s="24" t="s">
        <v>273</v>
      </c>
      <c r="B313" s="73"/>
      <c r="G313" s="24"/>
      <c r="H313" s="24"/>
    </row>
    <row r="314" spans="1:8" x14ac:dyDescent="0.35">
      <c r="A314" s="24" t="s">
        <v>274</v>
      </c>
      <c r="B314" s="73"/>
      <c r="G314" s="24"/>
      <c r="H314" s="24"/>
    </row>
    <row r="315" spans="1:8" x14ac:dyDescent="0.35">
      <c r="A315" s="24" t="s">
        <v>275</v>
      </c>
      <c r="B315" s="73"/>
      <c r="G315" s="24"/>
      <c r="H315" s="24"/>
    </row>
    <row r="316" spans="1:8" x14ac:dyDescent="0.35">
      <c r="A316" s="24" t="s">
        <v>276</v>
      </c>
      <c r="B316" s="73"/>
      <c r="G316" s="24"/>
      <c r="H316" s="24"/>
    </row>
    <row r="317" spans="1:8" x14ac:dyDescent="0.35">
      <c r="A317" s="24" t="s">
        <v>277</v>
      </c>
      <c r="B317" s="73"/>
      <c r="G317" s="24"/>
      <c r="H317" s="24"/>
    </row>
    <row r="318" spans="1:8" x14ac:dyDescent="0.35">
      <c r="A318" s="24" t="s">
        <v>710</v>
      </c>
      <c r="B318" s="73"/>
      <c r="G318" s="24"/>
      <c r="H318" s="24"/>
    </row>
    <row r="319" spans="1:8" x14ac:dyDescent="0.35">
      <c r="A319" s="24" t="s">
        <v>0</v>
      </c>
      <c r="B319" s="73"/>
      <c r="G319" s="24"/>
      <c r="H319" s="24"/>
    </row>
    <row r="320" spans="1:8" x14ac:dyDescent="0.35">
      <c r="A320" s="24" t="s">
        <v>10</v>
      </c>
      <c r="B320" s="73"/>
      <c r="G320" s="24"/>
      <c r="H320" s="24"/>
    </row>
    <row r="321" spans="1:8" x14ac:dyDescent="0.35">
      <c r="A321" s="24" t="s">
        <v>11</v>
      </c>
      <c r="B321" s="73"/>
      <c r="G321" s="24"/>
      <c r="H321" s="24"/>
    </row>
    <row r="322" spans="1:8" x14ac:dyDescent="0.35">
      <c r="A322" s="24" t="s">
        <v>12</v>
      </c>
      <c r="B322" s="73"/>
      <c r="G322" s="24"/>
      <c r="H322" s="24"/>
    </row>
    <row r="323" spans="1:8" x14ac:dyDescent="0.35">
      <c r="A323" s="24" t="s">
        <v>13</v>
      </c>
      <c r="B323" s="73"/>
      <c r="G323" s="24"/>
      <c r="H323" s="24"/>
    </row>
    <row r="324" spans="1:8" x14ac:dyDescent="0.35">
      <c r="A324" s="24" t="s">
        <v>14</v>
      </c>
      <c r="B324" s="73"/>
      <c r="G324" s="24"/>
      <c r="H324" s="24"/>
    </row>
    <row r="325" spans="1:8" x14ac:dyDescent="0.35">
      <c r="A325" s="24" t="s">
        <v>15</v>
      </c>
      <c r="B325" s="73"/>
      <c r="G325" s="24"/>
      <c r="H325" s="24"/>
    </row>
    <row r="326" spans="1:8" x14ac:dyDescent="0.35">
      <c r="A326" s="24" t="s">
        <v>16</v>
      </c>
      <c r="B326" s="73"/>
      <c r="G326" s="24"/>
      <c r="H326" s="24"/>
    </row>
    <row r="327" spans="1:8" x14ac:dyDescent="0.35">
      <c r="A327" s="24" t="s">
        <v>17</v>
      </c>
      <c r="B327" s="73"/>
      <c r="G327" s="24"/>
      <c r="H327" s="24"/>
    </row>
    <row r="328" spans="1:8" x14ac:dyDescent="0.35">
      <c r="A328" s="24" t="s">
        <v>1</v>
      </c>
      <c r="B328" s="73"/>
      <c r="G328" s="24"/>
      <c r="H328" s="24"/>
    </row>
    <row r="329" spans="1:8" x14ac:dyDescent="0.35">
      <c r="A329" s="24" t="s">
        <v>2</v>
      </c>
      <c r="B329" s="73"/>
      <c r="G329" s="24"/>
      <c r="H329" s="24"/>
    </row>
    <row r="330" spans="1:8" x14ac:dyDescent="0.35">
      <c r="A330" s="24" t="s">
        <v>3</v>
      </c>
      <c r="B330" s="73"/>
      <c r="G330" s="24"/>
      <c r="H330" s="24"/>
    </row>
    <row r="331" spans="1:8" x14ac:dyDescent="0.35">
      <c r="A331" s="24" t="s">
        <v>4</v>
      </c>
      <c r="B331" s="73"/>
      <c r="G331" s="24"/>
      <c r="H331" s="24"/>
    </row>
    <row r="332" spans="1:8" x14ac:dyDescent="0.35">
      <c r="A332" s="24" t="s">
        <v>5</v>
      </c>
      <c r="B332" s="73"/>
      <c r="G332" s="24"/>
      <c r="H332" s="24"/>
    </row>
    <row r="333" spans="1:8" x14ac:dyDescent="0.35">
      <c r="A333" s="24" t="s">
        <v>6</v>
      </c>
      <c r="B333" s="73"/>
      <c r="G333" s="24"/>
      <c r="H333" s="24"/>
    </row>
    <row r="334" spans="1:8" x14ac:dyDescent="0.35">
      <c r="A334" s="24" t="s">
        <v>7</v>
      </c>
      <c r="B334" s="73"/>
      <c r="G334" s="24"/>
      <c r="H334" s="24"/>
    </row>
    <row r="335" spans="1:8" x14ac:dyDescent="0.35">
      <c r="A335" s="24" t="s">
        <v>8</v>
      </c>
      <c r="B335" s="73"/>
      <c r="G335" s="24"/>
      <c r="H335" s="24"/>
    </row>
    <row r="336" spans="1:8" x14ac:dyDescent="0.35">
      <c r="A336" s="24" t="s">
        <v>9</v>
      </c>
      <c r="B336" s="73"/>
      <c r="G336" s="24"/>
      <c r="H336" s="24"/>
    </row>
    <row r="337" spans="1:8" x14ac:dyDescent="0.35">
      <c r="A337" s="24" t="s">
        <v>711</v>
      </c>
      <c r="B337" s="73"/>
      <c r="G337" s="24"/>
      <c r="H337" s="24"/>
    </row>
    <row r="338" spans="1:8" x14ac:dyDescent="0.35">
      <c r="A338" s="24" t="s">
        <v>712</v>
      </c>
      <c r="B338" s="73"/>
      <c r="G338" s="24"/>
      <c r="H338" s="24"/>
    </row>
    <row r="339" spans="1:8" x14ac:dyDescent="0.35">
      <c r="A339" s="24" t="s">
        <v>713</v>
      </c>
      <c r="B339" s="73"/>
      <c r="G339" s="24"/>
      <c r="H339" s="24"/>
    </row>
    <row r="340" spans="1:8" x14ac:dyDescent="0.35">
      <c r="A340" s="24" t="s">
        <v>714</v>
      </c>
      <c r="B340" s="73"/>
      <c r="G340" s="24"/>
      <c r="H340" s="24"/>
    </row>
    <row r="341" spans="1:8" x14ac:dyDescent="0.35">
      <c r="A341" s="24" t="s">
        <v>715</v>
      </c>
      <c r="B341" s="73"/>
      <c r="G341" s="24"/>
      <c r="H341" s="24"/>
    </row>
    <row r="342" spans="1:8" x14ac:dyDescent="0.35">
      <c r="A342" s="24" t="s">
        <v>716</v>
      </c>
      <c r="B342" s="73"/>
      <c r="G342" s="24"/>
      <c r="H342" s="24"/>
    </row>
    <row r="343" spans="1:8" x14ac:dyDescent="0.35">
      <c r="A343" s="24" t="s">
        <v>717</v>
      </c>
      <c r="B343" s="73"/>
      <c r="G343" s="24"/>
      <c r="H343" s="24"/>
    </row>
    <row r="344" spans="1:8" x14ac:dyDescent="0.35">
      <c r="A344" s="24" t="s">
        <v>718</v>
      </c>
      <c r="B344" s="73"/>
      <c r="G344" s="24"/>
      <c r="H344" s="24"/>
    </row>
    <row r="345" spans="1:8" x14ac:dyDescent="0.35">
      <c r="A345" s="24" t="s">
        <v>719</v>
      </c>
      <c r="B345" s="73"/>
      <c r="G345" s="24"/>
      <c r="H345" s="24"/>
    </row>
    <row r="346" spans="1:8" x14ac:dyDescent="0.35">
      <c r="A346" s="24" t="s">
        <v>407</v>
      </c>
      <c r="B346" s="73">
        <v>80</v>
      </c>
      <c r="C346" s="73">
        <v>80</v>
      </c>
      <c r="G346" s="24"/>
      <c r="H346" s="24"/>
    </row>
    <row r="347" spans="1:8" x14ac:dyDescent="0.35">
      <c r="A347" s="24" t="s">
        <v>1045</v>
      </c>
      <c r="B347" s="73">
        <v>0</v>
      </c>
      <c r="C347" s="73">
        <v>0</v>
      </c>
      <c r="G347" s="24"/>
      <c r="H347" s="24"/>
    </row>
    <row r="348" spans="1:8" x14ac:dyDescent="0.35">
      <c r="A348" s="24" t="s">
        <v>137</v>
      </c>
      <c r="B348" s="73"/>
      <c r="G348" s="24"/>
      <c r="H348" s="24"/>
    </row>
    <row r="349" spans="1:8" x14ac:dyDescent="0.35">
      <c r="A349" s="24" t="s">
        <v>138</v>
      </c>
      <c r="B349" s="73"/>
      <c r="G349" s="24"/>
      <c r="H349" s="24"/>
    </row>
    <row r="350" spans="1:8" x14ac:dyDescent="0.35">
      <c r="A350" s="24" t="s">
        <v>491</v>
      </c>
      <c r="B350" s="73"/>
      <c r="G350" s="24"/>
      <c r="H350" s="24"/>
    </row>
    <row r="351" spans="1:8" x14ac:dyDescent="0.35">
      <c r="A351" s="24" t="s">
        <v>469</v>
      </c>
      <c r="B351" s="73"/>
      <c r="G351" s="24"/>
      <c r="H351" s="24"/>
    </row>
    <row r="352" spans="1:8" x14ac:dyDescent="0.35">
      <c r="A352" s="24" t="s">
        <v>470</v>
      </c>
      <c r="B352" s="73"/>
      <c r="G352" s="24"/>
      <c r="H352" s="24"/>
    </row>
    <row r="353" spans="1:8" x14ac:dyDescent="0.35">
      <c r="A353" s="24" t="s">
        <v>471</v>
      </c>
      <c r="B353" s="73"/>
      <c r="G353" s="24"/>
      <c r="H353" s="24"/>
    </row>
    <row r="354" spans="1:8" x14ac:dyDescent="0.35">
      <c r="A354" s="24" t="s">
        <v>220</v>
      </c>
      <c r="B354" s="73"/>
      <c r="G354" s="24"/>
      <c r="H354" s="24"/>
    </row>
    <row r="355" spans="1:8" x14ac:dyDescent="0.35">
      <c r="A355" s="24" t="s">
        <v>221</v>
      </c>
      <c r="B355" s="73"/>
      <c r="G355" s="24"/>
      <c r="H355" s="24"/>
    </row>
    <row r="356" spans="1:8" x14ac:dyDescent="0.35">
      <c r="A356" s="24" t="s">
        <v>222</v>
      </c>
      <c r="B356" s="73"/>
      <c r="G356" s="24"/>
      <c r="H356" s="24"/>
    </row>
    <row r="357" spans="1:8" x14ac:dyDescent="0.35">
      <c r="A357" s="24" t="s">
        <v>1017</v>
      </c>
      <c r="B357" s="73"/>
      <c r="G357" s="24"/>
      <c r="H357" s="24"/>
    </row>
    <row r="358" spans="1:8" x14ac:dyDescent="0.35">
      <c r="A358" s="24" t="s">
        <v>1018</v>
      </c>
      <c r="B358" s="73"/>
      <c r="G358" s="24"/>
      <c r="H358" s="24"/>
    </row>
    <row r="359" spans="1:8" x14ac:dyDescent="0.35">
      <c r="A359" s="24" t="s">
        <v>1019</v>
      </c>
      <c r="B359" s="73"/>
      <c r="G359" s="24"/>
      <c r="H359" s="24"/>
    </row>
    <row r="360" spans="1:8" x14ac:dyDescent="0.35">
      <c r="A360" s="24" t="s">
        <v>1020</v>
      </c>
      <c r="B360" s="73"/>
      <c r="G360" s="24"/>
      <c r="H360" s="24"/>
    </row>
    <row r="361" spans="1:8" x14ac:dyDescent="0.35">
      <c r="A361" s="24" t="s">
        <v>1021</v>
      </c>
      <c r="B361" s="73"/>
      <c r="G361" s="24"/>
      <c r="H361" s="24"/>
    </row>
    <row r="362" spans="1:8" x14ac:dyDescent="0.35">
      <c r="A362" s="24" t="s">
        <v>770</v>
      </c>
      <c r="B362" s="73"/>
      <c r="G362" s="24"/>
      <c r="H362" s="24"/>
    </row>
    <row r="363" spans="1:8" x14ac:dyDescent="0.35">
      <c r="A363" s="24" t="s">
        <v>771</v>
      </c>
      <c r="B363" s="73"/>
      <c r="G363" s="24"/>
      <c r="H363" s="24"/>
    </row>
    <row r="364" spans="1:8" x14ac:dyDescent="0.35">
      <c r="A364" s="24" t="s">
        <v>772</v>
      </c>
      <c r="B364" s="73"/>
      <c r="G364" s="24"/>
      <c r="H364" s="24"/>
    </row>
    <row r="365" spans="1:8" x14ac:dyDescent="0.35">
      <c r="A365" s="24" t="s">
        <v>773</v>
      </c>
      <c r="B365" s="73"/>
      <c r="G365" s="24"/>
      <c r="H365" s="24"/>
    </row>
    <row r="366" spans="1:8" x14ac:dyDescent="0.35">
      <c r="A366" s="24" t="s">
        <v>911</v>
      </c>
      <c r="B366" s="73"/>
      <c r="G366" s="24"/>
      <c r="H366" s="24"/>
    </row>
    <row r="367" spans="1:8" x14ac:dyDescent="0.35">
      <c r="A367" s="24" t="s">
        <v>912</v>
      </c>
      <c r="B367" s="73"/>
      <c r="G367" s="24"/>
      <c r="H367" s="24"/>
    </row>
    <row r="368" spans="1:8" x14ac:dyDescent="0.35">
      <c r="A368" s="24" t="s">
        <v>472</v>
      </c>
      <c r="B368" s="73"/>
      <c r="G368" s="24"/>
      <c r="H368" s="24"/>
    </row>
    <row r="369" spans="1:8" x14ac:dyDescent="0.35">
      <c r="A369" s="24" t="s">
        <v>473</v>
      </c>
      <c r="B369" s="73"/>
      <c r="G369" s="24"/>
      <c r="H369" s="24"/>
    </row>
    <row r="370" spans="1:8" x14ac:dyDescent="0.35">
      <c r="A370" s="24" t="s">
        <v>474</v>
      </c>
      <c r="B370" s="73"/>
      <c r="G370" s="24"/>
      <c r="H370" s="24"/>
    </row>
    <row r="371" spans="1:8" x14ac:dyDescent="0.35">
      <c r="A371" s="24" t="s">
        <v>475</v>
      </c>
      <c r="B371" s="73"/>
      <c r="G371" s="24"/>
      <c r="H371" s="24"/>
    </row>
    <row r="372" spans="1:8" x14ac:dyDescent="0.35">
      <c r="A372" s="24" t="s">
        <v>476</v>
      </c>
      <c r="B372" s="73"/>
      <c r="G372" s="24"/>
      <c r="H372" s="24"/>
    </row>
    <row r="373" spans="1:8" x14ac:dyDescent="0.35">
      <c r="A373" s="24" t="s">
        <v>477</v>
      </c>
      <c r="B373" s="73"/>
      <c r="G373" s="24"/>
      <c r="H373" s="24"/>
    </row>
    <row r="374" spans="1:8" x14ac:dyDescent="0.35">
      <c r="A374" s="24" t="s">
        <v>1022</v>
      </c>
      <c r="B374" s="73"/>
      <c r="G374" s="24"/>
      <c r="H374" s="24"/>
    </row>
    <row r="375" spans="1:8" x14ac:dyDescent="0.35">
      <c r="A375" s="24" t="s">
        <v>1023</v>
      </c>
      <c r="B375" s="73"/>
      <c r="G375" s="24"/>
      <c r="H375" s="24"/>
    </row>
    <row r="376" spans="1:8" x14ac:dyDescent="0.35">
      <c r="A376" s="24" t="s">
        <v>1024</v>
      </c>
      <c r="B376" s="73"/>
      <c r="G376" s="24"/>
      <c r="H376" s="24"/>
    </row>
    <row r="377" spans="1:8" x14ac:dyDescent="0.35">
      <c r="A377" s="24" t="s">
        <v>1025</v>
      </c>
      <c r="B377" s="73"/>
      <c r="G377" s="24"/>
      <c r="H377" s="24"/>
    </row>
    <row r="378" spans="1:8" x14ac:dyDescent="0.35">
      <c r="A378" s="24" t="s">
        <v>672</v>
      </c>
      <c r="B378" s="73"/>
      <c r="G378" s="24"/>
      <c r="H378" s="24"/>
    </row>
    <row r="379" spans="1:8" x14ac:dyDescent="0.35">
      <c r="A379" s="24" t="s">
        <v>673</v>
      </c>
      <c r="B379" s="73"/>
      <c r="G379" s="24"/>
      <c r="H379" s="24"/>
    </row>
    <row r="380" spans="1:8" x14ac:dyDescent="0.35">
      <c r="A380" s="24" t="s">
        <v>674</v>
      </c>
      <c r="B380" s="73"/>
      <c r="G380" s="24"/>
      <c r="H380" s="24"/>
    </row>
    <row r="381" spans="1:8" x14ac:dyDescent="0.35">
      <c r="A381" s="24" t="s">
        <v>1348</v>
      </c>
      <c r="B381" s="73"/>
      <c r="G381" s="24"/>
      <c r="H381" s="24"/>
    </row>
    <row r="382" spans="1:8" x14ac:dyDescent="0.35">
      <c r="A382" s="24" t="s">
        <v>501</v>
      </c>
      <c r="B382" s="73"/>
      <c r="G382" s="24"/>
      <c r="H382" s="24"/>
    </row>
    <row r="383" spans="1:8" x14ac:dyDescent="0.35">
      <c r="A383" s="24" t="s">
        <v>502</v>
      </c>
      <c r="B383" s="73"/>
      <c r="G383" s="24"/>
      <c r="H383" s="24"/>
    </row>
    <row r="384" spans="1:8" x14ac:dyDescent="0.35">
      <c r="A384" s="24" t="s">
        <v>503</v>
      </c>
      <c r="B384" s="73"/>
      <c r="G384" s="24"/>
      <c r="H384" s="24"/>
    </row>
    <row r="385" spans="1:8" x14ac:dyDescent="0.35">
      <c r="A385" s="24" t="s">
        <v>1199</v>
      </c>
      <c r="B385" s="73"/>
      <c r="G385" s="24"/>
      <c r="H385" s="24"/>
    </row>
    <row r="386" spans="1:8" x14ac:dyDescent="0.35">
      <c r="A386" s="24" t="s">
        <v>1200</v>
      </c>
      <c r="B386" s="73"/>
      <c r="G386" s="24"/>
      <c r="H386" s="24"/>
    </row>
    <row r="387" spans="1:8" x14ac:dyDescent="0.35">
      <c r="A387" s="24" t="s">
        <v>1201</v>
      </c>
      <c r="B387" s="73"/>
      <c r="G387" s="24"/>
      <c r="H387" s="24"/>
    </row>
    <row r="388" spans="1:8" x14ac:dyDescent="0.35">
      <c r="A388" s="24" t="s">
        <v>1202</v>
      </c>
      <c r="B388" s="73">
        <v>1</v>
      </c>
      <c r="C388" s="73">
        <v>1</v>
      </c>
      <c r="G388" s="24"/>
      <c r="H388" s="24"/>
    </row>
    <row r="389" spans="1:8" x14ac:dyDescent="0.35">
      <c r="A389" s="24" t="s">
        <v>1203</v>
      </c>
      <c r="B389" s="73">
        <v>1</v>
      </c>
      <c r="C389" s="73">
        <v>1</v>
      </c>
      <c r="G389" s="24"/>
      <c r="H389" s="24"/>
    </row>
    <row r="390" spans="1:8" x14ac:dyDescent="0.35">
      <c r="A390" s="24" t="s">
        <v>1204</v>
      </c>
      <c r="B390" s="73"/>
      <c r="G390" s="24"/>
      <c r="H390" s="24"/>
    </row>
    <row r="391" spans="1:8" x14ac:dyDescent="0.35">
      <c r="A391" s="24" t="s">
        <v>1205</v>
      </c>
      <c r="B391" s="73"/>
      <c r="G391" s="24"/>
      <c r="H391" s="24"/>
    </row>
    <row r="392" spans="1:8" x14ac:dyDescent="0.35">
      <c r="A392" s="24" t="s">
        <v>1206</v>
      </c>
      <c r="B392" s="73"/>
      <c r="G392" s="24"/>
      <c r="H392" s="24"/>
    </row>
    <row r="393" spans="1:8" x14ac:dyDescent="0.35">
      <c r="A393" s="24" t="s">
        <v>1261</v>
      </c>
      <c r="B393" s="73"/>
      <c r="G393" s="24"/>
      <c r="H393" s="24"/>
    </row>
    <row r="394" spans="1:8" x14ac:dyDescent="0.35">
      <c r="A394" s="24" t="s">
        <v>1262</v>
      </c>
      <c r="B394" s="73"/>
      <c r="G394" s="24"/>
      <c r="H394" s="24"/>
    </row>
    <row r="395" spans="1:8" x14ac:dyDescent="0.35">
      <c r="A395" s="24" t="s">
        <v>1263</v>
      </c>
      <c r="B395" s="73">
        <v>1</v>
      </c>
      <c r="C395" s="73">
        <v>1</v>
      </c>
      <c r="G395" s="24"/>
      <c r="H395" s="24"/>
    </row>
    <row r="396" spans="1:8" x14ac:dyDescent="0.35">
      <c r="A396" s="24" t="s">
        <v>1264</v>
      </c>
      <c r="B396" s="73">
        <v>1</v>
      </c>
      <c r="C396" s="73">
        <v>1</v>
      </c>
      <c r="G396" s="24"/>
      <c r="H396" s="24"/>
    </row>
    <row r="397" spans="1:8" x14ac:dyDescent="0.35">
      <c r="A397" s="24" t="s">
        <v>1265</v>
      </c>
      <c r="B397" s="73">
        <v>1</v>
      </c>
      <c r="C397" s="73">
        <v>1</v>
      </c>
      <c r="G397" s="24"/>
      <c r="H397" s="24"/>
    </row>
    <row r="398" spans="1:8" x14ac:dyDescent="0.35">
      <c r="A398" s="24" t="s">
        <v>1266</v>
      </c>
      <c r="B398" s="73">
        <v>1</v>
      </c>
      <c r="C398" s="73">
        <v>1</v>
      </c>
      <c r="G398" s="24"/>
      <c r="H398" s="24"/>
    </row>
    <row r="399" spans="1:8" x14ac:dyDescent="0.35">
      <c r="A399" s="24" t="s">
        <v>1267</v>
      </c>
      <c r="B399" s="73">
        <v>1</v>
      </c>
      <c r="C399" s="73">
        <v>1</v>
      </c>
      <c r="G399" s="24"/>
      <c r="H399" s="24"/>
    </row>
    <row r="400" spans="1:8" x14ac:dyDescent="0.35">
      <c r="A400" s="24" t="s">
        <v>684</v>
      </c>
      <c r="B400" s="73">
        <v>1</v>
      </c>
      <c r="C400" s="73">
        <v>1</v>
      </c>
      <c r="G400" s="24"/>
      <c r="H400" s="24"/>
    </row>
    <row r="401" spans="1:8" x14ac:dyDescent="0.35">
      <c r="A401" s="24" t="s">
        <v>685</v>
      </c>
      <c r="B401" s="73">
        <v>1</v>
      </c>
      <c r="C401" s="73">
        <v>1</v>
      </c>
      <c r="G401" s="24"/>
      <c r="H401" s="24"/>
    </row>
    <row r="402" spans="1:8" x14ac:dyDescent="0.35">
      <c r="A402" s="24" t="s">
        <v>686</v>
      </c>
      <c r="B402" s="73">
        <v>1</v>
      </c>
      <c r="C402" s="73">
        <v>1</v>
      </c>
      <c r="G402" s="24"/>
      <c r="H402" s="24"/>
    </row>
    <row r="403" spans="1:8" x14ac:dyDescent="0.35">
      <c r="A403" s="24" t="s">
        <v>687</v>
      </c>
      <c r="B403" s="73"/>
      <c r="G403" s="24"/>
      <c r="H403" s="24"/>
    </row>
    <row r="404" spans="1:8" x14ac:dyDescent="0.35">
      <c r="A404" s="24" t="s">
        <v>688</v>
      </c>
      <c r="B404" s="73"/>
      <c r="G404" s="24"/>
      <c r="H404" s="24"/>
    </row>
    <row r="405" spans="1:8" x14ac:dyDescent="0.35">
      <c r="A405" s="24" t="s">
        <v>689</v>
      </c>
      <c r="B405" s="73"/>
      <c r="G405" s="24"/>
      <c r="H405" s="24"/>
    </row>
    <row r="406" spans="1:8" x14ac:dyDescent="0.35">
      <c r="A406" s="24" t="s">
        <v>690</v>
      </c>
      <c r="B406" s="73"/>
      <c r="G406" s="24"/>
      <c r="H406" s="24"/>
    </row>
    <row r="407" spans="1:8" x14ac:dyDescent="0.35">
      <c r="A407" s="24" t="s">
        <v>691</v>
      </c>
      <c r="B407" s="73"/>
      <c r="G407" s="24"/>
      <c r="H407" s="24"/>
    </row>
    <row r="408" spans="1:8" x14ac:dyDescent="0.35">
      <c r="A408" s="24" t="s">
        <v>692</v>
      </c>
      <c r="B408" s="73"/>
      <c r="G408" s="24"/>
      <c r="H408" s="24"/>
    </row>
    <row r="409" spans="1:8" x14ac:dyDescent="0.35">
      <c r="A409" s="24" t="s">
        <v>693</v>
      </c>
      <c r="B409" s="73">
        <v>50</v>
      </c>
      <c r="C409" s="73">
        <v>50</v>
      </c>
      <c r="G409" s="24"/>
      <c r="H409" s="24"/>
    </row>
    <row r="410" spans="1:8" x14ac:dyDescent="0.35">
      <c r="A410" s="24" t="s">
        <v>694</v>
      </c>
      <c r="B410" s="73">
        <v>50</v>
      </c>
      <c r="C410" s="73">
        <v>50</v>
      </c>
      <c r="G410" s="24"/>
      <c r="H410" s="24"/>
    </row>
    <row r="411" spans="1:8" x14ac:dyDescent="0.35">
      <c r="A411" s="24" t="s">
        <v>709</v>
      </c>
      <c r="B411" s="73">
        <v>50</v>
      </c>
      <c r="C411" s="73">
        <v>50</v>
      </c>
      <c r="G411" s="24"/>
      <c r="H411" s="24"/>
    </row>
    <row r="412" spans="1:8" x14ac:dyDescent="0.35">
      <c r="A412" s="24" t="s">
        <v>1339</v>
      </c>
      <c r="B412" s="73">
        <v>50</v>
      </c>
      <c r="C412" s="73">
        <v>50</v>
      </c>
      <c r="G412" s="24"/>
      <c r="H412" s="24"/>
    </row>
    <row r="413" spans="1:8" x14ac:dyDescent="0.35">
      <c r="A413" s="24" t="s">
        <v>1340</v>
      </c>
      <c r="B413" s="73">
        <v>50</v>
      </c>
      <c r="C413" s="73">
        <v>50</v>
      </c>
      <c r="G413" s="24"/>
      <c r="H413" s="24"/>
    </row>
    <row r="414" spans="1:8" x14ac:dyDescent="0.35">
      <c r="A414" t="s">
        <v>209</v>
      </c>
      <c r="B414" s="73">
        <v>50</v>
      </c>
      <c r="C414" s="73">
        <v>50</v>
      </c>
      <c r="G414" s="24"/>
      <c r="H414" s="24"/>
    </row>
    <row r="415" spans="1:8" x14ac:dyDescent="0.35">
      <c r="A415" t="s">
        <v>210</v>
      </c>
      <c r="B415" s="73">
        <v>50</v>
      </c>
      <c r="C415" s="73">
        <v>50</v>
      </c>
      <c r="G415" s="24"/>
      <c r="H415" s="24"/>
    </row>
    <row r="416" spans="1:8" x14ac:dyDescent="0.35">
      <c r="A416" t="s">
        <v>999</v>
      </c>
      <c r="B416" s="73">
        <v>50</v>
      </c>
      <c r="C416" s="73">
        <v>50</v>
      </c>
      <c r="G416" s="24"/>
      <c r="H416" s="24"/>
    </row>
    <row r="417" spans="1:8" x14ac:dyDescent="0.35">
      <c r="A417" t="s">
        <v>65</v>
      </c>
      <c r="B417" s="73"/>
      <c r="G417" s="24"/>
      <c r="H417" s="24"/>
    </row>
    <row r="418" spans="1:8" x14ac:dyDescent="0.35">
      <c r="A418" t="s">
        <v>66</v>
      </c>
      <c r="B418" s="73">
        <v>50</v>
      </c>
      <c r="C418" s="73">
        <v>50</v>
      </c>
      <c r="G418" s="24"/>
      <c r="H418" s="24"/>
    </row>
    <row r="419" spans="1:8" x14ac:dyDescent="0.35">
      <c r="A419" t="s">
        <v>67</v>
      </c>
      <c r="B419" s="73"/>
      <c r="G419" s="24"/>
      <c r="H419" s="24"/>
    </row>
    <row r="420" spans="1:8" x14ac:dyDescent="0.35">
      <c r="A420" s="24" t="s">
        <v>867</v>
      </c>
      <c r="B420" s="73">
        <v>50</v>
      </c>
      <c r="C420" s="73">
        <v>50</v>
      </c>
      <c r="G420" s="24"/>
      <c r="H420" s="24"/>
    </row>
    <row r="421" spans="1:8" x14ac:dyDescent="0.35">
      <c r="A421" s="24" t="s">
        <v>61</v>
      </c>
      <c r="B421" s="73"/>
      <c r="G421" s="24"/>
      <c r="H421" s="24"/>
    </row>
    <row r="422" spans="1:8" x14ac:dyDescent="0.35">
      <c r="A422" s="24" t="s">
        <v>62</v>
      </c>
      <c r="B422" s="73">
        <v>50</v>
      </c>
      <c r="C422" s="73">
        <v>50</v>
      </c>
      <c r="G422" s="24"/>
      <c r="H422" s="24"/>
    </row>
    <row r="423" spans="1:8" x14ac:dyDescent="0.35">
      <c r="A423" s="24" t="s">
        <v>63</v>
      </c>
      <c r="B423" s="73">
        <v>50</v>
      </c>
      <c r="C423" s="73">
        <v>50</v>
      </c>
      <c r="G423" s="24"/>
      <c r="H423" s="24"/>
    </row>
    <row r="424" spans="1:8" x14ac:dyDescent="0.35">
      <c r="A424" s="24" t="s">
        <v>64</v>
      </c>
      <c r="B424" s="73">
        <v>50</v>
      </c>
      <c r="C424" s="73">
        <v>50</v>
      </c>
      <c r="G424" s="24"/>
      <c r="H424" s="24"/>
    </row>
    <row r="425" spans="1:8" x14ac:dyDescent="0.35">
      <c r="A425" s="24" t="s">
        <v>868</v>
      </c>
      <c r="B425" s="73">
        <v>1</v>
      </c>
      <c r="C425" s="73">
        <v>1</v>
      </c>
      <c r="G425" s="24"/>
      <c r="H425" s="24"/>
    </row>
    <row r="426" spans="1:8" x14ac:dyDescent="0.35">
      <c r="A426" s="24" t="s">
        <v>869</v>
      </c>
      <c r="B426" s="73">
        <v>50</v>
      </c>
      <c r="C426" s="73">
        <v>50</v>
      </c>
      <c r="G426" s="24"/>
      <c r="H426" s="24"/>
    </row>
    <row r="427" spans="1:8" x14ac:dyDescent="0.35">
      <c r="A427" s="24" t="s">
        <v>1332</v>
      </c>
      <c r="B427" s="73">
        <v>50</v>
      </c>
      <c r="C427" s="73">
        <v>50</v>
      </c>
      <c r="G427" s="24"/>
      <c r="H427" s="24"/>
    </row>
    <row r="428" spans="1:8" x14ac:dyDescent="0.35">
      <c r="A428" s="24" t="s">
        <v>752</v>
      </c>
      <c r="B428" s="73">
        <v>50</v>
      </c>
      <c r="C428" s="73">
        <v>50</v>
      </c>
      <c r="G428" s="24"/>
      <c r="H428" s="24"/>
    </row>
    <row r="429" spans="1:8" x14ac:dyDescent="0.35">
      <c r="A429" s="24" t="s">
        <v>753</v>
      </c>
      <c r="B429" s="73">
        <v>50</v>
      </c>
      <c r="C429" s="73">
        <v>50</v>
      </c>
      <c r="G429" s="24"/>
      <c r="H429" s="24"/>
    </row>
    <row r="430" spans="1:8" x14ac:dyDescent="0.35">
      <c r="A430" s="24" t="s">
        <v>754</v>
      </c>
      <c r="B430" s="73">
        <v>50</v>
      </c>
      <c r="C430" s="73">
        <v>50</v>
      </c>
      <c r="G430" s="24"/>
      <c r="H430" s="24"/>
    </row>
    <row r="431" spans="1:8" x14ac:dyDescent="0.35">
      <c r="A431" s="24" t="s">
        <v>1149</v>
      </c>
      <c r="B431" s="73">
        <v>50</v>
      </c>
      <c r="C431" s="73">
        <v>50</v>
      </c>
      <c r="G431" s="24"/>
      <c r="H431" s="24"/>
    </row>
    <row r="432" spans="1:8" x14ac:dyDescent="0.35">
      <c r="A432" s="24" t="s">
        <v>1150</v>
      </c>
      <c r="B432" s="73">
        <v>4</v>
      </c>
      <c r="C432" s="73">
        <v>4</v>
      </c>
      <c r="G432" s="24"/>
      <c r="H432" s="24"/>
    </row>
    <row r="433" spans="1:8" x14ac:dyDescent="0.35">
      <c r="A433" s="24" t="s">
        <v>1151</v>
      </c>
      <c r="B433" s="73">
        <v>4</v>
      </c>
      <c r="C433" s="73">
        <v>4</v>
      </c>
      <c r="G433" s="24"/>
      <c r="H433" s="24"/>
    </row>
    <row r="434" spans="1:8" x14ac:dyDescent="0.35">
      <c r="A434" s="24" t="s">
        <v>1152</v>
      </c>
      <c r="B434" s="73">
        <v>4</v>
      </c>
      <c r="C434" s="73">
        <v>4</v>
      </c>
      <c r="G434" s="24"/>
      <c r="H434" s="24"/>
    </row>
    <row r="435" spans="1:8" x14ac:dyDescent="0.35">
      <c r="A435" s="24" t="s">
        <v>1014</v>
      </c>
      <c r="B435" s="73">
        <v>4</v>
      </c>
      <c r="C435" s="73">
        <v>4</v>
      </c>
      <c r="G435" s="24"/>
      <c r="H435" s="24"/>
    </row>
    <row r="436" spans="1:8" x14ac:dyDescent="0.35">
      <c r="A436" s="24" t="s">
        <v>1108</v>
      </c>
      <c r="B436" s="73">
        <v>4</v>
      </c>
      <c r="C436" s="73">
        <v>4</v>
      </c>
      <c r="G436" s="24"/>
      <c r="H436" s="24"/>
    </row>
    <row r="437" spans="1:8" x14ac:dyDescent="0.35">
      <c r="A437" s="24" t="s">
        <v>1109</v>
      </c>
      <c r="B437" s="73">
        <v>4</v>
      </c>
      <c r="C437" s="73">
        <v>4</v>
      </c>
      <c r="G437" s="24"/>
      <c r="H437" s="24"/>
    </row>
    <row r="438" spans="1:8" x14ac:dyDescent="0.35">
      <c r="A438" s="24" t="s">
        <v>1110</v>
      </c>
      <c r="B438" s="73">
        <v>4</v>
      </c>
      <c r="C438" s="73">
        <v>4</v>
      </c>
      <c r="G438" s="24"/>
      <c r="H438" s="24"/>
    </row>
    <row r="439" spans="1:8" x14ac:dyDescent="0.35">
      <c r="A439" s="24" t="s">
        <v>1111</v>
      </c>
      <c r="B439" s="73">
        <v>4</v>
      </c>
      <c r="C439" s="73">
        <v>4</v>
      </c>
      <c r="G439" s="24"/>
      <c r="H439" s="24"/>
    </row>
    <row r="440" spans="1:8" x14ac:dyDescent="0.35">
      <c r="A440" s="24" t="s">
        <v>1012</v>
      </c>
      <c r="B440" s="73">
        <v>4</v>
      </c>
      <c r="C440" s="73">
        <v>4</v>
      </c>
      <c r="G440" s="24"/>
      <c r="H440" s="24"/>
    </row>
    <row r="441" spans="1:8" x14ac:dyDescent="0.35">
      <c r="A441" s="24" t="s">
        <v>1013</v>
      </c>
      <c r="B441" s="73">
        <v>4</v>
      </c>
      <c r="C441" s="73">
        <v>4</v>
      </c>
      <c r="G441" s="24"/>
      <c r="H441" s="24"/>
    </row>
    <row r="442" spans="1:8" x14ac:dyDescent="0.35">
      <c r="A442" s="24" t="s">
        <v>1008</v>
      </c>
      <c r="B442" s="73">
        <v>4</v>
      </c>
      <c r="C442" s="73">
        <v>4</v>
      </c>
      <c r="G442" s="24"/>
      <c r="H442" s="24"/>
    </row>
    <row r="443" spans="1:8" x14ac:dyDescent="0.35">
      <c r="A443" s="24" t="s">
        <v>1009</v>
      </c>
      <c r="B443" s="73">
        <v>4</v>
      </c>
      <c r="C443" s="73">
        <v>4</v>
      </c>
      <c r="G443" s="24"/>
      <c r="H443" s="24"/>
    </row>
    <row r="444" spans="1:8" x14ac:dyDescent="0.35">
      <c r="A444" s="24" t="s">
        <v>1010</v>
      </c>
      <c r="B444" s="73">
        <v>4</v>
      </c>
      <c r="C444" s="73">
        <v>4</v>
      </c>
      <c r="G444" s="24"/>
      <c r="H444" s="24"/>
    </row>
    <row r="445" spans="1:8" x14ac:dyDescent="0.35">
      <c r="A445" s="24" t="s">
        <v>994</v>
      </c>
      <c r="B445" s="73">
        <v>4</v>
      </c>
      <c r="C445" s="73">
        <v>4</v>
      </c>
      <c r="G445" s="24"/>
      <c r="H445" s="24"/>
    </row>
    <row r="446" spans="1:8" x14ac:dyDescent="0.35">
      <c r="A446" s="24" t="s">
        <v>995</v>
      </c>
      <c r="B446" s="73">
        <v>4</v>
      </c>
      <c r="C446" s="73">
        <v>4</v>
      </c>
      <c r="G446" s="24"/>
      <c r="H446" s="24"/>
    </row>
    <row r="447" spans="1:8" x14ac:dyDescent="0.35">
      <c r="A447" s="24" t="s">
        <v>996</v>
      </c>
      <c r="B447" s="73">
        <v>1</v>
      </c>
      <c r="C447" s="73">
        <v>1</v>
      </c>
      <c r="G447" s="24"/>
      <c r="H447" s="24"/>
    </row>
    <row r="448" spans="1:8" x14ac:dyDescent="0.35">
      <c r="A448" s="24" t="s">
        <v>997</v>
      </c>
      <c r="B448" s="73"/>
      <c r="G448" s="24"/>
      <c r="H448" s="24"/>
    </row>
    <row r="449" spans="1:8" x14ac:dyDescent="0.35">
      <c r="A449" s="24" t="s">
        <v>998</v>
      </c>
      <c r="B449" s="73"/>
      <c r="G449" s="24"/>
      <c r="H449" s="24"/>
    </row>
    <row r="450" spans="1:8" x14ac:dyDescent="0.35">
      <c r="A450" s="24" t="s">
        <v>1234</v>
      </c>
      <c r="B450" s="73"/>
      <c r="G450" s="24"/>
      <c r="H450" s="24"/>
    </row>
    <row r="451" spans="1:8" x14ac:dyDescent="0.35">
      <c r="A451" s="24" t="s">
        <v>1235</v>
      </c>
      <c r="B451" s="73"/>
      <c r="G451" s="24"/>
      <c r="H451" s="24"/>
    </row>
    <row r="452" spans="1:8" x14ac:dyDescent="0.35">
      <c r="A452" s="24" t="s">
        <v>1236</v>
      </c>
      <c r="B452" s="73"/>
      <c r="G452" s="24"/>
      <c r="H452" s="24"/>
    </row>
    <row r="453" spans="1:8" x14ac:dyDescent="0.35">
      <c r="A453" s="24" t="s">
        <v>1237</v>
      </c>
      <c r="B453" s="73"/>
      <c r="G453" s="24"/>
      <c r="H453" s="24"/>
    </row>
    <row r="454" spans="1:8" x14ac:dyDescent="0.35">
      <c r="A454" s="24" t="s">
        <v>1238</v>
      </c>
      <c r="B454" s="73"/>
      <c r="G454" s="24"/>
      <c r="H454" s="24"/>
    </row>
    <row r="455" spans="1:8" x14ac:dyDescent="0.35">
      <c r="A455" s="24" t="s">
        <v>1239</v>
      </c>
      <c r="B455" s="73"/>
      <c r="G455" s="24"/>
      <c r="H455" s="24"/>
    </row>
    <row r="456" spans="1:8" x14ac:dyDescent="0.35">
      <c r="A456" s="24" t="s">
        <v>1240</v>
      </c>
      <c r="B456" s="73"/>
      <c r="G456" s="24"/>
      <c r="H456" s="24"/>
    </row>
    <row r="457" spans="1:8" x14ac:dyDescent="0.35">
      <c r="A457" s="24" t="s">
        <v>1241</v>
      </c>
      <c r="B457" s="73"/>
      <c r="G457" s="24"/>
      <c r="H457" s="24"/>
    </row>
    <row r="458" spans="1:8" x14ac:dyDescent="0.35">
      <c r="A458" s="24" t="s">
        <v>1242</v>
      </c>
      <c r="B458" s="73"/>
      <c r="G458" s="24"/>
      <c r="H458" s="24"/>
    </row>
    <row r="459" spans="1:8" x14ac:dyDescent="0.35">
      <c r="A459" s="24" t="s">
        <v>1243</v>
      </c>
      <c r="B459" s="73"/>
      <c r="G459" s="24"/>
      <c r="H459" s="24"/>
    </row>
    <row r="460" spans="1:8" x14ac:dyDescent="0.35">
      <c r="A460" s="24" t="s">
        <v>1244</v>
      </c>
      <c r="B460" s="73"/>
      <c r="G460" s="24"/>
      <c r="H460" s="24"/>
    </row>
    <row r="461" spans="1:8" x14ac:dyDescent="0.35">
      <c r="A461" s="24" t="s">
        <v>1245</v>
      </c>
      <c r="B461" s="73"/>
      <c r="G461" s="24"/>
      <c r="H461" s="24"/>
    </row>
    <row r="462" spans="1:8" x14ac:dyDescent="0.35">
      <c r="A462" s="24" t="s">
        <v>1246</v>
      </c>
      <c r="B462" s="73"/>
      <c r="G462" s="24"/>
      <c r="H462" s="24"/>
    </row>
    <row r="463" spans="1:8" x14ac:dyDescent="0.35">
      <c r="A463" s="24" t="s">
        <v>898</v>
      </c>
      <c r="B463" s="73"/>
      <c r="G463" s="24"/>
      <c r="H463" s="24"/>
    </row>
    <row r="464" spans="1:8" x14ac:dyDescent="0.35">
      <c r="A464" s="24" t="s">
        <v>899</v>
      </c>
      <c r="B464" s="73"/>
      <c r="G464" s="24"/>
      <c r="H464" s="24"/>
    </row>
    <row r="465" spans="1:8" x14ac:dyDescent="0.35">
      <c r="A465" s="24" t="s">
        <v>900</v>
      </c>
      <c r="B465" s="73"/>
      <c r="G465" s="24"/>
      <c r="H465" s="24"/>
    </row>
    <row r="466" spans="1:8" x14ac:dyDescent="0.35">
      <c r="A466" s="24" t="s">
        <v>359</v>
      </c>
      <c r="B466" s="73"/>
      <c r="G466" s="24"/>
      <c r="H466" s="24"/>
    </row>
    <row r="467" spans="1:8" x14ac:dyDescent="0.35">
      <c r="A467" s="24" t="s">
        <v>360</v>
      </c>
      <c r="B467" s="73"/>
      <c r="G467" s="24"/>
      <c r="H467" s="24"/>
    </row>
    <row r="468" spans="1:8" x14ac:dyDescent="0.35">
      <c r="A468" s="24" t="s">
        <v>361</v>
      </c>
      <c r="B468" s="73"/>
      <c r="G468" s="24"/>
      <c r="H468" s="24"/>
    </row>
    <row r="469" spans="1:8" x14ac:dyDescent="0.35">
      <c r="A469" s="24" t="s">
        <v>362</v>
      </c>
      <c r="B469" s="73"/>
      <c r="G469" s="24"/>
      <c r="H469" s="24"/>
    </row>
    <row r="470" spans="1:8" x14ac:dyDescent="0.35">
      <c r="A470" s="24" t="s">
        <v>363</v>
      </c>
      <c r="B470" s="73"/>
      <c r="G470" s="24"/>
      <c r="H470" s="24"/>
    </row>
    <row r="471" spans="1:8" x14ac:dyDescent="0.35">
      <c r="A471" s="24" t="s">
        <v>364</v>
      </c>
      <c r="B471" s="73"/>
      <c r="G471" s="24"/>
      <c r="H471" s="24"/>
    </row>
    <row r="472" spans="1:8" x14ac:dyDescent="0.35">
      <c r="A472" s="24" t="s">
        <v>901</v>
      </c>
      <c r="B472" s="73"/>
      <c r="D472" s="73">
        <v>50</v>
      </c>
      <c r="G472" s="24"/>
      <c r="H472" s="24"/>
    </row>
    <row r="473" spans="1:8" x14ac:dyDescent="0.35">
      <c r="A473" s="24" t="s">
        <v>902</v>
      </c>
      <c r="B473" s="73"/>
      <c r="D473" s="73">
        <v>50</v>
      </c>
      <c r="G473" s="24"/>
      <c r="H473" s="24"/>
    </row>
    <row r="474" spans="1:8" x14ac:dyDescent="0.35">
      <c r="A474" s="24" t="s">
        <v>903</v>
      </c>
      <c r="B474" s="73"/>
      <c r="D474" s="73">
        <v>50</v>
      </c>
      <c r="G474" s="24"/>
      <c r="H474" s="24"/>
    </row>
    <row r="475" spans="1:8" x14ac:dyDescent="0.35">
      <c r="A475" s="24" t="s">
        <v>561</v>
      </c>
      <c r="B475" s="73"/>
      <c r="D475" s="73">
        <v>50</v>
      </c>
      <c r="G475" s="24"/>
      <c r="H475" s="24"/>
    </row>
    <row r="476" spans="1:8" x14ac:dyDescent="0.35">
      <c r="A476" s="24" t="s">
        <v>562</v>
      </c>
      <c r="B476" s="73"/>
      <c r="D476" s="73">
        <v>50</v>
      </c>
      <c r="G476" s="24"/>
      <c r="H476" s="24"/>
    </row>
    <row r="477" spans="1:8" x14ac:dyDescent="0.35">
      <c r="A477" s="24" t="s">
        <v>563</v>
      </c>
      <c r="B477" s="73"/>
      <c r="D477" s="73">
        <v>50</v>
      </c>
      <c r="G477" s="24"/>
      <c r="H477" s="24"/>
    </row>
    <row r="478" spans="1:8" x14ac:dyDescent="0.35">
      <c r="A478" s="24" t="s">
        <v>564</v>
      </c>
      <c r="B478" s="73"/>
      <c r="D478" s="73">
        <v>50</v>
      </c>
      <c r="G478" s="24"/>
      <c r="H478" s="24"/>
    </row>
    <row r="479" spans="1:8" x14ac:dyDescent="0.35">
      <c r="A479" s="24" t="s">
        <v>565</v>
      </c>
      <c r="B479" s="73"/>
      <c r="D479" s="73">
        <v>50</v>
      </c>
      <c r="G479" s="24"/>
      <c r="H479" s="24"/>
    </row>
    <row r="480" spans="1:8" x14ac:dyDescent="0.35">
      <c r="A480" s="24" t="s">
        <v>566</v>
      </c>
      <c r="B480" s="73"/>
      <c r="D480" s="73"/>
      <c r="G480" s="24"/>
      <c r="H480" s="24"/>
    </row>
    <row r="481" spans="1:8" x14ac:dyDescent="0.35">
      <c r="A481" s="24" t="s">
        <v>567</v>
      </c>
      <c r="B481" s="73"/>
      <c r="D481" s="73">
        <v>50</v>
      </c>
      <c r="G481" s="24"/>
      <c r="H481" s="24"/>
    </row>
    <row r="482" spans="1:8" x14ac:dyDescent="0.35">
      <c r="A482" s="24" t="s">
        <v>568</v>
      </c>
      <c r="B482" s="73"/>
      <c r="D482" s="73"/>
      <c r="G482" s="24"/>
      <c r="H482" s="24"/>
    </row>
    <row r="483" spans="1:8" x14ac:dyDescent="0.35">
      <c r="A483" s="24" t="s">
        <v>569</v>
      </c>
      <c r="B483" s="73"/>
      <c r="D483" s="73">
        <v>50</v>
      </c>
      <c r="G483" s="24"/>
      <c r="H483" s="24"/>
    </row>
    <row r="484" spans="1:8" x14ac:dyDescent="0.35">
      <c r="A484" s="24" t="s">
        <v>570</v>
      </c>
      <c r="B484" s="73"/>
      <c r="D484" s="73"/>
      <c r="G484" s="24"/>
      <c r="H484" s="24"/>
    </row>
    <row r="485" spans="1:8" x14ac:dyDescent="0.35">
      <c r="A485" s="24" t="s">
        <v>571</v>
      </c>
      <c r="B485" s="73"/>
      <c r="D485" s="73">
        <v>50</v>
      </c>
      <c r="G485" s="24"/>
      <c r="H485" s="24"/>
    </row>
    <row r="486" spans="1:8" x14ac:dyDescent="0.35">
      <c r="A486" s="24" t="s">
        <v>572</v>
      </c>
      <c r="B486" s="73"/>
      <c r="D486" s="73">
        <v>50</v>
      </c>
      <c r="G486" s="24"/>
      <c r="H486" s="24"/>
    </row>
    <row r="487" spans="1:8" x14ac:dyDescent="0.35">
      <c r="A487" s="24" t="s">
        <v>573</v>
      </c>
      <c r="B487" s="73"/>
      <c r="D487" s="73">
        <v>50</v>
      </c>
      <c r="G487" s="24"/>
      <c r="H487" s="24"/>
    </row>
    <row r="488" spans="1:8" x14ac:dyDescent="0.35">
      <c r="A488" s="24" t="s">
        <v>574</v>
      </c>
      <c r="B488" s="73"/>
      <c r="D488" s="73">
        <v>50</v>
      </c>
      <c r="G488" s="24"/>
      <c r="H488" s="24"/>
    </row>
    <row r="489" spans="1:8" x14ac:dyDescent="0.35">
      <c r="A489" s="24" t="s">
        <v>575</v>
      </c>
      <c r="B489" s="73"/>
      <c r="D489" s="73">
        <v>50</v>
      </c>
      <c r="G489" s="24"/>
      <c r="H489" s="24"/>
    </row>
    <row r="490" spans="1:8" x14ac:dyDescent="0.35">
      <c r="A490" s="24" t="s">
        <v>576</v>
      </c>
      <c r="B490" s="73"/>
      <c r="D490" s="73">
        <v>50</v>
      </c>
      <c r="G490" s="24"/>
      <c r="H490" s="24"/>
    </row>
    <row r="491" spans="1:8" x14ac:dyDescent="0.35">
      <c r="A491" s="24" t="s">
        <v>577</v>
      </c>
      <c r="B491" s="73"/>
      <c r="D491" s="73">
        <v>50</v>
      </c>
      <c r="G491" s="24"/>
      <c r="H491" s="24"/>
    </row>
    <row r="492" spans="1:8" x14ac:dyDescent="0.35">
      <c r="A492" s="24" t="s">
        <v>578</v>
      </c>
      <c r="B492" s="73"/>
      <c r="D492" s="73">
        <v>50</v>
      </c>
      <c r="G492" s="24"/>
      <c r="H492" s="24"/>
    </row>
    <row r="493" spans="1:8" x14ac:dyDescent="0.35">
      <c r="A493" s="24" t="s">
        <v>579</v>
      </c>
      <c r="B493" s="73"/>
      <c r="D493" s="73">
        <v>50</v>
      </c>
      <c r="G493" s="24"/>
      <c r="H493" s="24"/>
    </row>
    <row r="494" spans="1:8" x14ac:dyDescent="0.35">
      <c r="A494" s="24" t="s">
        <v>923</v>
      </c>
      <c r="B494" s="73"/>
      <c r="D494" s="73">
        <v>50</v>
      </c>
      <c r="G494" s="24"/>
      <c r="H494" s="24"/>
    </row>
    <row r="495" spans="1:8" x14ac:dyDescent="0.35">
      <c r="A495" s="24" t="s">
        <v>924</v>
      </c>
      <c r="B495" s="73"/>
      <c r="G495" s="24"/>
      <c r="H495" s="24"/>
    </row>
    <row r="496" spans="1:8" x14ac:dyDescent="0.35">
      <c r="A496" s="24" t="s">
        <v>1211</v>
      </c>
      <c r="B496" s="73"/>
      <c r="G496" s="24"/>
      <c r="H496" s="24"/>
    </row>
    <row r="497" spans="1:8" x14ac:dyDescent="0.35">
      <c r="A497" s="24" t="s">
        <v>736</v>
      </c>
      <c r="B497" s="73"/>
      <c r="G497" s="24"/>
      <c r="H497" s="24"/>
    </row>
    <row r="498" spans="1:8" x14ac:dyDescent="0.35">
      <c r="A498" s="24" t="s">
        <v>737</v>
      </c>
      <c r="B498" s="73"/>
      <c r="G498" s="24"/>
      <c r="H498" s="24"/>
    </row>
    <row r="499" spans="1:8" x14ac:dyDescent="0.35">
      <c r="A499" s="24" t="s">
        <v>517</v>
      </c>
      <c r="B499" s="73"/>
      <c r="G499" s="24"/>
      <c r="H499" s="24"/>
    </row>
    <row r="500" spans="1:8" x14ac:dyDescent="0.35">
      <c r="A500" s="24" t="s">
        <v>518</v>
      </c>
      <c r="B500" s="73"/>
      <c r="G500" s="24"/>
      <c r="H500" s="24"/>
    </row>
    <row r="501" spans="1:8" x14ac:dyDescent="0.35">
      <c r="A501" s="24" t="s">
        <v>519</v>
      </c>
      <c r="B501" s="73"/>
      <c r="G501" s="24"/>
      <c r="H501" s="24"/>
    </row>
    <row r="502" spans="1:8" x14ac:dyDescent="0.35">
      <c r="A502" s="24" t="s">
        <v>520</v>
      </c>
      <c r="B502" s="73"/>
      <c r="G502" s="24"/>
      <c r="H502" s="24"/>
    </row>
    <row r="503" spans="1:8" x14ac:dyDescent="0.35">
      <c r="A503" s="24" t="s">
        <v>521</v>
      </c>
      <c r="B503" s="73"/>
      <c r="G503" s="24"/>
      <c r="H503" s="24"/>
    </row>
    <row r="504" spans="1:8" x14ac:dyDescent="0.35">
      <c r="A504" s="24" t="s">
        <v>365</v>
      </c>
      <c r="B504" s="73"/>
      <c r="G504" s="24"/>
      <c r="H504" s="24"/>
    </row>
    <row r="505" spans="1:8" x14ac:dyDescent="0.35">
      <c r="A505" s="24" t="s">
        <v>1333</v>
      </c>
      <c r="B505" s="73"/>
      <c r="G505" s="24"/>
      <c r="H505" s="24"/>
    </row>
    <row r="506" spans="1:8" x14ac:dyDescent="0.35">
      <c r="A506" s="24" t="s">
        <v>1334</v>
      </c>
      <c r="B506" s="73"/>
      <c r="G506" s="24"/>
      <c r="H506" s="24"/>
    </row>
    <row r="507" spans="1:8" x14ac:dyDescent="0.35">
      <c r="A507" s="24" t="s">
        <v>1335</v>
      </c>
      <c r="B507" s="73"/>
      <c r="G507" s="24"/>
      <c r="H507" s="24"/>
    </row>
    <row r="508" spans="1:8" x14ac:dyDescent="0.35">
      <c r="A508" s="24" t="s">
        <v>1336</v>
      </c>
      <c r="B508" s="73"/>
      <c r="G508" s="24"/>
      <c r="H508" s="24"/>
    </row>
    <row r="509" spans="1:8" x14ac:dyDescent="0.35">
      <c r="A509" s="24" t="s">
        <v>1337</v>
      </c>
      <c r="B509" s="73"/>
      <c r="G509" s="24"/>
      <c r="H509" s="24"/>
    </row>
    <row r="510" spans="1:8" x14ac:dyDescent="0.35">
      <c r="A510" s="24" t="s">
        <v>1338</v>
      </c>
      <c r="B510" s="73"/>
      <c r="G510" s="24"/>
      <c r="H510" s="24"/>
    </row>
    <row r="511" spans="1:8" x14ac:dyDescent="0.35">
      <c r="A511" s="24" t="s">
        <v>131</v>
      </c>
      <c r="B511" s="73"/>
      <c r="G511" s="24"/>
      <c r="H511" s="24"/>
    </row>
    <row r="512" spans="1:8" x14ac:dyDescent="0.35">
      <c r="A512" s="24" t="s">
        <v>132</v>
      </c>
      <c r="B512" s="73"/>
      <c r="G512" s="24"/>
      <c r="H512" s="24"/>
    </row>
    <row r="513" spans="1:8" x14ac:dyDescent="0.35">
      <c r="A513" s="24" t="s">
        <v>133</v>
      </c>
      <c r="B513" s="73"/>
      <c r="G513" s="24"/>
      <c r="H513" s="24"/>
    </row>
    <row r="514" spans="1:8" x14ac:dyDescent="0.35">
      <c r="A514" s="24" t="s">
        <v>134</v>
      </c>
      <c r="B514" s="73"/>
      <c r="G514" s="24"/>
      <c r="H514" s="24"/>
    </row>
    <row r="515" spans="1:8" x14ac:dyDescent="0.35">
      <c r="A515" s="24" t="s">
        <v>135</v>
      </c>
      <c r="B515" s="73"/>
      <c r="G515" s="24"/>
      <c r="H515" s="24"/>
    </row>
    <row r="516" spans="1:8" x14ac:dyDescent="0.35">
      <c r="A516" s="24" t="s">
        <v>136</v>
      </c>
      <c r="B516" s="73"/>
      <c r="G516" s="24"/>
      <c r="H516" s="24"/>
    </row>
    <row r="517" spans="1:8" x14ac:dyDescent="0.35">
      <c r="A517" s="24" t="s">
        <v>421</v>
      </c>
      <c r="B517" s="73"/>
      <c r="G517" s="24"/>
      <c r="H517" s="24"/>
    </row>
    <row r="518" spans="1:8" x14ac:dyDescent="0.35">
      <c r="A518" s="24" t="s">
        <v>230</v>
      </c>
      <c r="B518" s="73"/>
      <c r="G518" s="24"/>
      <c r="H518" s="24"/>
    </row>
    <row r="519" spans="1:8" x14ac:dyDescent="0.35">
      <c r="A519" s="24" t="s">
        <v>231</v>
      </c>
      <c r="B519" s="73"/>
      <c r="G519" s="24"/>
      <c r="H519" s="24"/>
    </row>
    <row r="520" spans="1:8" x14ac:dyDescent="0.35">
      <c r="A520" s="24" t="s">
        <v>104</v>
      </c>
      <c r="B520" s="73"/>
      <c r="G520" s="24"/>
      <c r="H520" s="24"/>
    </row>
    <row r="521" spans="1:8" x14ac:dyDescent="0.35">
      <c r="A521" s="24" t="s">
        <v>105</v>
      </c>
      <c r="B521" s="73"/>
      <c r="G521" s="24"/>
      <c r="H521" s="24"/>
    </row>
    <row r="522" spans="1:8" x14ac:dyDescent="0.35">
      <c r="A522" s="24" t="s">
        <v>981</v>
      </c>
      <c r="B522" s="73"/>
      <c r="G522" s="24"/>
      <c r="H522" s="24"/>
    </row>
    <row r="523" spans="1:8" x14ac:dyDescent="0.35">
      <c r="A523" s="24" t="s">
        <v>982</v>
      </c>
      <c r="B523" s="73"/>
      <c r="G523" s="24"/>
      <c r="H523" s="24"/>
    </row>
    <row r="524" spans="1:8" x14ac:dyDescent="0.35">
      <c r="A524" s="24" t="s">
        <v>983</v>
      </c>
      <c r="B524" s="73"/>
      <c r="G524" s="24"/>
      <c r="H524" s="24"/>
    </row>
    <row r="525" spans="1:8" x14ac:dyDescent="0.35">
      <c r="A525" s="24" t="s">
        <v>916</v>
      </c>
      <c r="B525" s="73"/>
      <c r="G525" s="24"/>
      <c r="H525" s="24"/>
    </row>
    <row r="526" spans="1:8" x14ac:dyDescent="0.35">
      <c r="A526" s="24" t="s">
        <v>962</v>
      </c>
      <c r="B526" s="73"/>
      <c r="G526" s="24"/>
      <c r="H526" s="24"/>
    </row>
    <row r="527" spans="1:8" x14ac:dyDescent="0.35">
      <c r="A527" s="24" t="s">
        <v>963</v>
      </c>
      <c r="B527" s="73">
        <v>1500</v>
      </c>
      <c r="C527" s="73">
        <v>1500</v>
      </c>
      <c r="G527" s="24"/>
      <c r="H527" s="24"/>
    </row>
    <row r="528" spans="1:8" x14ac:dyDescent="0.35">
      <c r="A528" s="24" t="s">
        <v>964</v>
      </c>
      <c r="B528" s="73">
        <v>1500</v>
      </c>
      <c r="C528" s="73">
        <v>1500</v>
      </c>
      <c r="G528" s="24"/>
      <c r="H528" s="24"/>
    </row>
    <row r="529" spans="1:8" x14ac:dyDescent="0.35">
      <c r="A529" s="24" t="s">
        <v>965</v>
      </c>
      <c r="B529" s="73">
        <v>1500</v>
      </c>
      <c r="C529" s="73">
        <v>1500</v>
      </c>
      <c r="G529" s="24"/>
      <c r="H529" s="24"/>
    </row>
    <row r="530" spans="1:8" x14ac:dyDescent="0.35">
      <c r="A530" s="24" t="s">
        <v>125</v>
      </c>
      <c r="B530" s="73">
        <v>1500</v>
      </c>
      <c r="C530" s="73">
        <v>1500</v>
      </c>
      <c r="G530" s="24"/>
      <c r="H530" s="24"/>
    </row>
    <row r="531" spans="1:8" x14ac:dyDescent="0.35">
      <c r="A531" s="24" t="s">
        <v>126</v>
      </c>
      <c r="B531" s="73">
        <v>1500</v>
      </c>
      <c r="C531" s="73">
        <v>1500</v>
      </c>
      <c r="G531" s="24"/>
      <c r="H531" s="24"/>
    </row>
    <row r="532" spans="1:8" x14ac:dyDescent="0.35">
      <c r="A532" s="24" t="s">
        <v>211</v>
      </c>
      <c r="B532" s="73">
        <v>1500</v>
      </c>
      <c r="C532" s="73">
        <v>1500</v>
      </c>
      <c r="G532" s="24"/>
      <c r="H532" s="24"/>
    </row>
    <row r="533" spans="1:8" x14ac:dyDescent="0.35">
      <c r="A533" s="24" t="s">
        <v>212</v>
      </c>
      <c r="B533" s="73">
        <v>1500</v>
      </c>
      <c r="C533" s="73">
        <v>1500</v>
      </c>
      <c r="G533" s="24"/>
      <c r="H533" s="24"/>
    </row>
    <row r="534" spans="1:8" x14ac:dyDescent="0.35">
      <c r="A534" s="24" t="s">
        <v>738</v>
      </c>
      <c r="B534" s="73">
        <v>1500</v>
      </c>
      <c r="C534" s="73">
        <v>1500</v>
      </c>
      <c r="G534" s="24"/>
      <c r="H534" s="24"/>
    </row>
    <row r="535" spans="1:8" x14ac:dyDescent="0.35">
      <c r="A535" s="24" t="s">
        <v>746</v>
      </c>
      <c r="B535" s="73">
        <v>1500</v>
      </c>
      <c r="C535" s="73">
        <v>1500</v>
      </c>
      <c r="G535" s="24"/>
      <c r="H535" s="24"/>
    </row>
    <row r="536" spans="1:8" x14ac:dyDescent="0.35">
      <c r="A536" s="24" t="s">
        <v>747</v>
      </c>
      <c r="B536" s="73">
        <v>1500</v>
      </c>
      <c r="C536" s="73">
        <v>1500</v>
      </c>
      <c r="G536" s="24"/>
      <c r="H536" s="24"/>
    </row>
    <row r="537" spans="1:8" x14ac:dyDescent="0.35">
      <c r="A537" s="24" t="s">
        <v>748</v>
      </c>
      <c r="B537" s="73">
        <v>1500</v>
      </c>
      <c r="C537" s="73">
        <v>1500</v>
      </c>
      <c r="G537" s="24"/>
      <c r="H537" s="24"/>
    </row>
    <row r="538" spans="1:8" x14ac:dyDescent="0.35">
      <c r="A538" s="24" t="s">
        <v>749</v>
      </c>
      <c r="B538" s="73">
        <v>1500</v>
      </c>
      <c r="C538" s="73">
        <v>1500</v>
      </c>
      <c r="G538" s="24"/>
      <c r="H538" s="24"/>
    </row>
    <row r="539" spans="1:8" x14ac:dyDescent="0.35">
      <c r="A539" s="24" t="s">
        <v>750</v>
      </c>
      <c r="B539" s="73">
        <v>1500</v>
      </c>
      <c r="C539" s="73">
        <v>1500</v>
      </c>
      <c r="G539" s="24"/>
      <c r="H539" s="24"/>
    </row>
    <row r="540" spans="1:8" x14ac:dyDescent="0.35">
      <c r="A540" s="24" t="s">
        <v>751</v>
      </c>
      <c r="B540" s="73">
        <v>1500</v>
      </c>
      <c r="C540" s="73">
        <v>1500</v>
      </c>
      <c r="G540" s="24"/>
      <c r="H540" s="24"/>
    </row>
    <row r="541" spans="1:8" x14ac:dyDescent="0.35">
      <c r="A541" s="24" t="s">
        <v>745</v>
      </c>
      <c r="B541" s="73">
        <v>1500</v>
      </c>
      <c r="C541" s="73">
        <v>1500</v>
      </c>
      <c r="G541" s="24"/>
      <c r="H541" s="24"/>
    </row>
    <row r="542" spans="1:8" x14ac:dyDescent="0.35">
      <c r="A542" s="24" t="s">
        <v>101</v>
      </c>
      <c r="B542" s="73">
        <v>1500</v>
      </c>
      <c r="C542" s="73">
        <v>1500</v>
      </c>
      <c r="G542" s="24"/>
      <c r="H542" s="24"/>
    </row>
    <row r="543" spans="1:8" x14ac:dyDescent="0.35">
      <c r="A543" s="24" t="s">
        <v>102</v>
      </c>
      <c r="B543" s="73">
        <v>1500</v>
      </c>
      <c r="C543" s="73">
        <v>1500</v>
      </c>
      <c r="G543" s="24"/>
      <c r="H543" s="24"/>
    </row>
    <row r="544" spans="1:8" x14ac:dyDescent="0.35">
      <c r="A544" s="24" t="s">
        <v>103</v>
      </c>
      <c r="B544" s="73">
        <v>1500</v>
      </c>
      <c r="C544" s="73">
        <v>1500</v>
      </c>
      <c r="G544" s="24"/>
      <c r="H544" s="24"/>
    </row>
    <row r="545" spans="1:8" x14ac:dyDescent="0.35">
      <c r="A545" s="24" t="s">
        <v>533</v>
      </c>
      <c r="B545" s="73">
        <v>1500</v>
      </c>
      <c r="C545" s="73">
        <v>1500</v>
      </c>
      <c r="G545" s="24"/>
      <c r="H545" s="24"/>
    </row>
    <row r="546" spans="1:8" x14ac:dyDescent="0.35">
      <c r="A546" s="24" t="s">
        <v>534</v>
      </c>
      <c r="B546" s="73">
        <v>1500</v>
      </c>
      <c r="C546" s="73">
        <v>1500</v>
      </c>
      <c r="G546" s="24"/>
      <c r="H546" s="24"/>
    </row>
    <row r="547" spans="1:8" x14ac:dyDescent="0.35">
      <c r="A547" s="24" t="s">
        <v>732</v>
      </c>
      <c r="B547" s="73">
        <v>1</v>
      </c>
      <c r="C547" s="73">
        <v>1</v>
      </c>
      <c r="G547" s="24"/>
      <c r="H547" s="24"/>
    </row>
    <row r="548" spans="1:8" x14ac:dyDescent="0.35">
      <c r="A548" s="24" t="s">
        <v>733</v>
      </c>
      <c r="B548" s="73">
        <v>1</v>
      </c>
      <c r="C548" s="73">
        <v>1</v>
      </c>
      <c r="G548" s="24"/>
      <c r="H548" s="24"/>
    </row>
    <row r="549" spans="1:8" x14ac:dyDescent="0.35">
      <c r="A549" s="24" t="s">
        <v>734</v>
      </c>
      <c r="B549" s="73">
        <v>1</v>
      </c>
      <c r="C549" s="73">
        <v>1</v>
      </c>
      <c r="G549" s="24"/>
      <c r="H549" s="24"/>
    </row>
    <row r="550" spans="1:8" x14ac:dyDescent="0.35">
      <c r="A550" s="24" t="s">
        <v>735</v>
      </c>
      <c r="B550" s="73">
        <v>1</v>
      </c>
      <c r="C550" s="73">
        <v>1</v>
      </c>
      <c r="G550" s="24"/>
      <c r="H550" s="24"/>
    </row>
    <row r="551" spans="1:8" x14ac:dyDescent="0.35">
      <c r="A551" s="24" t="s">
        <v>1225</v>
      </c>
      <c r="B551" s="73">
        <v>1</v>
      </c>
      <c r="C551" s="73">
        <v>1</v>
      </c>
      <c r="G551" s="24"/>
      <c r="H551" s="24"/>
    </row>
    <row r="552" spans="1:8" x14ac:dyDescent="0.35">
      <c r="A552" s="24" t="s">
        <v>1226</v>
      </c>
      <c r="B552" s="73">
        <v>1</v>
      </c>
      <c r="C552" s="73">
        <v>1</v>
      </c>
      <c r="G552" s="24"/>
      <c r="H552" s="24"/>
    </row>
    <row r="553" spans="1:8" x14ac:dyDescent="0.35">
      <c r="A553" s="24" t="s">
        <v>1227</v>
      </c>
      <c r="B553" s="73">
        <v>1</v>
      </c>
      <c r="C553" s="73">
        <v>1</v>
      </c>
      <c r="G553" s="24"/>
      <c r="H553" s="24"/>
    </row>
    <row r="554" spans="1:8" x14ac:dyDescent="0.35">
      <c r="A554" s="24" t="s">
        <v>1228</v>
      </c>
      <c r="B554" s="73">
        <v>1</v>
      </c>
      <c r="C554" s="73">
        <v>1</v>
      </c>
      <c r="G554" s="24"/>
      <c r="H554" s="24"/>
    </row>
    <row r="555" spans="1:8" x14ac:dyDescent="0.35">
      <c r="A555" s="24" t="s">
        <v>1229</v>
      </c>
      <c r="B555" s="73">
        <v>1</v>
      </c>
      <c r="C555" s="73">
        <v>1</v>
      </c>
      <c r="G555" s="24"/>
      <c r="H555" s="24"/>
    </row>
    <row r="556" spans="1:8" x14ac:dyDescent="0.35">
      <c r="A556" s="24" t="s">
        <v>1247</v>
      </c>
      <c r="B556" s="73">
        <v>1</v>
      </c>
      <c r="C556" s="73">
        <v>1</v>
      </c>
      <c r="G556" s="24"/>
      <c r="H556" s="24"/>
    </row>
    <row r="557" spans="1:8" x14ac:dyDescent="0.35">
      <c r="A557" s="24" t="s">
        <v>1248</v>
      </c>
      <c r="B557" s="73">
        <v>1</v>
      </c>
      <c r="C557" s="73">
        <v>1</v>
      </c>
      <c r="G557" s="24"/>
      <c r="H557" s="24"/>
    </row>
    <row r="558" spans="1:8" x14ac:dyDescent="0.35">
      <c r="A558" s="24" t="s">
        <v>1249</v>
      </c>
      <c r="B558" s="73">
        <v>1</v>
      </c>
      <c r="C558" s="73">
        <v>1</v>
      </c>
      <c r="G558" s="24"/>
      <c r="H558" s="24"/>
    </row>
    <row r="559" spans="1:8" x14ac:dyDescent="0.35">
      <c r="A559" s="71" t="s">
        <v>1250</v>
      </c>
      <c r="B559" s="73">
        <v>1</v>
      </c>
      <c r="C559" s="73">
        <v>1</v>
      </c>
      <c r="G559" s="24"/>
      <c r="H559" s="24"/>
    </row>
    <row r="560" spans="1:8" x14ac:dyDescent="0.35">
      <c r="A560" s="71" t="s">
        <v>1251</v>
      </c>
      <c r="B560" s="73">
        <v>1</v>
      </c>
      <c r="C560" s="73">
        <v>1</v>
      </c>
      <c r="G560" s="24"/>
      <c r="H560" s="24"/>
    </row>
    <row r="561" spans="1:8" x14ac:dyDescent="0.35">
      <c r="A561" s="71" t="s">
        <v>1252</v>
      </c>
      <c r="B561" s="73">
        <v>1</v>
      </c>
      <c r="C561" s="73">
        <v>1</v>
      </c>
      <c r="G561" s="24"/>
      <c r="H561" s="24"/>
    </row>
    <row r="562" spans="1:8" x14ac:dyDescent="0.35">
      <c r="A562" s="71" t="s">
        <v>1253</v>
      </c>
      <c r="B562" s="73">
        <v>1</v>
      </c>
      <c r="C562" s="73">
        <v>1</v>
      </c>
      <c r="G562" s="24"/>
      <c r="H562" s="24"/>
    </row>
    <row r="563" spans="1:8" x14ac:dyDescent="0.35">
      <c r="A563" s="71" t="s">
        <v>1026</v>
      </c>
      <c r="B563" s="73">
        <v>1</v>
      </c>
      <c r="C563" s="73">
        <v>1</v>
      </c>
      <c r="G563" s="24"/>
      <c r="H563" s="24"/>
    </row>
    <row r="564" spans="1:8" x14ac:dyDescent="0.35">
      <c r="A564" s="71" t="s">
        <v>1131</v>
      </c>
      <c r="B564" s="73">
        <v>1</v>
      </c>
      <c r="C564" s="73">
        <v>1</v>
      </c>
      <c r="G564" s="24"/>
      <c r="H564" s="24"/>
    </row>
    <row r="565" spans="1:8" x14ac:dyDescent="0.35">
      <c r="A565" s="71" t="s">
        <v>1132</v>
      </c>
      <c r="B565" s="73">
        <v>1</v>
      </c>
      <c r="C565" s="73">
        <v>1</v>
      </c>
      <c r="G565" s="24"/>
      <c r="H565" s="24"/>
    </row>
    <row r="566" spans="1:8" x14ac:dyDescent="0.35">
      <c r="A566" s="71" t="s">
        <v>1133</v>
      </c>
      <c r="B566" s="73">
        <v>1</v>
      </c>
      <c r="C566" s="73">
        <v>1</v>
      </c>
      <c r="G566" s="24"/>
      <c r="H566" s="24"/>
    </row>
    <row r="567" spans="1:8" x14ac:dyDescent="0.35">
      <c r="A567" s="24" t="s">
        <v>1134</v>
      </c>
      <c r="B567" s="73"/>
      <c r="G567" s="24"/>
      <c r="H567" s="24"/>
    </row>
    <row r="568" spans="1:8" x14ac:dyDescent="0.35">
      <c r="A568" s="24" t="s">
        <v>1135</v>
      </c>
      <c r="B568" s="73"/>
      <c r="G568" s="24"/>
      <c r="H568" s="24"/>
    </row>
    <row r="569" spans="1:8" x14ac:dyDescent="0.35">
      <c r="A569" s="24" t="s">
        <v>584</v>
      </c>
      <c r="B569" s="73"/>
      <c r="G569" s="24"/>
      <c r="H569" s="24"/>
    </row>
    <row r="570" spans="1:8" x14ac:dyDescent="0.35">
      <c r="A570" s="24" t="s">
        <v>739</v>
      </c>
      <c r="B570" s="73"/>
      <c r="G570" s="24"/>
      <c r="H570" s="24"/>
    </row>
    <row r="571" spans="1:8" x14ac:dyDescent="0.35">
      <c r="A571" s="24" t="s">
        <v>740</v>
      </c>
      <c r="B571" s="73"/>
      <c r="G571" s="24"/>
      <c r="H571" s="24"/>
    </row>
    <row r="572" spans="1:8" x14ac:dyDescent="0.35">
      <c r="A572" s="24" t="s">
        <v>741</v>
      </c>
      <c r="B572" s="73"/>
      <c r="G572" s="24"/>
      <c r="H572" s="24"/>
    </row>
    <row r="573" spans="1:8" x14ac:dyDescent="0.35">
      <c r="A573" s="24" t="s">
        <v>742</v>
      </c>
      <c r="B573" s="73"/>
      <c r="G573" s="24"/>
      <c r="H573" s="24"/>
    </row>
    <row r="574" spans="1:8" x14ac:dyDescent="0.35">
      <c r="A574" s="24" t="s">
        <v>743</v>
      </c>
      <c r="B574" s="73"/>
      <c r="G574" s="24"/>
      <c r="H574" s="24"/>
    </row>
    <row r="575" spans="1:8" x14ac:dyDescent="0.35">
      <c r="A575" s="24" t="s">
        <v>744</v>
      </c>
      <c r="B575" s="73"/>
      <c r="G575" s="24"/>
      <c r="H575" s="24"/>
    </row>
    <row r="576" spans="1:8" x14ac:dyDescent="0.35">
      <c r="A576" s="24" t="s">
        <v>1093</v>
      </c>
      <c r="B576" s="73"/>
      <c r="G576" s="24"/>
      <c r="H576" s="24"/>
    </row>
    <row r="577" spans="1:8" x14ac:dyDescent="0.35">
      <c r="A577" s="24" t="s">
        <v>1058</v>
      </c>
      <c r="B577" s="73"/>
      <c r="G577" s="24"/>
      <c r="H577" s="24"/>
    </row>
    <row r="578" spans="1:8" x14ac:dyDescent="0.35">
      <c r="A578" s="24" t="s">
        <v>1059</v>
      </c>
      <c r="B578" s="73"/>
      <c r="G578" s="24"/>
      <c r="H578" s="24"/>
    </row>
    <row r="579" spans="1:8" x14ac:dyDescent="0.35">
      <c r="A579" s="24" t="s">
        <v>1060</v>
      </c>
      <c r="B579" s="73"/>
      <c r="G579" s="24"/>
      <c r="H579" s="24"/>
    </row>
    <row r="580" spans="1:8" x14ac:dyDescent="0.35">
      <c r="A580" s="24" t="s">
        <v>1061</v>
      </c>
      <c r="B580" s="73"/>
      <c r="G580" s="24"/>
      <c r="H580" s="24"/>
    </row>
    <row r="581" spans="1:8" x14ac:dyDescent="0.35">
      <c r="A581" s="24" t="s">
        <v>1207</v>
      </c>
      <c r="B581" s="73"/>
      <c r="G581" s="24"/>
      <c r="H581" s="24"/>
    </row>
    <row r="582" spans="1:8" x14ac:dyDescent="0.35">
      <c r="A582" s="24" t="s">
        <v>1269</v>
      </c>
      <c r="B582" s="73"/>
      <c r="G582" s="24"/>
      <c r="H582" s="24"/>
    </row>
    <row r="583" spans="1:8" x14ac:dyDescent="0.35">
      <c r="A583" s="24" t="s">
        <v>1270</v>
      </c>
      <c r="B583" s="73"/>
      <c r="G583" s="24"/>
      <c r="H583" s="24"/>
    </row>
    <row r="584" spans="1:8" x14ac:dyDescent="0.35">
      <c r="A584" s="72" t="s">
        <v>1271</v>
      </c>
      <c r="B584" s="73"/>
      <c r="G584" s="24"/>
      <c r="H584" s="24"/>
    </row>
    <row r="585" spans="1:8" x14ac:dyDescent="0.35">
      <c r="A585" s="72" t="s">
        <v>1272</v>
      </c>
      <c r="B585" s="73"/>
      <c r="G585" s="24"/>
      <c r="H585" s="24"/>
    </row>
    <row r="586" spans="1:8" x14ac:dyDescent="0.35">
      <c r="A586" s="72" t="s">
        <v>357</v>
      </c>
      <c r="B586" s="73"/>
      <c r="G586" s="24"/>
      <c r="H586" s="24"/>
    </row>
    <row r="587" spans="1:8" x14ac:dyDescent="0.35">
      <c r="A587" s="72" t="s">
        <v>506</v>
      </c>
      <c r="B587" s="73" t="b">
        <v>0</v>
      </c>
      <c r="C587" s="73" t="b">
        <v>0</v>
      </c>
      <c r="G587" s="24"/>
      <c r="H587" s="24"/>
    </row>
    <row r="588" spans="1:8" x14ac:dyDescent="0.35">
      <c r="A588" s="72" t="s">
        <v>507</v>
      </c>
      <c r="B588" s="73"/>
      <c r="G588" s="24"/>
      <c r="H588" s="24"/>
    </row>
    <row r="589" spans="1:8" x14ac:dyDescent="0.35">
      <c r="A589" s="72" t="s">
        <v>862</v>
      </c>
      <c r="B589" s="73">
        <v>6</v>
      </c>
      <c r="C589" s="73">
        <v>6</v>
      </c>
      <c r="G589" s="24"/>
      <c r="H589" s="24"/>
    </row>
    <row r="590" spans="1:8" x14ac:dyDescent="0.35">
      <c r="A590" s="72" t="s">
        <v>508</v>
      </c>
      <c r="B590" s="73" t="b">
        <v>0</v>
      </c>
      <c r="C590" s="73" t="b">
        <v>0</v>
      </c>
      <c r="G590" s="24"/>
      <c r="H590" s="24"/>
    </row>
    <row r="591" spans="1:8" x14ac:dyDescent="0.35">
      <c r="A591" s="72" t="s">
        <v>97</v>
      </c>
      <c r="B591" s="73"/>
      <c r="G591" s="24"/>
      <c r="H591" s="24"/>
    </row>
    <row r="592" spans="1:8" x14ac:dyDescent="0.35">
      <c r="A592" s="24" t="s">
        <v>1216</v>
      </c>
      <c r="B592" s="73"/>
      <c r="G592" s="24"/>
      <c r="H592" s="24"/>
    </row>
    <row r="593" spans="1:8" x14ac:dyDescent="0.35">
      <c r="A593" s="24" t="s">
        <v>98</v>
      </c>
      <c r="B593" s="73"/>
      <c r="G593" s="24"/>
      <c r="H593" s="24"/>
    </row>
    <row r="594" spans="1:8" x14ac:dyDescent="0.35">
      <c r="A594" s="24" t="s">
        <v>1355</v>
      </c>
      <c r="B594" s="73"/>
      <c r="G594" s="24"/>
      <c r="H594" s="24"/>
    </row>
    <row r="595" spans="1:8" x14ac:dyDescent="0.35">
      <c r="A595" s="72" t="s">
        <v>368</v>
      </c>
      <c r="B595" s="73"/>
      <c r="G595" s="24"/>
      <c r="H595" s="24"/>
    </row>
    <row r="596" spans="1:8" x14ac:dyDescent="0.35">
      <c r="A596" s="72" t="s">
        <v>369</v>
      </c>
      <c r="B596" s="73"/>
      <c r="G596" s="24"/>
      <c r="H596" s="24"/>
    </row>
    <row r="597" spans="1:8" x14ac:dyDescent="0.35">
      <c r="A597" s="72" t="s">
        <v>926</v>
      </c>
      <c r="B597" s="73"/>
      <c r="G597" s="24"/>
      <c r="H597" s="24"/>
    </row>
    <row r="598" spans="1:8" x14ac:dyDescent="0.35">
      <c r="A598" s="72" t="s">
        <v>927</v>
      </c>
      <c r="B598" s="73"/>
      <c r="G598" s="24"/>
      <c r="H598" s="24"/>
    </row>
    <row r="599" spans="1:8" x14ac:dyDescent="0.35">
      <c r="A599" s="72" t="s">
        <v>928</v>
      </c>
      <c r="B599" s="73"/>
      <c r="G599" s="24"/>
      <c r="H599" s="24"/>
    </row>
    <row r="600" spans="1:8" x14ac:dyDescent="0.35">
      <c r="A600" s="72" t="s">
        <v>479</v>
      </c>
      <c r="B600" s="73"/>
      <c r="G600" s="24"/>
      <c r="H600" s="24"/>
    </row>
    <row r="601" spans="1:8" x14ac:dyDescent="0.35">
      <c r="A601" s="72" t="s">
        <v>480</v>
      </c>
      <c r="B601" s="73"/>
      <c r="G601" s="24"/>
      <c r="H601" s="24"/>
    </row>
    <row r="602" spans="1:8" x14ac:dyDescent="0.35">
      <c r="A602" s="72" t="s">
        <v>481</v>
      </c>
      <c r="B602" s="73"/>
      <c r="G602" s="24"/>
      <c r="H602" s="24"/>
    </row>
    <row r="603" spans="1:8" x14ac:dyDescent="0.35">
      <c r="A603" s="72" t="s">
        <v>482</v>
      </c>
      <c r="B603" s="73"/>
      <c r="G603" s="24"/>
      <c r="H603" s="24"/>
    </row>
    <row r="604" spans="1:8" x14ac:dyDescent="0.35">
      <c r="A604" s="72" t="s">
        <v>483</v>
      </c>
      <c r="B604" s="73"/>
      <c r="G604" s="24"/>
      <c r="H604" s="24"/>
    </row>
    <row r="605" spans="1:8" x14ac:dyDescent="0.35">
      <c r="A605" s="72" t="s">
        <v>632</v>
      </c>
      <c r="B605" s="73"/>
      <c r="G605" s="24"/>
      <c r="H605" s="24"/>
    </row>
    <row r="606" spans="1:8" x14ac:dyDescent="0.35">
      <c r="A606" s="72" t="s">
        <v>509</v>
      </c>
      <c r="B606" s="73"/>
      <c r="G606" s="24"/>
      <c r="H606" s="24"/>
    </row>
    <row r="607" spans="1:8" x14ac:dyDescent="0.35">
      <c r="A607" s="72" t="s">
        <v>510</v>
      </c>
      <c r="B607" s="73"/>
      <c r="G607" s="24"/>
      <c r="H607" s="24"/>
    </row>
    <row r="608" spans="1:8" x14ac:dyDescent="0.35">
      <c r="A608" s="72" t="s">
        <v>511</v>
      </c>
      <c r="B608" s="73"/>
      <c r="G608" s="24"/>
      <c r="H608" s="24"/>
    </row>
    <row r="609" spans="1:8" x14ac:dyDescent="0.35">
      <c r="A609" s="72" t="s">
        <v>487</v>
      </c>
      <c r="B609" s="73"/>
      <c r="G609" s="24"/>
      <c r="H609" s="24"/>
    </row>
    <row r="610" spans="1:8" x14ac:dyDescent="0.35">
      <c r="A610" s="72" t="s">
        <v>488</v>
      </c>
      <c r="B610" s="73"/>
      <c r="G610" s="24"/>
      <c r="H610" s="24"/>
    </row>
    <row r="611" spans="1:8" x14ac:dyDescent="0.35">
      <c r="A611" s="72" t="s">
        <v>1015</v>
      </c>
      <c r="B611" s="73"/>
      <c r="G611" s="24"/>
      <c r="H611" s="24"/>
    </row>
    <row r="612" spans="1:8" x14ac:dyDescent="0.35">
      <c r="A612" s="72" t="s">
        <v>1016</v>
      </c>
      <c r="B612" s="73"/>
      <c r="G612" s="24"/>
      <c r="H612" s="24"/>
    </row>
    <row r="613" spans="1:8" x14ac:dyDescent="0.35">
      <c r="A613" s="72" t="s">
        <v>920</v>
      </c>
      <c r="B613" s="73"/>
      <c r="G613" s="24"/>
      <c r="H613" s="24"/>
    </row>
    <row r="614" spans="1:8" x14ac:dyDescent="0.35">
      <c r="A614" s="72" t="s">
        <v>921</v>
      </c>
      <c r="B614" s="73"/>
      <c r="G614" s="24"/>
      <c r="H614" s="24"/>
    </row>
    <row r="615" spans="1:8" x14ac:dyDescent="0.35">
      <c r="A615" s="72" t="s">
        <v>922</v>
      </c>
      <c r="B615" s="73"/>
      <c r="G615" s="24"/>
      <c r="H615" s="24"/>
    </row>
    <row r="616" spans="1:8" x14ac:dyDescent="0.35">
      <c r="A616" s="72" t="s">
        <v>393</v>
      </c>
      <c r="B616" s="73"/>
      <c r="G616" s="24"/>
      <c r="H616" s="24"/>
    </row>
    <row r="617" spans="1:8" x14ac:dyDescent="0.35">
      <c r="A617" s="72" t="s">
        <v>394</v>
      </c>
      <c r="B617" s="73"/>
      <c r="G617" s="24"/>
      <c r="H617" s="24"/>
    </row>
    <row r="618" spans="1:8" x14ac:dyDescent="0.35">
      <c r="A618" s="72" t="s">
        <v>395</v>
      </c>
      <c r="B618" s="73"/>
      <c r="G618" s="24"/>
      <c r="H618" s="24"/>
    </row>
    <row r="619" spans="1:8" x14ac:dyDescent="0.35">
      <c r="A619" s="72" t="s">
        <v>396</v>
      </c>
      <c r="B619" s="73"/>
      <c r="G619" s="24"/>
      <c r="H619" s="24"/>
    </row>
    <row r="620" spans="1:8" x14ac:dyDescent="0.35">
      <c r="A620" s="72" t="s">
        <v>397</v>
      </c>
      <c r="B620" s="73"/>
      <c r="G620" s="24"/>
      <c r="H620" s="24"/>
    </row>
    <row r="621" spans="1:8" x14ac:dyDescent="0.35">
      <c r="A621" s="72" t="s">
        <v>531</v>
      </c>
      <c r="B621" s="73"/>
      <c r="G621" s="24"/>
      <c r="H621" s="24"/>
    </row>
    <row r="622" spans="1:8" x14ac:dyDescent="0.35">
      <c r="A622" s="72" t="s">
        <v>526</v>
      </c>
      <c r="B622" s="73"/>
      <c r="G622" s="24"/>
      <c r="H622" s="24"/>
    </row>
    <row r="623" spans="1:8" x14ac:dyDescent="0.35">
      <c r="A623" s="72" t="s">
        <v>527</v>
      </c>
      <c r="B623" s="73"/>
      <c r="G623" s="24"/>
      <c r="H623" s="24"/>
    </row>
    <row r="624" spans="1:8" x14ac:dyDescent="0.35">
      <c r="A624" s="72" t="s">
        <v>528</v>
      </c>
      <c r="B624" s="73"/>
      <c r="G624" s="24"/>
      <c r="H624" s="24"/>
    </row>
    <row r="625" spans="1:8" x14ac:dyDescent="0.35">
      <c r="A625" s="72" t="s">
        <v>529</v>
      </c>
      <c r="B625" s="73"/>
      <c r="G625" s="24"/>
      <c r="H625" s="24"/>
    </row>
    <row r="626" spans="1:8" x14ac:dyDescent="0.35">
      <c r="A626" s="72" t="s">
        <v>530</v>
      </c>
      <c r="B626" s="73"/>
      <c r="G626" s="24"/>
      <c r="H626" s="24"/>
    </row>
    <row r="627" spans="1:8" x14ac:dyDescent="0.35">
      <c r="A627" s="72" t="s">
        <v>941</v>
      </c>
      <c r="B627" s="73"/>
      <c r="G627" s="24"/>
      <c r="H627" s="24"/>
    </row>
    <row r="628" spans="1:8" x14ac:dyDescent="0.35">
      <c r="A628" s="72" t="s">
        <v>1091</v>
      </c>
      <c r="B628" s="73"/>
      <c r="G628" s="24"/>
      <c r="H628" s="24"/>
    </row>
    <row r="629" spans="1:8" x14ac:dyDescent="0.35">
      <c r="A629" s="24" t="s">
        <v>624</v>
      </c>
      <c r="B629" s="73">
        <v>41363</v>
      </c>
      <c r="C629" s="73">
        <v>41363</v>
      </c>
      <c r="G629" s="24"/>
      <c r="H629" s="24"/>
    </row>
    <row r="630" spans="1:8" x14ac:dyDescent="0.35">
      <c r="A630" s="101" t="s">
        <v>305</v>
      </c>
      <c r="B630" s="73">
        <v>1</v>
      </c>
      <c r="C630" s="73">
        <v>1</v>
      </c>
      <c r="G630" s="24"/>
      <c r="H630" s="24"/>
    </row>
    <row r="631" spans="1:8" x14ac:dyDescent="0.35">
      <c r="A631" s="101" t="s">
        <v>1046</v>
      </c>
      <c r="B631" s="73">
        <v>1</v>
      </c>
      <c r="C631" s="73">
        <v>1</v>
      </c>
      <c r="G631" s="24"/>
      <c r="H631" s="24"/>
    </row>
    <row r="632" spans="1:8" x14ac:dyDescent="0.35">
      <c r="A632" s="101" t="s">
        <v>1047</v>
      </c>
      <c r="B632" s="73">
        <v>1</v>
      </c>
      <c r="C632" s="73">
        <v>1</v>
      </c>
      <c r="G632" s="24"/>
      <c r="H632" s="24"/>
    </row>
    <row r="633" spans="1:8" x14ac:dyDescent="0.35">
      <c r="A633" s="101" t="s">
        <v>1048</v>
      </c>
      <c r="B633" s="73">
        <v>1</v>
      </c>
      <c r="C633" s="73">
        <v>1</v>
      </c>
      <c r="G633" s="24"/>
      <c r="H633" s="24"/>
    </row>
    <row r="634" spans="1:8" x14ac:dyDescent="0.35">
      <c r="A634" s="101" t="s">
        <v>1049</v>
      </c>
      <c r="B634" s="73">
        <v>1</v>
      </c>
      <c r="C634" s="73">
        <v>1</v>
      </c>
      <c r="G634" s="24"/>
      <c r="H634" s="24"/>
    </row>
    <row r="635" spans="1:8" x14ac:dyDescent="0.35">
      <c r="A635" s="101" t="s">
        <v>1050</v>
      </c>
      <c r="B635" s="73">
        <v>1</v>
      </c>
      <c r="C635" s="73">
        <v>1</v>
      </c>
      <c r="G635" s="24"/>
      <c r="H635" s="24"/>
    </row>
    <row r="636" spans="1:8" x14ac:dyDescent="0.35">
      <c r="A636" s="24" t="s">
        <v>1174</v>
      </c>
      <c r="B636" s="73"/>
      <c r="G636" s="24"/>
      <c r="H636" s="24"/>
    </row>
    <row r="637" spans="1:8" x14ac:dyDescent="0.35">
      <c r="A637" t="s">
        <v>952</v>
      </c>
      <c r="B637" s="73"/>
      <c r="G637" s="24"/>
      <c r="H637" s="24"/>
    </row>
    <row r="638" spans="1:8" x14ac:dyDescent="0.35">
      <c r="A638" s="24" t="s">
        <v>699</v>
      </c>
      <c r="B638" s="73">
        <v>5</v>
      </c>
      <c r="C638" s="73">
        <v>5</v>
      </c>
      <c r="G638" s="24"/>
      <c r="H638" s="24"/>
    </row>
    <row r="639" spans="1:8" x14ac:dyDescent="0.35">
      <c r="A639" t="s">
        <v>768</v>
      </c>
      <c r="B639" s="73"/>
      <c r="G639" s="24"/>
      <c r="H639" s="24"/>
    </row>
    <row r="640" spans="1:8" x14ac:dyDescent="0.35">
      <c r="A640" t="s">
        <v>204</v>
      </c>
      <c r="B640" s="73"/>
      <c r="G640" s="24"/>
      <c r="H640" s="24"/>
    </row>
    <row r="641" spans="1:8" x14ac:dyDescent="0.35">
      <c r="A641" t="s">
        <v>207</v>
      </c>
      <c r="B641" s="73"/>
      <c r="G641" s="24"/>
      <c r="H641" s="24"/>
    </row>
    <row r="642" spans="1:8" x14ac:dyDescent="0.35">
      <c r="A642" t="s">
        <v>206</v>
      </c>
      <c r="B642" s="73"/>
      <c r="G642" s="24"/>
      <c r="H642" s="24"/>
    </row>
    <row r="643" spans="1:8" x14ac:dyDescent="0.35">
      <c r="A643" t="s">
        <v>203</v>
      </c>
      <c r="B643" s="73"/>
      <c r="G643" s="24"/>
      <c r="H643" s="24"/>
    </row>
    <row r="644" spans="1:8" x14ac:dyDescent="0.35">
      <c r="A644" t="s">
        <v>202</v>
      </c>
      <c r="B644" s="73"/>
      <c r="G644" s="24"/>
      <c r="H644" s="24"/>
    </row>
    <row r="645" spans="1:8" x14ac:dyDescent="0.35">
      <c r="A645" t="s">
        <v>205</v>
      </c>
      <c r="B645" s="73"/>
      <c r="G645" s="24"/>
      <c r="H645" s="24"/>
    </row>
    <row r="646" spans="1:8" x14ac:dyDescent="0.35">
      <c r="A646" t="s">
        <v>208</v>
      </c>
      <c r="B646" s="73"/>
      <c r="G646" s="24"/>
      <c r="H646" s="24"/>
    </row>
    <row r="647" spans="1:8" x14ac:dyDescent="0.35">
      <c r="A647" s="24" t="s">
        <v>944</v>
      </c>
      <c r="B647" s="73"/>
      <c r="G647" s="24"/>
      <c r="H647" s="24"/>
    </row>
    <row r="648" spans="1:8" x14ac:dyDescent="0.35">
      <c r="A648" s="24" t="s">
        <v>1130</v>
      </c>
      <c r="B648" s="73"/>
      <c r="G648" s="24"/>
      <c r="H648" s="24"/>
    </row>
    <row r="649" spans="1:8" x14ac:dyDescent="0.35">
      <c r="A649" t="s">
        <v>774</v>
      </c>
      <c r="B649" s="73"/>
      <c r="G649" s="24"/>
      <c r="H649" s="24"/>
    </row>
    <row r="650" spans="1:8" x14ac:dyDescent="0.35">
      <c r="A650" t="s">
        <v>775</v>
      </c>
      <c r="B650" s="73"/>
      <c r="G650" s="24"/>
      <c r="H650" s="24"/>
    </row>
    <row r="651" spans="1:8" x14ac:dyDescent="0.35">
      <c r="A651" t="s">
        <v>776</v>
      </c>
      <c r="B651" s="73"/>
      <c r="G651" s="24"/>
      <c r="H651" s="24"/>
    </row>
    <row r="652" spans="1:8" x14ac:dyDescent="0.35">
      <c r="A652" t="s">
        <v>777</v>
      </c>
      <c r="B652" s="73"/>
      <c r="G652" s="24"/>
      <c r="H652" s="24"/>
    </row>
    <row r="653" spans="1:8" x14ac:dyDescent="0.35">
      <c r="A653" t="s">
        <v>1311</v>
      </c>
      <c r="B653" s="73"/>
      <c r="G653" s="24"/>
      <c r="H653" s="24"/>
    </row>
    <row r="654" spans="1:8" x14ac:dyDescent="0.35">
      <c r="A654" t="s">
        <v>1312</v>
      </c>
      <c r="C654"/>
      <c r="G654" s="24"/>
      <c r="H654" s="24"/>
    </row>
    <row r="655" spans="1:8" x14ac:dyDescent="0.35">
      <c r="A655" t="s">
        <v>1313</v>
      </c>
      <c r="B655" s="73"/>
      <c r="G655" s="24"/>
      <c r="H655" s="24"/>
    </row>
    <row r="656" spans="1:8" x14ac:dyDescent="0.35">
      <c r="A656" t="s">
        <v>1314</v>
      </c>
      <c r="C656"/>
      <c r="G656" s="24"/>
      <c r="H656" s="24"/>
    </row>
    <row r="657" spans="1:8" x14ac:dyDescent="0.35">
      <c r="A657" t="s">
        <v>708</v>
      </c>
      <c r="B657" s="73"/>
      <c r="G657" s="24"/>
      <c r="H657" s="24"/>
    </row>
    <row r="658" spans="1:8" x14ac:dyDescent="0.35">
      <c r="A658" t="s">
        <v>1208</v>
      </c>
      <c r="B658" s="73"/>
      <c r="G658" s="24"/>
      <c r="H658" s="24"/>
    </row>
    <row r="659" spans="1:8" x14ac:dyDescent="0.35">
      <c r="A659" t="s">
        <v>1209</v>
      </c>
      <c r="B659" s="73"/>
      <c r="G659" s="24"/>
      <c r="H659" s="24"/>
    </row>
    <row r="660" spans="1:8" x14ac:dyDescent="0.35">
      <c r="A660" t="s">
        <v>1210</v>
      </c>
      <c r="B660" s="73"/>
      <c r="G660" s="24"/>
      <c r="H660" s="24"/>
    </row>
    <row r="661" spans="1:8" x14ac:dyDescent="0.35">
      <c r="A661" t="s">
        <v>675</v>
      </c>
      <c r="B661" s="73"/>
      <c r="G661" s="24"/>
      <c r="H661" s="24"/>
    </row>
    <row r="662" spans="1:8" x14ac:dyDescent="0.35">
      <c r="A662" t="s">
        <v>676</v>
      </c>
      <c r="B662" s="73"/>
      <c r="G662" s="24"/>
      <c r="H662" s="24"/>
    </row>
    <row r="663" spans="1:8" x14ac:dyDescent="0.35">
      <c r="A663" t="s">
        <v>677</v>
      </c>
      <c r="B663" s="73"/>
      <c r="G663" s="24"/>
      <c r="H663" s="24"/>
    </row>
    <row r="664" spans="1:8" x14ac:dyDescent="0.35">
      <c r="A664" t="s">
        <v>678</v>
      </c>
      <c r="B664" s="73"/>
      <c r="G664" s="24"/>
      <c r="H664" s="24"/>
    </row>
    <row r="665" spans="1:8" x14ac:dyDescent="0.35">
      <c r="A665" t="s">
        <v>679</v>
      </c>
      <c r="B665" s="73"/>
      <c r="G665" s="24"/>
      <c r="H665" s="24"/>
    </row>
    <row r="666" spans="1:8" x14ac:dyDescent="0.35">
      <c r="A666" t="s">
        <v>680</v>
      </c>
      <c r="B666" s="73"/>
      <c r="G666" s="24"/>
      <c r="H666" s="24"/>
    </row>
    <row r="667" spans="1:8" x14ac:dyDescent="0.35">
      <c r="A667" t="s">
        <v>681</v>
      </c>
      <c r="B667" s="73"/>
      <c r="G667" s="24"/>
      <c r="H667" s="24"/>
    </row>
    <row r="668" spans="1:8" x14ac:dyDescent="0.35">
      <c r="A668" t="s">
        <v>682</v>
      </c>
      <c r="B668" s="73"/>
      <c r="G668" s="24"/>
      <c r="H668" s="24"/>
    </row>
    <row r="669" spans="1:8" x14ac:dyDescent="0.35">
      <c r="A669" s="24" t="s">
        <v>701</v>
      </c>
      <c r="B669" s="73">
        <v>5</v>
      </c>
      <c r="C669" s="73">
        <v>5</v>
      </c>
      <c r="G669" s="24"/>
      <c r="H669" s="24"/>
    </row>
    <row r="670" spans="1:8" x14ac:dyDescent="0.35">
      <c r="A670" s="24" t="s">
        <v>608</v>
      </c>
      <c r="B670" s="73" t="b">
        <v>0</v>
      </c>
      <c r="C670" s="73" t="b">
        <v>0</v>
      </c>
      <c r="G670" s="24"/>
      <c r="H670" s="24"/>
    </row>
    <row r="671" spans="1:8" x14ac:dyDescent="0.35">
      <c r="A671" s="24" t="s">
        <v>1217</v>
      </c>
      <c r="B671" s="73">
        <v>1</v>
      </c>
      <c r="C671" s="73">
        <v>1</v>
      </c>
      <c r="G671" s="24"/>
      <c r="H671" s="24"/>
    </row>
    <row r="672" spans="1:8" x14ac:dyDescent="0.35">
      <c r="A672" s="24" t="s">
        <v>621</v>
      </c>
      <c r="B672" s="73">
        <v>1</v>
      </c>
      <c r="C672" s="73">
        <v>1</v>
      </c>
      <c r="G672" s="24"/>
      <c r="H672" s="24"/>
    </row>
    <row r="673" spans="1:8" x14ac:dyDescent="0.35">
      <c r="A673" s="24" t="s">
        <v>955</v>
      </c>
      <c r="B673" s="73"/>
      <c r="G673" s="24"/>
      <c r="H673" s="24"/>
    </row>
    <row r="674" spans="1:8" x14ac:dyDescent="0.35">
      <c r="A674" s="24" t="s">
        <v>956</v>
      </c>
      <c r="B674" s="73"/>
      <c r="G674" s="24"/>
      <c r="H674" s="24"/>
    </row>
    <row r="675" spans="1:8" x14ac:dyDescent="0.35">
      <c r="A675" s="24" t="s">
        <v>957</v>
      </c>
      <c r="B675" s="73"/>
      <c r="G675" s="24"/>
      <c r="H675" s="24"/>
    </row>
    <row r="676" spans="1:8" x14ac:dyDescent="0.35">
      <c r="A676" s="24" t="s">
        <v>958</v>
      </c>
      <c r="B676" s="73"/>
      <c r="G676" s="24"/>
      <c r="H676" s="24"/>
    </row>
    <row r="677" spans="1:8" x14ac:dyDescent="0.35">
      <c r="A677" s="24" t="s">
        <v>959</v>
      </c>
      <c r="B677" s="73"/>
      <c r="G677" s="24"/>
      <c r="H677" s="24"/>
    </row>
    <row r="678" spans="1:8" x14ac:dyDescent="0.35">
      <c r="A678" s="24" t="s">
        <v>960</v>
      </c>
      <c r="B678" s="73"/>
      <c r="G678" s="24"/>
      <c r="H678" s="24"/>
    </row>
    <row r="679" spans="1:8" x14ac:dyDescent="0.35">
      <c r="A679" s="24" t="s">
        <v>580</v>
      </c>
      <c r="B679" s="73"/>
      <c r="G679" s="24"/>
      <c r="H679" s="24"/>
    </row>
    <row r="680" spans="1:8" x14ac:dyDescent="0.35">
      <c r="A680" s="24" t="s">
        <v>1232</v>
      </c>
      <c r="B680" s="73"/>
      <c r="G680" s="24"/>
      <c r="H680" s="24"/>
    </row>
    <row r="681" spans="1:8" x14ac:dyDescent="0.35">
      <c r="A681" s="24" t="s">
        <v>1233</v>
      </c>
      <c r="B681" s="73"/>
      <c r="G681" s="24"/>
      <c r="H681" s="24"/>
    </row>
    <row r="682" spans="1:8" x14ac:dyDescent="0.35">
      <c r="A682" t="s">
        <v>950</v>
      </c>
      <c r="B682" s="73">
        <v>0</v>
      </c>
      <c r="C682" s="73">
        <v>0</v>
      </c>
      <c r="G682" s="24"/>
      <c r="H682" s="24"/>
    </row>
    <row r="683" spans="1:8" x14ac:dyDescent="0.35">
      <c r="A683" s="24" t="s">
        <v>910</v>
      </c>
      <c r="B683" s="73">
        <v>1</v>
      </c>
      <c r="C683" s="73">
        <v>1</v>
      </c>
      <c r="G683" s="24"/>
      <c r="H683" s="24"/>
    </row>
    <row r="684" spans="1:8" x14ac:dyDescent="0.35">
      <c r="A684" s="24" t="s">
        <v>1310</v>
      </c>
      <c r="B684" s="73">
        <v>1</v>
      </c>
      <c r="C684" s="73">
        <v>1</v>
      </c>
      <c r="G684" s="24"/>
      <c r="H684" s="24"/>
    </row>
    <row r="685" spans="1:8" x14ac:dyDescent="0.35">
      <c r="A685" s="24" t="s">
        <v>1218</v>
      </c>
      <c r="B685" s="73"/>
      <c r="G685" s="24"/>
      <c r="H685" s="24"/>
    </row>
    <row r="686" spans="1:8" x14ac:dyDescent="0.35">
      <c r="A686" s="24" t="s">
        <v>492</v>
      </c>
      <c r="B686" s="73"/>
      <c r="G686" s="24"/>
      <c r="H686" s="24"/>
    </row>
    <row r="687" spans="1:8" x14ac:dyDescent="0.35">
      <c r="A687" s="24" t="s">
        <v>493</v>
      </c>
      <c r="B687" s="73"/>
      <c r="G687" s="24"/>
      <c r="H687" s="24"/>
    </row>
    <row r="688" spans="1:8" x14ac:dyDescent="0.35">
      <c r="A688" s="24" t="s">
        <v>494</v>
      </c>
      <c r="B688" s="73"/>
      <c r="G688" s="24"/>
      <c r="H688" s="24"/>
    </row>
    <row r="689" spans="1:8" x14ac:dyDescent="0.35">
      <c r="A689" s="24" t="s">
        <v>495</v>
      </c>
      <c r="B689" s="73"/>
      <c r="G689" s="24"/>
      <c r="H689" s="24"/>
    </row>
    <row r="690" spans="1:8" x14ac:dyDescent="0.35">
      <c r="A690" s="24" t="s">
        <v>496</v>
      </c>
      <c r="B690" s="73"/>
      <c r="G690" s="24"/>
      <c r="H690" s="24"/>
    </row>
    <row r="691" spans="1:8" x14ac:dyDescent="0.35">
      <c r="A691" s="24" t="s">
        <v>497</v>
      </c>
      <c r="B691" s="73"/>
      <c r="G691" s="24"/>
      <c r="H691" s="24"/>
    </row>
    <row r="692" spans="1:8" x14ac:dyDescent="0.35">
      <c r="A692" s="24" t="s">
        <v>498</v>
      </c>
      <c r="B692" s="74"/>
      <c r="C692" s="74"/>
      <c r="G692" s="24"/>
      <c r="H692" s="24"/>
    </row>
    <row r="693" spans="1:8" x14ac:dyDescent="0.35">
      <c r="A693" s="24" t="s">
        <v>499</v>
      </c>
      <c r="C693"/>
      <c r="G693" s="24"/>
      <c r="H693" s="24"/>
    </row>
    <row r="694" spans="1:8" x14ac:dyDescent="0.35">
      <c r="A694" s="24" t="s">
        <v>500</v>
      </c>
      <c r="C694"/>
      <c r="G694" s="24"/>
      <c r="H694" s="24"/>
    </row>
    <row r="695" spans="1:8" x14ac:dyDescent="0.35">
      <c r="A695" s="24" t="s">
        <v>74</v>
      </c>
      <c r="C695"/>
      <c r="G695" s="24"/>
      <c r="H695" s="24"/>
    </row>
    <row r="696" spans="1:8" x14ac:dyDescent="0.35">
      <c r="A696" s="24" t="s">
        <v>75</v>
      </c>
      <c r="C696"/>
      <c r="G696" s="24"/>
      <c r="H696" s="24"/>
    </row>
    <row r="697" spans="1:8" x14ac:dyDescent="0.35">
      <c r="A697" s="24" t="s">
        <v>76</v>
      </c>
      <c r="C697"/>
      <c r="G697" s="24"/>
      <c r="H697" s="24"/>
    </row>
    <row r="698" spans="1:8" x14ac:dyDescent="0.35">
      <c r="A698" s="24" t="s">
        <v>77</v>
      </c>
      <c r="C698"/>
      <c r="G698" s="24"/>
      <c r="H698" s="24"/>
    </row>
    <row r="699" spans="1:8" x14ac:dyDescent="0.35">
      <c r="A699" s="24" t="s">
        <v>78</v>
      </c>
      <c r="B699" s="73"/>
      <c r="G699" s="24"/>
      <c r="H699" s="24"/>
    </row>
    <row r="700" spans="1:8" x14ac:dyDescent="0.35">
      <c r="A700" s="24" t="s">
        <v>79</v>
      </c>
      <c r="C700"/>
      <c r="G700" s="24"/>
      <c r="H700" s="24"/>
    </row>
    <row r="701" spans="1:8" x14ac:dyDescent="0.35">
      <c r="A701" s="24" t="s">
        <v>80</v>
      </c>
      <c r="B701" s="73"/>
      <c r="G701" s="24"/>
      <c r="H701" s="24"/>
    </row>
    <row r="702" spans="1:8" x14ac:dyDescent="0.35">
      <c r="A702" s="24" t="s">
        <v>81</v>
      </c>
      <c r="C702"/>
      <c r="G702" s="24"/>
      <c r="H702" s="24"/>
    </row>
    <row r="703" spans="1:8" x14ac:dyDescent="0.35">
      <c r="A703" s="24" t="s">
        <v>82</v>
      </c>
      <c r="C703"/>
      <c r="G703" s="24"/>
      <c r="H703" s="24"/>
    </row>
    <row r="704" spans="1:8" x14ac:dyDescent="0.35">
      <c r="A704" s="24" t="s">
        <v>83</v>
      </c>
      <c r="C704"/>
      <c r="G704" s="24"/>
      <c r="H704" s="24"/>
    </row>
    <row r="705" spans="1:8" x14ac:dyDescent="0.35">
      <c r="A705" s="24" t="s">
        <v>84</v>
      </c>
      <c r="C705"/>
      <c r="G705" s="24"/>
      <c r="H705" s="24"/>
    </row>
    <row r="706" spans="1:8" x14ac:dyDescent="0.35">
      <c r="A706" s="24" t="s">
        <v>1356</v>
      </c>
      <c r="B706">
        <v>1500</v>
      </c>
      <c r="C706">
        <v>1500</v>
      </c>
      <c r="G706" s="24"/>
      <c r="H706" s="24"/>
    </row>
    <row r="707" spans="1:8" x14ac:dyDescent="0.35">
      <c r="A707" s="24" t="s">
        <v>1357</v>
      </c>
      <c r="B707">
        <v>1500</v>
      </c>
      <c r="C707">
        <v>1500</v>
      </c>
      <c r="G707" s="24"/>
      <c r="H707" s="24"/>
    </row>
    <row r="708" spans="1:8" x14ac:dyDescent="0.35">
      <c r="A708" s="24" t="s">
        <v>1358</v>
      </c>
      <c r="B708">
        <v>1500</v>
      </c>
      <c r="C708">
        <v>1500</v>
      </c>
      <c r="G708" s="24"/>
      <c r="H708" s="24"/>
    </row>
    <row r="709" spans="1:8" x14ac:dyDescent="0.35">
      <c r="A709" s="24" t="s">
        <v>1359</v>
      </c>
      <c r="B709">
        <v>1500</v>
      </c>
      <c r="C709">
        <v>1500</v>
      </c>
      <c r="G709" s="24"/>
      <c r="H709" s="24"/>
    </row>
    <row r="710" spans="1:8" x14ac:dyDescent="0.35">
      <c r="A710" s="24" t="s">
        <v>34</v>
      </c>
      <c r="B710" s="73">
        <v>1500</v>
      </c>
      <c r="C710" s="73">
        <v>1500</v>
      </c>
      <c r="G710" s="24"/>
      <c r="H710" s="24"/>
    </row>
    <row r="711" spans="1:8" x14ac:dyDescent="0.35">
      <c r="A711" s="24" t="s">
        <v>35</v>
      </c>
      <c r="B711" s="73">
        <v>1500</v>
      </c>
      <c r="C711" s="73">
        <v>1500</v>
      </c>
      <c r="G711" s="24"/>
      <c r="H711" s="24"/>
    </row>
    <row r="712" spans="1:8" x14ac:dyDescent="0.35">
      <c r="A712" s="24" t="s">
        <v>36</v>
      </c>
      <c r="B712">
        <v>1500</v>
      </c>
      <c r="C712">
        <v>1500</v>
      </c>
      <c r="G712" s="24"/>
      <c r="H712" s="24"/>
    </row>
    <row r="713" spans="1:8" x14ac:dyDescent="0.35">
      <c r="A713" s="24" t="s">
        <v>37</v>
      </c>
      <c r="B713">
        <v>1500</v>
      </c>
      <c r="C713">
        <v>1500</v>
      </c>
      <c r="G713" s="24"/>
      <c r="H713" s="24"/>
    </row>
    <row r="714" spans="1:8" x14ac:dyDescent="0.35">
      <c r="A714" s="24" t="s">
        <v>38</v>
      </c>
      <c r="B714">
        <v>1500</v>
      </c>
      <c r="C714">
        <v>1500</v>
      </c>
      <c r="G714" s="24"/>
      <c r="H714" s="24"/>
    </row>
    <row r="715" spans="1:8" x14ac:dyDescent="0.35">
      <c r="A715" s="24" t="s">
        <v>542</v>
      </c>
      <c r="B715">
        <v>1500</v>
      </c>
      <c r="C715">
        <v>1500</v>
      </c>
      <c r="G715" s="24"/>
      <c r="H715" s="24"/>
    </row>
    <row r="716" spans="1:8" x14ac:dyDescent="0.35">
      <c r="A716" s="24" t="s">
        <v>543</v>
      </c>
      <c r="B716">
        <v>1500</v>
      </c>
      <c r="C716">
        <v>1500</v>
      </c>
      <c r="G716" s="24"/>
      <c r="H716" s="24"/>
    </row>
    <row r="717" spans="1:8" x14ac:dyDescent="0.35">
      <c r="A717" s="24" t="s">
        <v>544</v>
      </c>
      <c r="B717">
        <v>1500</v>
      </c>
      <c r="C717">
        <v>1500</v>
      </c>
      <c r="G717" s="24"/>
      <c r="H717" s="24"/>
    </row>
    <row r="718" spans="1:8" x14ac:dyDescent="0.35">
      <c r="A718" s="24" t="s">
        <v>92</v>
      </c>
      <c r="B718">
        <v>1500</v>
      </c>
      <c r="C718">
        <v>1500</v>
      </c>
      <c r="G718" s="24"/>
      <c r="H718" s="24"/>
    </row>
    <row r="719" spans="1:8" x14ac:dyDescent="0.35">
      <c r="A719" s="24" t="s">
        <v>93</v>
      </c>
      <c r="B719">
        <v>1500</v>
      </c>
      <c r="C719">
        <v>1500</v>
      </c>
      <c r="G719" s="24"/>
      <c r="H719" s="24"/>
    </row>
    <row r="720" spans="1:8" x14ac:dyDescent="0.35">
      <c r="A720" s="24" t="s">
        <v>94</v>
      </c>
      <c r="B720">
        <v>1500</v>
      </c>
      <c r="C720">
        <v>1500</v>
      </c>
      <c r="G720" s="24"/>
      <c r="H720" s="24"/>
    </row>
    <row r="721" spans="1:8" x14ac:dyDescent="0.35">
      <c r="A721" s="24" t="s">
        <v>95</v>
      </c>
      <c r="B721">
        <v>1500</v>
      </c>
      <c r="C721">
        <v>1500</v>
      </c>
      <c r="G721" s="24"/>
      <c r="H721" s="24"/>
    </row>
    <row r="722" spans="1:8" x14ac:dyDescent="0.35">
      <c r="A722" s="24" t="s">
        <v>849</v>
      </c>
      <c r="B722">
        <v>1500</v>
      </c>
      <c r="C722">
        <v>1500</v>
      </c>
      <c r="G722" s="24"/>
      <c r="H722" s="24"/>
    </row>
    <row r="723" spans="1:8" x14ac:dyDescent="0.35">
      <c r="A723" s="24" t="s">
        <v>850</v>
      </c>
      <c r="B723">
        <v>1500</v>
      </c>
      <c r="C723">
        <v>1500</v>
      </c>
      <c r="G723" s="24"/>
      <c r="H723" s="24"/>
    </row>
    <row r="724" spans="1:8" x14ac:dyDescent="0.35">
      <c r="A724" s="24" t="s">
        <v>851</v>
      </c>
      <c r="B724">
        <v>1500</v>
      </c>
      <c r="C724">
        <v>1500</v>
      </c>
      <c r="G724" s="24"/>
      <c r="H724" s="24"/>
    </row>
    <row r="725" spans="1:8" x14ac:dyDescent="0.35">
      <c r="A725" s="24" t="s">
        <v>852</v>
      </c>
      <c r="B725">
        <v>1500</v>
      </c>
      <c r="C725">
        <v>1500</v>
      </c>
      <c r="G725" s="24"/>
      <c r="H725" s="24"/>
    </row>
    <row r="726" spans="1:8" x14ac:dyDescent="0.35">
      <c r="A726" s="24" t="s">
        <v>1124</v>
      </c>
      <c r="C726"/>
      <c r="G726" s="24"/>
      <c r="H726" s="24"/>
    </row>
    <row r="727" spans="1:8" x14ac:dyDescent="0.35">
      <c r="A727" s="24" t="s">
        <v>1129</v>
      </c>
      <c r="B727">
        <v>40</v>
      </c>
      <c r="C727">
        <v>40</v>
      </c>
      <c r="G727" s="24"/>
      <c r="H727" s="24"/>
    </row>
    <row r="728" spans="1:8" x14ac:dyDescent="0.35">
      <c r="A728" s="24" t="s">
        <v>1128</v>
      </c>
      <c r="B728">
        <v>80</v>
      </c>
      <c r="C728">
        <v>80</v>
      </c>
      <c r="G728" s="24"/>
      <c r="H728" s="24"/>
    </row>
    <row r="729" spans="1:8" x14ac:dyDescent="0.35">
      <c r="A729" s="24" t="s">
        <v>1118</v>
      </c>
      <c r="C729"/>
      <c r="G729" s="24"/>
      <c r="H729" s="24"/>
    </row>
    <row r="730" spans="1:8" x14ac:dyDescent="0.35">
      <c r="A730" s="24" t="s">
        <v>1116</v>
      </c>
      <c r="C730"/>
      <c r="G730" s="24"/>
      <c r="H730" s="24"/>
    </row>
    <row r="731" spans="1:8" x14ac:dyDescent="0.35">
      <c r="A731" s="24" t="s">
        <v>1123</v>
      </c>
      <c r="C731"/>
      <c r="G731" s="24"/>
      <c r="H731" s="24"/>
    </row>
    <row r="732" spans="1:8" x14ac:dyDescent="0.35">
      <c r="A732" s="24" t="s">
        <v>1106</v>
      </c>
      <c r="B732" s="73">
        <v>1</v>
      </c>
      <c r="C732" s="73">
        <v>1</v>
      </c>
      <c r="G732" s="24"/>
      <c r="H732" s="24"/>
    </row>
    <row r="733" spans="1:8" x14ac:dyDescent="0.35">
      <c r="A733" s="24" t="s">
        <v>700</v>
      </c>
      <c r="B733" s="73">
        <v>0</v>
      </c>
      <c r="C733" s="73">
        <v>0</v>
      </c>
      <c r="G733" s="24"/>
      <c r="H733" s="24"/>
    </row>
    <row r="734" spans="1:8" x14ac:dyDescent="0.35">
      <c r="A734" s="24" t="s">
        <v>665</v>
      </c>
      <c r="B734" s="73">
        <v>1</v>
      </c>
      <c r="C734" s="73">
        <v>1</v>
      </c>
      <c r="G734" s="24"/>
      <c r="H734" s="24"/>
    </row>
    <row r="735" spans="1:8" x14ac:dyDescent="0.35">
      <c r="A735" s="24" t="s">
        <v>1219</v>
      </c>
      <c r="B735" s="73"/>
      <c r="G735" s="24"/>
      <c r="H735" s="24"/>
    </row>
    <row r="736" spans="1:8" x14ac:dyDescent="0.35">
      <c r="A736" s="24" t="s">
        <v>702</v>
      </c>
      <c r="B736" s="73">
        <v>17</v>
      </c>
      <c r="C736" s="73">
        <v>17</v>
      </c>
      <c r="G736" s="24"/>
      <c r="H736" s="24"/>
    </row>
    <row r="737" spans="1:8" x14ac:dyDescent="0.35">
      <c r="A737" s="24" t="s">
        <v>1125</v>
      </c>
      <c r="B737" s="73">
        <v>18</v>
      </c>
      <c r="C737" s="73">
        <v>18</v>
      </c>
      <c r="G737" s="24"/>
      <c r="H737" s="24"/>
    </row>
    <row r="738" spans="1:8" x14ac:dyDescent="0.35">
      <c r="A738" s="24" t="s">
        <v>628</v>
      </c>
      <c r="B738" s="73">
        <v>60</v>
      </c>
      <c r="C738" s="73">
        <v>60</v>
      </c>
      <c r="G738" s="24"/>
      <c r="H738" s="24"/>
    </row>
    <row r="739" spans="1:8" x14ac:dyDescent="0.35">
      <c r="A739" s="24" t="s">
        <v>1220</v>
      </c>
      <c r="B739" s="73" t="b">
        <v>0</v>
      </c>
      <c r="C739" s="73" t="b">
        <v>0</v>
      </c>
      <c r="G739" s="24"/>
      <c r="H739" s="24"/>
    </row>
    <row r="740" spans="1:8" x14ac:dyDescent="0.35">
      <c r="A740" s="24" t="s">
        <v>1221</v>
      </c>
      <c r="B740" s="73">
        <v>1</v>
      </c>
      <c r="C740" s="73">
        <v>1</v>
      </c>
      <c r="G740" s="24"/>
      <c r="H740" s="24"/>
    </row>
    <row r="741" spans="1:8" x14ac:dyDescent="0.35">
      <c r="A741" s="24" t="s">
        <v>468</v>
      </c>
      <c r="B741" s="73">
        <v>0</v>
      </c>
      <c r="C741" s="73">
        <v>0</v>
      </c>
      <c r="G741" s="24"/>
      <c r="H741" s="24"/>
    </row>
    <row r="742" spans="1:8" x14ac:dyDescent="0.35">
      <c r="A742" s="24" t="s">
        <v>1051</v>
      </c>
      <c r="B742" s="73"/>
      <c r="G742" s="24"/>
      <c r="H742" s="24"/>
    </row>
    <row r="743" spans="1:8" x14ac:dyDescent="0.35">
      <c r="A743" s="24" t="s">
        <v>1052</v>
      </c>
      <c r="B743" s="73"/>
      <c r="G743" s="24"/>
      <c r="H743" s="24"/>
    </row>
    <row r="744" spans="1:8" x14ac:dyDescent="0.35">
      <c r="A744" s="24" t="s">
        <v>634</v>
      </c>
      <c r="B744" s="73"/>
      <c r="G744" s="24"/>
      <c r="H744" s="24"/>
    </row>
    <row r="745" spans="1:8" x14ac:dyDescent="0.35">
      <c r="A745" s="24" t="s">
        <v>626</v>
      </c>
      <c r="B745" t="s">
        <v>854</v>
      </c>
      <c r="C745" t="s">
        <v>854</v>
      </c>
      <c r="G745" s="24"/>
      <c r="H745" s="24"/>
    </row>
    <row r="746" spans="1:8" x14ac:dyDescent="0.35">
      <c r="A746" s="24" t="s">
        <v>925</v>
      </c>
      <c r="B746" s="73" t="b">
        <v>0</v>
      </c>
      <c r="C746" s="73" t="b">
        <v>0</v>
      </c>
      <c r="G746" s="24"/>
      <c r="H746" s="24"/>
    </row>
    <row r="747" spans="1:8" x14ac:dyDescent="0.35">
      <c r="A747" s="24" t="s">
        <v>1354</v>
      </c>
      <c r="B747">
        <v>1</v>
      </c>
      <c r="C747">
        <v>1</v>
      </c>
      <c r="G747" s="24"/>
      <c r="H747" s="24"/>
    </row>
    <row r="748" spans="1:8" x14ac:dyDescent="0.35">
      <c r="A748" t="s">
        <v>1389</v>
      </c>
      <c r="B748" s="73" t="b">
        <v>0</v>
      </c>
      <c r="C748" s="73" t="b">
        <v>0</v>
      </c>
      <c r="G748" s="24"/>
      <c r="H748" s="24"/>
    </row>
    <row r="749" spans="1:8" x14ac:dyDescent="0.35">
      <c r="A749" t="s">
        <v>1390</v>
      </c>
      <c r="B749" s="73">
        <v>30</v>
      </c>
      <c r="C749" s="73">
        <v>30</v>
      </c>
      <c r="G749" s="24"/>
      <c r="H749" s="24"/>
    </row>
    <row r="750" spans="1:8" x14ac:dyDescent="0.35">
      <c r="A750" t="s">
        <v>1361</v>
      </c>
      <c r="B750" s="73">
        <v>3</v>
      </c>
      <c r="C750" s="73">
        <v>3</v>
      </c>
      <c r="G750" s="24"/>
      <c r="H750" s="24"/>
    </row>
    <row r="751" spans="1:8" x14ac:dyDescent="0.35">
      <c r="A751" s="24"/>
      <c r="B751" s="73"/>
      <c r="G751" s="24"/>
      <c r="H751" s="24"/>
    </row>
    <row r="752" spans="1:8" x14ac:dyDescent="0.35">
      <c r="A752" s="24"/>
      <c r="B752" s="73"/>
      <c r="G752" s="24"/>
      <c r="H752" s="24"/>
    </row>
    <row r="753" spans="1:8" x14ac:dyDescent="0.35">
      <c r="A753" s="24"/>
      <c r="B753" s="73"/>
      <c r="G753" s="24"/>
      <c r="H753" s="24"/>
    </row>
    <row r="754" spans="1:8" x14ac:dyDescent="0.35">
      <c r="A754" s="24"/>
      <c r="B754" s="73"/>
      <c r="G754" s="24"/>
      <c r="H754" s="24"/>
    </row>
    <row r="755" spans="1:8" x14ac:dyDescent="0.35">
      <c r="A755" s="24"/>
      <c r="B755" s="73"/>
      <c r="G755" s="24"/>
      <c r="H755" s="24"/>
    </row>
    <row r="756" spans="1:8" x14ac:dyDescent="0.35">
      <c r="A756" s="24"/>
      <c r="B756" s="73"/>
      <c r="G756" s="24"/>
      <c r="H756" s="24"/>
    </row>
    <row r="757" spans="1:8" x14ac:dyDescent="0.35">
      <c r="A757" s="24"/>
      <c r="B757" s="73"/>
      <c r="G757" s="24"/>
      <c r="H757" s="24"/>
    </row>
    <row r="758" spans="1:8" x14ac:dyDescent="0.35">
      <c r="A758" s="24"/>
      <c r="B758" s="73"/>
      <c r="G758" s="24"/>
      <c r="H758" s="24"/>
    </row>
    <row r="759" spans="1:8" x14ac:dyDescent="0.35">
      <c r="A759" s="24"/>
      <c r="B759" s="73"/>
      <c r="G759" s="24"/>
      <c r="H759" s="24"/>
    </row>
    <row r="760" spans="1:8" x14ac:dyDescent="0.35">
      <c r="A760" s="24"/>
      <c r="B760" s="73"/>
      <c r="G760" s="24"/>
      <c r="H760" s="24"/>
    </row>
    <row r="761" spans="1:8" x14ac:dyDescent="0.35">
      <c r="A761" s="24"/>
      <c r="B761" s="73"/>
      <c r="G761" s="24"/>
      <c r="H761" s="24"/>
    </row>
    <row r="762" spans="1:8" x14ac:dyDescent="0.35">
      <c r="A762" s="24"/>
      <c r="B762" s="73"/>
      <c r="G762" s="24"/>
      <c r="H762" s="24"/>
    </row>
    <row r="763" spans="1:8" x14ac:dyDescent="0.35">
      <c r="A763" s="24"/>
      <c r="B763" s="73"/>
      <c r="G763" s="24"/>
      <c r="H763" s="24"/>
    </row>
    <row r="764" spans="1:8" x14ac:dyDescent="0.35">
      <c r="A764" s="24"/>
      <c r="B764" s="73"/>
      <c r="G764" s="24"/>
      <c r="H764" s="24"/>
    </row>
    <row r="765" spans="1:8" x14ac:dyDescent="0.35">
      <c r="A765" s="24"/>
      <c r="B765" s="73"/>
      <c r="G765" s="24"/>
      <c r="H765" s="24"/>
    </row>
    <row r="766" spans="1:8" x14ac:dyDescent="0.35">
      <c r="A766" s="24"/>
      <c r="B766" s="73"/>
      <c r="G766" s="24"/>
      <c r="H766" s="24"/>
    </row>
    <row r="767" spans="1:8" x14ac:dyDescent="0.35">
      <c r="A767" s="24"/>
      <c r="B767" s="73"/>
      <c r="G767" s="24"/>
      <c r="H767" s="24"/>
    </row>
    <row r="768" spans="1:8" x14ac:dyDescent="0.35">
      <c r="A768" s="24"/>
      <c r="B768" s="73"/>
      <c r="G768" s="24"/>
      <c r="H768" s="24"/>
    </row>
    <row r="769" spans="1:8" x14ac:dyDescent="0.35">
      <c r="A769" s="24"/>
      <c r="B769" s="73"/>
      <c r="G769" s="24"/>
      <c r="H769" s="24"/>
    </row>
    <row r="770" spans="1:8" x14ac:dyDescent="0.35">
      <c r="A770" s="24"/>
      <c r="B770" s="73"/>
      <c r="G770" s="24"/>
      <c r="H770" s="24"/>
    </row>
    <row r="771" spans="1:8" x14ac:dyDescent="0.35">
      <c r="A771" s="24"/>
      <c r="B771" s="73"/>
      <c r="G771" s="24"/>
      <c r="H771" s="24"/>
    </row>
    <row r="772" spans="1:8" x14ac:dyDescent="0.35">
      <c r="A772" s="24"/>
      <c r="B772" s="73"/>
      <c r="G772" s="24"/>
      <c r="H772" s="24"/>
    </row>
    <row r="773" spans="1:8" x14ac:dyDescent="0.35">
      <c r="A773" s="24"/>
      <c r="B773" s="73"/>
      <c r="G773" s="24"/>
      <c r="H773" s="24"/>
    </row>
    <row r="774" spans="1:8" x14ac:dyDescent="0.35">
      <c r="A774" s="24"/>
      <c r="B774" s="73"/>
      <c r="G774" s="24"/>
      <c r="H774" s="24"/>
    </row>
    <row r="775" spans="1:8" x14ac:dyDescent="0.35">
      <c r="A775" s="24"/>
      <c r="B775" s="73"/>
      <c r="G775" s="24"/>
      <c r="H775" s="24"/>
    </row>
    <row r="776" spans="1:8" x14ac:dyDescent="0.35">
      <c r="A776" s="24"/>
      <c r="B776" s="73"/>
      <c r="G776" s="24"/>
      <c r="H776" s="24"/>
    </row>
    <row r="777" spans="1:8" x14ac:dyDescent="0.35">
      <c r="A777" s="24"/>
      <c r="B777" s="73"/>
      <c r="G777" s="24"/>
      <c r="H777" s="24"/>
    </row>
    <row r="778" spans="1:8" x14ac:dyDescent="0.35">
      <c r="A778" s="24"/>
      <c r="B778" s="73"/>
      <c r="G778" s="24"/>
      <c r="H778" s="24"/>
    </row>
    <row r="779" spans="1:8" x14ac:dyDescent="0.35">
      <c r="A779" s="24"/>
      <c r="B779" s="73"/>
      <c r="G779" s="24"/>
      <c r="H779" s="24"/>
    </row>
    <row r="780" spans="1:8" x14ac:dyDescent="0.35">
      <c r="A780" s="24"/>
      <c r="B780" s="73"/>
      <c r="G780" s="24"/>
      <c r="H780" s="24"/>
    </row>
    <row r="781" spans="1:8" x14ac:dyDescent="0.35">
      <c r="A781" s="24"/>
      <c r="B781" s="73"/>
      <c r="G781" s="24"/>
      <c r="H781" s="24"/>
    </row>
    <row r="782" spans="1:8" x14ac:dyDescent="0.35">
      <c r="A782" s="24"/>
      <c r="B782" s="73"/>
      <c r="G782" s="24"/>
      <c r="H782" s="24"/>
    </row>
    <row r="783" spans="1:8" x14ac:dyDescent="0.35">
      <c r="A783" s="24"/>
      <c r="B783" s="73"/>
      <c r="G783" s="24"/>
      <c r="H783" s="24"/>
    </row>
    <row r="784" spans="1:8" x14ac:dyDescent="0.35">
      <c r="A784" s="24"/>
      <c r="B784" s="73"/>
      <c r="G784" s="24"/>
      <c r="H784" s="24"/>
    </row>
    <row r="785" spans="1:8" x14ac:dyDescent="0.35">
      <c r="A785" s="24"/>
      <c r="B785" s="73"/>
      <c r="G785" s="24"/>
      <c r="H785" s="24"/>
    </row>
    <row r="786" spans="1:8" x14ac:dyDescent="0.35">
      <c r="A786" s="24"/>
      <c r="B786" s="73"/>
      <c r="G786" s="24"/>
      <c r="H786" s="24"/>
    </row>
    <row r="787" spans="1:8" x14ac:dyDescent="0.35">
      <c r="A787" s="24"/>
      <c r="B787" s="73"/>
      <c r="G787" s="24"/>
      <c r="H787" s="24"/>
    </row>
    <row r="788" spans="1:8" x14ac:dyDescent="0.35">
      <c r="A788" s="24"/>
      <c r="B788" s="73"/>
      <c r="G788" s="24"/>
      <c r="H788" s="24"/>
    </row>
    <row r="789" spans="1:8" x14ac:dyDescent="0.35">
      <c r="A789" s="24"/>
      <c r="B789" s="73"/>
      <c r="G789" s="24"/>
      <c r="H789" s="24"/>
    </row>
    <row r="790" spans="1:8" x14ac:dyDescent="0.35">
      <c r="A790" s="24"/>
      <c r="B790" s="73"/>
      <c r="G790" s="24"/>
      <c r="H790" s="24"/>
    </row>
    <row r="791" spans="1:8" x14ac:dyDescent="0.35">
      <c r="A791" s="24"/>
      <c r="B791" s="73"/>
      <c r="G791" s="24"/>
      <c r="H791" s="24"/>
    </row>
    <row r="792" spans="1:8" x14ac:dyDescent="0.35">
      <c r="A792" s="24"/>
      <c r="B792" s="73"/>
      <c r="G792" s="24"/>
      <c r="H792" s="24"/>
    </row>
    <row r="793" spans="1:8" x14ac:dyDescent="0.35">
      <c r="A793" s="24"/>
      <c r="B793" s="73"/>
      <c r="G793" s="24"/>
      <c r="H793" s="24"/>
    </row>
    <row r="794" spans="1:8" x14ac:dyDescent="0.35">
      <c r="A794" s="24"/>
      <c r="B794" s="73"/>
      <c r="G794" s="24"/>
      <c r="H794" s="24"/>
    </row>
    <row r="795" spans="1:8" x14ac:dyDescent="0.35">
      <c r="A795" s="24"/>
      <c r="B795" s="73"/>
      <c r="G795" s="24"/>
      <c r="H795" s="24"/>
    </row>
    <row r="796" spans="1:8" x14ac:dyDescent="0.35">
      <c r="A796" s="24"/>
      <c r="B796" s="73"/>
      <c r="G796" s="24"/>
      <c r="H796" s="24"/>
    </row>
    <row r="797" spans="1:8" x14ac:dyDescent="0.35">
      <c r="A797" s="24"/>
      <c r="B797" s="73"/>
      <c r="G797" s="24"/>
      <c r="H797" s="24"/>
    </row>
    <row r="798" spans="1:8" x14ac:dyDescent="0.35">
      <c r="A798" s="24"/>
      <c r="B798" s="73"/>
      <c r="G798" s="24"/>
      <c r="H798" s="24"/>
    </row>
    <row r="799" spans="1:8" x14ac:dyDescent="0.35">
      <c r="A799" s="24"/>
      <c r="B799" s="73"/>
      <c r="G799" s="24"/>
      <c r="H799" s="24"/>
    </row>
    <row r="800" spans="1:8" x14ac:dyDescent="0.35">
      <c r="A800" s="24"/>
      <c r="B800" s="73"/>
      <c r="G800" s="24"/>
      <c r="H800" s="24"/>
    </row>
    <row r="801" spans="1:8" x14ac:dyDescent="0.35">
      <c r="A801" s="24"/>
      <c r="B801" s="73"/>
      <c r="G801" s="24"/>
      <c r="H801" s="24"/>
    </row>
    <row r="802" spans="1:8" x14ac:dyDescent="0.35">
      <c r="A802" s="24"/>
      <c r="B802" s="73"/>
      <c r="G802" s="24"/>
      <c r="H802" s="24"/>
    </row>
    <row r="803" spans="1:8" x14ac:dyDescent="0.35">
      <c r="A803" s="24"/>
      <c r="B803" s="73"/>
      <c r="G803" s="24"/>
      <c r="H803" s="24"/>
    </row>
    <row r="804" spans="1:8" x14ac:dyDescent="0.35">
      <c r="A804" s="24"/>
      <c r="B804" s="73"/>
      <c r="G804" s="24"/>
      <c r="H804" s="24"/>
    </row>
    <row r="805" spans="1:8" x14ac:dyDescent="0.35">
      <c r="A805" s="24"/>
      <c r="B805" s="73"/>
      <c r="G805" s="24"/>
      <c r="H805" s="24"/>
    </row>
    <row r="806" spans="1:8" x14ac:dyDescent="0.35">
      <c r="A806" s="24"/>
      <c r="B806" s="73"/>
      <c r="G806" s="24"/>
      <c r="H806" s="24"/>
    </row>
    <row r="807" spans="1:8" x14ac:dyDescent="0.35">
      <c r="A807" s="24"/>
      <c r="B807" s="73"/>
      <c r="G807" s="24"/>
      <c r="H807" s="24"/>
    </row>
    <row r="808" spans="1:8" x14ac:dyDescent="0.35">
      <c r="A808" s="24"/>
      <c r="B808" s="73"/>
      <c r="G808" s="24"/>
      <c r="H808" s="24"/>
    </row>
    <row r="809" spans="1:8" x14ac:dyDescent="0.35">
      <c r="A809" s="24"/>
      <c r="B809" s="73"/>
      <c r="G809" s="24"/>
      <c r="H809" s="24"/>
    </row>
    <row r="810" spans="1:8" x14ac:dyDescent="0.35">
      <c r="A810" s="24"/>
      <c r="B810" s="73"/>
      <c r="G810" s="24"/>
      <c r="H810" s="24"/>
    </row>
    <row r="811" spans="1:8" x14ac:dyDescent="0.35">
      <c r="A811" s="24"/>
      <c r="G811" s="24"/>
      <c r="H811" s="24"/>
    </row>
    <row r="812" spans="1:8" x14ac:dyDescent="0.35">
      <c r="A812" s="24"/>
      <c r="G812" s="24"/>
      <c r="H812" s="24"/>
    </row>
    <row r="813" spans="1:8" x14ac:dyDescent="0.35">
      <c r="A813" s="24"/>
      <c r="G813" s="24"/>
      <c r="H813" s="24"/>
    </row>
    <row r="814" spans="1:8" x14ac:dyDescent="0.35">
      <c r="A814" s="24"/>
      <c r="B814" s="24"/>
      <c r="G814" s="24"/>
      <c r="H814" s="24"/>
    </row>
    <row r="815" spans="1:8" x14ac:dyDescent="0.35">
      <c r="A815" s="24"/>
      <c r="B815" s="24"/>
      <c r="G815" s="24"/>
      <c r="H815" s="24"/>
    </row>
    <row r="816" spans="1:8" x14ac:dyDescent="0.35">
      <c r="A816" s="24"/>
      <c r="B816" s="24"/>
      <c r="G816" s="24"/>
      <c r="H816" s="24"/>
    </row>
    <row r="817" spans="1:8" x14ac:dyDescent="0.35">
      <c r="A817" s="24"/>
      <c r="B817" s="24"/>
      <c r="G817" s="24"/>
      <c r="H817" s="24"/>
    </row>
    <row r="818" spans="1:8" x14ac:dyDescent="0.35">
      <c r="A818" s="24"/>
      <c r="B818" s="24"/>
      <c r="G818" s="24"/>
      <c r="H818" s="24"/>
    </row>
    <row r="819" spans="1:8" x14ac:dyDescent="0.35">
      <c r="A819" s="24"/>
      <c r="B819" s="24"/>
      <c r="G819" s="24"/>
      <c r="H819" s="24"/>
    </row>
    <row r="820" spans="1:8" x14ac:dyDescent="0.35">
      <c r="A820" s="24"/>
      <c r="B820" s="24"/>
      <c r="G820" s="24"/>
      <c r="H820" s="24"/>
    </row>
    <row r="821" spans="1:8" x14ac:dyDescent="0.35">
      <c r="A821" s="24"/>
      <c r="B821" s="24"/>
      <c r="G821" s="24"/>
      <c r="H821" s="24"/>
    </row>
    <row r="822" spans="1:8" x14ac:dyDescent="0.35">
      <c r="A822" s="24"/>
      <c r="B822" s="24"/>
      <c r="G822" s="24"/>
      <c r="H822" s="24"/>
    </row>
    <row r="823" spans="1:8" x14ac:dyDescent="0.35">
      <c r="A823" s="24"/>
      <c r="B823" s="24"/>
      <c r="G823" s="24"/>
      <c r="H823" s="24"/>
    </row>
    <row r="824" spans="1:8" x14ac:dyDescent="0.35">
      <c r="A824" s="24"/>
      <c r="B824" s="24"/>
      <c r="G824" s="24"/>
      <c r="H824" s="24"/>
    </row>
    <row r="825" spans="1:8" x14ac:dyDescent="0.35">
      <c r="A825" s="24"/>
      <c r="B825" s="24"/>
      <c r="G825" s="24"/>
      <c r="H825" s="24"/>
    </row>
    <row r="826" spans="1:8" x14ac:dyDescent="0.35">
      <c r="A826" s="24"/>
      <c r="B826" s="24"/>
      <c r="G826" s="24"/>
      <c r="H826" s="24"/>
    </row>
    <row r="827" spans="1:8" x14ac:dyDescent="0.35">
      <c r="A827" s="24"/>
      <c r="B827" s="24"/>
      <c r="G827" s="24"/>
      <c r="H827" s="24"/>
    </row>
    <row r="828" spans="1:8" x14ac:dyDescent="0.35">
      <c r="A828" s="24"/>
      <c r="B828" s="24"/>
      <c r="G828" s="24"/>
      <c r="H828" s="24"/>
    </row>
    <row r="829" spans="1:8" x14ac:dyDescent="0.35">
      <c r="A829" s="24"/>
      <c r="B829" s="24"/>
      <c r="G829" s="24"/>
      <c r="H829" s="24"/>
    </row>
    <row r="830" spans="1:8" x14ac:dyDescent="0.35">
      <c r="A830" s="24"/>
      <c r="B830" s="24"/>
      <c r="G830" s="24"/>
      <c r="H830" s="24"/>
    </row>
    <row r="831" spans="1:8" x14ac:dyDescent="0.35">
      <c r="A831" s="24"/>
      <c r="B831" s="24"/>
      <c r="G831" s="24"/>
      <c r="H831" s="24"/>
    </row>
    <row r="832" spans="1:8" x14ac:dyDescent="0.35">
      <c r="A832" s="24"/>
      <c r="B832" s="24"/>
      <c r="G832" s="24"/>
      <c r="H832" s="24"/>
    </row>
    <row r="833" spans="1:8" x14ac:dyDescent="0.35">
      <c r="A833" s="24"/>
      <c r="B833" s="24"/>
      <c r="G833" s="24"/>
      <c r="H833" s="24"/>
    </row>
    <row r="834" spans="1:8" x14ac:dyDescent="0.35">
      <c r="A834" s="24"/>
      <c r="B834" s="24"/>
      <c r="G834" s="24"/>
      <c r="H834" s="24"/>
    </row>
    <row r="835" spans="1:8" x14ac:dyDescent="0.35">
      <c r="A835" s="24"/>
      <c r="B835" s="24"/>
      <c r="G835" s="24"/>
      <c r="H835" s="24"/>
    </row>
    <row r="836" spans="1:8" x14ac:dyDescent="0.35">
      <c r="A836" s="24"/>
      <c r="B836" s="24"/>
      <c r="G836" s="24"/>
      <c r="H836" s="24"/>
    </row>
    <row r="837" spans="1:8" x14ac:dyDescent="0.35">
      <c r="A837" s="24"/>
      <c r="B837" s="24"/>
      <c r="G837" s="24"/>
      <c r="H837" s="24"/>
    </row>
    <row r="838" spans="1:8" x14ac:dyDescent="0.35">
      <c r="A838" s="24"/>
      <c r="B838" s="24"/>
      <c r="G838" s="24"/>
      <c r="H838" s="24"/>
    </row>
    <row r="839" spans="1:8" x14ac:dyDescent="0.35">
      <c r="A839" s="24"/>
      <c r="B839" s="24"/>
      <c r="G839" s="24"/>
      <c r="H839" s="24"/>
    </row>
    <row r="840" spans="1:8" x14ac:dyDescent="0.35">
      <c r="A840" s="24"/>
      <c r="B840" s="24"/>
      <c r="G840" s="24"/>
      <c r="H840" s="24"/>
    </row>
    <row r="841" spans="1:8" x14ac:dyDescent="0.35">
      <c r="A841" s="24"/>
      <c r="B841" s="24"/>
      <c r="G841" s="24"/>
      <c r="H841" s="24"/>
    </row>
    <row r="842" spans="1:8" x14ac:dyDescent="0.35">
      <c r="A842" s="24"/>
      <c r="B842" s="24"/>
      <c r="G842" s="24"/>
      <c r="H842" s="24"/>
    </row>
    <row r="843" spans="1:8" x14ac:dyDescent="0.35">
      <c r="A843" s="24"/>
      <c r="B843" s="24"/>
      <c r="G843" s="24"/>
      <c r="H843" s="24"/>
    </row>
    <row r="844" spans="1:8" x14ac:dyDescent="0.35">
      <c r="A844" s="24"/>
      <c r="B844" s="24"/>
      <c r="G844" s="24"/>
      <c r="H844" s="24"/>
    </row>
    <row r="845" spans="1:8" x14ac:dyDescent="0.35">
      <c r="A845" s="24"/>
      <c r="B845" s="24"/>
      <c r="G845" s="24"/>
      <c r="H845" s="24"/>
    </row>
    <row r="846" spans="1:8" x14ac:dyDescent="0.35">
      <c r="A846" s="24"/>
      <c r="B846" s="24"/>
      <c r="G846" s="24"/>
      <c r="H846" s="24"/>
    </row>
    <row r="847" spans="1:8" x14ac:dyDescent="0.35">
      <c r="A847" s="24"/>
      <c r="B847" s="24"/>
      <c r="G847" s="24"/>
      <c r="H847" s="24"/>
    </row>
    <row r="848" spans="1:8" x14ac:dyDescent="0.35">
      <c r="A848" s="24"/>
      <c r="B848" s="24"/>
      <c r="G848" s="24"/>
      <c r="H848" s="24"/>
    </row>
    <row r="849" spans="1:8" x14ac:dyDescent="0.35">
      <c r="A849" s="24"/>
      <c r="B849" s="24"/>
      <c r="G849" s="24"/>
      <c r="H849" s="24"/>
    </row>
    <row r="850" spans="1:8" x14ac:dyDescent="0.35">
      <c r="A850" s="24"/>
      <c r="B850" s="24"/>
      <c r="G850" s="24"/>
      <c r="H850" s="24"/>
    </row>
    <row r="851" spans="1:8" x14ac:dyDescent="0.35">
      <c r="A851" s="24"/>
      <c r="B851" s="24"/>
      <c r="G851" s="24"/>
      <c r="H851" s="24"/>
    </row>
    <row r="852" spans="1:8" x14ac:dyDescent="0.35">
      <c r="A852" s="24"/>
      <c r="B852" s="24"/>
      <c r="G852" s="24"/>
      <c r="H852" s="24"/>
    </row>
    <row r="853" spans="1:8" x14ac:dyDescent="0.35">
      <c r="A853" s="24"/>
      <c r="B853" s="24"/>
      <c r="G853" s="24"/>
      <c r="H853" s="24"/>
    </row>
    <row r="854" spans="1:8" x14ac:dyDescent="0.35">
      <c r="A854" s="24"/>
      <c r="B854" s="24"/>
      <c r="G854" s="24"/>
      <c r="H854" s="24"/>
    </row>
    <row r="855" spans="1:8" x14ac:dyDescent="0.35">
      <c r="A855" s="24"/>
      <c r="B855" s="24"/>
      <c r="G855" s="24"/>
      <c r="H855" s="24"/>
    </row>
    <row r="856" spans="1:8" x14ac:dyDescent="0.35">
      <c r="A856" s="24"/>
      <c r="B856" s="24"/>
      <c r="G856" s="24"/>
      <c r="H856" s="24"/>
    </row>
    <row r="857" spans="1:8" x14ac:dyDescent="0.35">
      <c r="A857" s="24"/>
      <c r="B857" s="24"/>
      <c r="G857" s="24"/>
      <c r="H857" s="24"/>
    </row>
    <row r="858" spans="1:8" x14ac:dyDescent="0.35">
      <c r="A858" s="24"/>
      <c r="B858" s="24"/>
      <c r="G858" s="24"/>
      <c r="H858" s="24"/>
    </row>
    <row r="859" spans="1:8" x14ac:dyDescent="0.35">
      <c r="A859" s="24"/>
      <c r="B859" s="24"/>
      <c r="G859" s="24"/>
      <c r="H859" s="24"/>
    </row>
    <row r="860" spans="1:8" x14ac:dyDescent="0.35">
      <c r="A860" s="24"/>
      <c r="B860" s="24"/>
      <c r="G860" s="24"/>
      <c r="H860" s="24"/>
    </row>
    <row r="861" spans="1:8" x14ac:dyDescent="0.35">
      <c r="A861" s="24"/>
      <c r="B861" s="24"/>
      <c r="G861" s="24"/>
      <c r="H861" s="24"/>
    </row>
    <row r="862" spans="1:8" x14ac:dyDescent="0.35">
      <c r="A862" s="24"/>
      <c r="B862" s="24"/>
      <c r="G862" s="24"/>
      <c r="H862" s="24"/>
    </row>
    <row r="863" spans="1:8" x14ac:dyDescent="0.35">
      <c r="A863" s="24"/>
      <c r="B863" s="24"/>
      <c r="G863" s="24"/>
      <c r="H863" s="24"/>
    </row>
    <row r="864" spans="1:8" x14ac:dyDescent="0.35">
      <c r="A864" s="24"/>
      <c r="B864" s="24"/>
      <c r="G864" s="24"/>
      <c r="H864" s="24"/>
    </row>
    <row r="865" spans="1:8" x14ac:dyDescent="0.35">
      <c r="A865" s="24"/>
      <c r="B865" s="24"/>
      <c r="G865" s="24"/>
      <c r="H865" s="24"/>
    </row>
    <row r="866" spans="1:8" x14ac:dyDescent="0.35">
      <c r="A866" s="24"/>
      <c r="B866" s="24"/>
      <c r="G866" s="24"/>
      <c r="H866" s="24"/>
    </row>
    <row r="867" spans="1:8" x14ac:dyDescent="0.35">
      <c r="A867" s="24"/>
      <c r="B867" s="24"/>
      <c r="G867" s="24"/>
      <c r="H867" s="24"/>
    </row>
    <row r="868" spans="1:8" x14ac:dyDescent="0.35">
      <c r="A868" s="24"/>
      <c r="B868" s="24"/>
      <c r="G868" s="24"/>
      <c r="H868" s="24"/>
    </row>
    <row r="869" spans="1:8" x14ac:dyDescent="0.35">
      <c r="A869" s="24"/>
      <c r="B869" s="24"/>
      <c r="G869" s="24"/>
      <c r="H869" s="24"/>
    </row>
    <row r="870" spans="1:8" x14ac:dyDescent="0.35">
      <c r="A870" s="24"/>
      <c r="B870" s="24"/>
      <c r="G870" s="24"/>
      <c r="H870" s="24"/>
    </row>
    <row r="871" spans="1:8" x14ac:dyDescent="0.35">
      <c r="A871" s="24"/>
      <c r="B871" s="24"/>
      <c r="G871" s="24"/>
      <c r="H871" s="24"/>
    </row>
    <row r="872" spans="1:8" x14ac:dyDescent="0.35">
      <c r="A872" s="24"/>
      <c r="B872" s="24"/>
      <c r="G872" s="24"/>
      <c r="H872" s="24"/>
    </row>
    <row r="873" spans="1:8" x14ac:dyDescent="0.35">
      <c r="A873" s="24"/>
      <c r="B873" s="24"/>
      <c r="G873" s="24"/>
      <c r="H873" s="24"/>
    </row>
    <row r="874" spans="1:8" x14ac:dyDescent="0.35">
      <c r="A874" s="24"/>
      <c r="B874" s="24"/>
      <c r="G874" s="24"/>
      <c r="H874" s="24"/>
    </row>
    <row r="875" spans="1:8" x14ac:dyDescent="0.35">
      <c r="A875" s="24"/>
      <c r="B875" s="24"/>
      <c r="G875" s="24"/>
      <c r="H875" s="24"/>
    </row>
    <row r="876" spans="1:8" x14ac:dyDescent="0.35">
      <c r="A876" s="24"/>
      <c r="B876" s="24"/>
      <c r="G876" s="24"/>
      <c r="H876" s="24"/>
    </row>
    <row r="877" spans="1:8" x14ac:dyDescent="0.35">
      <c r="A877" s="24"/>
      <c r="B877" s="24"/>
      <c r="G877" s="24"/>
      <c r="H877" s="24"/>
    </row>
    <row r="878" spans="1:8" x14ac:dyDescent="0.35">
      <c r="A878" s="24"/>
      <c r="B878" s="24"/>
      <c r="G878" s="24"/>
      <c r="H878" s="24"/>
    </row>
    <row r="879" spans="1:8" x14ac:dyDescent="0.35">
      <c r="A879" s="24"/>
      <c r="B879" s="24"/>
      <c r="G879" s="24"/>
      <c r="H879" s="24"/>
    </row>
    <row r="880" spans="1:8" x14ac:dyDescent="0.35">
      <c r="A880" s="24"/>
      <c r="B880" s="24"/>
      <c r="G880" s="24"/>
      <c r="H880" s="24"/>
    </row>
    <row r="881" spans="1:8" x14ac:dyDescent="0.35">
      <c r="A881" s="24"/>
      <c r="B881" s="24"/>
      <c r="G881" s="24"/>
      <c r="H881" s="24"/>
    </row>
    <row r="882" spans="1:8" x14ac:dyDescent="0.35">
      <c r="A882" s="24"/>
      <c r="B882" s="24"/>
      <c r="G882" s="24"/>
      <c r="H882" s="24"/>
    </row>
    <row r="883" spans="1:8" x14ac:dyDescent="0.35">
      <c r="A883" s="24"/>
      <c r="B883" s="24"/>
      <c r="G883" s="24"/>
      <c r="H883" s="24"/>
    </row>
    <row r="884" spans="1:8" x14ac:dyDescent="0.35">
      <c r="A884" s="24"/>
      <c r="B884" s="24"/>
      <c r="G884" s="24"/>
      <c r="H884" s="24"/>
    </row>
    <row r="885" spans="1:8" x14ac:dyDescent="0.35">
      <c r="A885" s="24"/>
      <c r="B885" s="24"/>
      <c r="G885" s="24"/>
      <c r="H885" s="24"/>
    </row>
    <row r="886" spans="1:8" x14ac:dyDescent="0.35">
      <c r="A886" s="24"/>
      <c r="B886" s="24"/>
      <c r="G886" s="24"/>
      <c r="H886" s="24"/>
    </row>
    <row r="887" spans="1:8" x14ac:dyDescent="0.35">
      <c r="A887" s="24"/>
      <c r="B887" s="24"/>
      <c r="G887" s="24"/>
      <c r="H887" s="24"/>
    </row>
    <row r="888" spans="1:8" x14ac:dyDescent="0.35">
      <c r="A888" s="24"/>
      <c r="B888" s="24"/>
      <c r="G888" s="24"/>
      <c r="H888" s="24"/>
    </row>
    <row r="889" spans="1:8" x14ac:dyDescent="0.35">
      <c r="A889" s="24"/>
      <c r="B889" s="24"/>
      <c r="G889" s="24"/>
      <c r="H889" s="24"/>
    </row>
    <row r="890" spans="1:8" x14ac:dyDescent="0.35">
      <c r="A890" s="24"/>
      <c r="B890" s="24"/>
      <c r="G890" s="24"/>
      <c r="H890" s="24"/>
    </row>
    <row r="891" spans="1:8" x14ac:dyDescent="0.35">
      <c r="A891" s="24"/>
      <c r="B891" s="24"/>
      <c r="G891" s="24"/>
      <c r="H891" s="24"/>
    </row>
    <row r="892" spans="1:8" x14ac:dyDescent="0.35">
      <c r="A892" s="24"/>
      <c r="B892" s="24"/>
      <c r="G892" s="24"/>
      <c r="H892" s="24"/>
    </row>
    <row r="893" spans="1:8" x14ac:dyDescent="0.35">
      <c r="A893" s="24"/>
      <c r="B893" s="24"/>
      <c r="G893" s="24"/>
      <c r="H893" s="24"/>
    </row>
    <row r="894" spans="1:8" x14ac:dyDescent="0.35">
      <c r="A894" s="24"/>
      <c r="B894" s="24"/>
      <c r="G894" s="24"/>
      <c r="H894" s="24"/>
    </row>
    <row r="895" spans="1:8" x14ac:dyDescent="0.35">
      <c r="A895" s="24"/>
      <c r="B895" s="24"/>
      <c r="G895" s="24"/>
      <c r="H895" s="24"/>
    </row>
    <row r="896" spans="1:8" x14ac:dyDescent="0.35">
      <c r="A896" s="24"/>
      <c r="B896" s="24"/>
      <c r="G896" s="24"/>
      <c r="H896" s="24"/>
    </row>
    <row r="897" spans="1:8" x14ac:dyDescent="0.35">
      <c r="A897" s="24"/>
      <c r="B897" s="24"/>
      <c r="G897" s="24"/>
      <c r="H897" s="24"/>
    </row>
    <row r="898" spans="1:8" x14ac:dyDescent="0.35">
      <c r="A898" s="24"/>
      <c r="B898" s="24"/>
      <c r="G898" s="24"/>
      <c r="H898" s="24"/>
    </row>
    <row r="899" spans="1:8" x14ac:dyDescent="0.35">
      <c r="A899" s="24"/>
      <c r="B899" s="24"/>
      <c r="G899" s="24"/>
      <c r="H899" s="24"/>
    </row>
    <row r="900" spans="1:8" x14ac:dyDescent="0.35">
      <c r="A900" s="24"/>
      <c r="B900" s="24"/>
      <c r="G900" s="24"/>
      <c r="H900" s="24"/>
    </row>
    <row r="901" spans="1:8" x14ac:dyDescent="0.35">
      <c r="A901" s="24"/>
      <c r="B901" s="24"/>
      <c r="G901" s="24"/>
      <c r="H901" s="24"/>
    </row>
    <row r="902" spans="1:8" x14ac:dyDescent="0.35">
      <c r="A902" s="24"/>
      <c r="B902" s="24"/>
      <c r="G902" s="24"/>
      <c r="H902" s="24"/>
    </row>
    <row r="903" spans="1:8" x14ac:dyDescent="0.35">
      <c r="A903" s="24"/>
      <c r="B903" s="24"/>
      <c r="G903" s="24"/>
      <c r="H903" s="24"/>
    </row>
    <row r="904" spans="1:8" x14ac:dyDescent="0.35">
      <c r="A904" s="24"/>
      <c r="B904" s="24"/>
      <c r="G904" s="24"/>
      <c r="H904" s="24"/>
    </row>
    <row r="905" spans="1:8" x14ac:dyDescent="0.35">
      <c r="A905" s="24"/>
      <c r="B905" s="24"/>
      <c r="G905" s="24"/>
      <c r="H905" s="24"/>
    </row>
    <row r="906" spans="1:8" x14ac:dyDescent="0.35">
      <c r="A906" s="24"/>
      <c r="B906" s="24"/>
      <c r="G906" s="24"/>
      <c r="H906" s="24"/>
    </row>
    <row r="907" spans="1:8" x14ac:dyDescent="0.35">
      <c r="A907" s="24"/>
      <c r="B907" s="24"/>
      <c r="G907" s="24"/>
      <c r="H907" s="24"/>
    </row>
    <row r="908" spans="1:8" x14ac:dyDescent="0.35">
      <c r="A908" s="24"/>
      <c r="B908" s="24"/>
      <c r="G908" s="24"/>
      <c r="H908" s="24"/>
    </row>
    <row r="909" spans="1:8" x14ac:dyDescent="0.35">
      <c r="A909" s="24"/>
      <c r="B909" s="24"/>
      <c r="G909" s="24"/>
      <c r="H909" s="24"/>
    </row>
    <row r="910" spans="1:8" x14ac:dyDescent="0.35">
      <c r="A910" s="24"/>
      <c r="B910" s="24"/>
      <c r="G910" s="24"/>
      <c r="H910" s="24"/>
    </row>
    <row r="911" spans="1:8" x14ac:dyDescent="0.35">
      <c r="A911" s="24"/>
      <c r="B911" s="24"/>
      <c r="G911" s="24"/>
      <c r="H911" s="24"/>
    </row>
    <row r="912" spans="1:8" x14ac:dyDescent="0.35">
      <c r="A912" s="24"/>
      <c r="B912" s="24"/>
      <c r="G912" s="24"/>
      <c r="H912" s="24"/>
    </row>
    <row r="913" spans="2:8" x14ac:dyDescent="0.35">
      <c r="B913" s="24"/>
      <c r="G913" s="24"/>
      <c r="H913" s="24"/>
    </row>
    <row r="914" spans="2:8" x14ac:dyDescent="0.35">
      <c r="B914" s="24"/>
      <c r="G914" s="24"/>
      <c r="H914" s="24"/>
    </row>
    <row r="915" spans="2:8" x14ac:dyDescent="0.35">
      <c r="B915" s="24"/>
      <c r="G915" s="24"/>
      <c r="H915" s="24"/>
    </row>
    <row r="916" spans="2:8" x14ac:dyDescent="0.35">
      <c r="B916" s="24"/>
      <c r="G916" s="24"/>
      <c r="H916" s="24"/>
    </row>
    <row r="917" spans="2:8" x14ac:dyDescent="0.35">
      <c r="B917" s="24"/>
      <c r="G917" s="24"/>
      <c r="H917" s="24"/>
    </row>
    <row r="918" spans="2:8" x14ac:dyDescent="0.35">
      <c r="B918" s="24"/>
      <c r="G918" s="24"/>
      <c r="H918" s="24"/>
    </row>
    <row r="919" spans="2:8" x14ac:dyDescent="0.35">
      <c r="B919" s="24"/>
      <c r="G919" s="24"/>
      <c r="H919" s="24"/>
    </row>
    <row r="920" spans="2:8" x14ac:dyDescent="0.35">
      <c r="B920" s="24"/>
      <c r="G920" s="24"/>
      <c r="H920" s="24"/>
    </row>
    <row r="921" spans="2:8" x14ac:dyDescent="0.35">
      <c r="B921" s="24"/>
      <c r="G921" s="24"/>
      <c r="H921" s="24"/>
    </row>
    <row r="922" spans="2:8" x14ac:dyDescent="0.35">
      <c r="B922" s="24"/>
      <c r="G922" s="24"/>
      <c r="H922" s="24"/>
    </row>
    <row r="923" spans="2:8" x14ac:dyDescent="0.35">
      <c r="B923" s="24"/>
      <c r="G923" s="24"/>
      <c r="H923" s="24"/>
    </row>
    <row r="924" spans="2:8" x14ac:dyDescent="0.35">
      <c r="B924" s="24"/>
      <c r="G924" s="24"/>
      <c r="H924" s="24"/>
    </row>
    <row r="925" spans="2:8" x14ac:dyDescent="0.35">
      <c r="B925" s="24"/>
      <c r="G925" s="24"/>
      <c r="H925" s="24"/>
    </row>
    <row r="926" spans="2:8" x14ac:dyDescent="0.35">
      <c r="B926" s="24"/>
      <c r="G926" s="24"/>
      <c r="H926" s="24"/>
    </row>
    <row r="927" spans="2:8" x14ac:dyDescent="0.35">
      <c r="B927" s="24"/>
      <c r="G927" s="24"/>
      <c r="H927" s="24"/>
    </row>
    <row r="928" spans="2:8" x14ac:dyDescent="0.35">
      <c r="B928" s="24"/>
      <c r="G928" s="24"/>
      <c r="H928" s="24"/>
    </row>
    <row r="929" spans="2:8" x14ac:dyDescent="0.35">
      <c r="B929" s="24"/>
      <c r="G929" s="24"/>
      <c r="H929" s="24"/>
    </row>
    <row r="930" spans="2:8" x14ac:dyDescent="0.35">
      <c r="B930" s="24"/>
      <c r="G930" s="24"/>
      <c r="H930" s="24"/>
    </row>
    <row r="931" spans="2:8" x14ac:dyDescent="0.35">
      <c r="B931" s="24"/>
      <c r="G931" s="24"/>
      <c r="H931" s="24"/>
    </row>
    <row r="932" spans="2:8" x14ac:dyDescent="0.35">
      <c r="B932" s="24"/>
      <c r="G932" s="24"/>
      <c r="H932" s="24"/>
    </row>
    <row r="933" spans="2:8" x14ac:dyDescent="0.35">
      <c r="B933" s="24"/>
      <c r="G933" s="24"/>
      <c r="H933" s="24"/>
    </row>
    <row r="934" spans="2:8" x14ac:dyDescent="0.35">
      <c r="B934" s="24"/>
      <c r="G934" s="24"/>
      <c r="H934" s="24"/>
    </row>
    <row r="935" spans="2:8" x14ac:dyDescent="0.35">
      <c r="B935" s="24"/>
      <c r="G935" s="24"/>
      <c r="H935" s="24"/>
    </row>
    <row r="936" spans="2:8" x14ac:dyDescent="0.35">
      <c r="B936" s="24"/>
      <c r="G936" s="24"/>
      <c r="H936" s="24"/>
    </row>
    <row r="937" spans="2:8" x14ac:dyDescent="0.35">
      <c r="B937" s="24"/>
      <c r="G937" s="24"/>
      <c r="H937" s="24"/>
    </row>
    <row r="938" spans="2:8" x14ac:dyDescent="0.35">
      <c r="B938" s="24"/>
      <c r="G938" s="24"/>
      <c r="H938" s="24"/>
    </row>
    <row r="939" spans="2:8" x14ac:dyDescent="0.35">
      <c r="B939" s="24"/>
      <c r="G939" s="24"/>
      <c r="H939" s="24"/>
    </row>
    <row r="940" spans="2:8" x14ac:dyDescent="0.35">
      <c r="B940" s="24"/>
      <c r="G940" s="24"/>
      <c r="H940" s="24"/>
    </row>
    <row r="941" spans="2:8" x14ac:dyDescent="0.35">
      <c r="B941" s="24"/>
      <c r="G941" s="24"/>
      <c r="H941" s="24"/>
    </row>
    <row r="942" spans="2:8" x14ac:dyDescent="0.35">
      <c r="B942" s="24"/>
      <c r="G942" s="24"/>
      <c r="H942" s="24"/>
    </row>
    <row r="943" spans="2:8" x14ac:dyDescent="0.35">
      <c r="B943" s="24"/>
    </row>
    <row r="944" spans="2:8" x14ac:dyDescent="0.35">
      <c r="B944" s="24"/>
    </row>
    <row r="945" spans="2:2" x14ac:dyDescent="0.35">
      <c r="B945" s="24"/>
    </row>
    <row r="946" spans="2:2" x14ac:dyDescent="0.35">
      <c r="B946" s="24"/>
    </row>
    <row r="947" spans="2:2" x14ac:dyDescent="0.35">
      <c r="B947" s="24"/>
    </row>
    <row r="948" spans="2:2" x14ac:dyDescent="0.35">
      <c r="B948" s="24"/>
    </row>
    <row r="949" spans="2:2" x14ac:dyDescent="0.35">
      <c r="B949" s="24"/>
    </row>
    <row r="950" spans="2:2" x14ac:dyDescent="0.35">
      <c r="B950" s="24"/>
    </row>
    <row r="951" spans="2:2" x14ac:dyDescent="0.35">
      <c r="B951" s="24"/>
    </row>
    <row r="952" spans="2:2" x14ac:dyDescent="0.35">
      <c r="B952" s="24"/>
    </row>
    <row r="953" spans="2:2" x14ac:dyDescent="0.35">
      <c r="B953" s="24"/>
    </row>
    <row r="954" spans="2:2" x14ac:dyDescent="0.35">
      <c r="B954" s="24"/>
    </row>
    <row r="955" spans="2:2" x14ac:dyDescent="0.35">
      <c r="B955" s="24"/>
    </row>
    <row r="956" spans="2:2" x14ac:dyDescent="0.35">
      <c r="B956" s="24"/>
    </row>
    <row r="957" spans="2:2" x14ac:dyDescent="0.35">
      <c r="B957" s="24"/>
    </row>
    <row r="958" spans="2:2" x14ac:dyDescent="0.35">
      <c r="B958" s="24"/>
    </row>
    <row r="959" spans="2:2" x14ac:dyDescent="0.35">
      <c r="B959" s="24"/>
    </row>
    <row r="960" spans="2:2" x14ac:dyDescent="0.35">
      <c r="B960" s="24"/>
    </row>
    <row r="961" spans="2:2" x14ac:dyDescent="0.35">
      <c r="B961" s="24"/>
    </row>
    <row r="962" spans="2:2" x14ac:dyDescent="0.35">
      <c r="B962" s="24"/>
    </row>
    <row r="963" spans="2:2" x14ac:dyDescent="0.35">
      <c r="B963" s="24"/>
    </row>
    <row r="964" spans="2:2" x14ac:dyDescent="0.35">
      <c r="B964" s="24"/>
    </row>
    <row r="965" spans="2:2" x14ac:dyDescent="0.35">
      <c r="B965" s="24"/>
    </row>
    <row r="966" spans="2:2" x14ac:dyDescent="0.35">
      <c r="B966" s="24"/>
    </row>
    <row r="967" spans="2:2" x14ac:dyDescent="0.35">
      <c r="B967" s="24"/>
    </row>
    <row r="968" spans="2:2" x14ac:dyDescent="0.35">
      <c r="B968" s="24"/>
    </row>
    <row r="969" spans="2:2" x14ac:dyDescent="0.35">
      <c r="B969" s="24"/>
    </row>
    <row r="970" spans="2:2" x14ac:dyDescent="0.35">
      <c r="B970" s="24"/>
    </row>
    <row r="971" spans="2:2" x14ac:dyDescent="0.35">
      <c r="B971" s="24"/>
    </row>
    <row r="972" spans="2:2" x14ac:dyDescent="0.35">
      <c r="B972" s="24"/>
    </row>
    <row r="973" spans="2:2" x14ac:dyDescent="0.35">
      <c r="B973" s="24"/>
    </row>
    <row r="974" spans="2:2" x14ac:dyDescent="0.35">
      <c r="B974" s="24"/>
    </row>
    <row r="975" spans="2:2" x14ac:dyDescent="0.35">
      <c r="B975" s="24"/>
    </row>
    <row r="976" spans="2:2" x14ac:dyDescent="0.35">
      <c r="B976" s="24"/>
    </row>
    <row r="977" spans="2:2" x14ac:dyDescent="0.35">
      <c r="B977" s="24"/>
    </row>
    <row r="978" spans="2:2" x14ac:dyDescent="0.35">
      <c r="B978" s="24"/>
    </row>
    <row r="979" spans="2:2" x14ac:dyDescent="0.35">
      <c r="B979" s="24"/>
    </row>
    <row r="980" spans="2:2" x14ac:dyDescent="0.35">
      <c r="B980" s="24"/>
    </row>
    <row r="981" spans="2:2" x14ac:dyDescent="0.35">
      <c r="B981" s="24"/>
    </row>
    <row r="982" spans="2:2" x14ac:dyDescent="0.35">
      <c r="B982" s="24"/>
    </row>
    <row r="983" spans="2:2" x14ac:dyDescent="0.35">
      <c r="B983" s="24"/>
    </row>
    <row r="984" spans="2:2" x14ac:dyDescent="0.35">
      <c r="B984" s="24"/>
    </row>
    <row r="985" spans="2:2" x14ac:dyDescent="0.35">
      <c r="B985" s="24"/>
    </row>
    <row r="986" spans="2:2" x14ac:dyDescent="0.35">
      <c r="B986" s="24"/>
    </row>
    <row r="987" spans="2:2" x14ac:dyDescent="0.35">
      <c r="B987" s="24"/>
    </row>
    <row r="988" spans="2:2" x14ac:dyDescent="0.35">
      <c r="B988" s="24"/>
    </row>
    <row r="989" spans="2:2" x14ac:dyDescent="0.35">
      <c r="B989" s="24"/>
    </row>
    <row r="990" spans="2:2" x14ac:dyDescent="0.35">
      <c r="B990" s="24"/>
    </row>
    <row r="991" spans="2:2" x14ac:dyDescent="0.35">
      <c r="B991" s="24"/>
    </row>
    <row r="992" spans="2:2" x14ac:dyDescent="0.35">
      <c r="B992" s="24"/>
    </row>
    <row r="993" spans="2:2" x14ac:dyDescent="0.35">
      <c r="B993" s="24"/>
    </row>
    <row r="994" spans="2:2" x14ac:dyDescent="0.35">
      <c r="B994" s="24"/>
    </row>
    <row r="995" spans="2:2" x14ac:dyDescent="0.35">
      <c r="B995" s="24"/>
    </row>
    <row r="996" spans="2:2" x14ac:dyDescent="0.35">
      <c r="B996" s="24"/>
    </row>
    <row r="997" spans="2:2" x14ac:dyDescent="0.35">
      <c r="B997" s="24"/>
    </row>
    <row r="998" spans="2:2" x14ac:dyDescent="0.35">
      <c r="B998" s="24"/>
    </row>
    <row r="999" spans="2:2" x14ac:dyDescent="0.35">
      <c r="B999" s="24"/>
    </row>
    <row r="1000" spans="2:2" x14ac:dyDescent="0.35">
      <c r="B1000" s="24"/>
    </row>
    <row r="1001" spans="2:2" x14ac:dyDescent="0.35">
      <c r="B1001" s="24"/>
    </row>
    <row r="1002" spans="2:2" x14ac:dyDescent="0.35">
      <c r="B1002" s="24"/>
    </row>
    <row r="1003" spans="2:2" x14ac:dyDescent="0.35">
      <c r="B1003" s="24"/>
    </row>
    <row r="1004" spans="2:2" x14ac:dyDescent="0.35">
      <c r="B1004" s="24"/>
    </row>
    <row r="1005" spans="2:2" x14ac:dyDescent="0.35">
      <c r="B1005" s="24"/>
    </row>
    <row r="1006" spans="2:2" x14ac:dyDescent="0.35">
      <c r="B1006" s="24"/>
    </row>
    <row r="1007" spans="2:2" x14ac:dyDescent="0.35">
      <c r="B1007" s="24"/>
    </row>
    <row r="1008" spans="2:2" x14ac:dyDescent="0.35">
      <c r="B1008" s="24"/>
    </row>
    <row r="1009" spans="2:2" x14ac:dyDescent="0.35">
      <c r="B1009" s="24"/>
    </row>
    <row r="1010" spans="2:2" x14ac:dyDescent="0.35">
      <c r="B1010" s="24"/>
    </row>
    <row r="1011" spans="2:2" x14ac:dyDescent="0.35">
      <c r="B1011" s="24"/>
    </row>
    <row r="1012" spans="2:2" x14ac:dyDescent="0.35">
      <c r="B1012" s="24"/>
    </row>
    <row r="1013" spans="2:2" x14ac:dyDescent="0.35">
      <c r="B1013" s="24"/>
    </row>
    <row r="1014" spans="2:2" x14ac:dyDescent="0.35">
      <c r="B1014" s="24"/>
    </row>
    <row r="1015" spans="2:2" x14ac:dyDescent="0.35">
      <c r="B1015" s="24"/>
    </row>
    <row r="1016" spans="2:2" x14ac:dyDescent="0.35">
      <c r="B1016" s="24"/>
    </row>
    <row r="1017" spans="2:2" x14ac:dyDescent="0.35">
      <c r="B1017" s="24"/>
    </row>
    <row r="1018" spans="2:2" x14ac:dyDescent="0.35">
      <c r="B1018" s="24"/>
    </row>
    <row r="1019" spans="2:2" x14ac:dyDescent="0.35">
      <c r="B1019" s="24"/>
    </row>
    <row r="1020" spans="2:2" x14ac:dyDescent="0.35">
      <c r="B1020" s="24"/>
    </row>
    <row r="1021" spans="2:2" x14ac:dyDescent="0.35">
      <c r="B1021" s="24"/>
    </row>
    <row r="1022" spans="2:2" x14ac:dyDescent="0.35">
      <c r="B1022" s="24"/>
    </row>
    <row r="1023" spans="2:2" x14ac:dyDescent="0.35">
      <c r="B1023" s="24"/>
    </row>
    <row r="1024" spans="2:2" x14ac:dyDescent="0.35">
      <c r="B1024" s="24"/>
    </row>
    <row r="1025" spans="2:2" x14ac:dyDescent="0.35">
      <c r="B1025" s="24"/>
    </row>
    <row r="1026" spans="2:2" x14ac:dyDescent="0.35">
      <c r="B1026" s="24"/>
    </row>
    <row r="1027" spans="2:2" x14ac:dyDescent="0.35">
      <c r="B1027" s="24"/>
    </row>
    <row r="1028" spans="2:2" x14ac:dyDescent="0.35">
      <c r="B1028" s="24"/>
    </row>
    <row r="1029" spans="2:2" x14ac:dyDescent="0.35">
      <c r="B1029" s="24"/>
    </row>
    <row r="1030" spans="2:2" x14ac:dyDescent="0.35">
      <c r="B1030" s="24"/>
    </row>
    <row r="1031" spans="2:2" x14ac:dyDescent="0.35">
      <c r="B1031" s="24"/>
    </row>
    <row r="1032" spans="2:2" x14ac:dyDescent="0.35">
      <c r="B1032" s="24"/>
    </row>
    <row r="1033" spans="2:2" x14ac:dyDescent="0.35">
      <c r="B1033" s="24"/>
    </row>
    <row r="1034" spans="2:2" x14ac:dyDescent="0.35">
      <c r="B1034" s="24"/>
    </row>
    <row r="1035" spans="2:2" x14ac:dyDescent="0.35">
      <c r="B1035" s="24"/>
    </row>
    <row r="1036" spans="2:2" x14ac:dyDescent="0.35">
      <c r="B1036" s="24"/>
    </row>
    <row r="1037" spans="2:2" x14ac:dyDescent="0.35">
      <c r="B1037" s="24"/>
    </row>
    <row r="1038" spans="2:2" x14ac:dyDescent="0.35">
      <c r="B1038" s="24"/>
    </row>
    <row r="1039" spans="2:2" x14ac:dyDescent="0.35">
      <c r="B1039" s="24"/>
    </row>
    <row r="1040" spans="2:2" x14ac:dyDescent="0.35">
      <c r="B1040" s="24"/>
    </row>
    <row r="1041" spans="2:2" x14ac:dyDescent="0.35">
      <c r="B1041" s="24"/>
    </row>
    <row r="1042" spans="2:2" x14ac:dyDescent="0.35">
      <c r="B1042" s="24"/>
    </row>
    <row r="1043" spans="2:2" x14ac:dyDescent="0.35">
      <c r="B1043" s="24"/>
    </row>
    <row r="1044" spans="2:2" x14ac:dyDescent="0.35">
      <c r="B1044" s="24"/>
    </row>
    <row r="1045" spans="2:2" x14ac:dyDescent="0.35">
      <c r="B1045" s="24"/>
    </row>
    <row r="1046" spans="2:2" x14ac:dyDescent="0.35">
      <c r="B1046" s="24"/>
    </row>
    <row r="1047" spans="2:2" x14ac:dyDescent="0.35">
      <c r="B1047" s="24"/>
    </row>
    <row r="1048" spans="2:2" x14ac:dyDescent="0.35">
      <c r="B1048" s="24"/>
    </row>
    <row r="1049" spans="2:2" x14ac:dyDescent="0.35">
      <c r="B1049" s="24"/>
    </row>
    <row r="1050" spans="2:2" x14ac:dyDescent="0.35">
      <c r="B1050" s="24"/>
    </row>
    <row r="1051" spans="2:2" x14ac:dyDescent="0.35">
      <c r="B1051" s="24"/>
    </row>
    <row r="1052" spans="2:2" x14ac:dyDescent="0.35">
      <c r="B1052" s="24"/>
    </row>
    <row r="1053" spans="2:2" x14ac:dyDescent="0.35">
      <c r="B1053" s="24"/>
    </row>
    <row r="1054" spans="2:2" x14ac:dyDescent="0.35">
      <c r="B1054" s="24"/>
    </row>
    <row r="1055" spans="2:2" x14ac:dyDescent="0.35">
      <c r="B1055" s="24"/>
    </row>
    <row r="1056" spans="2:2" x14ac:dyDescent="0.35">
      <c r="B1056" s="24"/>
    </row>
    <row r="1057" spans="1:2" x14ac:dyDescent="0.35">
      <c r="A1057" s="24"/>
      <c r="B1057" s="24"/>
    </row>
    <row r="1058" spans="1:2" x14ac:dyDescent="0.35">
      <c r="A1058" s="24"/>
      <c r="B1058" s="24"/>
    </row>
    <row r="1059" spans="1:2" x14ac:dyDescent="0.35">
      <c r="A1059" s="24"/>
      <c r="B1059" s="24"/>
    </row>
    <row r="1060" spans="1:2" x14ac:dyDescent="0.35">
      <c r="A1060" s="24"/>
      <c r="B1060" s="24"/>
    </row>
    <row r="1061" spans="1:2" x14ac:dyDescent="0.35">
      <c r="A1061" s="24"/>
      <c r="B1061" s="24"/>
    </row>
    <row r="1062" spans="1:2" x14ac:dyDescent="0.35">
      <c r="A1062" s="24"/>
      <c r="B1062" s="24"/>
    </row>
    <row r="1063" spans="1:2" x14ac:dyDescent="0.35">
      <c r="A1063" s="24"/>
      <c r="B1063" s="24"/>
    </row>
    <row r="1064" spans="1:2" x14ac:dyDescent="0.35">
      <c r="A1064" s="24"/>
      <c r="B1064" s="24"/>
    </row>
    <row r="1065" spans="1:2" x14ac:dyDescent="0.35">
      <c r="A1065" s="24"/>
      <c r="B1065" s="24"/>
    </row>
    <row r="1066" spans="1:2" x14ac:dyDescent="0.35">
      <c r="A1066" s="24"/>
      <c r="B1066" s="24"/>
    </row>
    <row r="1067" spans="1:2" x14ac:dyDescent="0.35">
      <c r="A1067" s="24"/>
      <c r="B1067" s="24"/>
    </row>
    <row r="1068" spans="1:2" x14ac:dyDescent="0.35">
      <c r="A1068" s="24"/>
      <c r="B1068" s="24"/>
    </row>
    <row r="1069" spans="1:2" x14ac:dyDescent="0.35">
      <c r="A1069" s="24"/>
      <c r="B1069" s="24"/>
    </row>
    <row r="1070" spans="1:2" x14ac:dyDescent="0.35">
      <c r="A1070" s="24"/>
      <c r="B1070" s="24"/>
    </row>
    <row r="1071" spans="1:2" x14ac:dyDescent="0.35">
      <c r="A1071" s="24"/>
      <c r="B1071" s="24"/>
    </row>
    <row r="1072" spans="1:2" x14ac:dyDescent="0.35">
      <c r="A1072" s="24"/>
      <c r="B1072" s="24"/>
    </row>
    <row r="1073" spans="1:2" x14ac:dyDescent="0.35">
      <c r="A1073" s="24"/>
      <c r="B1073" s="24"/>
    </row>
    <row r="1074" spans="1:2" x14ac:dyDescent="0.35">
      <c r="A1074" s="24"/>
      <c r="B1074" s="24"/>
    </row>
    <row r="1075" spans="1:2" x14ac:dyDescent="0.35">
      <c r="A1075" s="24"/>
      <c r="B1075" s="24"/>
    </row>
    <row r="1076" spans="1:2" x14ac:dyDescent="0.35">
      <c r="A1076" s="24"/>
      <c r="B1076" s="24"/>
    </row>
    <row r="1077" spans="1:2" x14ac:dyDescent="0.35">
      <c r="A1077" s="24"/>
      <c r="B1077" s="24"/>
    </row>
    <row r="1078" spans="1:2" x14ac:dyDescent="0.35">
      <c r="A1078" s="24"/>
      <c r="B1078" s="24"/>
    </row>
    <row r="1079" spans="1:2" x14ac:dyDescent="0.35">
      <c r="A1079" s="24"/>
      <c r="B1079" s="24"/>
    </row>
    <row r="1080" spans="1:2" x14ac:dyDescent="0.35">
      <c r="A1080" s="24"/>
      <c r="B1080" s="24"/>
    </row>
    <row r="1081" spans="1:2" x14ac:dyDescent="0.35">
      <c r="A1081" s="24"/>
      <c r="B1081" s="24"/>
    </row>
    <row r="1082" spans="1:2" x14ac:dyDescent="0.35">
      <c r="A1082" s="24"/>
      <c r="B1082" s="24"/>
    </row>
    <row r="1083" spans="1:2" x14ac:dyDescent="0.35">
      <c r="A1083" s="24"/>
      <c r="B1083" s="24"/>
    </row>
    <row r="1084" spans="1:2" x14ac:dyDescent="0.35">
      <c r="A1084" s="24"/>
      <c r="B1084" s="24"/>
    </row>
    <row r="1085" spans="1:2" x14ac:dyDescent="0.35">
      <c r="A1085" s="24"/>
      <c r="B1085" s="24"/>
    </row>
    <row r="1086" spans="1:2" x14ac:dyDescent="0.35">
      <c r="A1086" s="24"/>
      <c r="B1086" s="24"/>
    </row>
    <row r="1087" spans="1:2" x14ac:dyDescent="0.35">
      <c r="A1087" s="24"/>
      <c r="B1087" s="24"/>
    </row>
    <row r="1088" spans="1:2" x14ac:dyDescent="0.35">
      <c r="A1088" s="24"/>
      <c r="B1088" s="24"/>
    </row>
    <row r="1089" spans="1:2" x14ac:dyDescent="0.35">
      <c r="A1089" s="24"/>
      <c r="B1089" s="24"/>
    </row>
    <row r="1090" spans="1:2" x14ac:dyDescent="0.35">
      <c r="A1090" s="24"/>
      <c r="B1090" s="24"/>
    </row>
    <row r="1091" spans="1:2" x14ac:dyDescent="0.35">
      <c r="A1091" s="24"/>
      <c r="B1091" s="24"/>
    </row>
    <row r="1092" spans="1:2" x14ac:dyDescent="0.35">
      <c r="A1092" s="24"/>
      <c r="B1092" s="24"/>
    </row>
    <row r="1093" spans="1:2" x14ac:dyDescent="0.35">
      <c r="A1093" s="24"/>
      <c r="B1093" s="24"/>
    </row>
    <row r="1094" spans="1:2" x14ac:dyDescent="0.35">
      <c r="A1094" s="24"/>
      <c r="B1094" s="24"/>
    </row>
    <row r="1095" spans="1:2" x14ac:dyDescent="0.35">
      <c r="A1095" s="24"/>
      <c r="B1095" s="24"/>
    </row>
    <row r="1096" spans="1:2" x14ac:dyDescent="0.35">
      <c r="A1096" s="24"/>
      <c r="B1096" s="24"/>
    </row>
    <row r="1097" spans="1:2" x14ac:dyDescent="0.35">
      <c r="A1097" s="24"/>
      <c r="B1097" s="24"/>
    </row>
    <row r="1098" spans="1:2" x14ac:dyDescent="0.35">
      <c r="A1098" s="24"/>
      <c r="B1098" s="24"/>
    </row>
    <row r="1099" spans="1:2" x14ac:dyDescent="0.35">
      <c r="A1099" s="24"/>
      <c r="B1099" s="24"/>
    </row>
    <row r="1100" spans="1:2" x14ac:dyDescent="0.35">
      <c r="A1100" s="24"/>
      <c r="B1100" s="24"/>
    </row>
    <row r="1101" spans="1:2" x14ac:dyDescent="0.35">
      <c r="A1101" s="24"/>
      <c r="B1101" s="24"/>
    </row>
    <row r="1102" spans="1:2" x14ac:dyDescent="0.35">
      <c r="A1102" s="24"/>
      <c r="B1102" s="24"/>
    </row>
    <row r="1103" spans="1:2" x14ac:dyDescent="0.35">
      <c r="A1103" s="24"/>
      <c r="B1103" s="24"/>
    </row>
    <row r="1104" spans="1:2" x14ac:dyDescent="0.35">
      <c r="A1104" s="24"/>
      <c r="B1104" s="24"/>
    </row>
    <row r="1105" spans="1:2" x14ac:dyDescent="0.35">
      <c r="A1105" s="24"/>
      <c r="B1105" s="24"/>
    </row>
    <row r="1106" spans="1:2" x14ac:dyDescent="0.35">
      <c r="A1106" s="24"/>
      <c r="B1106" s="24"/>
    </row>
    <row r="1107" spans="1:2" x14ac:dyDescent="0.35">
      <c r="A1107" s="24"/>
      <c r="B1107" s="24"/>
    </row>
    <row r="1108" spans="1:2" x14ac:dyDescent="0.35">
      <c r="A1108" s="24"/>
      <c r="B1108" s="24"/>
    </row>
    <row r="1109" spans="1:2" x14ac:dyDescent="0.35">
      <c r="A1109" s="24"/>
      <c r="B1109" s="24"/>
    </row>
    <row r="1110" spans="1:2" x14ac:dyDescent="0.35">
      <c r="A1110" s="24"/>
      <c r="B1110" s="24"/>
    </row>
    <row r="1111" spans="1:2" x14ac:dyDescent="0.35">
      <c r="A1111" s="24"/>
      <c r="B1111" s="24"/>
    </row>
    <row r="1112" spans="1:2" x14ac:dyDescent="0.35">
      <c r="A1112" s="24"/>
      <c r="B1112" s="24"/>
    </row>
    <row r="1113" spans="1:2" x14ac:dyDescent="0.35">
      <c r="A1113" s="24"/>
      <c r="B1113" s="24"/>
    </row>
    <row r="1114" spans="1:2" x14ac:dyDescent="0.35">
      <c r="A1114" s="24"/>
      <c r="B1114" s="24"/>
    </row>
    <row r="1115" spans="1:2" x14ac:dyDescent="0.35">
      <c r="A1115" s="24"/>
      <c r="B1115" s="24"/>
    </row>
    <row r="1116" spans="1:2" x14ac:dyDescent="0.35">
      <c r="A1116" s="24"/>
      <c r="B1116" s="24"/>
    </row>
    <row r="1117" spans="1:2" x14ac:dyDescent="0.35">
      <c r="A1117" s="24"/>
      <c r="B1117" s="24"/>
    </row>
    <row r="1118" spans="1:2" x14ac:dyDescent="0.35">
      <c r="A1118" s="24"/>
      <c r="B1118" s="24"/>
    </row>
    <row r="1119" spans="1:2" x14ac:dyDescent="0.35">
      <c r="A1119" s="24"/>
      <c r="B1119" s="24"/>
    </row>
    <row r="1120" spans="1:2" x14ac:dyDescent="0.35">
      <c r="A1120" s="24"/>
      <c r="B1120" s="24"/>
    </row>
    <row r="1121" spans="1:2" x14ac:dyDescent="0.35">
      <c r="A1121" s="24"/>
      <c r="B1121" s="24"/>
    </row>
    <row r="1122" spans="1:2" x14ac:dyDescent="0.35">
      <c r="A1122" s="24"/>
      <c r="B1122" s="24"/>
    </row>
    <row r="1123" spans="1:2" x14ac:dyDescent="0.35">
      <c r="A1123" s="24"/>
      <c r="B1123" s="24"/>
    </row>
    <row r="1124" spans="1:2" x14ac:dyDescent="0.35">
      <c r="A1124" s="24"/>
      <c r="B1124" s="24"/>
    </row>
    <row r="1125" spans="1:2" x14ac:dyDescent="0.35">
      <c r="A1125" s="24"/>
      <c r="B1125" s="24"/>
    </row>
    <row r="1126" spans="1:2" x14ac:dyDescent="0.35">
      <c r="A1126" s="24"/>
      <c r="B1126" s="24"/>
    </row>
    <row r="1127" spans="1:2" x14ac:dyDescent="0.35">
      <c r="A1127" s="24"/>
      <c r="B1127" s="24"/>
    </row>
    <row r="1128" spans="1:2" x14ac:dyDescent="0.35">
      <c r="A1128" s="24"/>
      <c r="B1128" s="24"/>
    </row>
    <row r="1129" spans="1:2" x14ac:dyDescent="0.35">
      <c r="A1129" s="24"/>
      <c r="B1129" s="24"/>
    </row>
    <row r="1130" spans="1:2" x14ac:dyDescent="0.35">
      <c r="A1130" s="24"/>
      <c r="B1130" s="24"/>
    </row>
    <row r="1131" spans="1:2" x14ac:dyDescent="0.35">
      <c r="A1131" s="24"/>
      <c r="B1131" s="24"/>
    </row>
    <row r="1132" spans="1:2" x14ac:dyDescent="0.35">
      <c r="A1132" s="24"/>
      <c r="B1132" s="24"/>
    </row>
    <row r="1133" spans="1:2" x14ac:dyDescent="0.35">
      <c r="A1133" s="24"/>
      <c r="B1133" s="24"/>
    </row>
    <row r="1134" spans="1:2" x14ac:dyDescent="0.35">
      <c r="A1134" s="24"/>
      <c r="B1134" s="24"/>
    </row>
    <row r="1135" spans="1:2" x14ac:dyDescent="0.35">
      <c r="A1135" s="24"/>
      <c r="B1135" s="24"/>
    </row>
    <row r="1136" spans="1:2" x14ac:dyDescent="0.35">
      <c r="A1136" s="24"/>
      <c r="B1136" s="24"/>
    </row>
    <row r="1137" spans="1:2" x14ac:dyDescent="0.35">
      <c r="A1137" s="24"/>
      <c r="B1137" s="24"/>
    </row>
    <row r="1138" spans="1:2" x14ac:dyDescent="0.35">
      <c r="A1138" s="24"/>
      <c r="B1138" s="24"/>
    </row>
    <row r="1139" spans="1:2" x14ac:dyDescent="0.35">
      <c r="A1139" s="24"/>
      <c r="B1139" s="24"/>
    </row>
    <row r="1140" spans="1:2" x14ac:dyDescent="0.35">
      <c r="A1140" s="24"/>
      <c r="B1140" s="24"/>
    </row>
    <row r="1141" spans="1:2" x14ac:dyDescent="0.35">
      <c r="A1141" s="24"/>
      <c r="B1141" s="24"/>
    </row>
    <row r="1142" spans="1:2" x14ac:dyDescent="0.35">
      <c r="A1142" s="24"/>
      <c r="B1142" s="24"/>
    </row>
    <row r="1143" spans="1:2" x14ac:dyDescent="0.35">
      <c r="A1143" s="24"/>
      <c r="B1143" s="24"/>
    </row>
    <row r="1144" spans="1:2" x14ac:dyDescent="0.35">
      <c r="A1144" s="24"/>
      <c r="B1144" s="24"/>
    </row>
    <row r="1145" spans="1:2" x14ac:dyDescent="0.35">
      <c r="A1145" s="24"/>
      <c r="B1145" s="24"/>
    </row>
    <row r="1146" spans="1:2" x14ac:dyDescent="0.35">
      <c r="A1146" s="24"/>
      <c r="B1146" s="24"/>
    </row>
    <row r="1147" spans="1:2" x14ac:dyDescent="0.35">
      <c r="A1147" s="24"/>
      <c r="B1147" s="24"/>
    </row>
    <row r="1148" spans="1:2" x14ac:dyDescent="0.35">
      <c r="A1148" s="24"/>
      <c r="B1148" s="24"/>
    </row>
    <row r="1149" spans="1:2" x14ac:dyDescent="0.35">
      <c r="A1149" s="24"/>
      <c r="B1149" s="24"/>
    </row>
    <row r="1150" spans="1:2" x14ac:dyDescent="0.35">
      <c r="A1150" s="24"/>
      <c r="B1150" s="24"/>
    </row>
    <row r="1151" spans="1:2" x14ac:dyDescent="0.35">
      <c r="A1151" s="24"/>
      <c r="B1151" s="24"/>
    </row>
    <row r="1152" spans="1:2" x14ac:dyDescent="0.35">
      <c r="A1152" s="24"/>
      <c r="B1152" s="24"/>
    </row>
    <row r="1153" spans="1:2" x14ac:dyDescent="0.35">
      <c r="A1153" s="24"/>
      <c r="B1153" s="24"/>
    </row>
    <row r="1154" spans="1:2" x14ac:dyDescent="0.35">
      <c r="A1154" s="24"/>
      <c r="B1154" s="24"/>
    </row>
    <row r="1155" spans="1:2" x14ac:dyDescent="0.35">
      <c r="A1155" s="24"/>
      <c r="B1155" s="24"/>
    </row>
    <row r="1156" spans="1:2" x14ac:dyDescent="0.35">
      <c r="A1156" s="24"/>
      <c r="B1156" s="24"/>
    </row>
    <row r="1157" spans="1:2" x14ac:dyDescent="0.35">
      <c r="A1157" s="24"/>
      <c r="B1157" s="24"/>
    </row>
    <row r="1158" spans="1:2" x14ac:dyDescent="0.35">
      <c r="A1158" s="24"/>
      <c r="B1158" s="24"/>
    </row>
    <row r="1159" spans="1:2" x14ac:dyDescent="0.35">
      <c r="A1159" s="24"/>
      <c r="B1159" s="24"/>
    </row>
    <row r="1160" spans="1:2" x14ac:dyDescent="0.35">
      <c r="A1160" s="24"/>
      <c r="B1160" s="24"/>
    </row>
    <row r="1161" spans="1:2" x14ac:dyDescent="0.35">
      <c r="A1161" s="24"/>
      <c r="B1161" s="24"/>
    </row>
    <row r="1162" spans="1:2" x14ac:dyDescent="0.35">
      <c r="A1162" s="24"/>
      <c r="B1162" s="24"/>
    </row>
    <row r="1163" spans="1:2" x14ac:dyDescent="0.35">
      <c r="A1163" s="24"/>
      <c r="B1163" s="24"/>
    </row>
    <row r="1164" spans="1:2" x14ac:dyDescent="0.35">
      <c r="A1164" s="24"/>
      <c r="B1164" s="24"/>
    </row>
    <row r="1165" spans="1:2" x14ac:dyDescent="0.35">
      <c r="A1165" s="24"/>
      <c r="B1165" s="24"/>
    </row>
    <row r="1166" spans="1:2" x14ac:dyDescent="0.35">
      <c r="A1166" s="24"/>
      <c r="B1166" s="24"/>
    </row>
    <row r="1167" spans="1:2" x14ac:dyDescent="0.35">
      <c r="A1167" s="24"/>
      <c r="B1167" s="24"/>
    </row>
    <row r="1168" spans="1:2" x14ac:dyDescent="0.35">
      <c r="A1168" s="24"/>
      <c r="B1168" s="24"/>
    </row>
    <row r="1169" spans="1:2" x14ac:dyDescent="0.35">
      <c r="A1169" s="24"/>
      <c r="B1169" s="24"/>
    </row>
    <row r="1170" spans="1:2" x14ac:dyDescent="0.35">
      <c r="A1170" s="24"/>
      <c r="B1170" s="24"/>
    </row>
    <row r="1171" spans="1:2" x14ac:dyDescent="0.35">
      <c r="A1171" s="24"/>
      <c r="B1171" s="24"/>
    </row>
    <row r="1172" spans="1:2" x14ac:dyDescent="0.35">
      <c r="A1172" s="24"/>
      <c r="B1172" s="24"/>
    </row>
    <row r="1173" spans="1:2" x14ac:dyDescent="0.35">
      <c r="A1173" s="24"/>
      <c r="B1173" s="24"/>
    </row>
    <row r="1174" spans="1:2" x14ac:dyDescent="0.35">
      <c r="A1174" s="24"/>
      <c r="B1174" s="24"/>
    </row>
    <row r="1175" spans="1:2" x14ac:dyDescent="0.35">
      <c r="A1175" s="24"/>
      <c r="B1175" s="24"/>
    </row>
    <row r="1176" spans="1:2" x14ac:dyDescent="0.35">
      <c r="A1176" s="24"/>
      <c r="B1176" s="24"/>
    </row>
    <row r="1177" spans="1:2" x14ac:dyDescent="0.35">
      <c r="A1177" s="24"/>
      <c r="B1177" s="24"/>
    </row>
    <row r="1178" spans="1:2" x14ac:dyDescent="0.35">
      <c r="A1178" s="24"/>
      <c r="B1178" s="24"/>
    </row>
    <row r="1179" spans="1:2" x14ac:dyDescent="0.35">
      <c r="A1179" s="24"/>
      <c r="B1179" s="24"/>
    </row>
    <row r="1180" spans="1:2" x14ac:dyDescent="0.35">
      <c r="A1180" s="24"/>
      <c r="B1180" s="24"/>
    </row>
    <row r="1181" spans="1:2" x14ac:dyDescent="0.35">
      <c r="A1181" s="24"/>
      <c r="B1181" s="24"/>
    </row>
    <row r="1182" spans="1:2" x14ac:dyDescent="0.35">
      <c r="A1182" s="24"/>
      <c r="B1182" s="24"/>
    </row>
    <row r="1183" spans="1:2" x14ac:dyDescent="0.35">
      <c r="A1183" s="24"/>
      <c r="B1183" s="24"/>
    </row>
    <row r="1184" spans="1:2" x14ac:dyDescent="0.35">
      <c r="A1184" s="24"/>
      <c r="B1184" s="24"/>
    </row>
    <row r="1185" spans="1:2" x14ac:dyDescent="0.35">
      <c r="A1185" s="24"/>
      <c r="B1185" s="24"/>
    </row>
    <row r="1186" spans="1:2" x14ac:dyDescent="0.35">
      <c r="A1186" s="24"/>
      <c r="B1186" s="24"/>
    </row>
    <row r="1187" spans="1:2" x14ac:dyDescent="0.35">
      <c r="A1187" s="24"/>
      <c r="B1187" s="24"/>
    </row>
    <row r="1188" spans="1:2" x14ac:dyDescent="0.35">
      <c r="A1188" s="24"/>
      <c r="B1188" s="24"/>
    </row>
    <row r="1189" spans="1:2" x14ac:dyDescent="0.35">
      <c r="A1189" s="24"/>
      <c r="B1189" s="24"/>
    </row>
    <row r="1190" spans="1:2" x14ac:dyDescent="0.35">
      <c r="A1190" s="24"/>
      <c r="B1190" s="24"/>
    </row>
    <row r="1191" spans="1:2" x14ac:dyDescent="0.35">
      <c r="A1191" s="24"/>
      <c r="B1191" s="24"/>
    </row>
    <row r="1192" spans="1:2" x14ac:dyDescent="0.35">
      <c r="A1192" s="24"/>
      <c r="B1192" s="24"/>
    </row>
    <row r="1193" spans="1:2" x14ac:dyDescent="0.35">
      <c r="A1193" s="24"/>
      <c r="B1193" s="24"/>
    </row>
    <row r="1194" spans="1:2" x14ac:dyDescent="0.35">
      <c r="A1194" s="24"/>
      <c r="B1194" s="24"/>
    </row>
    <row r="1195" spans="1:2" x14ac:dyDescent="0.35">
      <c r="A1195" s="24"/>
      <c r="B1195" s="24"/>
    </row>
    <row r="1196" spans="1:2" x14ac:dyDescent="0.35">
      <c r="A1196" s="24"/>
      <c r="B1196" s="24"/>
    </row>
    <row r="1197" spans="1:2" x14ac:dyDescent="0.35">
      <c r="A1197" s="24"/>
      <c r="B1197" s="24"/>
    </row>
    <row r="1198" spans="1:2" x14ac:dyDescent="0.35">
      <c r="A1198" s="24"/>
      <c r="B1198" s="24"/>
    </row>
    <row r="1199" spans="1:2" x14ac:dyDescent="0.35">
      <c r="A1199" s="24"/>
      <c r="B1199" s="24"/>
    </row>
    <row r="1200" spans="1:2" x14ac:dyDescent="0.35">
      <c r="A1200" s="24"/>
      <c r="B1200" s="24"/>
    </row>
    <row r="1201" spans="1:2" x14ac:dyDescent="0.35">
      <c r="A1201" s="24"/>
      <c r="B1201" s="24"/>
    </row>
    <row r="1202" spans="1:2" x14ac:dyDescent="0.35">
      <c r="A1202" s="24"/>
      <c r="B1202" s="24"/>
    </row>
    <row r="1203" spans="1:2" x14ac:dyDescent="0.35">
      <c r="A1203" s="24"/>
      <c r="B1203" s="24"/>
    </row>
    <row r="1204" spans="1:2" x14ac:dyDescent="0.35">
      <c r="A1204" s="24"/>
      <c r="B1204" s="24"/>
    </row>
    <row r="1205" spans="1:2" x14ac:dyDescent="0.35">
      <c r="A1205" s="24"/>
      <c r="B1205" s="24"/>
    </row>
    <row r="1206" spans="1:2" x14ac:dyDescent="0.35">
      <c r="A1206" s="24"/>
      <c r="B1206" s="24"/>
    </row>
    <row r="1207" spans="1:2" x14ac:dyDescent="0.35">
      <c r="A1207" s="24"/>
      <c r="B1207" s="24"/>
    </row>
    <row r="1208" spans="1:2" x14ac:dyDescent="0.35">
      <c r="A1208" s="24"/>
      <c r="B1208" s="24"/>
    </row>
    <row r="1209" spans="1:2" x14ac:dyDescent="0.35">
      <c r="A1209" s="24"/>
      <c r="B1209" s="24"/>
    </row>
    <row r="1210" spans="1:2" x14ac:dyDescent="0.35">
      <c r="A1210" s="24"/>
      <c r="B1210" s="24"/>
    </row>
    <row r="1211" spans="1:2" x14ac:dyDescent="0.35">
      <c r="A1211" s="24"/>
      <c r="B1211" s="24"/>
    </row>
    <row r="1212" spans="1:2" x14ac:dyDescent="0.35">
      <c r="A1212" s="24"/>
      <c r="B1212" s="24"/>
    </row>
    <row r="1213" spans="1:2" x14ac:dyDescent="0.35">
      <c r="A1213" s="24"/>
      <c r="B1213" s="24"/>
    </row>
    <row r="1214" spans="1:2" x14ac:dyDescent="0.35">
      <c r="A1214" s="24"/>
      <c r="B1214" s="24"/>
    </row>
    <row r="1215" spans="1:2" x14ac:dyDescent="0.35">
      <c r="A1215" s="24"/>
      <c r="B1215" s="24"/>
    </row>
    <row r="1216" spans="1:2" x14ac:dyDescent="0.35">
      <c r="A1216" s="24"/>
      <c r="B1216" s="24"/>
    </row>
    <row r="1217" spans="1:2" x14ac:dyDescent="0.35">
      <c r="A1217" s="24"/>
      <c r="B1217" s="24"/>
    </row>
    <row r="1218" spans="1:2" x14ac:dyDescent="0.35">
      <c r="A1218" s="24"/>
      <c r="B1218" s="24"/>
    </row>
    <row r="1219" spans="1:2" x14ac:dyDescent="0.35">
      <c r="A1219" s="24"/>
      <c r="B1219" s="24"/>
    </row>
    <row r="1220" spans="1:2" x14ac:dyDescent="0.35">
      <c r="A1220" s="24"/>
      <c r="B1220" s="24"/>
    </row>
    <row r="1221" spans="1:2" x14ac:dyDescent="0.35">
      <c r="A1221" s="24"/>
      <c r="B1221" s="24"/>
    </row>
    <row r="1222" spans="1:2" x14ac:dyDescent="0.35">
      <c r="A1222" s="24"/>
      <c r="B1222" s="24"/>
    </row>
    <row r="1223" spans="1:2" x14ac:dyDescent="0.35">
      <c r="A1223" s="24"/>
      <c r="B1223" s="24"/>
    </row>
    <row r="1224" spans="1:2" x14ac:dyDescent="0.35">
      <c r="A1224" s="24"/>
      <c r="B1224" s="24"/>
    </row>
    <row r="1225" spans="1:2" x14ac:dyDescent="0.35">
      <c r="A1225" s="24"/>
      <c r="B1225" s="24"/>
    </row>
    <row r="1226" spans="1:2" x14ac:dyDescent="0.35">
      <c r="A1226" s="24"/>
      <c r="B1226" s="24"/>
    </row>
    <row r="1227" spans="1:2" x14ac:dyDescent="0.35">
      <c r="A1227" s="24"/>
      <c r="B1227" s="24"/>
    </row>
    <row r="1228" spans="1:2" x14ac:dyDescent="0.35">
      <c r="A1228" s="24"/>
      <c r="B1228" s="24"/>
    </row>
    <row r="1229" spans="1:2" x14ac:dyDescent="0.35">
      <c r="A1229" s="24"/>
      <c r="B1229" s="24"/>
    </row>
    <row r="1230" spans="1:2" x14ac:dyDescent="0.35">
      <c r="A1230" s="24"/>
      <c r="B1230" s="24"/>
    </row>
    <row r="1231" spans="1:2" x14ac:dyDescent="0.35">
      <c r="A1231" s="24"/>
      <c r="B1231" s="24"/>
    </row>
    <row r="1232" spans="1:2" x14ac:dyDescent="0.35">
      <c r="A1232" s="24"/>
      <c r="B1232" s="24"/>
    </row>
    <row r="1233" spans="1:2" x14ac:dyDescent="0.35">
      <c r="A1233" s="24"/>
      <c r="B1233" s="24"/>
    </row>
    <row r="1234" spans="1:2" x14ac:dyDescent="0.35">
      <c r="A1234" s="24"/>
      <c r="B1234" s="24"/>
    </row>
    <row r="1235" spans="1:2" x14ac:dyDescent="0.35">
      <c r="A1235" s="24"/>
      <c r="B1235" s="24"/>
    </row>
    <row r="1236" spans="1:2" x14ac:dyDescent="0.35">
      <c r="A1236" s="24"/>
      <c r="B1236" s="24"/>
    </row>
    <row r="1237" spans="1:2" x14ac:dyDescent="0.35">
      <c r="A1237" s="24"/>
      <c r="B1237" s="24"/>
    </row>
    <row r="1238" spans="1:2" x14ac:dyDescent="0.35">
      <c r="A1238" s="24"/>
      <c r="B1238" s="24"/>
    </row>
    <row r="1239" spans="1:2" x14ac:dyDescent="0.35">
      <c r="A1239" s="24"/>
      <c r="B1239" s="24"/>
    </row>
    <row r="1240" spans="1:2" x14ac:dyDescent="0.35">
      <c r="A1240" s="24"/>
      <c r="B1240" s="24"/>
    </row>
    <row r="1241" spans="1:2" x14ac:dyDescent="0.35">
      <c r="A1241" s="24"/>
      <c r="B1241" s="24"/>
    </row>
    <row r="1242" spans="1:2" x14ac:dyDescent="0.35">
      <c r="A1242" s="24"/>
      <c r="B1242" s="24"/>
    </row>
    <row r="1243" spans="1:2" x14ac:dyDescent="0.35">
      <c r="A1243" s="24"/>
      <c r="B1243" s="24"/>
    </row>
    <row r="1244" spans="1:2" x14ac:dyDescent="0.35">
      <c r="A1244" s="24"/>
      <c r="B1244" s="24"/>
    </row>
    <row r="1245" spans="1:2" x14ac:dyDescent="0.35">
      <c r="A1245" s="24"/>
      <c r="B1245" s="24"/>
    </row>
    <row r="1246" spans="1:2" x14ac:dyDescent="0.35">
      <c r="A1246" s="24"/>
      <c r="B1246" s="24"/>
    </row>
    <row r="1247" spans="1:2" x14ac:dyDescent="0.35">
      <c r="A1247" s="24"/>
      <c r="B1247" s="24"/>
    </row>
    <row r="1248" spans="1:2" x14ac:dyDescent="0.35">
      <c r="A1248" s="24"/>
      <c r="B1248" s="24"/>
    </row>
    <row r="1249" spans="1:2" x14ac:dyDescent="0.35">
      <c r="A1249" s="24"/>
      <c r="B1249" s="24"/>
    </row>
    <row r="1250" spans="1:2" x14ac:dyDescent="0.35">
      <c r="A1250" s="24"/>
      <c r="B1250" s="24"/>
    </row>
    <row r="1251" spans="1:2" x14ac:dyDescent="0.35">
      <c r="A1251" s="24"/>
      <c r="B1251" s="24"/>
    </row>
    <row r="1252" spans="1:2" x14ac:dyDescent="0.35">
      <c r="A1252" s="24"/>
      <c r="B1252" s="24"/>
    </row>
    <row r="1253" spans="1:2" x14ac:dyDescent="0.35">
      <c r="A1253" s="24"/>
      <c r="B1253" s="24"/>
    </row>
    <row r="1254" spans="1:2" x14ac:dyDescent="0.35">
      <c r="A1254" s="24"/>
      <c r="B1254" s="24"/>
    </row>
    <row r="1255" spans="1:2" x14ac:dyDescent="0.35">
      <c r="A1255" s="24"/>
      <c r="B1255" s="24"/>
    </row>
    <row r="1256" spans="1:2" x14ac:dyDescent="0.35">
      <c r="A1256" s="24"/>
      <c r="B1256" s="24"/>
    </row>
    <row r="1257" spans="1:2" x14ac:dyDescent="0.35">
      <c r="A1257" s="24"/>
      <c r="B1257" s="24"/>
    </row>
    <row r="1258" spans="1:2" x14ac:dyDescent="0.35">
      <c r="A1258" s="24"/>
      <c r="B1258" s="24"/>
    </row>
    <row r="1259" spans="1:2" x14ac:dyDescent="0.35">
      <c r="A1259" s="24"/>
      <c r="B1259" s="24"/>
    </row>
    <row r="1260" spans="1:2" x14ac:dyDescent="0.35">
      <c r="A1260" s="24"/>
      <c r="B1260" s="24"/>
    </row>
    <row r="1261" spans="1:2" x14ac:dyDescent="0.35">
      <c r="A1261" s="24"/>
      <c r="B1261" s="24"/>
    </row>
    <row r="1262" spans="1:2" x14ac:dyDescent="0.35">
      <c r="A1262" s="24"/>
      <c r="B1262" s="24"/>
    </row>
    <row r="1263" spans="1:2" x14ac:dyDescent="0.35">
      <c r="A1263" s="24"/>
      <c r="B1263" s="24"/>
    </row>
    <row r="1264" spans="1:2" x14ac:dyDescent="0.35">
      <c r="A1264" s="24"/>
      <c r="B1264" s="24"/>
    </row>
    <row r="1265" spans="1:2" x14ac:dyDescent="0.35">
      <c r="A1265" s="24"/>
      <c r="B1265" s="24"/>
    </row>
    <row r="1266" spans="1:2" x14ac:dyDescent="0.35">
      <c r="A1266" s="24"/>
      <c r="B1266" s="24"/>
    </row>
    <row r="1267" spans="1:2" x14ac:dyDescent="0.35">
      <c r="A1267" s="24"/>
      <c r="B1267" s="24"/>
    </row>
    <row r="1268" spans="1:2" x14ac:dyDescent="0.35">
      <c r="A1268" s="24"/>
      <c r="B1268" s="24"/>
    </row>
    <row r="1269" spans="1:2" x14ac:dyDescent="0.35">
      <c r="A1269" s="24"/>
      <c r="B1269" s="24"/>
    </row>
    <row r="1270" spans="1:2" x14ac:dyDescent="0.35">
      <c r="A1270" s="24"/>
      <c r="B1270" s="24"/>
    </row>
    <row r="1271" spans="1:2" x14ac:dyDescent="0.35">
      <c r="A1271" s="24"/>
      <c r="B1271" s="24"/>
    </row>
    <row r="1272" spans="1:2" x14ac:dyDescent="0.35">
      <c r="A1272" s="24"/>
      <c r="B1272" s="24"/>
    </row>
    <row r="1273" spans="1:2" x14ac:dyDescent="0.35">
      <c r="A1273" s="24"/>
      <c r="B1273" s="24"/>
    </row>
    <row r="1274" spans="1:2" x14ac:dyDescent="0.35">
      <c r="A1274" s="24"/>
      <c r="B1274" s="24"/>
    </row>
    <row r="1275" spans="1:2" x14ac:dyDescent="0.35">
      <c r="A1275" s="24"/>
      <c r="B1275" s="24"/>
    </row>
    <row r="1276" spans="1:2" x14ac:dyDescent="0.35">
      <c r="A1276" s="24"/>
      <c r="B1276" s="24"/>
    </row>
    <row r="1277" spans="1:2" x14ac:dyDescent="0.35">
      <c r="A1277" s="24"/>
      <c r="B1277" s="24"/>
    </row>
    <row r="1278" spans="1:2" x14ac:dyDescent="0.35">
      <c r="A1278" s="24"/>
      <c r="B1278" s="24"/>
    </row>
    <row r="1279" spans="1:2" x14ac:dyDescent="0.35">
      <c r="A1279" s="24"/>
      <c r="B1279" s="24"/>
    </row>
    <row r="1280" spans="1:2" x14ac:dyDescent="0.35">
      <c r="A1280" s="24"/>
      <c r="B1280" s="24"/>
    </row>
    <row r="1281" spans="1:2" x14ac:dyDescent="0.35">
      <c r="A1281" s="24"/>
      <c r="B1281" s="24"/>
    </row>
    <row r="1282" spans="1:2" x14ac:dyDescent="0.35">
      <c r="A1282" s="24"/>
      <c r="B1282" s="24"/>
    </row>
    <row r="1283" spans="1:2" x14ac:dyDescent="0.35">
      <c r="A1283" s="24"/>
      <c r="B1283" s="24"/>
    </row>
    <row r="1284" spans="1:2" x14ac:dyDescent="0.35">
      <c r="A1284" s="24"/>
      <c r="B1284" s="24"/>
    </row>
    <row r="1285" spans="1:2" x14ac:dyDescent="0.35">
      <c r="A1285" s="24"/>
      <c r="B1285" s="24"/>
    </row>
    <row r="1286" spans="1:2" x14ac:dyDescent="0.35">
      <c r="A1286" s="24"/>
      <c r="B1286" s="24"/>
    </row>
    <row r="1287" spans="1:2" x14ac:dyDescent="0.35">
      <c r="A1287" s="24"/>
      <c r="B1287" s="24"/>
    </row>
    <row r="1288" spans="1:2" x14ac:dyDescent="0.35">
      <c r="A1288" s="24"/>
      <c r="B1288" s="24"/>
    </row>
    <row r="1289" spans="1:2" x14ac:dyDescent="0.35">
      <c r="A1289" s="24"/>
      <c r="B1289" s="24"/>
    </row>
    <row r="1290" spans="1:2" x14ac:dyDescent="0.35">
      <c r="A1290" s="24"/>
      <c r="B1290" s="24"/>
    </row>
    <row r="1291" spans="1:2" x14ac:dyDescent="0.35">
      <c r="A1291" s="24"/>
      <c r="B1291" s="24"/>
    </row>
    <row r="1292" spans="1:2" x14ac:dyDescent="0.35">
      <c r="A1292" s="24"/>
      <c r="B1292" s="24"/>
    </row>
    <row r="1293" spans="1:2" x14ac:dyDescent="0.35">
      <c r="A1293" s="24"/>
      <c r="B1293" s="24"/>
    </row>
    <row r="1294" spans="1:2" x14ac:dyDescent="0.35">
      <c r="A1294" s="24"/>
      <c r="B1294" s="24"/>
    </row>
    <row r="1295" spans="1:2" x14ac:dyDescent="0.35">
      <c r="A1295" s="24"/>
      <c r="B1295" s="24"/>
    </row>
    <row r="1296" spans="1:2" x14ac:dyDescent="0.35">
      <c r="A1296" s="24"/>
      <c r="B1296" s="24"/>
    </row>
    <row r="1297" spans="1:2" x14ac:dyDescent="0.35">
      <c r="A1297" s="24"/>
      <c r="B1297" s="24"/>
    </row>
    <row r="1298" spans="1:2" x14ac:dyDescent="0.35">
      <c r="A1298" s="24"/>
      <c r="B1298" s="24"/>
    </row>
    <row r="1299" spans="1:2" x14ac:dyDescent="0.35">
      <c r="A1299" s="24"/>
      <c r="B1299" s="24"/>
    </row>
    <row r="1300" spans="1:2" x14ac:dyDescent="0.35">
      <c r="A1300" s="24"/>
      <c r="B1300" s="24"/>
    </row>
    <row r="1301" spans="1:2" x14ac:dyDescent="0.35">
      <c r="A1301" s="24"/>
      <c r="B1301" s="24"/>
    </row>
    <row r="1302" spans="1:2" x14ac:dyDescent="0.35">
      <c r="A1302" s="24"/>
      <c r="B1302" s="24"/>
    </row>
    <row r="1303" spans="1:2" x14ac:dyDescent="0.35">
      <c r="A1303" s="24"/>
      <c r="B1303" s="24"/>
    </row>
    <row r="1304" spans="1:2" x14ac:dyDescent="0.35">
      <c r="A1304" s="24"/>
      <c r="B1304" s="24"/>
    </row>
    <row r="1305" spans="1:2" x14ac:dyDescent="0.35">
      <c r="A1305" s="24"/>
      <c r="B1305" s="24"/>
    </row>
    <row r="1306" spans="1:2" x14ac:dyDescent="0.35">
      <c r="A1306" s="24"/>
      <c r="B1306" s="24"/>
    </row>
    <row r="1307" spans="1:2" x14ac:dyDescent="0.35">
      <c r="A1307" s="24"/>
      <c r="B1307" s="24"/>
    </row>
    <row r="1308" spans="1:2" x14ac:dyDescent="0.35">
      <c r="A1308" s="24"/>
      <c r="B1308" s="24"/>
    </row>
    <row r="1309" spans="1:2" x14ac:dyDescent="0.35">
      <c r="A1309" s="24"/>
      <c r="B1309" s="24"/>
    </row>
    <row r="1310" spans="1:2" x14ac:dyDescent="0.35">
      <c r="A1310" s="24"/>
      <c r="B1310" s="24"/>
    </row>
    <row r="1311" spans="1:2" x14ac:dyDescent="0.35">
      <c r="A1311" s="24"/>
      <c r="B1311" s="24"/>
    </row>
    <row r="1312" spans="1:2" x14ac:dyDescent="0.35">
      <c r="A1312" s="24"/>
      <c r="B1312" s="24"/>
    </row>
    <row r="1313" spans="1:2" x14ac:dyDescent="0.35">
      <c r="A1313" s="24"/>
      <c r="B1313" s="24"/>
    </row>
    <row r="1314" spans="1:2" x14ac:dyDescent="0.35">
      <c r="A1314" s="24"/>
      <c r="B1314" s="24"/>
    </row>
    <row r="1315" spans="1:2" x14ac:dyDescent="0.35">
      <c r="A1315" s="24"/>
      <c r="B1315" s="24"/>
    </row>
    <row r="1316" spans="1:2" x14ac:dyDescent="0.35">
      <c r="A1316" s="24"/>
      <c r="B1316" s="24"/>
    </row>
    <row r="1317" spans="1:2" x14ac:dyDescent="0.35">
      <c r="A1317" s="24"/>
      <c r="B1317" s="24"/>
    </row>
    <row r="1318" spans="1:2" x14ac:dyDescent="0.35">
      <c r="A1318" s="24"/>
      <c r="B1318" s="24"/>
    </row>
    <row r="1319" spans="1:2" x14ac:dyDescent="0.35">
      <c r="A1319" s="24"/>
      <c r="B1319" s="24"/>
    </row>
    <row r="1320" spans="1:2" x14ac:dyDescent="0.35">
      <c r="A1320" s="24"/>
      <c r="B1320" s="24"/>
    </row>
    <row r="1321" spans="1:2" x14ac:dyDescent="0.35">
      <c r="A1321" s="24"/>
      <c r="B1321" s="24"/>
    </row>
    <row r="1322" spans="1:2" x14ac:dyDescent="0.35">
      <c r="A1322" s="24"/>
      <c r="B1322" s="24"/>
    </row>
    <row r="1323" spans="1:2" x14ac:dyDescent="0.35">
      <c r="A1323" s="24"/>
      <c r="B1323" s="24"/>
    </row>
    <row r="1324" spans="1:2" x14ac:dyDescent="0.35">
      <c r="A1324" s="24"/>
      <c r="B1324" s="24"/>
    </row>
    <row r="1325" spans="1:2" x14ac:dyDescent="0.35">
      <c r="A1325" s="24"/>
      <c r="B1325" s="24"/>
    </row>
    <row r="1326" spans="1:2" x14ac:dyDescent="0.35">
      <c r="A1326" s="24"/>
      <c r="B1326" s="24"/>
    </row>
    <row r="1327" spans="1:2" x14ac:dyDescent="0.35">
      <c r="A1327" s="24"/>
      <c r="B1327" s="24"/>
    </row>
    <row r="1328" spans="1:2" x14ac:dyDescent="0.35">
      <c r="A1328" s="24"/>
      <c r="B1328" s="24"/>
    </row>
    <row r="1329" spans="1:2" x14ac:dyDescent="0.35">
      <c r="A1329" s="24"/>
      <c r="B1329" s="24"/>
    </row>
    <row r="1330" spans="1:2" x14ac:dyDescent="0.35">
      <c r="A1330" s="24"/>
      <c r="B1330" s="24"/>
    </row>
    <row r="1331" spans="1:2" x14ac:dyDescent="0.35">
      <c r="A1331" s="24"/>
      <c r="B1331" s="24"/>
    </row>
    <row r="1332" spans="1:2" x14ac:dyDescent="0.35">
      <c r="A1332" s="24"/>
      <c r="B1332" s="24"/>
    </row>
    <row r="1333" spans="1:2" x14ac:dyDescent="0.35">
      <c r="A1333" s="24"/>
      <c r="B1333" s="24"/>
    </row>
    <row r="1334" spans="1:2" x14ac:dyDescent="0.35">
      <c r="A1334" s="24"/>
      <c r="B1334" s="24"/>
    </row>
    <row r="1335" spans="1:2" x14ac:dyDescent="0.35">
      <c r="A1335" s="24"/>
      <c r="B1335" s="24"/>
    </row>
    <row r="1336" spans="1:2" x14ac:dyDescent="0.35">
      <c r="A1336" s="24"/>
      <c r="B1336" s="24"/>
    </row>
    <row r="1337" spans="1:2" x14ac:dyDescent="0.35">
      <c r="A1337" s="24"/>
      <c r="B1337" s="24"/>
    </row>
    <row r="1338" spans="1:2" x14ac:dyDescent="0.35">
      <c r="A1338" s="24"/>
      <c r="B1338" s="24"/>
    </row>
    <row r="1339" spans="1:2" x14ac:dyDescent="0.35">
      <c r="A1339" s="24"/>
      <c r="B1339" s="24"/>
    </row>
    <row r="1340" spans="1:2" x14ac:dyDescent="0.35">
      <c r="A1340" s="24"/>
      <c r="B1340" s="24"/>
    </row>
    <row r="1341" spans="1:2" x14ac:dyDescent="0.35">
      <c r="A1341" s="24"/>
      <c r="B1341" s="24"/>
    </row>
    <row r="1342" spans="1:2" x14ac:dyDescent="0.35">
      <c r="A1342" s="24"/>
      <c r="B1342" s="24"/>
    </row>
    <row r="1343" spans="1:2" x14ac:dyDescent="0.35">
      <c r="A1343" s="24"/>
      <c r="B1343" s="24"/>
    </row>
    <row r="1344" spans="1:2" x14ac:dyDescent="0.35">
      <c r="A1344" s="24"/>
      <c r="B1344" s="24"/>
    </row>
    <row r="1345" spans="1:2" x14ac:dyDescent="0.35">
      <c r="A1345" s="24"/>
      <c r="B1345" s="24"/>
    </row>
    <row r="1346" spans="1:2" x14ac:dyDescent="0.35">
      <c r="A1346" s="24"/>
      <c r="B1346" s="24"/>
    </row>
    <row r="1347" spans="1:2" x14ac:dyDescent="0.35">
      <c r="A1347" s="24"/>
      <c r="B1347" s="24"/>
    </row>
    <row r="1348" spans="1:2" x14ac:dyDescent="0.35">
      <c r="A1348" s="24"/>
      <c r="B1348" s="24"/>
    </row>
    <row r="1349" spans="1:2" x14ac:dyDescent="0.35">
      <c r="A1349" s="24"/>
      <c r="B1349" s="24"/>
    </row>
    <row r="1350" spans="1:2" x14ac:dyDescent="0.35">
      <c r="A1350" s="24"/>
      <c r="B1350" s="24"/>
    </row>
    <row r="1351" spans="1:2" x14ac:dyDescent="0.35">
      <c r="A1351" s="24"/>
      <c r="B1351" s="24"/>
    </row>
    <row r="1352" spans="1:2" x14ac:dyDescent="0.35">
      <c r="A1352" s="24"/>
      <c r="B1352" s="24"/>
    </row>
    <row r="1353" spans="1:2" x14ac:dyDescent="0.35">
      <c r="A1353" s="24"/>
      <c r="B1353" s="24"/>
    </row>
    <row r="1354" spans="1:2" x14ac:dyDescent="0.35">
      <c r="A1354" s="24"/>
      <c r="B1354" s="24"/>
    </row>
    <row r="1355" spans="1:2" x14ac:dyDescent="0.35">
      <c r="A1355" s="24"/>
      <c r="B1355" s="24"/>
    </row>
    <row r="1356" spans="1:2" x14ac:dyDescent="0.35">
      <c r="A1356" s="24"/>
      <c r="B1356" s="24"/>
    </row>
    <row r="1357" spans="1:2" x14ac:dyDescent="0.35">
      <c r="A1357" s="24"/>
      <c r="B1357" s="24"/>
    </row>
    <row r="1358" spans="1:2" x14ac:dyDescent="0.35">
      <c r="A1358" s="24"/>
      <c r="B1358" s="24"/>
    </row>
    <row r="1359" spans="1:2" x14ac:dyDescent="0.35">
      <c r="A1359" s="24"/>
      <c r="B1359" s="24"/>
    </row>
    <row r="1360" spans="1:2" x14ac:dyDescent="0.35">
      <c r="A1360" s="24"/>
      <c r="B1360" s="24"/>
    </row>
    <row r="1361" spans="1:2" x14ac:dyDescent="0.35">
      <c r="A1361" s="24"/>
      <c r="B1361" s="24"/>
    </row>
    <row r="1362" spans="1:2" x14ac:dyDescent="0.35">
      <c r="A1362" s="24"/>
      <c r="B1362" s="24"/>
    </row>
    <row r="1363" spans="1:2" x14ac:dyDescent="0.35">
      <c r="A1363" s="24"/>
      <c r="B1363" s="24"/>
    </row>
    <row r="1364" spans="1:2" x14ac:dyDescent="0.35">
      <c r="A1364" s="24"/>
      <c r="B1364" s="24"/>
    </row>
    <row r="1365" spans="1:2" x14ac:dyDescent="0.35">
      <c r="A1365" s="24"/>
      <c r="B1365" s="24"/>
    </row>
    <row r="1366" spans="1:2" x14ac:dyDescent="0.35">
      <c r="A1366" s="24"/>
      <c r="B1366" s="24"/>
    </row>
    <row r="1367" spans="1:2" x14ac:dyDescent="0.35">
      <c r="A1367" s="24"/>
      <c r="B1367" s="24"/>
    </row>
    <row r="1368" spans="1:2" x14ac:dyDescent="0.35">
      <c r="A1368" s="24"/>
      <c r="B1368" s="24"/>
    </row>
    <row r="1369" spans="1:2" x14ac:dyDescent="0.35">
      <c r="A1369" s="24"/>
      <c r="B1369" s="24"/>
    </row>
    <row r="1370" spans="1:2" x14ac:dyDescent="0.35">
      <c r="A1370" s="24"/>
      <c r="B1370" s="24"/>
    </row>
    <row r="1371" spans="1:2" x14ac:dyDescent="0.35">
      <c r="A1371" s="24"/>
      <c r="B1371" s="24"/>
    </row>
    <row r="1372" spans="1:2" x14ac:dyDescent="0.35">
      <c r="A1372" s="24"/>
      <c r="B1372" s="24"/>
    </row>
    <row r="1373" spans="1:2" x14ac:dyDescent="0.35">
      <c r="A1373" s="24"/>
      <c r="B1373" s="24"/>
    </row>
    <row r="1374" spans="1:2" x14ac:dyDescent="0.35">
      <c r="A1374" s="24"/>
      <c r="B1374" s="24"/>
    </row>
    <row r="1375" spans="1:2" x14ac:dyDescent="0.35">
      <c r="A1375" s="24"/>
      <c r="B1375" s="24"/>
    </row>
    <row r="1376" spans="1:2" x14ac:dyDescent="0.35">
      <c r="A1376" s="24"/>
      <c r="B1376" s="24"/>
    </row>
    <row r="1377" spans="1:2" x14ac:dyDescent="0.35">
      <c r="A1377" s="24"/>
      <c r="B1377" s="24"/>
    </row>
    <row r="1378" spans="1:2" x14ac:dyDescent="0.35">
      <c r="A1378" s="24"/>
      <c r="B1378" s="24"/>
    </row>
    <row r="1379" spans="1:2" x14ac:dyDescent="0.35">
      <c r="A1379" s="24"/>
      <c r="B1379" s="24"/>
    </row>
    <row r="1380" spans="1:2" x14ac:dyDescent="0.35">
      <c r="A1380" s="24"/>
      <c r="B1380" s="24"/>
    </row>
    <row r="1381" spans="1:2" x14ac:dyDescent="0.35">
      <c r="A1381" s="24"/>
      <c r="B1381" s="24"/>
    </row>
    <row r="1382" spans="1:2" x14ac:dyDescent="0.35">
      <c r="A1382" s="24"/>
      <c r="B1382" s="24"/>
    </row>
    <row r="1383" spans="1:2" x14ac:dyDescent="0.35">
      <c r="A1383" s="24"/>
      <c r="B1383" s="24"/>
    </row>
    <row r="1384" spans="1:2" x14ac:dyDescent="0.35">
      <c r="A1384" s="24"/>
      <c r="B1384" s="24"/>
    </row>
    <row r="1385" spans="1:2" x14ac:dyDescent="0.35">
      <c r="A1385" s="24"/>
      <c r="B1385" s="24"/>
    </row>
    <row r="1386" spans="1:2" x14ac:dyDescent="0.35">
      <c r="A1386" s="24"/>
      <c r="B1386" s="24"/>
    </row>
    <row r="1387" spans="1:2" x14ac:dyDescent="0.35">
      <c r="A1387" s="24"/>
      <c r="B1387" s="24"/>
    </row>
    <row r="1388" spans="1:2" x14ac:dyDescent="0.35">
      <c r="A1388" s="24"/>
      <c r="B1388" s="24"/>
    </row>
    <row r="1389" spans="1:2" x14ac:dyDescent="0.35">
      <c r="A1389" s="24"/>
      <c r="B1389" s="24"/>
    </row>
    <row r="1390" spans="1:2" x14ac:dyDescent="0.35">
      <c r="A1390" s="24"/>
      <c r="B1390" s="24"/>
    </row>
    <row r="1391" spans="1:2" x14ac:dyDescent="0.35">
      <c r="A1391" s="24"/>
      <c r="B1391" s="24"/>
    </row>
    <row r="1392" spans="1:2" x14ac:dyDescent="0.35">
      <c r="A1392" s="24"/>
      <c r="B1392" s="24"/>
    </row>
    <row r="1393" spans="1:2" x14ac:dyDescent="0.35">
      <c r="A1393" s="24"/>
      <c r="B1393" s="24"/>
    </row>
    <row r="1394" spans="1:2" x14ac:dyDescent="0.35">
      <c r="A1394" s="24"/>
      <c r="B1394" s="24"/>
    </row>
    <row r="1395" spans="1:2" x14ac:dyDescent="0.35">
      <c r="A1395" s="24"/>
      <c r="B1395" s="24"/>
    </row>
    <row r="1396" spans="1:2" x14ac:dyDescent="0.35">
      <c r="A1396" s="24"/>
      <c r="B1396" s="24"/>
    </row>
    <row r="1397" spans="1:2" x14ac:dyDescent="0.35">
      <c r="A1397" s="24"/>
      <c r="B1397" s="24"/>
    </row>
    <row r="1398" spans="1:2" x14ac:dyDescent="0.35">
      <c r="A1398" s="24"/>
      <c r="B1398" s="24"/>
    </row>
    <row r="1399" spans="1:2" x14ac:dyDescent="0.35">
      <c r="A1399" s="24"/>
      <c r="B1399" s="24"/>
    </row>
    <row r="1400" spans="1:2" x14ac:dyDescent="0.35">
      <c r="A1400" s="24"/>
      <c r="B1400" s="24"/>
    </row>
    <row r="1401" spans="1:2" x14ac:dyDescent="0.35">
      <c r="A1401" s="24"/>
      <c r="B1401" s="24"/>
    </row>
    <row r="1402" spans="1:2" x14ac:dyDescent="0.35">
      <c r="A1402" s="24"/>
      <c r="B1402" s="24"/>
    </row>
    <row r="1403" spans="1:2" x14ac:dyDescent="0.35">
      <c r="A1403" s="24"/>
      <c r="B1403" s="24"/>
    </row>
    <row r="1404" spans="1:2" x14ac:dyDescent="0.35">
      <c r="A1404" s="24"/>
      <c r="B1404" s="24"/>
    </row>
    <row r="1405" spans="1:2" x14ac:dyDescent="0.35">
      <c r="A1405" s="24"/>
      <c r="B1405" s="24"/>
    </row>
    <row r="1406" spans="1:2" x14ac:dyDescent="0.35">
      <c r="A1406" s="24"/>
      <c r="B1406" s="24"/>
    </row>
    <row r="1407" spans="1:2" x14ac:dyDescent="0.35">
      <c r="A1407" s="24"/>
      <c r="B1407" s="24"/>
    </row>
    <row r="1408" spans="1:2" x14ac:dyDescent="0.35">
      <c r="A1408" s="24"/>
      <c r="B1408" s="24"/>
    </row>
    <row r="1409" spans="1:2" x14ac:dyDescent="0.35">
      <c r="A1409" s="24"/>
      <c r="B1409" s="24"/>
    </row>
    <row r="1410" spans="1:2" x14ac:dyDescent="0.35">
      <c r="A1410" s="24"/>
      <c r="B1410" s="24"/>
    </row>
    <row r="1411" spans="1:2" x14ac:dyDescent="0.35">
      <c r="A1411" s="24"/>
      <c r="B1411" s="24"/>
    </row>
    <row r="1412" spans="1:2" x14ac:dyDescent="0.35">
      <c r="A1412" s="24"/>
      <c r="B1412" s="24"/>
    </row>
    <row r="1413" spans="1:2" x14ac:dyDescent="0.35">
      <c r="A1413" s="24"/>
      <c r="B1413" s="24"/>
    </row>
    <row r="1414" spans="1:2" x14ac:dyDescent="0.35">
      <c r="A1414" s="24"/>
      <c r="B1414" s="24"/>
    </row>
    <row r="1415" spans="1:2" x14ac:dyDescent="0.35">
      <c r="A1415" s="24"/>
      <c r="B1415" s="24"/>
    </row>
    <row r="1416" spans="1:2" x14ac:dyDescent="0.35">
      <c r="A1416" s="24"/>
      <c r="B1416" s="24"/>
    </row>
    <row r="1417" spans="1:2" x14ac:dyDescent="0.35">
      <c r="A1417" s="24"/>
      <c r="B1417" s="24"/>
    </row>
    <row r="1418" spans="1:2" x14ac:dyDescent="0.35">
      <c r="A1418" s="24"/>
      <c r="B1418" s="24"/>
    </row>
    <row r="1419" spans="1:2" x14ac:dyDescent="0.35">
      <c r="A1419" s="24"/>
      <c r="B1419" s="24"/>
    </row>
    <row r="1420" spans="1:2" x14ac:dyDescent="0.35">
      <c r="A1420" s="24"/>
      <c r="B1420" s="24"/>
    </row>
    <row r="1421" spans="1:2" x14ac:dyDescent="0.35">
      <c r="A1421" s="24"/>
      <c r="B1421" s="24"/>
    </row>
    <row r="1422" spans="1:2" x14ac:dyDescent="0.35">
      <c r="A1422" s="24"/>
      <c r="B1422" s="24"/>
    </row>
    <row r="1423" spans="1:2" x14ac:dyDescent="0.35">
      <c r="A1423" s="24"/>
      <c r="B1423" s="24"/>
    </row>
    <row r="1424" spans="1:2" x14ac:dyDescent="0.35">
      <c r="A1424" s="24"/>
      <c r="B1424" s="24"/>
    </row>
    <row r="1425" spans="1:2" x14ac:dyDescent="0.35">
      <c r="A1425" s="24"/>
      <c r="B1425" s="24"/>
    </row>
    <row r="1426" spans="1:2" x14ac:dyDescent="0.35">
      <c r="A1426" s="24"/>
      <c r="B1426" s="24"/>
    </row>
    <row r="1427" spans="1:2" x14ac:dyDescent="0.35">
      <c r="A1427" s="24"/>
      <c r="B1427" s="24"/>
    </row>
    <row r="1428" spans="1:2" x14ac:dyDescent="0.35">
      <c r="A1428" s="24"/>
      <c r="B1428" s="24"/>
    </row>
    <row r="1429" spans="1:2" x14ac:dyDescent="0.35">
      <c r="A1429" s="24"/>
      <c r="B1429" s="24"/>
    </row>
    <row r="1430" spans="1:2" x14ac:dyDescent="0.35">
      <c r="A1430" s="24"/>
      <c r="B1430" s="24"/>
    </row>
    <row r="1431" spans="1:2" x14ac:dyDescent="0.35">
      <c r="A1431" s="24"/>
      <c r="B1431" s="24"/>
    </row>
    <row r="1432" spans="1:2" x14ac:dyDescent="0.35">
      <c r="A1432" s="24"/>
      <c r="B1432" s="24"/>
    </row>
    <row r="1433" spans="1:2" x14ac:dyDescent="0.35">
      <c r="A1433" s="24"/>
      <c r="B1433" s="24"/>
    </row>
    <row r="1434" spans="1:2" x14ac:dyDescent="0.35">
      <c r="A1434" s="24"/>
      <c r="B1434" s="24"/>
    </row>
    <row r="1435" spans="1:2" x14ac:dyDescent="0.35">
      <c r="A1435" s="24"/>
      <c r="B1435" s="24"/>
    </row>
    <row r="1436" spans="1:2" x14ac:dyDescent="0.35">
      <c r="A1436" s="24"/>
      <c r="B1436" s="24"/>
    </row>
    <row r="1437" spans="1:2" x14ac:dyDescent="0.35">
      <c r="A1437" s="24"/>
      <c r="B1437" s="24"/>
    </row>
    <row r="1438" spans="1:2" x14ac:dyDescent="0.35">
      <c r="A1438" s="24"/>
      <c r="B1438" s="24"/>
    </row>
    <row r="1439" spans="1:2" x14ac:dyDescent="0.35">
      <c r="A1439" s="24"/>
      <c r="B1439" s="24"/>
    </row>
    <row r="1440" spans="1:2" x14ac:dyDescent="0.35">
      <c r="A1440" s="24"/>
      <c r="B1440" s="24"/>
    </row>
    <row r="1441" spans="1:2" x14ac:dyDescent="0.35">
      <c r="A1441" s="24"/>
      <c r="B1441" s="24"/>
    </row>
    <row r="1442" spans="1:2" x14ac:dyDescent="0.35">
      <c r="A1442" s="24"/>
      <c r="B1442" s="24"/>
    </row>
    <row r="1443" spans="1:2" x14ac:dyDescent="0.35">
      <c r="A1443" s="24"/>
      <c r="B1443" s="24"/>
    </row>
    <row r="1444" spans="1:2" x14ac:dyDescent="0.35">
      <c r="A1444" s="24"/>
      <c r="B1444" s="24"/>
    </row>
    <row r="1445" spans="1:2" x14ac:dyDescent="0.35">
      <c r="A1445" s="24"/>
      <c r="B1445" s="24"/>
    </row>
    <row r="1446" spans="1:2" x14ac:dyDescent="0.35">
      <c r="A1446" s="24"/>
      <c r="B1446" s="24"/>
    </row>
    <row r="1447" spans="1:2" x14ac:dyDescent="0.35">
      <c r="A1447" s="24"/>
      <c r="B1447" s="24"/>
    </row>
    <row r="1448" spans="1:2" x14ac:dyDescent="0.35">
      <c r="A1448" s="24"/>
      <c r="B1448" s="24"/>
    </row>
    <row r="1449" spans="1:2" x14ac:dyDescent="0.35">
      <c r="A1449" s="24"/>
      <c r="B1449" s="24"/>
    </row>
    <row r="1450" spans="1:2" x14ac:dyDescent="0.35">
      <c r="A1450" s="24"/>
      <c r="B1450" s="24"/>
    </row>
    <row r="1451" spans="1:2" x14ac:dyDescent="0.35">
      <c r="A1451" s="24"/>
      <c r="B1451" s="24"/>
    </row>
    <row r="1452" spans="1:2" x14ac:dyDescent="0.35">
      <c r="A1452" s="24"/>
      <c r="B1452" s="24"/>
    </row>
    <row r="1453" spans="1:2" x14ac:dyDescent="0.35">
      <c r="A1453" s="24"/>
      <c r="B1453" s="24"/>
    </row>
    <row r="1454" spans="1:2" x14ac:dyDescent="0.35">
      <c r="A1454" s="24"/>
      <c r="B1454" s="24"/>
    </row>
    <row r="1455" spans="1:2" x14ac:dyDescent="0.35">
      <c r="A1455" s="24"/>
      <c r="B1455" s="24"/>
    </row>
    <row r="1456" spans="1:2" x14ac:dyDescent="0.35">
      <c r="A1456" s="24"/>
      <c r="B1456" s="24"/>
    </row>
    <row r="1457" spans="1:2" x14ac:dyDescent="0.35">
      <c r="A1457" s="24"/>
      <c r="B1457" s="24"/>
    </row>
    <row r="1458" spans="1:2" x14ac:dyDescent="0.35">
      <c r="A1458" s="24"/>
      <c r="B1458" s="24"/>
    </row>
    <row r="1459" spans="1:2" x14ac:dyDescent="0.35">
      <c r="A1459" s="24"/>
      <c r="B1459" s="24"/>
    </row>
    <row r="1460" spans="1:2" x14ac:dyDescent="0.35">
      <c r="A1460" s="24"/>
      <c r="B1460" s="24"/>
    </row>
    <row r="1461" spans="1:2" x14ac:dyDescent="0.35">
      <c r="A1461" s="24"/>
      <c r="B1461" s="24"/>
    </row>
    <row r="1462" spans="1:2" x14ac:dyDescent="0.35">
      <c r="A1462" s="24"/>
      <c r="B1462" s="24"/>
    </row>
    <row r="1463" spans="1:2" x14ac:dyDescent="0.35">
      <c r="A1463" s="24"/>
      <c r="B1463" s="24"/>
    </row>
    <row r="1464" spans="1:2" x14ac:dyDescent="0.35">
      <c r="A1464" s="24"/>
      <c r="B1464" s="24"/>
    </row>
    <row r="1465" spans="1:2" x14ac:dyDescent="0.35">
      <c r="A1465" s="24"/>
      <c r="B1465" s="24"/>
    </row>
    <row r="1466" spans="1:2" x14ac:dyDescent="0.35">
      <c r="A1466" s="24"/>
      <c r="B1466" s="24"/>
    </row>
    <row r="1467" spans="1:2" x14ac:dyDescent="0.35">
      <c r="A1467" s="24"/>
      <c r="B1467" s="24"/>
    </row>
    <row r="1468" spans="1:2" x14ac:dyDescent="0.35">
      <c r="A1468" s="24"/>
      <c r="B1468" s="24"/>
    </row>
    <row r="1469" spans="1:2" x14ac:dyDescent="0.35">
      <c r="A1469" s="24"/>
      <c r="B1469" s="24"/>
    </row>
    <row r="1470" spans="1:2" x14ac:dyDescent="0.35">
      <c r="A1470" s="24"/>
      <c r="B1470" s="24"/>
    </row>
    <row r="1471" spans="1:2" x14ac:dyDescent="0.35">
      <c r="A1471" s="24"/>
      <c r="B1471" s="24"/>
    </row>
    <row r="1472" spans="1:2" x14ac:dyDescent="0.35">
      <c r="A1472" s="24"/>
      <c r="B1472" s="24"/>
    </row>
    <row r="1473" spans="1:2" x14ac:dyDescent="0.35">
      <c r="A1473" s="24"/>
      <c r="B1473" s="24"/>
    </row>
    <row r="1474" spans="1:2" x14ac:dyDescent="0.35">
      <c r="A1474" s="24"/>
      <c r="B1474" s="24"/>
    </row>
    <row r="1475" spans="1:2" x14ac:dyDescent="0.35">
      <c r="A1475" s="24"/>
      <c r="B1475" s="24"/>
    </row>
    <row r="1476" spans="1:2" x14ac:dyDescent="0.35">
      <c r="A1476" s="24"/>
      <c r="B1476" s="24"/>
    </row>
    <row r="1477" spans="1:2" x14ac:dyDescent="0.35">
      <c r="A1477" s="24"/>
      <c r="B1477" s="24"/>
    </row>
    <row r="1478" spans="1:2" x14ac:dyDescent="0.35">
      <c r="A1478" s="24"/>
      <c r="B1478" s="24"/>
    </row>
    <row r="1479" spans="1:2" x14ac:dyDescent="0.35">
      <c r="A1479" s="24"/>
      <c r="B1479" s="24"/>
    </row>
    <row r="1480" spans="1:2" x14ac:dyDescent="0.35">
      <c r="A1480" s="24"/>
      <c r="B1480" s="24"/>
    </row>
    <row r="1481" spans="1:2" x14ac:dyDescent="0.35">
      <c r="A1481" s="24"/>
      <c r="B1481" s="24"/>
    </row>
    <row r="1482" spans="1:2" x14ac:dyDescent="0.35">
      <c r="A1482" s="24"/>
      <c r="B1482" s="24"/>
    </row>
    <row r="1483" spans="1:2" x14ac:dyDescent="0.35">
      <c r="A1483" s="24"/>
      <c r="B1483" s="24"/>
    </row>
    <row r="1484" spans="1:2" x14ac:dyDescent="0.35">
      <c r="A1484" s="24"/>
      <c r="B1484" s="24"/>
    </row>
    <row r="1485" spans="1:2" x14ac:dyDescent="0.35">
      <c r="A1485" s="24"/>
      <c r="B1485" s="24"/>
    </row>
    <row r="1486" spans="1:2" x14ac:dyDescent="0.35">
      <c r="A1486" s="24"/>
      <c r="B1486" s="24"/>
    </row>
    <row r="1487" spans="1:2" x14ac:dyDescent="0.35">
      <c r="A1487" s="24"/>
      <c r="B1487" s="24"/>
    </row>
    <row r="1488" spans="1:2" x14ac:dyDescent="0.35">
      <c r="A1488" s="24"/>
      <c r="B1488" s="24"/>
    </row>
    <row r="1489" spans="1:2" x14ac:dyDescent="0.35">
      <c r="A1489" s="24"/>
      <c r="B1489" s="24"/>
    </row>
    <row r="1490" spans="1:2" x14ac:dyDescent="0.35">
      <c r="A1490" s="24"/>
      <c r="B1490" s="24"/>
    </row>
    <row r="1491" spans="1:2" x14ac:dyDescent="0.35">
      <c r="A1491" s="24"/>
      <c r="B1491" s="24"/>
    </row>
    <row r="1492" spans="1:2" x14ac:dyDescent="0.35">
      <c r="A1492" s="24"/>
      <c r="B1492" s="24"/>
    </row>
    <row r="1493" spans="1:2" x14ac:dyDescent="0.35">
      <c r="A1493" s="24"/>
      <c r="B1493" s="24"/>
    </row>
    <row r="1494" spans="1:2" x14ac:dyDescent="0.35">
      <c r="A1494" s="24"/>
      <c r="B1494" s="24"/>
    </row>
    <row r="1495" spans="1:2" x14ac:dyDescent="0.35">
      <c r="A1495" s="24"/>
      <c r="B1495" s="24"/>
    </row>
    <row r="1496" spans="1:2" x14ac:dyDescent="0.35">
      <c r="B1496" s="24"/>
    </row>
    <row r="1497" spans="1:2" x14ac:dyDescent="0.35">
      <c r="B1497" s="24"/>
    </row>
    <row r="1498" spans="1:2" x14ac:dyDescent="0.35">
      <c r="B1498" s="24"/>
    </row>
    <row r="1499" spans="1:2" x14ac:dyDescent="0.35">
      <c r="B1499" s="24"/>
    </row>
    <row r="1500" spans="1:2" x14ac:dyDescent="0.35">
      <c r="B1500" s="24"/>
    </row>
    <row r="1501" spans="1:2" x14ac:dyDescent="0.35">
      <c r="B1501" s="24"/>
    </row>
    <row r="1502" spans="1:2" x14ac:dyDescent="0.35">
      <c r="B1502" s="24"/>
    </row>
    <row r="1503" spans="1:2" x14ac:dyDescent="0.35">
      <c r="B1503" s="24"/>
    </row>
    <row r="1504" spans="1:2" x14ac:dyDescent="0.35">
      <c r="B1504" s="24"/>
    </row>
    <row r="1505" spans="2:2" x14ac:dyDescent="0.35">
      <c r="B1505" s="24"/>
    </row>
    <row r="1506" spans="2:2" x14ac:dyDescent="0.35">
      <c r="B1506" s="24"/>
    </row>
    <row r="1507" spans="2:2" x14ac:dyDescent="0.35">
      <c r="B1507" s="24"/>
    </row>
    <row r="1508" spans="2:2" x14ac:dyDescent="0.35">
      <c r="B1508" s="24"/>
    </row>
    <row r="1509" spans="2:2" x14ac:dyDescent="0.35">
      <c r="B1509" s="24"/>
    </row>
    <row r="1510" spans="2:2" x14ac:dyDescent="0.35">
      <c r="B1510" s="24"/>
    </row>
    <row r="1511" spans="2:2" x14ac:dyDescent="0.35">
      <c r="B1511" s="24"/>
    </row>
    <row r="1512" spans="2:2" x14ac:dyDescent="0.35">
      <c r="B1512" s="24"/>
    </row>
    <row r="1513" spans="2:2" x14ac:dyDescent="0.35">
      <c r="B1513" s="24"/>
    </row>
    <row r="1514" spans="2:2" x14ac:dyDescent="0.35">
      <c r="B1514" s="24"/>
    </row>
    <row r="1515" spans="2:2" x14ac:dyDescent="0.35">
      <c r="B1515" s="24"/>
    </row>
    <row r="1516" spans="2:2" x14ac:dyDescent="0.35">
      <c r="B1516" s="24"/>
    </row>
    <row r="1517" spans="2:2" x14ac:dyDescent="0.35">
      <c r="B1517" s="24"/>
    </row>
    <row r="1518" spans="2:2" x14ac:dyDescent="0.35">
      <c r="B1518" s="24"/>
    </row>
    <row r="1519" spans="2:2" x14ac:dyDescent="0.35">
      <c r="B1519" s="24"/>
    </row>
    <row r="1520" spans="2:2" x14ac:dyDescent="0.35">
      <c r="B1520" s="24"/>
    </row>
    <row r="1521" spans="2:2" x14ac:dyDescent="0.35">
      <c r="B1521" s="24"/>
    </row>
    <row r="1522" spans="2:2" x14ac:dyDescent="0.35">
      <c r="B1522" s="24"/>
    </row>
    <row r="1523" spans="2:2" x14ac:dyDescent="0.35">
      <c r="B1523" s="24"/>
    </row>
    <row r="1524" spans="2:2" x14ac:dyDescent="0.35">
      <c r="B1524" s="24"/>
    </row>
    <row r="1525" spans="2:2" x14ac:dyDescent="0.35">
      <c r="B1525" s="24"/>
    </row>
    <row r="1526" spans="2:2" x14ac:dyDescent="0.35">
      <c r="B1526" s="24"/>
    </row>
    <row r="1527" spans="2:2" x14ac:dyDescent="0.35">
      <c r="B1527" s="24"/>
    </row>
    <row r="1528" spans="2:2" x14ac:dyDescent="0.35">
      <c r="B1528" s="24"/>
    </row>
    <row r="1529" spans="2:2" x14ac:dyDescent="0.35">
      <c r="B1529" s="24"/>
    </row>
    <row r="1530" spans="2:2" x14ac:dyDescent="0.35">
      <c r="B1530" s="24"/>
    </row>
    <row r="1531" spans="2:2" x14ac:dyDescent="0.35">
      <c r="B1531" s="24"/>
    </row>
    <row r="1532" spans="2:2" x14ac:dyDescent="0.35">
      <c r="B1532" s="24"/>
    </row>
    <row r="1533" spans="2:2" x14ac:dyDescent="0.35">
      <c r="B1533" s="24"/>
    </row>
    <row r="1534" spans="2:2" x14ac:dyDescent="0.35">
      <c r="B1534" s="24"/>
    </row>
    <row r="1535" spans="2:2" x14ac:dyDescent="0.35">
      <c r="B1535" s="24"/>
    </row>
    <row r="1536" spans="2:2" x14ac:dyDescent="0.35">
      <c r="B1536" s="24"/>
    </row>
    <row r="1537" spans="2:2" x14ac:dyDescent="0.35">
      <c r="B1537" s="24"/>
    </row>
    <row r="1538" spans="2:2" x14ac:dyDescent="0.35">
      <c r="B1538" s="24"/>
    </row>
    <row r="1539" spans="2:2" x14ac:dyDescent="0.35">
      <c r="B1539" s="24"/>
    </row>
    <row r="1540" spans="2:2" x14ac:dyDescent="0.35">
      <c r="B1540" s="24"/>
    </row>
    <row r="1541" spans="2:2" x14ac:dyDescent="0.35">
      <c r="B1541" s="24"/>
    </row>
    <row r="1542" spans="2:2" x14ac:dyDescent="0.35">
      <c r="B1542" s="24"/>
    </row>
    <row r="1543" spans="2:2" x14ac:dyDescent="0.35">
      <c r="B1543" s="24"/>
    </row>
    <row r="1544" spans="2:2" x14ac:dyDescent="0.35">
      <c r="B1544" s="24"/>
    </row>
    <row r="1545" spans="2:2" x14ac:dyDescent="0.35">
      <c r="B1545" s="24"/>
    </row>
    <row r="1546" spans="2:2" x14ac:dyDescent="0.35">
      <c r="B1546" s="24"/>
    </row>
    <row r="1547" spans="2:2" x14ac:dyDescent="0.35">
      <c r="B1547" s="24"/>
    </row>
    <row r="1548" spans="2:2" x14ac:dyDescent="0.35">
      <c r="B1548" s="24"/>
    </row>
    <row r="1549" spans="2:2" x14ac:dyDescent="0.35">
      <c r="B1549" s="24"/>
    </row>
    <row r="1550" spans="2:2" x14ac:dyDescent="0.35">
      <c r="B1550" s="24"/>
    </row>
    <row r="1551" spans="2:2" x14ac:dyDescent="0.35">
      <c r="B1551" s="24"/>
    </row>
    <row r="1552" spans="2:2" x14ac:dyDescent="0.35">
      <c r="B1552" s="24"/>
    </row>
    <row r="1553" spans="2:2" x14ac:dyDescent="0.35">
      <c r="B1553" s="24"/>
    </row>
    <row r="1554" spans="2:2" x14ac:dyDescent="0.35">
      <c r="B1554" s="24"/>
    </row>
    <row r="1555" spans="2:2" x14ac:dyDescent="0.35">
      <c r="B1555" s="24"/>
    </row>
    <row r="1556" spans="2:2" x14ac:dyDescent="0.35">
      <c r="B1556" s="24"/>
    </row>
    <row r="1557" spans="2:2" x14ac:dyDescent="0.35">
      <c r="B1557" s="24"/>
    </row>
    <row r="1558" spans="2:2" x14ac:dyDescent="0.35">
      <c r="B1558" s="24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919</v>
      </c>
      <c r="B1" s="336" t="s">
        <v>1377</v>
      </c>
      <c r="C1" s="335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919</v>
      </c>
      <c r="B2" s="337" t="s">
        <v>1378</v>
      </c>
      <c r="C2" s="335" t="str">
        <f>AchterNaam</f>
        <v>Achternaam</v>
      </c>
      <c r="FIO2">
        <v>30</v>
      </c>
    </row>
    <row r="3" spans="1:3 4305:4305" x14ac:dyDescent="0.35">
      <c r="A3" t="s">
        <v>919</v>
      </c>
      <c r="B3" s="337" t="s">
        <v>1379</v>
      </c>
      <c r="C3" s="335" t="str">
        <f>VoorNaam</f>
        <v>Voornaam</v>
      </c>
    </row>
    <row r="4" spans="1:3 4305:4305" x14ac:dyDescent="0.35">
      <c r="A4" t="s">
        <v>919</v>
      </c>
      <c r="B4" s="337" t="s">
        <v>1380</v>
      </c>
      <c r="C4" s="335" t="str">
        <f>TEXT(AfsprakenCMV!F3,"dd-mmm-jj")</f>
        <v>01-jan-12</v>
      </c>
    </row>
    <row r="5" spans="1:3 4305:4305" x14ac:dyDescent="0.35">
      <c r="A5" t="s">
        <v>919</v>
      </c>
      <c r="B5" s="337" t="s">
        <v>1381</v>
      </c>
      <c r="C5" s="24">
        <f>PatNummer</f>
        <v>0</v>
      </c>
    </row>
    <row r="6" spans="1:3 4305:4305" x14ac:dyDescent="0.35">
      <c r="A6" t="s">
        <v>1417</v>
      </c>
      <c r="B6" s="337" t="s">
        <v>1377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1417</v>
      </c>
      <c r="B7" s="337" t="s">
        <v>1378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1417</v>
      </c>
      <c r="B8" s="337" t="s">
        <v>1379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1417</v>
      </c>
      <c r="B9" s="336" t="s">
        <v>1380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1417</v>
      </c>
      <c r="B10" s="336" t="s">
        <v>1381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1417</v>
      </c>
      <c r="B11" s="336" t="s">
        <v>1382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1417</v>
      </c>
      <c r="B12" s="336" t="s">
        <v>1383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1417</v>
      </c>
      <c r="B13" s="336" t="s">
        <v>1384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1417</v>
      </c>
      <c r="B14" s="336" t="s">
        <v>1385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1417</v>
      </c>
      <c r="B15" s="336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1417</v>
      </c>
      <c r="B16" s="336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1417</v>
      </c>
      <c r="B17" s="336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1417</v>
      </c>
      <c r="B18" s="336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1417</v>
      </c>
      <c r="B19" s="336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1417</v>
      </c>
      <c r="B20" s="336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1417</v>
      </c>
      <c r="B21" s="336">
        <v>16</v>
      </c>
      <c r="C21" t="str">
        <f>IF(ber_Opm!C4&lt;&gt;0,AfsprakenCMV!C74&amp;" "&amp;ber_Opm!C4,"")</f>
        <v/>
      </c>
    </row>
    <row r="22" spans="1:3" x14ac:dyDescent="0.35">
      <c r="A22" t="s">
        <v>1418</v>
      </c>
      <c r="B22" s="336" t="s">
        <v>1377</v>
      </c>
      <c r="C22" t="str">
        <f>ber_Med_disc!AC2</f>
        <v/>
      </c>
    </row>
    <row r="23" spans="1:3" x14ac:dyDescent="0.35">
      <c r="A23" t="s">
        <v>1418</v>
      </c>
      <c r="B23" s="336" t="s">
        <v>1378</v>
      </c>
      <c r="C23" t="str">
        <f>ber_Med_disc!AC3</f>
        <v/>
      </c>
    </row>
    <row r="24" spans="1:3" x14ac:dyDescent="0.35">
      <c r="A24" t="s">
        <v>1418</v>
      </c>
      <c r="B24" s="336" t="s">
        <v>1379</v>
      </c>
      <c r="C24" t="str">
        <f>ber_Med_disc!AC4</f>
        <v/>
      </c>
    </row>
    <row r="25" spans="1:3" x14ac:dyDescent="0.35">
      <c r="A25" t="s">
        <v>1418</v>
      </c>
      <c r="B25" s="336" t="s">
        <v>1380</v>
      </c>
      <c r="C25" t="str">
        <f>ber_Med_disc!AC5</f>
        <v/>
      </c>
    </row>
    <row r="26" spans="1:3" x14ac:dyDescent="0.35">
      <c r="A26" t="s">
        <v>1418</v>
      </c>
      <c r="B26" s="336" t="s">
        <v>1381</v>
      </c>
      <c r="C26" t="str">
        <f>ber_Med_disc!AC6</f>
        <v/>
      </c>
    </row>
    <row r="27" spans="1:3" x14ac:dyDescent="0.35">
      <c r="A27" t="s">
        <v>1418</v>
      </c>
      <c r="B27" s="336" t="s">
        <v>1382</v>
      </c>
      <c r="C27" t="str">
        <f>ber_Med_disc!AC7</f>
        <v/>
      </c>
    </row>
    <row r="28" spans="1:3" x14ac:dyDescent="0.35">
      <c r="A28" t="s">
        <v>1418</v>
      </c>
      <c r="B28" s="336" t="s">
        <v>1383</v>
      </c>
      <c r="C28" t="str">
        <f>ber_Med_disc!AC8</f>
        <v/>
      </c>
    </row>
    <row r="29" spans="1:3" x14ac:dyDescent="0.35">
      <c r="A29" t="s">
        <v>1418</v>
      </c>
      <c r="B29" s="336" t="s">
        <v>1384</v>
      </c>
      <c r="C29" t="str">
        <f>ber_Med_disc!AC9</f>
        <v/>
      </c>
    </row>
    <row r="30" spans="1:3" x14ac:dyDescent="0.35">
      <c r="A30" t="s">
        <v>1418</v>
      </c>
      <c r="B30" s="336" t="s">
        <v>1385</v>
      </c>
      <c r="C30" t="str">
        <f>ber_Med_disc!AC10</f>
        <v/>
      </c>
    </row>
    <row r="31" spans="1:3" x14ac:dyDescent="0.35">
      <c r="A31" t="s">
        <v>1418</v>
      </c>
      <c r="B31" s="336">
        <v>10</v>
      </c>
      <c r="C31" t="str">
        <f>ber_Med_disc!AC11</f>
        <v/>
      </c>
    </row>
    <row r="32" spans="1:3" x14ac:dyDescent="0.35">
      <c r="A32" t="s">
        <v>1418</v>
      </c>
      <c r="B32" s="336">
        <v>11</v>
      </c>
      <c r="C32" t="str">
        <f>ber_Med_disc!AC12</f>
        <v/>
      </c>
    </row>
    <row r="33" spans="1:3" x14ac:dyDescent="0.35">
      <c r="A33" t="s">
        <v>1418</v>
      </c>
      <c r="B33" s="336">
        <v>12</v>
      </c>
      <c r="C33" t="str">
        <f>ber_Med_disc!AC13</f>
        <v/>
      </c>
    </row>
    <row r="34" spans="1:3" x14ac:dyDescent="0.35">
      <c r="A34" t="s">
        <v>1418</v>
      </c>
      <c r="B34" s="336">
        <v>13</v>
      </c>
      <c r="C34" t="str">
        <f>ber_Med_disc!AC14</f>
        <v/>
      </c>
    </row>
    <row r="35" spans="1:3" x14ac:dyDescent="0.35">
      <c r="A35" t="s">
        <v>1418</v>
      </c>
      <c r="B35" s="336">
        <v>14</v>
      </c>
      <c r="C35" t="str">
        <f>ber_Med_disc!AC15</f>
        <v/>
      </c>
    </row>
    <row r="36" spans="1:3" x14ac:dyDescent="0.35">
      <c r="A36" t="s">
        <v>1418</v>
      </c>
      <c r="B36" s="336">
        <v>15</v>
      </c>
      <c r="C36" t="str">
        <f>ber_Med_disc!AC16</f>
        <v/>
      </c>
    </row>
    <row r="37" spans="1:3" x14ac:dyDescent="0.35">
      <c r="A37" t="s">
        <v>1418</v>
      </c>
      <c r="B37" s="336">
        <v>16</v>
      </c>
      <c r="C37" t="str">
        <f>ber_Med_disc!AC17</f>
        <v/>
      </c>
    </row>
    <row r="38" spans="1:3" x14ac:dyDescent="0.35">
      <c r="A38" t="s">
        <v>1418</v>
      </c>
      <c r="B38" s="336">
        <v>17</v>
      </c>
      <c r="C38" t="str">
        <f>ber_Med_disc!AC18</f>
        <v/>
      </c>
    </row>
    <row r="39" spans="1:3" x14ac:dyDescent="0.35">
      <c r="A39" t="s">
        <v>1418</v>
      </c>
      <c r="B39" s="336">
        <v>18</v>
      </c>
      <c r="C39" t="str">
        <f>ber_Med_disc!AC19</f>
        <v/>
      </c>
    </row>
    <row r="40" spans="1:3" x14ac:dyDescent="0.35">
      <c r="A40" t="s">
        <v>1418</v>
      </c>
      <c r="B40" s="336">
        <v>19</v>
      </c>
      <c r="C40" t="str">
        <f>ber_Med_disc!AC20</f>
        <v/>
      </c>
    </row>
    <row r="41" spans="1:3" x14ac:dyDescent="0.35">
      <c r="A41" t="s">
        <v>1418</v>
      </c>
      <c r="B41" s="336">
        <v>20</v>
      </c>
      <c r="C41" t="str">
        <f>ber_Med_disc!AC21</f>
        <v/>
      </c>
    </row>
    <row r="42" spans="1:3" x14ac:dyDescent="0.35">
      <c r="A42" t="s">
        <v>1419</v>
      </c>
      <c r="B42" s="336" t="s">
        <v>1377</v>
      </c>
      <c r="C42" t="str">
        <f>IF(AfsprakenCMV!C23&lt;&gt;0,AfsprakenCMV!C23,"")</f>
        <v/>
      </c>
    </row>
    <row r="43" spans="1:3" x14ac:dyDescent="0.35">
      <c r="A43" t="s">
        <v>1419</v>
      </c>
      <c r="B43" s="336" t="s">
        <v>1378</v>
      </c>
      <c r="C43" t="str">
        <f>IF(AfsprakenCMV!C24&lt;&gt;0,AfsprakenCMV!C24,"")</f>
        <v/>
      </c>
    </row>
    <row r="44" spans="1:3" x14ac:dyDescent="0.35">
      <c r="A44" t="s">
        <v>1419</v>
      </c>
      <c r="B44" s="336" t="s">
        <v>1379</v>
      </c>
      <c r="C44" t="str">
        <f>IF(AfsprakenCMV!C25&lt;&gt;0,AfsprakenCMV!C25,"")</f>
        <v/>
      </c>
    </row>
    <row r="45" spans="1:3" x14ac:dyDescent="0.35">
      <c r="A45" t="s">
        <v>1419</v>
      </c>
      <c r="B45" s="336" t="s">
        <v>1380</v>
      </c>
      <c r="C45" t="str">
        <f>IF(AfsprakenCMV!C26&lt;&gt;0,AfsprakenCMV!C26,"")</f>
        <v/>
      </c>
    </row>
    <row r="46" spans="1:3" x14ac:dyDescent="0.35">
      <c r="A46" t="s">
        <v>1419</v>
      </c>
      <c r="B46" s="336" t="s">
        <v>1381</v>
      </c>
      <c r="C46" t="str">
        <f>IF(AfsprakenCMV!C27&lt;&gt;0,AfsprakenCMV!C27,"")</f>
        <v/>
      </c>
    </row>
    <row r="47" spans="1:3" x14ac:dyDescent="0.35">
      <c r="A47" t="s">
        <v>1419</v>
      </c>
      <c r="B47" s="336" t="s">
        <v>1382</v>
      </c>
      <c r="C47" t="str">
        <f>IF(AfsprakenCMV!C28&lt;&gt;0,AfsprakenCMV!C28,"")</f>
        <v/>
      </c>
    </row>
    <row r="48" spans="1:3" x14ac:dyDescent="0.35">
      <c r="A48" t="s">
        <v>1419</v>
      </c>
      <c r="B48" s="336" t="s">
        <v>1383</v>
      </c>
      <c r="C48" t="str">
        <f>IF(AfsprakenCMV!C30&lt;&gt;0,"Opmerkingen: "&amp;AfsprakenCMV!C30,"")</f>
        <v/>
      </c>
    </row>
    <row r="49" spans="1:3" x14ac:dyDescent="0.35">
      <c r="A49" t="s">
        <v>1420</v>
      </c>
      <c r="B49" s="336" t="s">
        <v>1377</v>
      </c>
      <c r="C49" t="str">
        <f>IF(AfsprakenCMV!C46&lt;&gt;0,AfsprakenCMV!C46,"")</f>
        <v/>
      </c>
    </row>
    <row r="50" spans="1:3" x14ac:dyDescent="0.35">
      <c r="A50" t="s">
        <v>1420</v>
      </c>
      <c r="B50" s="336" t="s">
        <v>1378</v>
      </c>
      <c r="C50" t="str">
        <f>IF(AfsprakenCMV!C47&lt;&gt;0,AfsprakenCMV!C47,"")</f>
        <v/>
      </c>
    </row>
    <row r="51" spans="1:3" x14ac:dyDescent="0.35">
      <c r="A51" t="s">
        <v>1420</v>
      </c>
      <c r="B51" s="336" t="s">
        <v>1379</v>
      </c>
      <c r="C51" t="str">
        <f>IF(AfsprakenCMV!C48&lt;&gt;0,AfsprakenCMV!C48,"")</f>
        <v/>
      </c>
    </row>
    <row r="52" spans="1:3" x14ac:dyDescent="0.35">
      <c r="A52" t="s">
        <v>1420</v>
      </c>
      <c r="B52" s="336" t="s">
        <v>1380</v>
      </c>
      <c r="C52" t="str">
        <f>IF(AfsprakenCMV!C49&lt;&gt;0,AfsprakenCMV!C49,"")</f>
        <v/>
      </c>
    </row>
    <row r="53" spans="1:3" x14ac:dyDescent="0.35">
      <c r="A53" t="s">
        <v>1420</v>
      </c>
      <c r="B53" s="336" t="s">
        <v>1381</v>
      </c>
      <c r="C53" t="str">
        <f>IF(AfsprakenCMV!C50&lt;&gt;0,AfsprakenCMV!C50,"")</f>
        <v/>
      </c>
    </row>
    <row r="54" spans="1:3" x14ac:dyDescent="0.35">
      <c r="A54" t="s">
        <v>1420</v>
      </c>
      <c r="B54" s="336" t="s">
        <v>1382</v>
      </c>
      <c r="C54" t="str">
        <f>IF(AfsprakenCMV!C51&lt;&gt;0,AfsprakenCMV!C51,"")</f>
        <v/>
      </c>
    </row>
    <row r="55" spans="1:3" x14ac:dyDescent="0.35">
      <c r="A55" t="s">
        <v>1420</v>
      </c>
      <c r="B55" s="336" t="s">
        <v>1383</v>
      </c>
      <c r="C55" t="str">
        <f>IF(AfsprakenCMV!D74&lt;&gt;0,"Opmerkingen: "&amp;AfsprakenCMV!D74,"")</f>
        <v/>
      </c>
    </row>
    <row r="56" spans="1:3" x14ac:dyDescent="0.35">
      <c r="A56" t="s">
        <v>1421</v>
      </c>
      <c r="B56" s="336" t="s">
        <v>1377</v>
      </c>
      <c r="C56" t="str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 xml:space="preserve">Geen sonde:  </v>
      </c>
    </row>
    <row r="57" spans="1:3" x14ac:dyDescent="0.35">
      <c r="A57" t="s">
        <v>1421</v>
      </c>
      <c r="B57" s="336" t="s">
        <v>1378</v>
      </c>
      <c r="C57" t="str">
        <f>IF(AfsprakenCMV!D11&lt;&gt;0,"Opmerkingen: "&amp;AfsprakenCMV!D11,"")</f>
        <v/>
      </c>
    </row>
    <row r="58" spans="1:3" x14ac:dyDescent="0.35">
      <c r="A58" t="s">
        <v>1421</v>
      </c>
      <c r="B58" s="336" t="s">
        <v>1379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1421</v>
      </c>
      <c r="B59" s="336" t="s">
        <v>1380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1421</v>
      </c>
      <c r="B60" s="336" t="s">
        <v>1381</v>
      </c>
      <c r="C60" t="str">
        <f>IF(AfsprakenCMV!E92&lt;&gt;" ",AfsprakenCMV!D92&amp;": "&amp;AfsprakenCMV!E92,"")</f>
        <v/>
      </c>
    </row>
    <row r="61" spans="1:3" x14ac:dyDescent="0.35">
      <c r="A61" t="s">
        <v>1421</v>
      </c>
      <c r="B61" s="336" t="s">
        <v>1382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1421</v>
      </c>
      <c r="B62" s="336" t="s">
        <v>1383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1421</v>
      </c>
      <c r="B63" s="337" t="s">
        <v>1384</v>
      </c>
      <c r="C63" t="str">
        <f>IF(Intake!D29&lt;&gt;0,"Opmerkingen: "&amp;Intake!D29,"")</f>
        <v/>
      </c>
    </row>
    <row r="64" spans="1:3" x14ac:dyDescent="0.35">
      <c r="A64" t="s">
        <v>441</v>
      </c>
      <c r="B64" s="336" t="s">
        <v>1377</v>
      </c>
      <c r="C64" t="str">
        <f>IF(AfsprakenCMV!D14&lt;&gt;"",AfsprakenCMV!C14&amp;": "&amp;AfsprakenCMV!D14,"")</f>
        <v/>
      </c>
    </row>
    <row r="65" spans="1:3" x14ac:dyDescent="0.35">
      <c r="A65" t="s">
        <v>441</v>
      </c>
      <c r="B65" s="336" t="s">
        <v>1378</v>
      </c>
      <c r="C65" t="str">
        <f>IF(AfsprakenCMV!D15&lt;&gt;"",AfsprakenCMV!C15&amp;": "&amp;AfsprakenCMV!D15,"")</f>
        <v/>
      </c>
    </row>
    <row r="66" spans="1:3" x14ac:dyDescent="0.35">
      <c r="A66" t="s">
        <v>441</v>
      </c>
      <c r="B66" s="336" t="s">
        <v>1379</v>
      </c>
      <c r="C66" t="str">
        <f>IF(AfsprakenCMV!D16&lt;&gt;"",AfsprakenCMV!C16&amp;": "&amp;AfsprakenCMV!D16,"")</f>
        <v/>
      </c>
    </row>
    <row r="67" spans="1:3" x14ac:dyDescent="0.35">
      <c r="A67" t="s">
        <v>441</v>
      </c>
      <c r="B67" s="336" t="s">
        <v>1380</v>
      </c>
      <c r="C67" t="str">
        <f>IF(AfsprakenCMV!D17&lt;&gt;"",AfsprakenCMV!C17&amp;": "&amp;AfsprakenCMV!D17,"")</f>
        <v/>
      </c>
    </row>
    <row r="68" spans="1:3" x14ac:dyDescent="0.35">
      <c r="A68" t="s">
        <v>441</v>
      </c>
      <c r="B68" s="336" t="s">
        <v>1381</v>
      </c>
      <c r="C68" t="str">
        <f>IF(AfsprakenCMV!D18&lt;&gt;"",AfsprakenCMV!C18&amp;": "&amp;AfsprakenCMV!D18,"")</f>
        <v/>
      </c>
    </row>
    <row r="69" spans="1:3" x14ac:dyDescent="0.35">
      <c r="A69" t="s">
        <v>441</v>
      </c>
      <c r="B69" s="336" t="s">
        <v>1382</v>
      </c>
      <c r="C69" t="str">
        <f>IF(AfsprakenCMV!D19&lt;&gt;0,AfsprakenCMV!C19&amp;": "&amp;AfsprakenCMV!D19,"")</f>
        <v/>
      </c>
    </row>
    <row r="70" spans="1:3" x14ac:dyDescent="0.35">
      <c r="A70" t="s">
        <v>1090</v>
      </c>
      <c r="B70" s="336" t="s">
        <v>1377</v>
      </c>
      <c r="C70" t="str">
        <f>AfsprakenCMV!C103&amp;": "&amp;AfsprakenCMV!D103</f>
        <v>Vocht: 0 ml/kg</v>
      </c>
    </row>
    <row r="71" spans="1:3" x14ac:dyDescent="0.35">
      <c r="A71" t="s">
        <v>1090</v>
      </c>
      <c r="B71" s="336" t="s">
        <v>1378</v>
      </c>
      <c r="C71" t="str">
        <f>AfsprakenCMV!C104&amp;": "&amp;AfsprakenCMV!D104</f>
        <v>Eiwit: 0  gram/kg</v>
      </c>
    </row>
    <row r="72" spans="1:3" x14ac:dyDescent="0.35">
      <c r="A72" t="s">
        <v>1090</v>
      </c>
      <c r="B72" s="336" t="s">
        <v>1379</v>
      </c>
      <c r="C72" t="str">
        <f>AfsprakenCMV!C105&amp;": "&amp;AfsprakenCMV!D105</f>
        <v>Glucose/KH: 0 g/kg</v>
      </c>
    </row>
    <row r="73" spans="1:3" x14ac:dyDescent="0.35">
      <c r="A73" t="s">
        <v>1090</v>
      </c>
      <c r="B73" s="336" t="s">
        <v>1380</v>
      </c>
      <c r="C73" t="str">
        <f>AfsprakenCMV!E103&amp;": "&amp;AfsprakenCMV!F103</f>
        <v>Calorieen: 0 kCal/kg</v>
      </c>
    </row>
    <row r="74" spans="1:3" x14ac:dyDescent="0.35">
      <c r="A74" t="s">
        <v>1090</v>
      </c>
      <c r="B74" s="336" t="s">
        <v>1381</v>
      </c>
      <c r="C74" t="str">
        <f>AfsprakenCMV!E104&amp;": "&amp;AfsprakenCMV!F104</f>
        <v>Vet: 0 gram/kg</v>
      </c>
    </row>
    <row r="75" spans="1:3" x14ac:dyDescent="0.35">
      <c r="A75" t="s">
        <v>1090</v>
      </c>
      <c r="B75" s="336" t="s">
        <v>1382</v>
      </c>
      <c r="C75" t="str">
        <f>AfsprakenCMV!G103&amp;": "&amp;AfsprakenCMV!H103</f>
        <v>Kalium: 0 mmol/kg</v>
      </c>
    </row>
    <row r="76" spans="1:3" x14ac:dyDescent="0.35">
      <c r="A76" t="s">
        <v>1090</v>
      </c>
      <c r="B76" s="336" t="s">
        <v>1383</v>
      </c>
      <c r="C76" t="str">
        <f>AfsprakenCMV!G104&amp;": "&amp;AfsprakenCMV!H104</f>
        <v>Calcium: 0 mmol/kg</v>
      </c>
    </row>
    <row r="77" spans="1:3" x14ac:dyDescent="0.35">
      <c r="A77" t="s">
        <v>1090</v>
      </c>
      <c r="B77" s="336" t="s">
        <v>1384</v>
      </c>
      <c r="C77" t="str">
        <f>AfsprakenCMV!G105&amp;": "&amp;AfsprakenCMV!H105</f>
        <v>Magnesium: 0 mmol/kg</v>
      </c>
    </row>
    <row r="78" spans="1:3" x14ac:dyDescent="0.35">
      <c r="A78" t="s">
        <v>1090</v>
      </c>
      <c r="B78" s="336" t="s">
        <v>1385</v>
      </c>
      <c r="C78" t="str">
        <f>AfsprakenCMV!I103&amp;": "&amp;AfsprakenCMV!J103</f>
        <v>Natrium : 0 mmol/kg</v>
      </c>
    </row>
    <row r="79" spans="1:3" x14ac:dyDescent="0.35">
      <c r="A79" t="s">
        <v>1090</v>
      </c>
      <c r="B79" s="336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/>
  <dimension ref="A1:CC91"/>
  <sheetViews>
    <sheetView tabSelected="1" workbookViewId="0">
      <pane ySplit="4" topLeftCell="A5" activePane="bottomLeft" state="frozen"/>
      <selection pane="bottomLeft" activeCell="D8" sqref="D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54" customFormat="1" ht="7.55" customHeight="1" x14ac:dyDescent="0.35">
      <c r="A1" s="353"/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</row>
    <row r="2" spans="1:81" s="354" customFormat="1" ht="17.25" customHeight="1" x14ac:dyDescent="0.4">
      <c r="A2" s="353"/>
      <c r="B2" s="353"/>
      <c r="C2" s="355" t="s">
        <v>942</v>
      </c>
      <c r="D2" s="356">
        <f ca="1">AfspraakDatum</f>
        <v>42194</v>
      </c>
      <c r="E2" s="357"/>
      <c r="F2" s="355" t="s">
        <v>943</v>
      </c>
      <c r="G2" s="353"/>
      <c r="H2" s="358">
        <f>OpnDatum</f>
        <v>41363</v>
      </c>
      <c r="I2" s="355" t="str">
        <f ca="1">"ICU-dag: "&amp;AfspraakDatum-OpnDatum+1</f>
        <v>ICU-dag: 832</v>
      </c>
      <c r="J2" s="355"/>
      <c r="K2" s="355"/>
      <c r="L2" s="355"/>
      <c r="M2" s="353"/>
      <c r="N2" s="353"/>
      <c r="O2" s="353"/>
      <c r="P2" s="353"/>
      <c r="Q2" s="353"/>
      <c r="R2" s="353"/>
      <c r="S2" s="353"/>
      <c r="T2" s="353"/>
      <c r="U2" s="353"/>
      <c r="V2" s="353"/>
      <c r="W2" s="353"/>
      <c r="X2" s="353"/>
    </row>
    <row r="3" spans="1:81" s="354" customFormat="1" ht="17.25" customHeight="1" x14ac:dyDescent="0.4">
      <c r="A3" s="353"/>
      <c r="B3" s="359"/>
      <c r="C3" s="355" t="s">
        <v>106</v>
      </c>
      <c r="D3" s="360" t="str">
        <f>AchterNaam&amp;", "&amp;VoorNaam</f>
        <v>Achternaam, Voornaam</v>
      </c>
      <c r="E3" s="360"/>
      <c r="F3" s="355" t="s">
        <v>961</v>
      </c>
      <c r="G3" s="353"/>
      <c r="H3" s="358">
        <f>GebDatum</f>
        <v>40909</v>
      </c>
      <c r="I3" s="361" t="str">
        <f>"Gewicht: "&amp;Gewicht/10&amp;" kg"</f>
        <v>Gewicht: 10 kg</v>
      </c>
      <c r="J3" s="355"/>
      <c r="K3" s="361" t="str">
        <f>"Lengte: "&amp;Lengte&amp;" cm"</f>
        <v>Lengte: 80 cm</v>
      </c>
      <c r="L3" s="355"/>
      <c r="M3" s="353"/>
      <c r="N3" s="353"/>
      <c r="O3" s="353"/>
      <c r="P3" s="353"/>
      <c r="Q3" s="353"/>
      <c r="R3" s="353"/>
      <c r="S3" s="353"/>
      <c r="T3" s="353"/>
      <c r="U3" s="353"/>
      <c r="V3" s="353"/>
      <c r="W3" s="353"/>
      <c r="X3" s="353"/>
    </row>
    <row r="4" spans="1:81" s="354" customFormat="1" ht="17.25" customHeight="1" x14ac:dyDescent="0.4">
      <c r="A4" s="362"/>
      <c r="B4" s="362"/>
      <c r="C4" s="355" t="s">
        <v>1057</v>
      </c>
      <c r="D4" s="361">
        <f>PatNummer</f>
        <v>0</v>
      </c>
      <c r="E4" s="357"/>
      <c r="F4" s="355" t="s">
        <v>874</v>
      </c>
      <c r="G4" s="362"/>
      <c r="H4" s="363" t="str">
        <f ca="1">TRUNC((AfspraakDatum-GebDatum)/365,0)&amp;" jaar en "&amp;TRUNC(((AfspraakDatum-GebDatum)-365*TRUNC((AfspraakDatum-GebDatum)/365,0))/30,0)&amp;" maand(-en)"</f>
        <v>3 jaar en 6 maand(-en)</v>
      </c>
      <c r="I4" s="355"/>
      <c r="J4" s="355" t="str">
        <f>"Lichamelijk oppervlak: "&amp;ROUND(POWER(Gewicht/10,0.425)*POWER(((Lengte/100)*100),0.725)*0.007184,2)&amp;" m2"</f>
        <v>Lichamelijk oppervlak: 0,46 m2</v>
      </c>
      <c r="K4" s="355"/>
      <c r="L4" s="355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4"/>
      <c r="Z4" s="364"/>
      <c r="AA4" s="364"/>
      <c r="AB4" s="364"/>
      <c r="AC4" s="364"/>
      <c r="AD4" s="364"/>
      <c r="AE4" s="364"/>
      <c r="AF4" s="364"/>
      <c r="AG4" s="364"/>
      <c r="AH4" s="364"/>
      <c r="AI4" s="364"/>
      <c r="AJ4" s="364"/>
      <c r="AK4" s="364"/>
      <c r="AL4" s="364"/>
      <c r="AM4" s="364"/>
      <c r="AN4" s="364"/>
      <c r="AO4" s="364"/>
      <c r="AP4" s="364"/>
      <c r="AQ4" s="364"/>
      <c r="AR4" s="364"/>
      <c r="AS4" s="364"/>
      <c r="AT4" s="364"/>
      <c r="AU4" s="364"/>
      <c r="AV4" s="364"/>
      <c r="AW4" s="364"/>
      <c r="AX4" s="364"/>
      <c r="AY4" s="364"/>
      <c r="AZ4" s="364"/>
      <c r="BA4" s="364"/>
      <c r="BB4" s="364"/>
      <c r="BC4" s="364"/>
      <c r="BD4" s="364"/>
      <c r="BE4" s="364"/>
      <c r="BF4" s="364"/>
      <c r="BG4" s="364"/>
      <c r="BH4" s="364"/>
      <c r="BI4" s="364"/>
      <c r="BJ4" s="364"/>
      <c r="BK4" s="364"/>
      <c r="BL4" s="364"/>
      <c r="BM4" s="364"/>
      <c r="BN4" s="364"/>
      <c r="BO4" s="364"/>
      <c r="BP4" s="364"/>
      <c r="BQ4" s="364"/>
      <c r="BR4" s="364"/>
      <c r="BS4" s="364"/>
      <c r="BT4" s="364"/>
      <c r="BU4" s="364"/>
      <c r="BV4" s="364"/>
      <c r="BW4" s="364"/>
      <c r="BX4" s="364"/>
      <c r="BY4" s="364"/>
      <c r="BZ4" s="364"/>
      <c r="CA4" s="364"/>
      <c r="CB4" s="364"/>
      <c r="CC4" s="364"/>
    </row>
    <row r="5" spans="1:81" ht="13.2" x14ac:dyDescent="0.4">
      <c r="A5" s="212"/>
      <c r="B5" s="212"/>
      <c r="C5" s="117"/>
      <c r="D5" s="217"/>
      <c r="E5" s="104"/>
      <c r="F5" s="117"/>
      <c r="G5" s="218"/>
      <c r="H5" s="117"/>
      <c r="I5" s="117"/>
      <c r="J5" s="117"/>
      <c r="K5" s="117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352"/>
      <c r="Z5" s="352"/>
      <c r="AA5" s="365"/>
      <c r="AB5" s="365"/>
      <c r="AC5" s="352"/>
      <c r="AD5" s="352"/>
      <c r="AE5" s="352"/>
      <c r="AF5" s="352"/>
      <c r="AG5" s="352"/>
      <c r="AH5" s="352"/>
      <c r="AI5" s="352"/>
      <c r="AJ5" s="352"/>
      <c r="AK5" s="352"/>
      <c r="AL5" s="352"/>
      <c r="AM5" s="352"/>
      <c r="AN5" s="352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90"/>
      <c r="B6" s="212"/>
      <c r="C6" s="215" t="s">
        <v>1029</v>
      </c>
      <c r="D6" s="230" t="s">
        <v>613</v>
      </c>
      <c r="E6" s="215" t="s">
        <v>489</v>
      </c>
      <c r="F6" s="231"/>
      <c r="G6" s="215" t="s">
        <v>184</v>
      </c>
      <c r="H6" s="215" t="s">
        <v>1030</v>
      </c>
      <c r="I6" s="215" t="s">
        <v>954</v>
      </c>
      <c r="J6" s="215" t="s">
        <v>1006</v>
      </c>
      <c r="K6" s="232"/>
      <c r="L6" s="215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189"/>
      <c r="Z6" s="352"/>
      <c r="AA6" s="189"/>
      <c r="AB6" s="189"/>
      <c r="AC6" s="189"/>
      <c r="AD6" s="189"/>
      <c r="AE6" s="352"/>
      <c r="AF6" s="352"/>
      <c r="AG6" s="352"/>
      <c r="AH6" s="352"/>
      <c r="AI6" s="352"/>
      <c r="AJ6" s="352"/>
      <c r="AK6" s="352"/>
      <c r="AL6" s="352"/>
      <c r="AM6" s="352"/>
      <c r="AN6" s="352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90"/>
      <c r="B7" s="212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189"/>
      <c r="Z7" s="352"/>
      <c r="AA7" s="189"/>
      <c r="AB7" s="189"/>
      <c r="AC7" s="189"/>
      <c r="AD7" s="189"/>
      <c r="AE7" s="352"/>
      <c r="AF7" s="352"/>
      <c r="AG7" s="352"/>
      <c r="AH7" s="352"/>
      <c r="AI7" s="352"/>
      <c r="AJ7" s="352"/>
      <c r="AK7" s="352"/>
      <c r="AL7" s="352"/>
      <c r="AM7" s="352"/>
      <c r="AN7" s="352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90"/>
      <c r="B8" s="212">
        <v>1</v>
      </c>
      <c r="C8" s="219">
        <f>INDEX(tblDoseringen,ber_IVmed!$B31,1)</f>
        <v>0</v>
      </c>
      <c r="D8" s="233" t="str">
        <f>INDEX(tblDoseringen,ber_IVmed!$B31,2)&amp;" "&amp;INDEX(tblDoseringen,ber_IVmed!$B31,9)</f>
        <v xml:space="preserve"> </v>
      </c>
      <c r="E8" s="221" t="str">
        <f>IF(AND(C8&lt;&gt;0,INDEX(tblDoseringen,ber_IVmed!$B31,3)&lt;&gt;""),INDEX(tblDoseringen,ber_IVmed!$B31,3)&amp;" ml","")</f>
        <v/>
      </c>
      <c r="F8" s="214">
        <f>INDEX(tblOplossing,ber_IVmed!D31,1)</f>
        <v>0</v>
      </c>
      <c r="G8" s="221" t="str">
        <f>IF(C8&lt;&gt;0,ber_IVmed!E31/10&amp;" ml/uur","")</f>
        <v/>
      </c>
      <c r="H8" s="221" t="str">
        <f>IF(C8&lt;&gt;0,AC8&amp;" "&amp;INDEX(tblDoseringen,ber_IVmed!$B31,7),"")</f>
        <v/>
      </c>
      <c r="I8" s="222" t="str">
        <f>IF(C8&lt;&gt;0,24*ber_IVmed!E31/10&amp;" ml","")</f>
        <v/>
      </c>
      <c r="J8" s="245">
        <f>INDEX(tblDoseringen,ber_IVmed!$B31,8)</f>
        <v>0</v>
      </c>
      <c r="K8" s="222"/>
      <c r="L8" s="222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189"/>
      <c r="Z8" s="352"/>
      <c r="AA8" s="189" t="b">
        <f>IF(C8&lt;&gt;0,INDEX(tblDoseringen,ber_IVmed!$B31,6)*(ber_IVmed!E31/10))</f>
        <v>0</v>
      </c>
      <c r="AB8" s="189">
        <f>IF(AA8&gt;=10,0,IF(AA8&gt;=1,1,IF(AA8&gt;=0,2,IF(AA8&gt;=0.1,3,IF(AA8&gt;=0.01,4,5)))))</f>
        <v>0</v>
      </c>
      <c r="AC8" s="189">
        <f>ROUND(AA8,AB8)</f>
        <v>0</v>
      </c>
      <c r="AD8" s="189"/>
      <c r="AE8" s="352"/>
      <c r="AF8" s="352"/>
      <c r="AG8" s="352"/>
      <c r="AH8" s="352"/>
      <c r="AI8" s="352"/>
      <c r="AJ8" s="352"/>
      <c r="AK8" s="352"/>
      <c r="AL8" s="352"/>
      <c r="AM8" s="352"/>
      <c r="AN8" s="352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90"/>
      <c r="B9" s="212">
        <v>2</v>
      </c>
      <c r="C9" s="219">
        <f>INDEX(tblDoseringen,ber_IVmed!$B32,1)</f>
        <v>0</v>
      </c>
      <c r="D9" s="233" t="str">
        <f>INDEX(tblDoseringen,ber_IVmed!$B32,2)&amp;" "&amp;INDEX(tblDoseringen,ber_IVmed!$B32,9)</f>
        <v xml:space="preserve"> </v>
      </c>
      <c r="E9" s="223" t="str">
        <f>IF(AND(C9&lt;&gt;0,INDEX(tblDoseringen,ber_IVmed!$B32,3)&lt;&gt;""),INDEX(tblDoseringen,ber_IVmed!$B32,3)&amp;" ml","")</f>
        <v/>
      </c>
      <c r="F9" s="214">
        <f>INDEX(tblOplossing,ber_IVmed!D32,1)</f>
        <v>0</v>
      </c>
      <c r="G9" s="223" t="str">
        <f>IF(C9&lt;&gt;0,ber_IVmed!E32/10&amp;" ml/uur","")</f>
        <v/>
      </c>
      <c r="H9" s="221" t="str">
        <f>IF(C9&lt;&gt;0,AC9&amp;" "&amp;INDEX(tblDoseringen,ber_IVmed!$B32,7),"")</f>
        <v/>
      </c>
      <c r="I9" s="224" t="str">
        <f>IF(C9&lt;&gt;0,24*ber_IVmed!E32/10&amp;" ml","")</f>
        <v/>
      </c>
      <c r="J9" s="246">
        <f>INDEX(tblDoseringen,ber_IVmed!$B32,8)</f>
        <v>0</v>
      </c>
      <c r="K9" s="224"/>
      <c r="L9" s="224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189"/>
      <c r="Z9" s="352"/>
      <c r="AA9" s="189" t="b">
        <f>IF(C9&lt;&gt;0,INDEX(tblDoseringen,ber_IVmed!$B32,6)*(ber_IVmed!E32/10))</f>
        <v>0</v>
      </c>
      <c r="AB9" s="189">
        <f t="shared" ref="AB9:AB17" si="0">IF(AA9&gt;=10,0,IF(AA9&gt;=1,1,IF(AA9&gt;=0,2,IF(AA9&gt;=0.1,3,IF(AA9&gt;=0.01,4,5)))))</f>
        <v>0</v>
      </c>
      <c r="AC9" s="189">
        <f t="shared" ref="AC9:AC17" si="1">ROUND(AA9,AB9)</f>
        <v>0</v>
      </c>
      <c r="AD9" s="189"/>
      <c r="AE9" s="352"/>
      <c r="AF9" s="352"/>
      <c r="AG9" s="352"/>
      <c r="AH9" s="352"/>
      <c r="AI9" s="352"/>
      <c r="AJ9" s="352"/>
      <c r="AK9" s="352"/>
      <c r="AL9" s="352"/>
      <c r="AM9" s="352"/>
      <c r="AN9" s="352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90"/>
      <c r="B10" s="212">
        <v>3</v>
      </c>
      <c r="C10" s="219">
        <f>INDEX(tblDoseringen,ber_IVmed!$B33,1)</f>
        <v>0</v>
      </c>
      <c r="D10" s="233" t="str">
        <f>INDEX(tblDoseringen,ber_IVmed!$B33,2)&amp;" "&amp;INDEX(tblDoseringen,ber_IVmed!$B33,9)</f>
        <v xml:space="preserve"> </v>
      </c>
      <c r="E10" s="223" t="str">
        <f>IF(AND(C10&lt;&gt;0,INDEX(tblDoseringen,ber_IVmed!$B33,3)&lt;&gt;""),INDEX(tblDoseringen,ber_IVmed!$B33,3)&amp;" ml","")</f>
        <v/>
      </c>
      <c r="F10" s="214">
        <f>INDEX(tblOplossing,ber_IVmed!D33,1)</f>
        <v>0</v>
      </c>
      <c r="G10" s="223" t="str">
        <f>IF(C10&lt;&gt;0,ber_IVmed!E33/10&amp;" ml/uur","")</f>
        <v/>
      </c>
      <c r="H10" s="221" t="str">
        <f>IF(C10&lt;&gt;0,AC10&amp;" "&amp;INDEX(tblDoseringen,ber_IVmed!$B33,7),"")</f>
        <v/>
      </c>
      <c r="I10" s="224" t="str">
        <f>IF(C10&lt;&gt;0,24*ber_IVmed!E33/10&amp;" ml","")</f>
        <v/>
      </c>
      <c r="J10" s="246">
        <f>INDEX(tblDoseringen,ber_IVmed!$B33,8)</f>
        <v>0</v>
      </c>
      <c r="K10" s="224"/>
      <c r="L10" s="224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189"/>
      <c r="Z10" s="352"/>
      <c r="AA10" s="189" t="b">
        <f>IF(C10&lt;&gt;0,INDEX(tblDoseringen,ber_IVmed!$B33,6)*(ber_IVmed!E33/10))</f>
        <v>0</v>
      </c>
      <c r="AB10" s="189">
        <f t="shared" si="0"/>
        <v>0</v>
      </c>
      <c r="AC10" s="189">
        <f t="shared" si="1"/>
        <v>0</v>
      </c>
      <c r="AD10" s="189"/>
      <c r="AE10" s="352"/>
      <c r="AF10" s="352"/>
      <c r="AG10" s="352"/>
      <c r="AH10" s="352"/>
      <c r="AI10" s="352"/>
      <c r="AJ10" s="352"/>
      <c r="AK10" s="352"/>
      <c r="AL10" s="352"/>
      <c r="AM10" s="352"/>
      <c r="AN10" s="352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90"/>
      <c r="B11" s="212">
        <v>4</v>
      </c>
      <c r="C11" s="219">
        <f>INDEX(tblDoseringen,ber_IVmed!$B34,1)</f>
        <v>0</v>
      </c>
      <c r="D11" s="233" t="str">
        <f>INDEX(tblDoseringen,ber_IVmed!$B34,2)&amp;" "&amp;INDEX(tblDoseringen,ber_IVmed!$B34,9)</f>
        <v xml:space="preserve"> </v>
      </c>
      <c r="E11" s="223" t="str">
        <f>IF(AND(C11&lt;&gt;0,INDEX(tblDoseringen,ber_IVmed!$B34,3)&lt;&gt;""),INDEX(tblDoseringen,ber_IVmed!$B34,3)&amp;" ml","")</f>
        <v/>
      </c>
      <c r="F11" s="214">
        <f>INDEX(tblOplossing,ber_IVmed!D34,1)</f>
        <v>0</v>
      </c>
      <c r="G11" s="223" t="str">
        <f>IF(C11&lt;&gt;0,ber_IVmed!E34/10&amp;" ml/uur","")</f>
        <v/>
      </c>
      <c r="H11" s="221" t="str">
        <f>IF(C11&lt;&gt;0,AC11&amp;" "&amp;INDEX(tblDoseringen,ber_IVmed!$B34,7),"")</f>
        <v/>
      </c>
      <c r="I11" s="224" t="str">
        <f>IF(C11&lt;&gt;0,24*ber_IVmed!E34/10&amp;" ml","")</f>
        <v/>
      </c>
      <c r="J11" s="246">
        <f>INDEX(tblDoseringen,ber_IVmed!$B34,8)</f>
        <v>0</v>
      </c>
      <c r="K11" s="224"/>
      <c r="L11" s="224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189"/>
      <c r="Z11" s="352"/>
      <c r="AA11" s="189" t="b">
        <f>IF(C11&lt;&gt;0,INDEX(tblDoseringen,ber_IVmed!$B34,6)*(ber_IVmed!E34/10))</f>
        <v>0</v>
      </c>
      <c r="AB11" s="189">
        <f t="shared" si="0"/>
        <v>0</v>
      </c>
      <c r="AC11" s="189">
        <f t="shared" si="1"/>
        <v>0</v>
      </c>
      <c r="AD11" s="189"/>
      <c r="AE11" s="352"/>
      <c r="AF11" s="352"/>
      <c r="AG11" s="352"/>
      <c r="AH11" s="352"/>
      <c r="AI11" s="352"/>
      <c r="AJ11" s="352"/>
      <c r="AK11" s="352"/>
      <c r="AL11" s="352"/>
      <c r="AM11" s="352"/>
      <c r="AN11" s="352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90"/>
      <c r="B12" s="212">
        <v>5</v>
      </c>
      <c r="C12" s="219">
        <f>INDEX(tblDoseringen,ber_IVmed!$B35,1)</f>
        <v>0</v>
      </c>
      <c r="D12" s="233" t="str">
        <f>INDEX(tblDoseringen,ber_IVmed!$B35,2)&amp;" "&amp;INDEX(tblDoseringen,ber_IVmed!$B35,9)</f>
        <v xml:space="preserve"> </v>
      </c>
      <c r="E12" s="223" t="str">
        <f>IF(AND(C12&lt;&gt;0,INDEX(tblDoseringen,ber_IVmed!$B35,3)&lt;&gt;""),INDEX(tblDoseringen,ber_IVmed!$B35,3)&amp;" ml","")</f>
        <v/>
      </c>
      <c r="F12" s="214">
        <f>INDEX(tblOplossing,ber_IVmed!D35,1)</f>
        <v>0</v>
      </c>
      <c r="G12" s="223" t="str">
        <f>IF(C12&lt;&gt;0,ber_IVmed!E35/10&amp;" ml/uur","")</f>
        <v/>
      </c>
      <c r="H12" s="221" t="str">
        <f>IF(C12&lt;&gt;0,AC12&amp;" "&amp;INDEX(tblDoseringen,ber_IVmed!$B35,7),"")</f>
        <v/>
      </c>
      <c r="I12" s="224" t="str">
        <f>IF(C12&lt;&gt;0,24*ber_IVmed!E35/10&amp;" ml","")</f>
        <v/>
      </c>
      <c r="J12" s="246">
        <f>INDEX(tblDoseringen,ber_IVmed!$B35,8)</f>
        <v>0</v>
      </c>
      <c r="K12" s="224"/>
      <c r="L12" s="224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189"/>
      <c r="Z12" s="352"/>
      <c r="AA12" s="189" t="b">
        <f>IF(C12&lt;&gt;0,INDEX(tblDoseringen,ber_IVmed!$B35,6)*(ber_IVmed!E35/10))</f>
        <v>0</v>
      </c>
      <c r="AB12" s="189">
        <f t="shared" si="0"/>
        <v>0</v>
      </c>
      <c r="AC12" s="189">
        <f t="shared" si="1"/>
        <v>0</v>
      </c>
      <c r="AD12" s="189"/>
      <c r="AE12" s="352"/>
      <c r="AF12" s="352"/>
      <c r="AG12" s="352"/>
      <c r="AH12" s="352"/>
      <c r="AI12" s="352"/>
      <c r="AJ12" s="352"/>
      <c r="AK12" s="352"/>
      <c r="AL12" s="352"/>
      <c r="AM12" s="352"/>
      <c r="AN12" s="352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90"/>
      <c r="B13" s="212">
        <v>6</v>
      </c>
      <c r="C13" s="219">
        <f>INDEX(tblDoseringen,ber_IVmed!$B36,1)</f>
        <v>0</v>
      </c>
      <c r="D13" s="233" t="str">
        <f>INDEX(tblDoseringen,ber_IVmed!$B36,2)&amp;" "&amp;INDEX(tblDoseringen,ber_IVmed!$B36,9)</f>
        <v xml:space="preserve"> </v>
      </c>
      <c r="E13" s="223" t="str">
        <f>IF(AND(C13&lt;&gt;0,INDEX(tblDoseringen,ber_IVmed!$B36,3)&lt;&gt;""),INDEX(tblDoseringen,ber_IVmed!$B36,3)&amp;" ml","")</f>
        <v/>
      </c>
      <c r="F13" s="214">
        <f>INDEX(tblOplossing,ber_IVmed!D36,1)</f>
        <v>0</v>
      </c>
      <c r="G13" s="223" t="str">
        <f>IF(C13&lt;&gt;0,ber_IVmed!E36/10&amp;" ml/uur","")</f>
        <v/>
      </c>
      <c r="H13" s="221" t="str">
        <f>IF(C13&lt;&gt;0,AC13&amp;" "&amp;INDEX(tblDoseringen,ber_IVmed!$B36,7),"")</f>
        <v/>
      </c>
      <c r="I13" s="224" t="str">
        <f>IF(C13&lt;&gt;0,24*ber_IVmed!E36/10&amp;" ml","")</f>
        <v/>
      </c>
      <c r="J13" s="246">
        <f>INDEX(tblDoseringen,ber_IVmed!$B36,8)</f>
        <v>0</v>
      </c>
      <c r="K13" s="224"/>
      <c r="L13" s="224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189"/>
      <c r="Z13" s="352"/>
      <c r="AA13" s="189" t="b">
        <f>IF(C13&lt;&gt;0,INDEX(tblDoseringen,ber_IVmed!$B36,6)*(ber_IVmed!E36/10))</f>
        <v>0</v>
      </c>
      <c r="AB13" s="189">
        <f t="shared" si="0"/>
        <v>0</v>
      </c>
      <c r="AC13" s="189">
        <f t="shared" si="1"/>
        <v>0</v>
      </c>
      <c r="AD13" s="189"/>
      <c r="AE13" s="352"/>
      <c r="AF13" s="352"/>
      <c r="AG13" s="352"/>
      <c r="AH13" s="352"/>
      <c r="AI13" s="352"/>
      <c r="AJ13" s="352"/>
      <c r="AK13" s="352"/>
      <c r="AL13" s="352"/>
      <c r="AM13" s="352"/>
      <c r="AN13" s="352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90"/>
      <c r="B14" s="212">
        <v>7</v>
      </c>
      <c r="C14" s="219">
        <f>INDEX(tblDoseringen,ber_IVmed!$B37,1)</f>
        <v>0</v>
      </c>
      <c r="D14" s="233" t="str">
        <f>INDEX(tblDoseringen,ber_IVmed!$B37,2)&amp;" "&amp;INDEX(tblDoseringen,ber_IVmed!$B37,9)</f>
        <v xml:space="preserve"> </v>
      </c>
      <c r="E14" s="223" t="str">
        <f>IF(AND(C14&lt;&gt;0,INDEX(tblDoseringen,ber_IVmed!$B37,3)&lt;&gt;""),INDEX(tblDoseringen,ber_IVmed!$B37,3)&amp;" ml","")</f>
        <v/>
      </c>
      <c r="F14" s="214">
        <f>INDEX(tblOplossing,ber_IVmed!D37,1)</f>
        <v>0</v>
      </c>
      <c r="G14" s="223" t="str">
        <f>IF(C14&lt;&gt;0,ber_IVmed!E37/10&amp;" ml/uur","")</f>
        <v/>
      </c>
      <c r="H14" s="221" t="str">
        <f>IF(C14&lt;&gt;0,AC14&amp;" "&amp;INDEX(tblDoseringen,ber_IVmed!$B37,7),"")</f>
        <v/>
      </c>
      <c r="I14" s="224" t="str">
        <f>IF(C14&lt;&gt;0,24*ber_IVmed!E37/10&amp;" ml","")</f>
        <v/>
      </c>
      <c r="J14" s="246">
        <f>INDEX(tblDoseringen,ber_IVmed!$B37,8)</f>
        <v>0</v>
      </c>
      <c r="K14" s="224"/>
      <c r="L14" s="224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189"/>
      <c r="Z14" s="352"/>
      <c r="AA14" s="189" t="b">
        <f>IF(C14&lt;&gt;0,INDEX(tblDoseringen,ber_IVmed!$B37,6)*(ber_IVmed!E37/10))</f>
        <v>0</v>
      </c>
      <c r="AB14" s="189">
        <f t="shared" si="0"/>
        <v>0</v>
      </c>
      <c r="AC14" s="189">
        <f t="shared" si="1"/>
        <v>0</v>
      </c>
      <c r="AD14" s="189"/>
      <c r="AE14" s="352"/>
      <c r="AF14" s="352"/>
      <c r="AG14" s="352"/>
      <c r="AH14" s="352"/>
      <c r="AI14" s="352"/>
      <c r="AJ14" s="352"/>
      <c r="AK14" s="352"/>
      <c r="AL14" s="352"/>
      <c r="AM14" s="352"/>
      <c r="AN14" s="352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90"/>
      <c r="B15" s="212">
        <v>8</v>
      </c>
      <c r="C15" s="219">
        <f>INDEX(tblDoseringen,ber_IVmed!$B38,1)</f>
        <v>0</v>
      </c>
      <c r="D15" s="233" t="str">
        <f>INDEX(tblDoseringen,ber_IVmed!$B38,2)&amp;" "&amp;INDEX(tblDoseringen,ber_IVmed!$B38,9)</f>
        <v xml:space="preserve"> </v>
      </c>
      <c r="E15" s="223" t="str">
        <f>IF(AND(C15&lt;&gt;0,INDEX(tblDoseringen,ber_IVmed!$B38,3)&lt;&gt;""),INDEX(tblDoseringen,ber_IVmed!$B38,3)&amp;" ml","")</f>
        <v/>
      </c>
      <c r="F15" s="214">
        <f>INDEX(tblOplossing,ber_IVmed!D38,1)</f>
        <v>0</v>
      </c>
      <c r="G15" s="223" t="str">
        <f>IF(C15&lt;&gt;0,ber_IVmed!E38/10&amp;" ml/uur","")</f>
        <v/>
      </c>
      <c r="H15" s="221" t="str">
        <f>IF(C15&lt;&gt;0,AC15&amp;" "&amp;INDEX(tblDoseringen,ber_IVmed!$B38,7),"")</f>
        <v/>
      </c>
      <c r="I15" s="224" t="str">
        <f>IF(C15&lt;&gt;0,24*ber_IVmed!E38/10&amp;" ml","")</f>
        <v/>
      </c>
      <c r="J15" s="246">
        <f>INDEX(tblDoseringen,ber_IVmed!$B38,8)</f>
        <v>0</v>
      </c>
      <c r="K15" s="224"/>
      <c r="L15" s="224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189"/>
      <c r="Z15" s="352"/>
      <c r="AA15" s="189" t="b">
        <f>IF(C15&lt;&gt;0,INDEX(tblDoseringen,ber_IVmed!$B38,6)*(ber_IVmed!E38/10))</f>
        <v>0</v>
      </c>
      <c r="AB15" s="189">
        <f t="shared" si="0"/>
        <v>0</v>
      </c>
      <c r="AC15" s="189">
        <f t="shared" si="1"/>
        <v>0</v>
      </c>
      <c r="AD15" s="189"/>
      <c r="AE15" s="352"/>
      <c r="AF15" s="352"/>
      <c r="AG15" s="352"/>
      <c r="AH15" s="352"/>
      <c r="AI15" s="352"/>
      <c r="AJ15" s="352"/>
      <c r="AK15" s="352"/>
      <c r="AL15" s="352"/>
      <c r="AM15" s="352"/>
      <c r="AN15" s="352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90"/>
      <c r="B16" s="212">
        <v>9</v>
      </c>
      <c r="C16" s="219">
        <f>INDEX(tblDoseringen,ber_IVmed!$B39,1)</f>
        <v>0</v>
      </c>
      <c r="D16" s="233" t="str">
        <f>INDEX(tblDoseringen,ber_IVmed!$B39,2)&amp;" "&amp;INDEX(tblDoseringen,ber_IVmed!$B39,9)</f>
        <v xml:space="preserve"> </v>
      </c>
      <c r="E16" s="223" t="str">
        <f>IF(AND(C16&lt;&gt;0,INDEX(tblDoseringen,ber_IVmed!$B39,3)&lt;&gt;""),INDEX(tblDoseringen,ber_IVmed!$B39,3)&amp;" ml","")</f>
        <v/>
      </c>
      <c r="F16" s="214">
        <f>INDEX(tblOplossing,ber_IVmed!D39,1)</f>
        <v>0</v>
      </c>
      <c r="G16" s="223" t="str">
        <f>IF(C16&lt;&gt;0,ber_IVmed!E39/10&amp;" ml/uur","")</f>
        <v/>
      </c>
      <c r="H16" s="221" t="str">
        <f>IF(C16&lt;&gt;0,AC16&amp;" "&amp;INDEX(tblDoseringen,ber_IVmed!$B39,7),"")</f>
        <v/>
      </c>
      <c r="I16" s="224" t="str">
        <f>IF(C16&lt;&gt;0,24*ber_IVmed!E39/10&amp;" ml","")</f>
        <v/>
      </c>
      <c r="J16" s="246">
        <f>INDEX(tblDoseringen,ber_IVmed!$B39,8)</f>
        <v>0</v>
      </c>
      <c r="K16" s="224"/>
      <c r="L16" s="224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189"/>
      <c r="Z16" s="352"/>
      <c r="AA16" s="189" t="b">
        <f>IF(C16&lt;&gt;0,INDEX(tblDoseringen,ber_IVmed!$B39,6)*(ber_IVmed!E39/10))</f>
        <v>0</v>
      </c>
      <c r="AB16" s="189">
        <f t="shared" si="0"/>
        <v>0</v>
      </c>
      <c r="AC16" s="189">
        <f t="shared" si="1"/>
        <v>0</v>
      </c>
      <c r="AD16" s="189"/>
      <c r="AE16" s="352"/>
      <c r="AF16" s="352"/>
      <c r="AG16" s="352"/>
      <c r="AH16" s="352"/>
      <c r="AI16" s="352"/>
      <c r="AJ16" s="352"/>
      <c r="AK16" s="352"/>
      <c r="AL16" s="352"/>
      <c r="AM16" s="352"/>
      <c r="AN16" s="352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90"/>
      <c r="B17" s="212">
        <v>10</v>
      </c>
      <c r="C17" s="219">
        <f>INDEX(tblDoseringen,ber_IVmed!$B40,1)</f>
        <v>0</v>
      </c>
      <c r="D17" s="233" t="str">
        <f>INDEX(tblDoseringen,ber_IVmed!$B40,2)&amp;" "&amp;INDEX(tblDoseringen,ber_IVmed!$B40,9)</f>
        <v xml:space="preserve"> </v>
      </c>
      <c r="E17" s="223" t="str">
        <f>IF(AND(C17&lt;&gt;0,INDEX(tblDoseringen,ber_IVmed!$B40,3)&lt;&gt;""),INDEX(tblDoseringen,ber_IVmed!$B40,3)&amp;" ml","")</f>
        <v/>
      </c>
      <c r="F17" s="214">
        <f>INDEX(tblOplossing,ber_IVmed!D40,1)</f>
        <v>0</v>
      </c>
      <c r="G17" s="223" t="str">
        <f>IF(C17&lt;&gt;0,ber_IVmed!E40/10&amp;" ml/uur","")</f>
        <v/>
      </c>
      <c r="H17" s="221" t="str">
        <f>IF(C17&lt;&gt;0,AC17&amp;" "&amp;INDEX(tblDoseringen,ber_IVmed!$B40,7),"")</f>
        <v/>
      </c>
      <c r="I17" s="224" t="str">
        <f>IF(C17&lt;&gt;0,24*ber_IVmed!E40/10&amp;" ml","")</f>
        <v/>
      </c>
      <c r="J17" s="246">
        <f>INDEX(tblDoseringen,ber_IVmed!$B40,8)</f>
        <v>0</v>
      </c>
      <c r="K17" s="224"/>
      <c r="L17" s="224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189"/>
      <c r="Z17" s="352"/>
      <c r="AA17" s="189" t="b">
        <f>IF(C17&lt;&gt;0,INDEX(tblDoseringen,ber_IVmed!$B40,6)*(ber_IVmed!E40/10))</f>
        <v>0</v>
      </c>
      <c r="AB17" s="189">
        <f t="shared" si="0"/>
        <v>0</v>
      </c>
      <c r="AC17" s="189">
        <f t="shared" si="1"/>
        <v>0</v>
      </c>
      <c r="AD17" s="189"/>
      <c r="AE17" s="352"/>
      <c r="AF17" s="352"/>
      <c r="AG17" s="352"/>
      <c r="AH17" s="352"/>
      <c r="AI17" s="352"/>
      <c r="AJ17" s="352"/>
      <c r="AK17" s="352"/>
      <c r="AL17" s="352"/>
      <c r="AM17" s="352"/>
      <c r="AN17" s="352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90"/>
      <c r="B18" s="212"/>
      <c r="C18" s="219"/>
      <c r="D18" s="219"/>
      <c r="E18" s="77"/>
      <c r="F18" s="77"/>
      <c r="G18" s="77"/>
      <c r="H18" s="77"/>
      <c r="I18" s="76"/>
      <c r="J18" s="247" t="str">
        <f>IF(C18&lt;&gt;0,HLOOKUP(C18,Instellen!B15:G28,6),"")</f>
        <v/>
      </c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189"/>
      <c r="Z18" s="352"/>
      <c r="AA18" s="189"/>
      <c r="AB18" s="189"/>
      <c r="AC18" s="189"/>
      <c r="AD18" s="189"/>
      <c r="AE18" s="352"/>
      <c r="AF18" s="352"/>
      <c r="AG18" s="352"/>
      <c r="AH18" s="352"/>
      <c r="AI18" s="352"/>
      <c r="AJ18" s="352"/>
      <c r="AK18" s="352"/>
      <c r="AL18" s="352"/>
      <c r="AM18" s="352"/>
      <c r="AN18" s="352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90"/>
      <c r="B19" s="212">
        <v>11</v>
      </c>
      <c r="C19" s="225">
        <f>ber_IVmed!B41</f>
        <v>0</v>
      </c>
      <c r="D19" s="226">
        <f>MedIVSterkte_11</f>
        <v>0</v>
      </c>
      <c r="E19" s="227" t="str">
        <f>IF(C19&lt;&gt;0,ber_IVmed!C41&amp;" ml","")</f>
        <v/>
      </c>
      <c r="F19" s="323">
        <f>INDEX(tblOplossing,ber_IVmed!D41,1)</f>
        <v>0</v>
      </c>
      <c r="G19" s="227">
        <f>IF(C19&lt;&gt;"",IF(ber_IVmed!E41&lt;&gt;0,ber_IVmed!E41/10&amp;" ml/uur",0),"")</f>
        <v>0</v>
      </c>
      <c r="H19" s="227"/>
      <c r="I19" s="228" t="str">
        <f>IF(ber_IVmed!F41&lt;&gt;0,ber_IVmed!F41&amp;" ml","")</f>
        <v/>
      </c>
      <c r="J19" s="245"/>
      <c r="K19" s="222"/>
      <c r="L19" s="222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189"/>
      <c r="Z19" s="352"/>
      <c r="AA19" s="352"/>
      <c r="AB19" s="352"/>
      <c r="AC19" s="352"/>
      <c r="AD19" s="352"/>
      <c r="AE19" s="352"/>
      <c r="AF19" s="352"/>
      <c r="AG19" s="352"/>
      <c r="AH19" s="352"/>
      <c r="AI19" s="352"/>
      <c r="AJ19" s="352"/>
      <c r="AK19" s="352"/>
      <c r="AL19" s="352"/>
      <c r="AM19" s="352"/>
      <c r="AN19" s="352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90"/>
      <c r="B20" s="212">
        <v>12</v>
      </c>
      <c r="C20" s="229">
        <f>ber_IVmed!B42</f>
        <v>0</v>
      </c>
      <c r="D20" s="229">
        <f>MedIVSterkte_12</f>
        <v>0</v>
      </c>
      <c r="E20" s="223" t="str">
        <f>IF(C20&lt;&gt;0,ber_IVmed!C42&amp;" ml","")</f>
        <v/>
      </c>
      <c r="F20" s="324">
        <f>INDEX(tblOplossing,ber_IVmed!D42,1)</f>
        <v>0</v>
      </c>
      <c r="G20" s="223">
        <f>IF(C20&lt;&gt;"",IF(ber_IVmed!E42&lt;&gt;0,ber_IVmed!E42/10&amp;" ml/uur",0),"")</f>
        <v>0</v>
      </c>
      <c r="H20" s="223"/>
      <c r="I20" s="224" t="str">
        <f>IF(ber_IVmed!F42&lt;&gt;0,ber_IVmed!F42&amp;" ml","")</f>
        <v/>
      </c>
      <c r="J20" s="246"/>
      <c r="K20" s="224"/>
      <c r="L20" s="224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189"/>
      <c r="Z20" s="352"/>
      <c r="AA20" s="352"/>
      <c r="AB20" s="352"/>
      <c r="AC20" s="352"/>
      <c r="AD20" s="352"/>
      <c r="AE20" s="352"/>
      <c r="AF20" s="352"/>
      <c r="AG20" s="352"/>
      <c r="AH20" s="352"/>
      <c r="AI20" s="352"/>
      <c r="AJ20" s="352"/>
      <c r="AK20" s="352"/>
      <c r="AL20" s="352"/>
      <c r="AM20" s="352"/>
      <c r="AN20" s="352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90"/>
      <c r="B21" s="212">
        <v>13</v>
      </c>
      <c r="C21" s="229">
        <f>ber_IVmed!B43</f>
        <v>0</v>
      </c>
      <c r="D21" s="229">
        <f>MedIVSterkte_13</f>
        <v>0</v>
      </c>
      <c r="E21" s="223" t="str">
        <f>IF(C21&lt;&gt;0,ber_IVmed!C43&amp;" ml","")</f>
        <v/>
      </c>
      <c r="F21" s="324">
        <f>INDEX(tblOplossing,ber_IVmed!D43,1)</f>
        <v>0</v>
      </c>
      <c r="G21" s="223">
        <f>IF(C21&lt;&gt;"",IF(ber_IVmed!E43&lt;&gt;0,ber_IVmed!E43/10&amp;" ml/uur",0),"")</f>
        <v>0</v>
      </c>
      <c r="H21" s="223"/>
      <c r="I21" s="224" t="str">
        <f>IF(ber_IVmed!F43&lt;&gt;0,ber_IVmed!F43&amp;" ml","")</f>
        <v/>
      </c>
      <c r="J21" s="246"/>
      <c r="K21" s="224"/>
      <c r="L21" s="224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189"/>
      <c r="Z21" s="352"/>
      <c r="AA21" s="352"/>
      <c r="AB21" s="352"/>
      <c r="AC21" s="352"/>
      <c r="AD21" s="352"/>
      <c r="AE21" s="352"/>
      <c r="AF21" s="352"/>
      <c r="AG21" s="352"/>
      <c r="AH21" s="352"/>
      <c r="AI21" s="352"/>
      <c r="AJ21" s="352"/>
      <c r="AK21" s="352"/>
      <c r="AL21" s="352"/>
      <c r="AM21" s="352"/>
      <c r="AN21" s="352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90"/>
      <c r="B22" s="212">
        <v>14</v>
      </c>
      <c r="C22" s="229">
        <f>ber_IVmed!B44</f>
        <v>0</v>
      </c>
      <c r="D22" s="229">
        <f>MedIVSterkte_14</f>
        <v>0</v>
      </c>
      <c r="E22" s="223" t="str">
        <f>IF(C22&lt;&gt;0,ber_IVmed!C44&amp;" ml","")</f>
        <v/>
      </c>
      <c r="F22" s="324">
        <f>INDEX(tblOplossing,ber_IVmed!D44,1)</f>
        <v>0</v>
      </c>
      <c r="G22" s="223">
        <f>IF(C22&lt;&gt;"",IF(ber_IVmed!E44&lt;&gt;0,ber_IVmed!E44/10&amp;" ml/uur",0),"")</f>
        <v>0</v>
      </c>
      <c r="H22" s="223"/>
      <c r="I22" s="224" t="str">
        <f>IF(ber_IVmed!F44&lt;&gt;0,ber_IVmed!F44&amp;" ml","")</f>
        <v/>
      </c>
      <c r="J22" s="246"/>
      <c r="K22" s="224"/>
      <c r="L22" s="224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189"/>
      <c r="Z22" s="352"/>
      <c r="AA22" s="352"/>
      <c r="AB22" s="352"/>
      <c r="AC22" s="352"/>
      <c r="AD22" s="352"/>
      <c r="AE22" s="352"/>
      <c r="AF22" s="352"/>
      <c r="AG22" s="352"/>
      <c r="AH22" s="352"/>
      <c r="AI22" s="352"/>
      <c r="AJ22" s="352"/>
      <c r="AK22" s="352"/>
      <c r="AL22" s="352"/>
      <c r="AM22" s="352"/>
      <c r="AN22" s="352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90"/>
      <c r="B23" s="212">
        <v>15</v>
      </c>
      <c r="C23" s="229">
        <f>ber_IVmed!B45</f>
        <v>0</v>
      </c>
      <c r="D23" s="229">
        <f>MedIVSterkte_15</f>
        <v>0</v>
      </c>
      <c r="E23" s="223" t="str">
        <f>IF(C23&lt;&gt;0,ber_IVmed!C45&amp;" ml","")</f>
        <v/>
      </c>
      <c r="F23" s="324">
        <f>INDEX(tblOplossing,ber_IVmed!D45,1)</f>
        <v>0</v>
      </c>
      <c r="G23" s="223">
        <f>IF(C23&lt;&gt;"",IF(ber_IVmed!E45&lt;&gt;0,ber_IVmed!E45/10&amp;" ml/uur",0),"")</f>
        <v>0</v>
      </c>
      <c r="H23" s="223"/>
      <c r="I23" s="224" t="str">
        <f>IF(ber_IVmed!F45&lt;&gt;0,ber_IVmed!F45&amp;" ml","")</f>
        <v/>
      </c>
      <c r="J23" s="246"/>
      <c r="K23" s="224"/>
      <c r="L23" s="224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189"/>
      <c r="Z23" s="352"/>
      <c r="AA23" s="352"/>
      <c r="AB23" s="352"/>
      <c r="AC23" s="352"/>
      <c r="AD23" s="352"/>
      <c r="AE23" s="352"/>
      <c r="AF23" s="352"/>
      <c r="AG23" s="352"/>
      <c r="AH23" s="352"/>
      <c r="AI23" s="352"/>
      <c r="AJ23" s="352"/>
      <c r="AK23" s="352"/>
      <c r="AL23" s="352"/>
      <c r="AM23" s="352"/>
      <c r="AN23" s="352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90"/>
      <c r="B24" s="190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189"/>
      <c r="Z24" s="352"/>
      <c r="AA24" s="352"/>
      <c r="AB24" s="352"/>
      <c r="AC24" s="352"/>
      <c r="AD24" s="352"/>
      <c r="AE24" s="352"/>
      <c r="AF24" s="352"/>
      <c r="AG24" s="352"/>
      <c r="AH24" s="352"/>
      <c r="AI24" s="352"/>
      <c r="AJ24" s="352"/>
      <c r="AK24" s="352"/>
      <c r="AL24" s="352"/>
      <c r="AM24" s="352"/>
      <c r="AN24" s="352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90"/>
      <c r="B25" s="190"/>
      <c r="C25" s="242" t="str">
        <f>Intake!B31</f>
        <v>Vocht</v>
      </c>
      <c r="D25" s="243" t="str">
        <f>Intake!D31</f>
        <v>0 ml/kg</v>
      </c>
      <c r="E25" s="242" t="str">
        <f ca="1">Intake!E31</f>
        <v>100 ml/kg</v>
      </c>
      <c r="F25" s="242"/>
      <c r="G25" s="242" t="str">
        <f>Intake!H31</f>
        <v>Eiwit</v>
      </c>
      <c r="H25" s="243" t="str">
        <f>Intake!I31</f>
        <v>0  gram/kg</v>
      </c>
      <c r="I25" s="242" t="str">
        <f>Intake!J31</f>
        <v>2-2,5 g/kg</v>
      </c>
      <c r="J25" s="242"/>
      <c r="K25" s="244"/>
      <c r="L25" s="244"/>
      <c r="M25" s="244"/>
      <c r="N25" s="244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352"/>
      <c r="Z25" s="352"/>
      <c r="AA25" s="352"/>
      <c r="AB25" s="352"/>
      <c r="AC25" s="352"/>
      <c r="AD25" s="352"/>
      <c r="AE25" s="352"/>
      <c r="AF25" s="352"/>
      <c r="AG25" s="352"/>
      <c r="AH25" s="352"/>
      <c r="AI25" s="352"/>
      <c r="AJ25" s="352"/>
      <c r="AK25" s="352"/>
      <c r="AL25" s="352"/>
      <c r="AM25" s="352"/>
      <c r="AN25" s="352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90"/>
      <c r="B26" s="190"/>
      <c r="C26" s="242" t="str">
        <f>Intake!B32</f>
        <v>Calorieen</v>
      </c>
      <c r="D26" s="243" t="str">
        <f>Intake!D32</f>
        <v>0 kCal/kg</v>
      </c>
      <c r="E26" s="242" t="str">
        <f ca="1">Intake!E32</f>
        <v>90 kCal/kg</v>
      </c>
      <c r="F26" s="242"/>
      <c r="G26" s="242" t="str">
        <f>Intake!H32</f>
        <v>Vet</v>
      </c>
      <c r="H26" s="243" t="str">
        <f>Intake!I32</f>
        <v>0 gram/kg</v>
      </c>
      <c r="I26" s="242" t="str">
        <f>Intake!J32</f>
        <v>4 g/kg</v>
      </c>
      <c r="J26" s="242"/>
      <c r="K26" s="242"/>
      <c r="L26" s="242"/>
      <c r="M26" s="242"/>
      <c r="N26" s="242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352"/>
      <c r="Z26" s="352"/>
      <c r="AA26" s="352"/>
      <c r="AB26" s="352"/>
      <c r="AC26" s="352"/>
      <c r="AD26" s="352"/>
      <c r="AE26" s="352"/>
      <c r="AF26" s="352"/>
      <c r="AG26" s="352"/>
      <c r="AH26" s="352"/>
      <c r="AI26" s="352"/>
      <c r="AJ26" s="352"/>
      <c r="AK26" s="352"/>
      <c r="AL26" s="352"/>
      <c r="AM26" s="352"/>
      <c r="AN26" s="352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90"/>
      <c r="B27" s="190"/>
      <c r="C27" s="242" t="str">
        <f>Intake!B33</f>
        <v>Glucose/KH</v>
      </c>
      <c r="D27" s="243" t="str">
        <f>Intake!D33</f>
        <v>0 g/kg</v>
      </c>
      <c r="E27" s="242" t="str">
        <f>Intake!E33</f>
        <v>3,6 g/kg</v>
      </c>
      <c r="F27" s="242"/>
      <c r="G27" s="242" t="str">
        <f>Intake!H33</f>
        <v>Calcium</v>
      </c>
      <c r="H27" s="243" t="str">
        <f>Intake!I33</f>
        <v>0 mmol/kg</v>
      </c>
      <c r="I27" s="242" t="str">
        <f>Intake!J33</f>
        <v>0,2-0,8 mmol/kg (3-10 kg:0,8; 10-20 kg:0,5; &gt; 20 kg:0,2 mmol/kg)</v>
      </c>
      <c r="J27" s="242"/>
      <c r="K27" s="242"/>
      <c r="L27" s="242"/>
      <c r="M27" s="242"/>
      <c r="N27" s="242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352"/>
      <c r="Z27" s="352"/>
      <c r="AA27" s="352"/>
      <c r="AB27" s="352"/>
      <c r="AC27" s="352"/>
      <c r="AD27" s="352"/>
      <c r="AE27" s="352"/>
      <c r="AF27" s="352"/>
      <c r="AG27" s="352"/>
      <c r="AH27" s="352"/>
      <c r="AI27" s="352"/>
      <c r="AJ27" s="352"/>
      <c r="AK27" s="352"/>
      <c r="AL27" s="352"/>
      <c r="AM27" s="352"/>
      <c r="AN27" s="352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90"/>
      <c r="B28" s="190"/>
      <c r="C28" s="242" t="str">
        <f>Intake!B34</f>
        <v xml:space="preserve">Natrium </v>
      </c>
      <c r="D28" s="243" t="str">
        <f>Intake!D34</f>
        <v>0 mmol/kg</v>
      </c>
      <c r="E28" s="242" t="str">
        <f>Intake!E34</f>
        <v>2-4 mmol/kg</v>
      </c>
      <c r="F28" s="242"/>
      <c r="G28" s="242" t="str">
        <f>Intake!H34</f>
        <v>Magnesium</v>
      </c>
      <c r="H28" s="243" t="str">
        <f>Intake!I34</f>
        <v>0 mmol/kg</v>
      </c>
      <c r="I28" s="242" t="str">
        <f>Intake!J34</f>
        <v>0,1-0,3 mmol/kg</v>
      </c>
      <c r="J28" s="242"/>
      <c r="K28" s="242"/>
      <c r="L28" s="242"/>
      <c r="M28" s="242"/>
      <c r="N28" s="242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352"/>
      <c r="Z28" s="352"/>
      <c r="AA28" s="352"/>
      <c r="AB28" s="352"/>
      <c r="AC28" s="352"/>
      <c r="AD28" s="352"/>
      <c r="AE28" s="352"/>
      <c r="AF28" s="352"/>
      <c r="AG28" s="352"/>
      <c r="AH28" s="352"/>
      <c r="AI28" s="352"/>
      <c r="AJ28" s="352"/>
      <c r="AK28" s="352"/>
      <c r="AL28" s="352"/>
      <c r="AM28" s="352"/>
      <c r="AN28" s="352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90"/>
      <c r="B29" s="190"/>
      <c r="C29" s="242" t="str">
        <f>Intake!B35</f>
        <v>Kalium</v>
      </c>
      <c r="D29" s="243" t="str">
        <f>Intake!D35</f>
        <v>0 mmol/kg</v>
      </c>
      <c r="E29" s="242" t="str">
        <f>Intake!E35</f>
        <v>1-2 mmol/kg</v>
      </c>
      <c r="F29" s="242"/>
      <c r="G29" s="242" t="str">
        <f>Intake!H35</f>
        <v>Fosfaat</v>
      </c>
      <c r="H29" s="243" t="str">
        <f>Intake!I35</f>
        <v>0 mmol/kg</v>
      </c>
      <c r="I29" s="242" t="str">
        <f>Intake!J35</f>
        <v>0,75 mmol/kg</v>
      </c>
      <c r="J29" s="242"/>
      <c r="K29" s="242"/>
      <c r="L29" s="242"/>
      <c r="M29" s="242"/>
      <c r="N29" s="242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352"/>
      <c r="Z29" s="352"/>
      <c r="AA29" s="352"/>
      <c r="AB29" s="352"/>
      <c r="AC29" s="352"/>
      <c r="AD29" s="352"/>
      <c r="AE29" s="352"/>
      <c r="AF29" s="352"/>
      <c r="AG29" s="352"/>
      <c r="AH29" s="352"/>
      <c r="AI29" s="352"/>
      <c r="AJ29" s="352"/>
      <c r="AK29" s="352"/>
      <c r="AL29" s="352"/>
      <c r="AM29" s="352"/>
      <c r="AN29" s="352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90"/>
      <c r="B30" s="190"/>
      <c r="C30" s="75"/>
      <c r="D30" s="75"/>
      <c r="E30" s="75"/>
      <c r="F30" s="75"/>
      <c r="G30" s="75"/>
      <c r="H30" s="75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352"/>
      <c r="Z30" s="352"/>
      <c r="AA30" s="352"/>
      <c r="AB30" s="352"/>
      <c r="AC30" s="352"/>
      <c r="AD30" s="352"/>
      <c r="AE30" s="352"/>
      <c r="AF30" s="352"/>
      <c r="AG30" s="352"/>
      <c r="AH30" s="352"/>
      <c r="AI30" s="352"/>
      <c r="AJ30" s="352"/>
      <c r="AK30" s="352"/>
      <c r="AL30" s="352"/>
      <c r="AM30" s="352"/>
      <c r="AN30" s="352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90"/>
      <c r="B31" s="190"/>
      <c r="C31" s="241" t="s">
        <v>906</v>
      </c>
      <c r="D31" s="391">
        <f>ber_Opm!C4</f>
        <v>0</v>
      </c>
      <c r="E31" s="392"/>
      <c r="F31" s="392"/>
      <c r="G31" s="392"/>
      <c r="H31" s="392"/>
      <c r="I31" s="392"/>
      <c r="J31" s="392"/>
      <c r="K31" s="220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352"/>
      <c r="Z31" s="352"/>
      <c r="AA31" s="352"/>
      <c r="AB31" s="352"/>
      <c r="AC31" s="352"/>
      <c r="AD31" s="352"/>
      <c r="AE31" s="352"/>
      <c r="AF31" s="352"/>
      <c r="AG31" s="352"/>
      <c r="AH31" s="352"/>
      <c r="AI31" s="352"/>
      <c r="AJ31" s="352"/>
      <c r="AK31" s="352"/>
      <c r="AL31" s="352"/>
      <c r="AM31" s="352"/>
      <c r="AN31" s="352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90"/>
      <c r="B32" s="190"/>
      <c r="C32" s="216"/>
      <c r="D32" s="392"/>
      <c r="E32" s="392"/>
      <c r="F32" s="392"/>
      <c r="G32" s="392"/>
      <c r="H32" s="392"/>
      <c r="I32" s="392"/>
      <c r="J32" s="392"/>
      <c r="K32" s="220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352"/>
      <c r="Z32" s="352"/>
      <c r="AA32" s="352"/>
      <c r="AB32" s="352"/>
      <c r="AC32" s="352"/>
      <c r="AD32" s="352"/>
      <c r="AE32" s="352"/>
      <c r="AF32" s="352"/>
      <c r="AG32" s="352"/>
      <c r="AH32" s="352"/>
      <c r="AI32" s="352"/>
      <c r="AJ32" s="352"/>
      <c r="AK32" s="352"/>
      <c r="AL32" s="352"/>
      <c r="AM32" s="352"/>
      <c r="AN32" s="352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90"/>
      <c r="B33" s="190"/>
      <c r="C33" s="216"/>
      <c r="D33" s="392"/>
      <c r="E33" s="392"/>
      <c r="F33" s="392"/>
      <c r="G33" s="392"/>
      <c r="H33" s="392"/>
      <c r="I33" s="392"/>
      <c r="J33" s="392"/>
      <c r="K33" s="220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352"/>
      <c r="Z33" s="352"/>
      <c r="AA33" s="352"/>
      <c r="AB33" s="352"/>
      <c r="AC33" s="352"/>
      <c r="AD33" s="352"/>
      <c r="AE33" s="352"/>
      <c r="AF33" s="352"/>
      <c r="AG33" s="352"/>
      <c r="AH33" s="352"/>
      <c r="AI33" s="352"/>
      <c r="AJ33" s="352"/>
      <c r="AK33" s="352"/>
      <c r="AL33" s="352"/>
      <c r="AM33" s="352"/>
      <c r="AN33" s="352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90"/>
      <c r="B34" s="190"/>
      <c r="C34" s="216"/>
      <c r="D34" s="392"/>
      <c r="E34" s="392"/>
      <c r="F34" s="392"/>
      <c r="G34" s="392"/>
      <c r="H34" s="392"/>
      <c r="I34" s="392"/>
      <c r="J34" s="392"/>
      <c r="K34" s="220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352"/>
      <c r="Z34" s="352"/>
      <c r="AA34" s="352"/>
      <c r="AB34" s="352"/>
      <c r="AC34" s="352"/>
      <c r="AD34" s="352"/>
      <c r="AE34" s="352"/>
      <c r="AF34" s="352"/>
      <c r="AG34" s="352"/>
      <c r="AH34" s="352"/>
      <c r="AI34" s="352"/>
      <c r="AJ34" s="352"/>
      <c r="AK34" s="352"/>
      <c r="AL34" s="352"/>
      <c r="AM34" s="352"/>
      <c r="AN34" s="352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212"/>
      <c r="B35" s="212"/>
      <c r="C35" s="216"/>
      <c r="D35" s="392"/>
      <c r="E35" s="392"/>
      <c r="F35" s="392"/>
      <c r="G35" s="392"/>
      <c r="H35" s="392"/>
      <c r="I35" s="392"/>
      <c r="J35" s="392"/>
      <c r="K35" s="104"/>
      <c r="L35" s="76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352"/>
      <c r="Z35" s="352"/>
      <c r="AA35" s="352"/>
      <c r="AB35" s="352"/>
      <c r="AC35" s="352"/>
      <c r="AD35" s="352"/>
      <c r="AE35" s="352"/>
      <c r="AF35" s="352"/>
      <c r="AG35" s="352"/>
      <c r="AH35" s="352"/>
      <c r="AI35" s="352"/>
      <c r="AJ35" s="352"/>
      <c r="AK35" s="352"/>
      <c r="AL35" s="352"/>
      <c r="AM35" s="352"/>
      <c r="AN35" s="352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90"/>
      <c r="B36" s="190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352"/>
      <c r="Z36" s="352"/>
      <c r="AA36" s="352"/>
      <c r="AB36" s="352"/>
      <c r="AC36" s="352"/>
      <c r="AD36" s="352"/>
      <c r="AE36" s="352"/>
      <c r="AF36" s="352"/>
      <c r="AG36" s="352"/>
      <c r="AH36" s="352"/>
      <c r="AI36" s="352"/>
      <c r="AJ36" s="352"/>
      <c r="AK36" s="352"/>
      <c r="AL36" s="352"/>
      <c r="AM36" s="352"/>
      <c r="AN36" s="352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90"/>
      <c r="B37" s="190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352"/>
      <c r="Z37" s="352"/>
      <c r="AA37" s="352"/>
      <c r="AB37" s="352"/>
      <c r="AC37" s="352"/>
      <c r="AD37" s="352"/>
      <c r="AE37" s="352"/>
      <c r="AF37" s="352"/>
      <c r="AG37" s="352"/>
      <c r="AH37" s="352"/>
      <c r="AI37" s="352"/>
      <c r="AJ37" s="352"/>
      <c r="AK37" s="352"/>
      <c r="AL37" s="352"/>
      <c r="AM37" s="352"/>
      <c r="AN37" s="352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90"/>
      <c r="B38" s="190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352"/>
      <c r="Z38" s="352"/>
      <c r="AA38" s="352"/>
      <c r="AB38" s="352"/>
      <c r="AC38" s="352"/>
      <c r="AD38" s="352"/>
      <c r="AE38" s="352"/>
      <c r="AF38" s="352"/>
      <c r="AG38" s="352"/>
      <c r="AH38" s="352"/>
      <c r="AI38" s="352"/>
      <c r="AJ38" s="352"/>
      <c r="AK38" s="352"/>
      <c r="AL38" s="352"/>
      <c r="AM38" s="352"/>
      <c r="AN38" s="352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90"/>
      <c r="B39" s="190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189"/>
      <c r="Z39" s="189"/>
      <c r="AA39" s="189"/>
      <c r="AB39" s="189"/>
      <c r="AC39" s="189"/>
      <c r="AD39" s="189"/>
      <c r="AE39" s="189"/>
      <c r="AF39" s="189"/>
      <c r="AG39" s="189"/>
      <c r="AH39" s="189"/>
      <c r="AI39" s="189"/>
      <c r="AJ39" s="189"/>
      <c r="AK39" s="189"/>
      <c r="AL39" s="189"/>
      <c r="AM39" s="189"/>
      <c r="AN39" s="189"/>
    </row>
    <row r="40" spans="1:81" x14ac:dyDescent="0.35">
      <c r="A40" s="190"/>
      <c r="B40" s="190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189"/>
      <c r="Z40" s="189"/>
      <c r="AA40" s="189"/>
      <c r="AB40" s="189"/>
      <c r="AC40" s="189"/>
      <c r="AD40" s="189"/>
      <c r="AE40" s="189"/>
      <c r="AF40" s="189"/>
      <c r="AG40" s="189"/>
      <c r="AH40" s="189"/>
      <c r="AI40" s="189"/>
      <c r="AJ40" s="189"/>
      <c r="AK40" s="189"/>
      <c r="AL40" s="189"/>
      <c r="AM40" s="189"/>
      <c r="AN40" s="189"/>
    </row>
    <row r="41" spans="1:81" x14ac:dyDescent="0.35">
      <c r="A41" s="190"/>
      <c r="B41" s="190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</row>
    <row r="42" spans="1:81" x14ac:dyDescent="0.35">
      <c r="A42" s="190"/>
      <c r="B42" s="190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</row>
    <row r="43" spans="1:81" x14ac:dyDescent="0.35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189"/>
      <c r="Z43" s="189"/>
      <c r="AA43" s="189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</row>
    <row r="44" spans="1:81" x14ac:dyDescent="0.35">
      <c r="A44" s="75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189"/>
      <c r="Z44" s="189"/>
      <c r="AA44" s="189"/>
      <c r="AB44" s="189"/>
      <c r="AC44" s="189"/>
      <c r="AD44" s="189"/>
      <c r="AE44" s="189"/>
      <c r="AF44" s="189"/>
      <c r="AG44" s="189"/>
      <c r="AH44" s="189"/>
      <c r="AI44" s="189"/>
      <c r="AJ44" s="189"/>
      <c r="AK44" s="189"/>
      <c r="AL44" s="189"/>
      <c r="AM44" s="189"/>
      <c r="AN44" s="189"/>
    </row>
    <row r="45" spans="1:81" x14ac:dyDescent="0.35">
      <c r="A45" s="189"/>
      <c r="B45" s="189"/>
      <c r="C45" s="189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189"/>
      <c r="AE45" s="189"/>
      <c r="AF45" s="189"/>
      <c r="AG45" s="189"/>
      <c r="AH45" s="189"/>
      <c r="AI45" s="189"/>
      <c r="AJ45" s="189"/>
      <c r="AK45" s="189"/>
      <c r="AL45" s="189"/>
      <c r="AM45" s="189"/>
      <c r="AN45" s="189"/>
    </row>
    <row r="46" spans="1:81" x14ac:dyDescent="0.35">
      <c r="A46" s="189"/>
      <c r="B46" s="189"/>
      <c r="C46" s="189"/>
      <c r="D46" s="189"/>
      <c r="E46" s="189"/>
      <c r="F46" s="189"/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</row>
    <row r="47" spans="1:81" x14ac:dyDescent="0.35">
      <c r="A47" s="189"/>
      <c r="B47" s="189"/>
      <c r="C47" s="189"/>
      <c r="D47" s="189"/>
      <c r="E47" s="189"/>
      <c r="F47" s="189"/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  <c r="R47" s="189"/>
      <c r="S47" s="189"/>
      <c r="T47" s="189"/>
      <c r="U47" s="189"/>
      <c r="V47" s="189"/>
      <c r="W47" s="189"/>
      <c r="X47" s="189"/>
      <c r="Y47" s="189"/>
      <c r="Z47" s="189"/>
      <c r="AA47" s="189"/>
      <c r="AB47" s="189"/>
      <c r="AC47" s="189"/>
      <c r="AD47" s="189"/>
      <c r="AE47" s="189"/>
      <c r="AF47" s="189"/>
      <c r="AG47" s="189"/>
      <c r="AH47" s="189"/>
      <c r="AI47" s="189"/>
      <c r="AJ47" s="189"/>
      <c r="AK47" s="189"/>
      <c r="AL47" s="189"/>
      <c r="AM47" s="189"/>
      <c r="AN47" s="189"/>
    </row>
    <row r="48" spans="1:81" x14ac:dyDescent="0.35">
      <c r="A48" s="189"/>
      <c r="B48" s="189"/>
      <c r="C48" s="189"/>
      <c r="D48" s="189"/>
      <c r="E48" s="189"/>
      <c r="F48" s="189"/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  <c r="R48" s="189"/>
      <c r="S48" s="189"/>
      <c r="T48" s="189"/>
      <c r="U48" s="189"/>
      <c r="V48" s="189"/>
      <c r="W48" s="189"/>
      <c r="X48" s="189"/>
      <c r="Y48" s="189"/>
      <c r="Z48" s="189"/>
      <c r="AA48" s="189"/>
      <c r="AB48" s="189"/>
      <c r="AC48" s="189"/>
      <c r="AD48" s="189"/>
      <c r="AE48" s="189"/>
      <c r="AF48" s="189"/>
      <c r="AG48" s="189"/>
      <c r="AH48" s="189"/>
      <c r="AI48" s="189"/>
      <c r="AJ48" s="189"/>
      <c r="AK48" s="189"/>
      <c r="AL48" s="189"/>
      <c r="AM48" s="189"/>
      <c r="AN48" s="189"/>
    </row>
    <row r="49" spans="1:40" x14ac:dyDescent="0.35">
      <c r="A49" s="189"/>
      <c r="B49" s="189"/>
      <c r="C49" s="189"/>
      <c r="D49" s="189"/>
      <c r="E49" s="189"/>
      <c r="F49" s="189"/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  <c r="R49" s="189"/>
      <c r="S49" s="189"/>
      <c r="T49" s="189"/>
      <c r="U49" s="189"/>
      <c r="V49" s="189"/>
      <c r="W49" s="189"/>
      <c r="X49" s="189"/>
      <c r="Y49" s="189"/>
      <c r="Z49" s="189"/>
      <c r="AA49" s="189"/>
      <c r="AB49" s="189"/>
      <c r="AC49" s="189"/>
      <c r="AD49" s="189"/>
      <c r="AE49" s="189"/>
      <c r="AF49" s="189"/>
      <c r="AG49" s="189"/>
      <c r="AH49" s="189"/>
      <c r="AI49" s="189"/>
      <c r="AJ49" s="189"/>
      <c r="AK49" s="189"/>
      <c r="AL49" s="189"/>
      <c r="AM49" s="189"/>
      <c r="AN49" s="189"/>
    </row>
    <row r="50" spans="1:40" x14ac:dyDescent="0.35">
      <c r="A50" s="189"/>
      <c r="B50" s="189"/>
      <c r="C50" s="189"/>
      <c r="D50" s="189"/>
      <c r="E50" s="189"/>
      <c r="F50" s="189"/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  <c r="R50" s="189"/>
      <c r="S50" s="189"/>
      <c r="T50" s="189"/>
      <c r="U50" s="189"/>
      <c r="V50" s="189"/>
      <c r="W50" s="189"/>
      <c r="X50" s="189"/>
      <c r="Y50" s="189"/>
      <c r="Z50" s="189"/>
      <c r="AA50" s="189"/>
      <c r="AB50" s="189"/>
      <c r="AC50" s="189"/>
      <c r="AD50" s="189"/>
      <c r="AE50" s="189"/>
      <c r="AF50" s="189"/>
      <c r="AG50" s="189"/>
      <c r="AH50" s="189"/>
      <c r="AI50" s="189"/>
      <c r="AJ50" s="189"/>
      <c r="AK50" s="189"/>
      <c r="AL50" s="189"/>
      <c r="AM50" s="189"/>
      <c r="AN50" s="189"/>
    </row>
    <row r="51" spans="1:40" x14ac:dyDescent="0.35">
      <c r="A51" s="189"/>
      <c r="B51" s="189"/>
      <c r="C51" s="189"/>
      <c r="D51" s="189"/>
      <c r="E51" s="189"/>
      <c r="F51" s="189"/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  <c r="R51" s="189"/>
      <c r="S51" s="189"/>
      <c r="T51" s="189"/>
      <c r="U51" s="189"/>
      <c r="V51" s="189"/>
      <c r="W51" s="189"/>
      <c r="X51" s="189"/>
      <c r="Y51" s="189"/>
      <c r="Z51" s="189"/>
      <c r="AA51" s="189"/>
      <c r="AB51" s="189"/>
      <c r="AC51" s="189"/>
      <c r="AD51" s="189"/>
      <c r="AE51" s="189"/>
      <c r="AF51" s="189"/>
      <c r="AG51" s="189"/>
      <c r="AH51" s="189"/>
      <c r="AI51" s="189"/>
      <c r="AJ51" s="189"/>
      <c r="AK51" s="189"/>
      <c r="AL51" s="189"/>
      <c r="AM51" s="189"/>
      <c r="AN51" s="189"/>
    </row>
    <row r="52" spans="1:40" x14ac:dyDescent="0.35">
      <c r="A52" s="189"/>
      <c r="B52" s="189"/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</row>
    <row r="53" spans="1:40" x14ac:dyDescent="0.35">
      <c r="A53" s="189"/>
      <c r="B53" s="189"/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</row>
    <row r="54" spans="1:40" x14ac:dyDescent="0.35">
      <c r="A54" s="189"/>
      <c r="B54" s="189"/>
      <c r="C54" s="189"/>
      <c r="D54" s="189"/>
      <c r="E54" s="189"/>
      <c r="F54" s="189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89"/>
    </row>
    <row r="55" spans="1:40" x14ac:dyDescent="0.35">
      <c r="A55" s="189"/>
      <c r="B55" s="189"/>
      <c r="C55" s="189"/>
      <c r="D55" s="189"/>
      <c r="E55" s="189"/>
      <c r="F55" s="189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</row>
    <row r="56" spans="1:40" x14ac:dyDescent="0.35">
      <c r="A56" s="189"/>
      <c r="B56" s="189"/>
      <c r="C56" s="189"/>
      <c r="D56" s="189"/>
      <c r="E56" s="189"/>
      <c r="F56" s="189"/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</row>
    <row r="57" spans="1:40" x14ac:dyDescent="0.35">
      <c r="A57" s="189"/>
      <c r="B57" s="189"/>
      <c r="C57" s="189"/>
      <c r="D57" s="189"/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</row>
    <row r="58" spans="1:40" x14ac:dyDescent="0.35">
      <c r="A58" s="189"/>
      <c r="B58" s="189"/>
      <c r="C58" s="189"/>
      <c r="D58" s="189"/>
      <c r="E58" s="189"/>
      <c r="F58" s="189"/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  <c r="R58" s="189"/>
    </row>
    <row r="59" spans="1:40" x14ac:dyDescent="0.35">
      <c r="A59" s="189"/>
      <c r="B59" s="189"/>
      <c r="C59" s="189"/>
      <c r="D59" s="189"/>
      <c r="E59" s="189"/>
      <c r="F59" s="189"/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  <c r="R59" s="189"/>
    </row>
    <row r="60" spans="1:40" x14ac:dyDescent="0.35">
      <c r="A60" s="189"/>
      <c r="B60" s="189"/>
      <c r="C60" s="189"/>
      <c r="D60" s="189"/>
      <c r="E60" s="189"/>
      <c r="F60" s="189"/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  <c r="R60" s="189"/>
    </row>
    <row r="61" spans="1:40" x14ac:dyDescent="0.35">
      <c r="A61" s="189"/>
      <c r="B61" s="189"/>
      <c r="C61" s="189"/>
      <c r="D61" s="189"/>
      <c r="E61" s="189"/>
      <c r="F61" s="189"/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  <c r="R61" s="189"/>
    </row>
    <row r="62" spans="1:40" x14ac:dyDescent="0.35">
      <c r="A62" s="189"/>
      <c r="B62" s="189"/>
      <c r="C62" s="189"/>
      <c r="D62" s="189"/>
      <c r="E62" s="189"/>
      <c r="F62" s="189"/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  <c r="R62" s="189"/>
    </row>
    <row r="63" spans="1:40" x14ac:dyDescent="0.35">
      <c r="A63" s="189"/>
      <c r="B63" s="189"/>
      <c r="C63" s="189"/>
      <c r="D63" s="189"/>
      <c r="E63" s="189"/>
      <c r="F63" s="189"/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  <c r="R63" s="189"/>
    </row>
    <row r="64" spans="1:40" x14ac:dyDescent="0.35">
      <c r="A64" s="189"/>
      <c r="B64" s="189"/>
      <c r="C64" s="189"/>
      <c r="D64" s="189"/>
      <c r="E64" s="189"/>
      <c r="F64" s="189"/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  <c r="R64" s="189"/>
    </row>
    <row r="65" spans="1:18" x14ac:dyDescent="0.35">
      <c r="A65" s="189"/>
      <c r="B65" s="189"/>
      <c r="C65" s="189"/>
      <c r="D65" s="189"/>
      <c r="E65" s="189"/>
      <c r="F65" s="189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</row>
    <row r="66" spans="1:18" x14ac:dyDescent="0.35">
      <c r="A66" s="189"/>
      <c r="B66" s="189"/>
      <c r="C66" s="189"/>
      <c r="D66" s="189"/>
      <c r="E66" s="189"/>
      <c r="F66" s="189"/>
      <c r="G66" s="189"/>
      <c r="H66" s="189"/>
      <c r="I66" s="189"/>
      <c r="J66" s="189"/>
      <c r="K66" s="189"/>
      <c r="L66" s="189"/>
      <c r="M66" s="189"/>
      <c r="N66" s="189"/>
      <c r="O66" s="189"/>
      <c r="P66" s="189"/>
      <c r="Q66" s="189"/>
      <c r="R66" s="189"/>
    </row>
    <row r="67" spans="1:18" x14ac:dyDescent="0.35">
      <c r="A67" s="189"/>
      <c r="B67" s="189"/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  <c r="R67" s="189"/>
    </row>
    <row r="68" spans="1:18" x14ac:dyDescent="0.35">
      <c r="A68" s="189"/>
      <c r="B68" s="189"/>
      <c r="C68" s="189"/>
      <c r="D68" s="189"/>
      <c r="E68" s="189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</row>
    <row r="69" spans="1:18" x14ac:dyDescent="0.35">
      <c r="A69" s="189"/>
      <c r="B69" s="189"/>
      <c r="C69" s="189"/>
      <c r="D69" s="189"/>
      <c r="E69" s="189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  <c r="R69" s="189"/>
    </row>
    <row r="70" spans="1:18" x14ac:dyDescent="0.35">
      <c r="A70" s="189"/>
      <c r="B70" s="189"/>
      <c r="C70" s="189"/>
      <c r="D70" s="189"/>
      <c r="E70" s="189"/>
      <c r="F70" s="189"/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  <c r="R70" s="189"/>
    </row>
    <row r="71" spans="1:18" x14ac:dyDescent="0.35">
      <c r="A71" s="189"/>
      <c r="B71" s="189"/>
      <c r="C71" s="189"/>
      <c r="D71" s="189"/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</row>
    <row r="72" spans="1:18" x14ac:dyDescent="0.35">
      <c r="A72" s="189"/>
      <c r="B72" s="189"/>
      <c r="C72" s="189"/>
      <c r="D72" s="189"/>
      <c r="E72" s="189"/>
      <c r="F72" s="189"/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  <c r="R72" s="189"/>
    </row>
    <row r="73" spans="1:18" x14ac:dyDescent="0.35">
      <c r="A73" s="189"/>
      <c r="B73" s="189"/>
      <c r="C73" s="189"/>
      <c r="D73" s="189"/>
      <c r="E73" s="189"/>
      <c r="F73" s="189"/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  <c r="R73" s="189"/>
    </row>
    <row r="74" spans="1:18" x14ac:dyDescent="0.35">
      <c r="A74" s="189"/>
      <c r="B74" s="189"/>
      <c r="C74" s="189"/>
      <c r="D74" s="189"/>
      <c r="E74" s="189"/>
      <c r="F74" s="189"/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189"/>
      <c r="R74" s="189"/>
    </row>
    <row r="75" spans="1:18" x14ac:dyDescent="0.35">
      <c r="A75" s="189"/>
      <c r="B75" s="189"/>
      <c r="C75" s="189"/>
      <c r="D75" s="189"/>
      <c r="E75" s="189"/>
      <c r="F75" s="189"/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  <c r="R75" s="189"/>
    </row>
    <row r="76" spans="1:18" x14ac:dyDescent="0.35">
      <c r="A76" s="189"/>
      <c r="B76" s="189"/>
      <c r="C76" s="189"/>
      <c r="D76" s="189"/>
      <c r="E76" s="189"/>
      <c r="F76" s="189"/>
      <c r="G76" s="189"/>
      <c r="H76" s="189"/>
      <c r="I76" s="189"/>
      <c r="J76" s="189"/>
      <c r="K76" s="189"/>
      <c r="L76" s="189"/>
      <c r="M76" s="189"/>
      <c r="N76" s="189"/>
      <c r="O76" s="189"/>
      <c r="P76" s="189"/>
      <c r="Q76" s="189"/>
      <c r="R76" s="189"/>
    </row>
    <row r="77" spans="1:18" x14ac:dyDescent="0.35">
      <c r="A77" s="189"/>
      <c r="B77" s="189"/>
      <c r="C77" s="189"/>
      <c r="D77" s="189"/>
      <c r="E77" s="189"/>
      <c r="F77" s="189"/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  <c r="R77" s="189"/>
    </row>
    <row r="78" spans="1:18" x14ac:dyDescent="0.35">
      <c r="A78" s="189"/>
      <c r="B78" s="189"/>
      <c r="C78" s="189"/>
      <c r="D78" s="189"/>
      <c r="E78" s="189"/>
      <c r="F78" s="189"/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  <c r="R78" s="189"/>
    </row>
    <row r="79" spans="1:18" x14ac:dyDescent="0.35">
      <c r="A79" s="189"/>
      <c r="B79" s="189"/>
      <c r="C79" s="189"/>
      <c r="D79" s="189"/>
      <c r="E79" s="189"/>
      <c r="F79" s="189"/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  <c r="R79" s="189"/>
    </row>
    <row r="80" spans="1:18" x14ac:dyDescent="0.35">
      <c r="A80" s="189"/>
      <c r="B80" s="189"/>
      <c r="C80" s="189"/>
      <c r="D80" s="189"/>
      <c r="E80" s="189"/>
      <c r="F80" s="189"/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  <c r="R80" s="189"/>
    </row>
    <row r="81" spans="1:18" x14ac:dyDescent="0.35">
      <c r="A81" s="189"/>
      <c r="B81" s="189"/>
      <c r="C81" s="189"/>
      <c r="D81" s="189"/>
      <c r="E81" s="189"/>
      <c r="F81" s="189"/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  <c r="R81" s="189"/>
    </row>
    <row r="82" spans="1:18" x14ac:dyDescent="0.35">
      <c r="A82" s="189"/>
      <c r="B82" s="189"/>
      <c r="C82" s="189"/>
      <c r="D82" s="189"/>
      <c r="E82" s="189"/>
      <c r="F82" s="189"/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  <c r="R82" s="189"/>
    </row>
    <row r="83" spans="1:18" x14ac:dyDescent="0.35">
      <c r="A83" s="189"/>
      <c r="B83" s="189"/>
      <c r="C83" s="189"/>
      <c r="D83" s="189"/>
      <c r="E83" s="189"/>
      <c r="F83" s="189"/>
      <c r="G83" s="189"/>
      <c r="H83" s="189"/>
      <c r="I83" s="189"/>
      <c r="J83" s="189"/>
      <c r="K83" s="189"/>
      <c r="L83" s="189"/>
      <c r="M83" s="189"/>
      <c r="N83" s="189"/>
      <c r="O83" s="189"/>
      <c r="P83" s="189"/>
      <c r="Q83" s="189"/>
      <c r="R83" s="189"/>
    </row>
    <row r="84" spans="1:18" x14ac:dyDescent="0.35">
      <c r="A84" s="189"/>
      <c r="B84" s="189"/>
      <c r="C84" s="189"/>
      <c r="D84" s="189"/>
      <c r="E84" s="189"/>
      <c r="F84" s="189"/>
      <c r="G84" s="189"/>
      <c r="H84" s="189"/>
      <c r="I84" s="189"/>
      <c r="J84" s="189"/>
      <c r="K84" s="189"/>
      <c r="L84" s="189"/>
      <c r="M84" s="189"/>
      <c r="N84" s="189"/>
      <c r="O84" s="189"/>
      <c r="P84" s="189"/>
      <c r="Q84" s="189"/>
      <c r="R84" s="189"/>
    </row>
    <row r="85" spans="1:18" x14ac:dyDescent="0.35">
      <c r="A85" s="189"/>
      <c r="B85" s="189"/>
      <c r="C85" s="189"/>
      <c r="D85" s="189"/>
      <c r="E85" s="189"/>
      <c r="F85" s="189"/>
      <c r="G85" s="189"/>
      <c r="H85" s="189"/>
      <c r="I85" s="189"/>
      <c r="J85" s="189"/>
      <c r="K85" s="189"/>
      <c r="L85" s="189"/>
      <c r="M85" s="189"/>
      <c r="N85" s="189"/>
      <c r="O85" s="189"/>
      <c r="P85" s="189"/>
      <c r="Q85" s="189"/>
      <c r="R85" s="189"/>
    </row>
    <row r="86" spans="1:18" x14ac:dyDescent="0.35">
      <c r="A86" s="189"/>
      <c r="B86" s="189"/>
      <c r="C86" s="189"/>
      <c r="D86" s="189"/>
      <c r="E86" s="189"/>
      <c r="F86" s="189"/>
      <c r="G86" s="189"/>
      <c r="H86" s="189"/>
      <c r="I86" s="189"/>
      <c r="J86" s="189"/>
      <c r="K86" s="189"/>
      <c r="L86" s="189"/>
      <c r="M86" s="189"/>
      <c r="N86" s="189"/>
      <c r="O86" s="189"/>
      <c r="P86" s="189"/>
      <c r="Q86" s="189"/>
      <c r="R86" s="189"/>
    </row>
    <row r="87" spans="1:18" x14ac:dyDescent="0.35">
      <c r="A87" s="189"/>
      <c r="B87" s="189"/>
      <c r="C87" s="189"/>
      <c r="D87" s="189"/>
      <c r="E87" s="189"/>
      <c r="F87" s="189"/>
      <c r="G87" s="189"/>
      <c r="H87" s="189"/>
      <c r="I87" s="189"/>
      <c r="J87" s="189"/>
      <c r="K87" s="189"/>
      <c r="L87" s="189"/>
      <c r="M87" s="189"/>
      <c r="N87" s="189"/>
      <c r="O87" s="189"/>
      <c r="P87" s="189"/>
      <c r="Q87" s="189"/>
      <c r="R87" s="189"/>
    </row>
    <row r="88" spans="1:18" x14ac:dyDescent="0.35">
      <c r="A88" s="189"/>
      <c r="B88" s="189"/>
      <c r="C88" s="189"/>
      <c r="D88" s="189"/>
      <c r="E88" s="189"/>
      <c r="F88" s="189"/>
      <c r="G88" s="189"/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</row>
    <row r="89" spans="1:18" x14ac:dyDescent="0.35">
      <c r="A89" s="189"/>
      <c r="B89" s="189"/>
      <c r="C89" s="189"/>
      <c r="D89" s="189"/>
      <c r="E89" s="189"/>
      <c r="F89" s="189"/>
      <c r="G89" s="189"/>
      <c r="H89" s="189"/>
      <c r="I89" s="189"/>
      <c r="J89" s="189"/>
      <c r="K89" s="189"/>
      <c r="L89" s="189"/>
      <c r="M89" s="189"/>
      <c r="N89" s="189"/>
      <c r="O89" s="189"/>
      <c r="P89" s="189"/>
      <c r="Q89" s="189"/>
      <c r="R89" s="189"/>
    </row>
    <row r="90" spans="1:18" x14ac:dyDescent="0.35">
      <c r="A90" s="189"/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</row>
    <row r="91" spans="1:18" x14ac:dyDescent="0.35">
      <c r="A91" s="189"/>
      <c r="B91" s="189"/>
      <c r="C91" s="189"/>
      <c r="D91" s="189"/>
      <c r="E91" s="189"/>
      <c r="F91" s="189"/>
      <c r="G91" s="189"/>
      <c r="H91" s="189"/>
      <c r="I91" s="189"/>
      <c r="J91" s="189"/>
      <c r="K91" s="189"/>
      <c r="L91" s="189"/>
      <c r="M91" s="189"/>
      <c r="N91" s="189"/>
      <c r="O91" s="189"/>
      <c r="P91" s="189"/>
      <c r="Q91" s="189"/>
      <c r="R91" s="189"/>
    </row>
  </sheetData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38299</xdr:rowOff>
                  </from>
                  <to>
                    <xdr:col>2</xdr:col>
                    <xdr:colOff>1187284</xdr:colOff>
                    <xdr:row>8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38299</xdr:rowOff>
                  </from>
                  <to>
                    <xdr:col>2</xdr:col>
                    <xdr:colOff>1187284</xdr:colOff>
                    <xdr:row>9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38299</xdr:rowOff>
                  </from>
                  <to>
                    <xdr:col>2</xdr:col>
                    <xdr:colOff>1187284</xdr:colOff>
                    <xdr:row>10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38299</xdr:rowOff>
                  </from>
                  <to>
                    <xdr:col>2</xdr:col>
                    <xdr:colOff>1187284</xdr:colOff>
                    <xdr:row>11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38299</xdr:rowOff>
                  </from>
                  <to>
                    <xdr:col>2</xdr:col>
                    <xdr:colOff>1187284</xdr:colOff>
                    <xdr:row>12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38299</xdr:rowOff>
                  </from>
                  <to>
                    <xdr:col>2</xdr:col>
                    <xdr:colOff>1187284</xdr:colOff>
                    <xdr:row>13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38299</xdr:rowOff>
                  </from>
                  <to>
                    <xdr:col>2</xdr:col>
                    <xdr:colOff>1187284</xdr:colOff>
                    <xdr:row>14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38299</xdr:rowOff>
                  </from>
                  <to>
                    <xdr:col>2</xdr:col>
                    <xdr:colOff>1187284</xdr:colOff>
                    <xdr:row>15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38299</xdr:rowOff>
                  </from>
                  <to>
                    <xdr:col>2</xdr:col>
                    <xdr:colOff>1187284</xdr:colOff>
                    <xdr:row>16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38299</xdr:rowOff>
                  </from>
                  <to>
                    <xdr:col>2</xdr:col>
                    <xdr:colOff>1187284</xdr:colOff>
                    <xdr:row>17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3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4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5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6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7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8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9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60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61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2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3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4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5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6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7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8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9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70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71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72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R32"/>
  <sheetViews>
    <sheetView showZeros="0" showOutlineSymbols="0" workbookViewId="0">
      <selection activeCell="A3" sqref="A3:A32"/>
    </sheetView>
  </sheetViews>
  <sheetFormatPr defaultRowHeight="12.85" x14ac:dyDescent="0.35"/>
  <cols>
    <col min="1" max="1" width="16.46484375" customWidth="1"/>
    <col min="2" max="2" width="17.86328125" customWidth="1"/>
    <col min="3" max="3" width="20.3984375" customWidth="1"/>
    <col min="4" max="4" width="7.33203125" customWidth="1"/>
    <col min="5" max="10" width="7.73046875" customWidth="1"/>
    <col min="11" max="18" width="8.6640625" customWidth="1"/>
  </cols>
  <sheetData>
    <row r="1" spans="1:18" x14ac:dyDescent="0.35">
      <c r="E1" t="s">
        <v>1431</v>
      </c>
      <c r="G1" t="s">
        <v>1432</v>
      </c>
      <c r="I1" s="366" t="s">
        <v>1433</v>
      </c>
      <c r="K1" s="351" t="s">
        <v>1451</v>
      </c>
      <c r="M1" s="351" t="s">
        <v>1452</v>
      </c>
      <c r="O1" s="351" t="s">
        <v>1453</v>
      </c>
    </row>
    <row r="2" spans="1:18" x14ac:dyDescent="0.35">
      <c r="A2" t="s">
        <v>1434</v>
      </c>
      <c r="B2" t="s">
        <v>1435</v>
      </c>
      <c r="C2" t="s">
        <v>1436</v>
      </c>
      <c r="D2" t="s">
        <v>1437</v>
      </c>
      <c r="E2" t="s">
        <v>1438</v>
      </c>
      <c r="F2" t="s">
        <v>1439</v>
      </c>
      <c r="G2" t="s">
        <v>1438</v>
      </c>
      <c r="H2" t="s">
        <v>1439</v>
      </c>
      <c r="I2" t="s">
        <v>1438</v>
      </c>
      <c r="J2" t="s">
        <v>1439</v>
      </c>
      <c r="K2" s="351" t="s">
        <v>1438</v>
      </c>
      <c r="L2" s="351" t="s">
        <v>1439</v>
      </c>
      <c r="M2" s="351" t="s">
        <v>1438</v>
      </c>
      <c r="N2" s="351" t="s">
        <v>1439</v>
      </c>
      <c r="O2" s="351" t="s">
        <v>1438</v>
      </c>
      <c r="P2" s="351" t="s">
        <v>1439</v>
      </c>
      <c r="Q2" s="351" t="s">
        <v>1449</v>
      </c>
      <c r="R2" s="351" t="s">
        <v>1450</v>
      </c>
    </row>
    <row r="3" spans="1:18" x14ac:dyDescent="0.35">
      <c r="K3" s="351"/>
      <c r="L3" s="351"/>
      <c r="M3" s="351"/>
      <c r="N3" s="351"/>
      <c r="O3" s="351"/>
      <c r="P3" s="351"/>
      <c r="Q3" s="351"/>
      <c r="R3" s="351"/>
    </row>
    <row r="4" spans="1:18" ht="15.85" x14ac:dyDescent="0.5">
      <c r="A4" t="s">
        <v>635</v>
      </c>
      <c r="B4" s="366" t="s">
        <v>1343</v>
      </c>
      <c r="C4" s="366" t="s">
        <v>1255</v>
      </c>
      <c r="D4" s="366" t="s">
        <v>524</v>
      </c>
      <c r="E4">
        <v>1</v>
      </c>
      <c r="F4">
        <v>50</v>
      </c>
      <c r="G4">
        <v>2</v>
      </c>
      <c r="H4">
        <v>50</v>
      </c>
      <c r="I4" s="367">
        <v>5</v>
      </c>
      <c r="J4" s="367">
        <v>50</v>
      </c>
      <c r="K4">
        <f>IF(Gewicht/10&lt;6,E4,IF(Gewicht/10&lt;11,G4,I4))</f>
        <v>2</v>
      </c>
      <c r="L4">
        <f>IF(Gewicht/10&lt;6,F4,IF(Gewicht/10&lt;11,H4,J4))</f>
        <v>50</v>
      </c>
      <c r="O4">
        <f>IF(M4&gt;0,M4,K4)</f>
        <v>2</v>
      </c>
      <c r="P4">
        <f>IF(N4&gt;0,N4,L4)</f>
        <v>50</v>
      </c>
      <c r="Q4">
        <v>10</v>
      </c>
      <c r="R4">
        <f>IF(P4&gt;0,ROUND(1000*Q4/10*(O4/P4)/(Gewicht/10)/60,3),0)</f>
        <v>6.7000000000000004E-2</v>
      </c>
    </row>
    <row r="5" spans="1:18" ht="15.85" x14ac:dyDescent="0.5">
      <c r="A5" s="366" t="s">
        <v>384</v>
      </c>
      <c r="B5" s="366" t="s">
        <v>1102</v>
      </c>
      <c r="C5" s="366" t="s">
        <v>638</v>
      </c>
      <c r="D5" s="366" t="s">
        <v>226</v>
      </c>
      <c r="E5">
        <v>0.2</v>
      </c>
      <c r="F5">
        <v>1</v>
      </c>
      <c r="G5">
        <v>0.2</v>
      </c>
      <c r="H5">
        <v>1</v>
      </c>
      <c r="I5" s="367">
        <v>0.2</v>
      </c>
      <c r="J5" s="367">
        <v>1</v>
      </c>
      <c r="K5">
        <f>IF(Gewicht/10&lt;6,E5,IF(Gewicht/10&lt;11,G5,I5))</f>
        <v>0.2</v>
      </c>
      <c r="L5">
        <f>IF(Gewicht/10&lt;6,F5,IF(Gewicht/10&lt;11,H5,J5))</f>
        <v>1</v>
      </c>
      <c r="O5">
        <f t="shared" ref="O5:O32" si="0">IF(M5&gt;0,M5,K5)</f>
        <v>0.2</v>
      </c>
      <c r="P5">
        <f t="shared" ref="P5:P32" si="1">IF(N5&gt;0,N5,L5)</f>
        <v>1</v>
      </c>
      <c r="Q5">
        <v>10</v>
      </c>
      <c r="R5">
        <f>IF(P5&gt;0,ROUND(24*(Q5/10)*(O5/P5)/(Gewicht/10),3),0)</f>
        <v>0.48</v>
      </c>
    </row>
    <row r="6" spans="1:18" x14ac:dyDescent="0.35">
      <c r="A6" s="366" t="s">
        <v>486</v>
      </c>
      <c r="B6" s="366" t="s">
        <v>1344</v>
      </c>
      <c r="C6" s="366" t="s">
        <v>872</v>
      </c>
      <c r="D6" t="s">
        <v>524</v>
      </c>
      <c r="E6">
        <v>0.5</v>
      </c>
      <c r="F6">
        <v>50</v>
      </c>
      <c r="K6">
        <f>IF(Gewicht/10&lt;6,E6,IF(Gewicht/10&lt;11,G6,I6))</f>
        <v>0</v>
      </c>
      <c r="L6">
        <f>IF(Gewicht/10&lt;6,F6,IF(Gewicht/10&lt;11,H6,J6))</f>
        <v>0</v>
      </c>
      <c r="O6">
        <f t="shared" si="0"/>
        <v>0</v>
      </c>
      <c r="P6">
        <f t="shared" si="1"/>
        <v>0</v>
      </c>
      <c r="Q6">
        <v>10</v>
      </c>
      <c r="R6">
        <f>IF(P6&gt;0,ROUND(1000*1000*Q6/10*(O6/P6)/(Gewicht/10)/60,3),0)</f>
        <v>0</v>
      </c>
    </row>
    <row r="7" spans="1:18" ht="15.85" x14ac:dyDescent="0.5">
      <c r="A7" t="s">
        <v>1375</v>
      </c>
      <c r="B7" s="366" t="s">
        <v>1343</v>
      </c>
      <c r="C7" s="366" t="s">
        <v>1454</v>
      </c>
      <c r="D7" s="366" t="s">
        <v>524</v>
      </c>
      <c r="E7">
        <v>50</v>
      </c>
      <c r="F7">
        <v>50</v>
      </c>
      <c r="G7">
        <v>150</v>
      </c>
      <c r="H7">
        <v>50</v>
      </c>
      <c r="I7" s="367">
        <v>300</v>
      </c>
      <c r="J7" s="367">
        <v>50</v>
      </c>
      <c r="K7">
        <f>IF(Gewicht/10&lt;6,E7,IF(Gewicht/10&lt;11,G7,I7))</f>
        <v>150</v>
      </c>
      <c r="L7">
        <f>IF(Gewicht/10&lt;6,F7,IF(Gewicht/10&lt;11,H7,J7))</f>
        <v>50</v>
      </c>
      <c r="O7">
        <f t="shared" si="0"/>
        <v>150</v>
      </c>
      <c r="P7">
        <f t="shared" si="1"/>
        <v>50</v>
      </c>
      <c r="Q7">
        <v>10</v>
      </c>
      <c r="R7">
        <f>IF(P7&gt;0,ROUND(1000*Q7/10*(O7/P7)/(Gewicht/10)/60,3),0)</f>
        <v>5</v>
      </c>
    </row>
    <row r="8" spans="1:18" ht="15.85" x14ac:dyDescent="0.5">
      <c r="A8" t="s">
        <v>173</v>
      </c>
      <c r="B8" s="366" t="s">
        <v>596</v>
      </c>
      <c r="C8" s="366" t="s">
        <v>593</v>
      </c>
      <c r="D8" s="366" t="s">
        <v>524</v>
      </c>
      <c r="E8">
        <v>0.15</v>
      </c>
      <c r="F8" s="366">
        <v>50</v>
      </c>
      <c r="G8">
        <v>0.3</v>
      </c>
      <c r="H8">
        <v>50</v>
      </c>
      <c r="I8" s="367">
        <v>0.6</v>
      </c>
      <c r="J8" s="367">
        <v>50</v>
      </c>
      <c r="K8">
        <f>IF(Gewicht/10&lt;6,E8,IF(Gewicht/10&lt;11,G8,I8))</f>
        <v>0.3</v>
      </c>
      <c r="L8">
        <f>IF(Gewicht/10&lt;6,F8,IF(Gewicht/10&lt;11,H8,J8))</f>
        <v>50</v>
      </c>
      <c r="O8">
        <f t="shared" si="0"/>
        <v>0.3</v>
      </c>
      <c r="P8">
        <f t="shared" si="1"/>
        <v>50</v>
      </c>
      <c r="Q8">
        <v>10</v>
      </c>
      <c r="R8">
        <f>IF(P8&gt;0,ROUND(1000*Q8/10*(O8/P8)/(Gewicht/10),3),0)</f>
        <v>0.6</v>
      </c>
    </row>
    <row r="9" spans="1:18" ht="15.85" x14ac:dyDescent="0.5">
      <c r="A9" s="366" t="s">
        <v>1028</v>
      </c>
      <c r="B9" s="366" t="s">
        <v>1343</v>
      </c>
      <c r="C9" s="366" t="s">
        <v>1254</v>
      </c>
      <c r="D9" s="366" t="s">
        <v>524</v>
      </c>
      <c r="E9">
        <v>80</v>
      </c>
      <c r="F9">
        <v>50</v>
      </c>
      <c r="G9">
        <v>200</v>
      </c>
      <c r="H9">
        <v>50</v>
      </c>
      <c r="I9" s="367">
        <v>400</v>
      </c>
      <c r="J9" s="367">
        <v>50</v>
      </c>
      <c r="K9">
        <f>IF(Gewicht/10&lt;6,E9,IF(Gewicht/10&lt;11,G9,I9))</f>
        <v>200</v>
      </c>
      <c r="L9">
        <f>IF(Gewicht/10&lt;6,F9,IF(Gewicht/10&lt;11,H9,J9))</f>
        <v>50</v>
      </c>
      <c r="O9">
        <f t="shared" si="0"/>
        <v>200</v>
      </c>
      <c r="P9">
        <f t="shared" si="1"/>
        <v>50</v>
      </c>
      <c r="Q9">
        <v>10</v>
      </c>
      <c r="R9">
        <f>IF(P9&gt;0,ROUND(1000*Q9/10*(O9/P9)/(Gewicht/10)/60,3),0)</f>
        <v>6.6669999999999998</v>
      </c>
    </row>
    <row r="10" spans="1:18" ht="15.85" x14ac:dyDescent="0.5">
      <c r="A10" t="s">
        <v>938</v>
      </c>
      <c r="B10" s="366" t="s">
        <v>1343</v>
      </c>
      <c r="C10" s="366" t="s">
        <v>1027</v>
      </c>
      <c r="D10" s="366" t="s">
        <v>524</v>
      </c>
      <c r="E10">
        <v>80</v>
      </c>
      <c r="F10">
        <v>50</v>
      </c>
      <c r="G10">
        <v>200</v>
      </c>
      <c r="H10">
        <v>50</v>
      </c>
      <c r="I10" s="367">
        <v>400</v>
      </c>
      <c r="J10" s="367">
        <v>50</v>
      </c>
      <c r="K10">
        <f>IF(Gewicht/10&lt;6,E10,IF(Gewicht/10&lt;11,G10,I10))</f>
        <v>200</v>
      </c>
      <c r="L10">
        <f>IF(Gewicht/10&lt;6,F10,IF(Gewicht/10&lt;11,H10,J10))</f>
        <v>50</v>
      </c>
      <c r="O10">
        <f t="shared" si="0"/>
        <v>200</v>
      </c>
      <c r="P10">
        <f t="shared" si="1"/>
        <v>50</v>
      </c>
      <c r="Q10">
        <v>10</v>
      </c>
      <c r="R10">
        <f>IF(P10&gt;0,ROUND(1000*Q10/10*(O10/P10)/(Gewicht/10)/60,3),0)</f>
        <v>6.6669999999999998</v>
      </c>
    </row>
    <row r="11" spans="1:18" x14ac:dyDescent="0.35">
      <c r="A11" s="366" t="s">
        <v>1440</v>
      </c>
      <c r="B11" s="366" t="s">
        <v>1396</v>
      </c>
      <c r="C11" s="366" t="s">
        <v>1422</v>
      </c>
      <c r="D11" s="366" t="s">
        <v>1441</v>
      </c>
      <c r="K11">
        <f>IF(Gewicht/10&lt;6,E11,IF(Gewicht/10&lt;11,G11,I11))</f>
        <v>0</v>
      </c>
      <c r="L11">
        <f>IF(Gewicht/10&lt;6,F11,IF(Gewicht/10&lt;11,H11,J11))</f>
        <v>0</v>
      </c>
      <c r="O11">
        <f t="shared" si="0"/>
        <v>0</v>
      </c>
      <c r="P11">
        <f t="shared" si="1"/>
        <v>0</v>
      </c>
      <c r="Q11">
        <v>10</v>
      </c>
    </row>
    <row r="12" spans="1:18" x14ac:dyDescent="0.35">
      <c r="A12" s="366" t="s">
        <v>304</v>
      </c>
      <c r="B12" s="366" t="s">
        <v>1344</v>
      </c>
      <c r="C12" s="366" t="s">
        <v>192</v>
      </c>
      <c r="D12" s="366" t="s">
        <v>524</v>
      </c>
      <c r="K12">
        <f>IF(Gewicht/10&lt;6,E12,IF(Gewicht/10&lt;11,G12,I12))</f>
        <v>0</v>
      </c>
      <c r="L12">
        <f>IF(Gewicht/10&lt;6,F12,IF(Gewicht/10&lt;11,H12,J12))</f>
        <v>0</v>
      </c>
      <c r="O12">
        <f t="shared" si="0"/>
        <v>0</v>
      </c>
      <c r="P12">
        <f t="shared" si="1"/>
        <v>0</v>
      </c>
      <c r="Q12">
        <v>10</v>
      </c>
    </row>
    <row r="13" spans="1:18" ht="15.85" x14ac:dyDescent="0.5">
      <c r="A13" t="s">
        <v>434</v>
      </c>
      <c r="B13" s="366" t="s">
        <v>1100</v>
      </c>
      <c r="C13" s="366" t="s">
        <v>636</v>
      </c>
      <c r="D13" s="366" t="s">
        <v>524</v>
      </c>
      <c r="E13">
        <v>100</v>
      </c>
      <c r="F13" s="366">
        <v>50</v>
      </c>
      <c r="G13">
        <v>250</v>
      </c>
      <c r="H13">
        <v>50</v>
      </c>
      <c r="I13" s="367">
        <v>250</v>
      </c>
      <c r="J13" s="367">
        <v>50</v>
      </c>
      <c r="K13">
        <f>IF(Gewicht/10&lt;6,E13,IF(Gewicht/10&lt;11,G13,I13))</f>
        <v>250</v>
      </c>
      <c r="L13">
        <f>IF(Gewicht/10&lt;6,F13,IF(Gewicht/10&lt;11,H13,J13))</f>
        <v>50</v>
      </c>
      <c r="O13">
        <f t="shared" si="0"/>
        <v>250</v>
      </c>
      <c r="P13">
        <f t="shared" si="1"/>
        <v>50</v>
      </c>
      <c r="Q13">
        <v>10</v>
      </c>
      <c r="R13">
        <f>IF(P13&gt;0,ROUND(Q13/10*(O13/P13)/(Gewicht/10),3),0)</f>
        <v>0.5</v>
      </c>
    </row>
    <row r="14" spans="1:18" ht="15.85" x14ac:dyDescent="0.5">
      <c r="A14" t="s">
        <v>1442</v>
      </c>
      <c r="B14" s="366" t="s">
        <v>1456</v>
      </c>
      <c r="C14" s="366" t="s">
        <v>1455</v>
      </c>
      <c r="D14" s="366" t="s">
        <v>524</v>
      </c>
      <c r="E14">
        <v>500</v>
      </c>
      <c r="F14">
        <v>50</v>
      </c>
      <c r="G14">
        <v>500</v>
      </c>
      <c r="H14">
        <v>50</v>
      </c>
      <c r="I14" s="367">
        <v>500</v>
      </c>
      <c r="J14" s="367">
        <v>50</v>
      </c>
      <c r="K14">
        <f>IF(Gewicht/10&lt;6,E14,IF(Gewicht/10&lt;11,G14,I14))</f>
        <v>500</v>
      </c>
      <c r="L14">
        <f>IF(Gewicht/10&lt;6,F14,IF(Gewicht/10&lt;11,H14,J14))</f>
        <v>50</v>
      </c>
      <c r="O14">
        <f t="shared" si="0"/>
        <v>500</v>
      </c>
      <c r="P14">
        <f t="shared" si="1"/>
        <v>50</v>
      </c>
      <c r="Q14">
        <v>10</v>
      </c>
      <c r="R14">
        <f>IF(P14&gt;0,ROUND(Q14/10*(O14/P14)/(Gewicht/10)/60,3),0)</f>
        <v>1.7000000000000001E-2</v>
      </c>
    </row>
    <row r="15" spans="1:18" ht="15.85" x14ac:dyDescent="0.5">
      <c r="A15" t="s">
        <v>1443</v>
      </c>
      <c r="B15" s="366" t="s">
        <v>1343</v>
      </c>
      <c r="D15" s="366" t="s">
        <v>524</v>
      </c>
      <c r="E15">
        <v>0.2</v>
      </c>
      <c r="F15">
        <v>20</v>
      </c>
      <c r="G15">
        <v>0.4</v>
      </c>
      <c r="H15">
        <v>50</v>
      </c>
      <c r="I15" s="367">
        <v>0.8</v>
      </c>
      <c r="J15" s="367">
        <v>50</v>
      </c>
      <c r="K15">
        <f>IF(Gewicht/10&lt;6,E15,IF(Gewicht/10&lt;11,G15,I15))</f>
        <v>0.4</v>
      </c>
      <c r="L15">
        <f>IF(Gewicht/10&lt;6,F15,IF(Gewicht/10&lt;11,H15,J15))</f>
        <v>50</v>
      </c>
      <c r="O15">
        <f t="shared" si="0"/>
        <v>0.4</v>
      </c>
      <c r="P15">
        <f t="shared" si="1"/>
        <v>50</v>
      </c>
      <c r="Q15">
        <v>10</v>
      </c>
      <c r="R15">
        <f>IF(P15&gt;0,ROUND(1000*Q15/10*(O15/P15)/(Gewicht/10)/60,3),0)</f>
        <v>1.2999999999999999E-2</v>
      </c>
    </row>
    <row r="16" spans="1:18" ht="15.85" x14ac:dyDescent="0.5">
      <c r="A16" t="s">
        <v>545</v>
      </c>
      <c r="B16" s="366" t="s">
        <v>1101</v>
      </c>
      <c r="C16" s="366" t="s">
        <v>478</v>
      </c>
      <c r="D16" s="366" t="s">
        <v>524</v>
      </c>
      <c r="E16">
        <v>10</v>
      </c>
      <c r="F16">
        <v>50</v>
      </c>
      <c r="G16">
        <v>20</v>
      </c>
      <c r="H16">
        <v>50</v>
      </c>
      <c r="I16" s="367">
        <v>40</v>
      </c>
      <c r="J16" s="367">
        <v>50</v>
      </c>
      <c r="K16">
        <f>IF(Gewicht/10&lt;6,E16,IF(Gewicht/10&lt;11,G16,I16))</f>
        <v>20</v>
      </c>
      <c r="L16">
        <f>IF(Gewicht/10&lt;6,F16,IF(Gewicht/10&lt;11,H16,J16))</f>
        <v>50</v>
      </c>
      <c r="O16">
        <f t="shared" si="0"/>
        <v>20</v>
      </c>
      <c r="P16">
        <f t="shared" si="1"/>
        <v>50</v>
      </c>
      <c r="Q16">
        <v>10</v>
      </c>
      <c r="R16">
        <f>IF(P16&gt;0,ROUND(24*Q16/10*(O16/P16)/(Gewicht/10),3),0)</f>
        <v>0.96</v>
      </c>
    </row>
    <row r="17" spans="1:18" ht="15.85" x14ac:dyDescent="0.5">
      <c r="A17" t="s">
        <v>590</v>
      </c>
      <c r="B17" s="366" t="s">
        <v>591</v>
      </c>
      <c r="C17" s="366" t="s">
        <v>592</v>
      </c>
      <c r="D17" s="366" t="s">
        <v>1444</v>
      </c>
      <c r="E17">
        <v>5000</v>
      </c>
      <c r="F17">
        <v>50</v>
      </c>
      <c r="G17">
        <v>10000</v>
      </c>
      <c r="H17">
        <v>50</v>
      </c>
      <c r="I17" s="367">
        <v>20000</v>
      </c>
      <c r="J17" s="367">
        <v>50</v>
      </c>
      <c r="K17">
        <f>IF(Gewicht/10&lt;6,E17,IF(Gewicht/10&lt;11,G17,I17))</f>
        <v>10000</v>
      </c>
      <c r="L17">
        <f>IF(Gewicht/10&lt;6,F17,IF(Gewicht/10&lt;11,H17,J17))</f>
        <v>50</v>
      </c>
      <c r="O17">
        <f t="shared" si="0"/>
        <v>10000</v>
      </c>
      <c r="P17">
        <f t="shared" si="1"/>
        <v>50</v>
      </c>
      <c r="Q17">
        <v>10</v>
      </c>
      <c r="R17">
        <f>IF(P17&gt;0,ROUND(Q17/10*(O17/P17)/(Gewicht/10),3),0)</f>
        <v>20</v>
      </c>
    </row>
    <row r="18" spans="1:18" ht="15.85" x14ac:dyDescent="0.5">
      <c r="A18" t="s">
        <v>1445</v>
      </c>
      <c r="B18" s="366" t="s">
        <v>223</v>
      </c>
      <c r="C18" s="366" t="s">
        <v>121</v>
      </c>
      <c r="D18" s="366" t="s">
        <v>1444</v>
      </c>
      <c r="E18">
        <v>10</v>
      </c>
      <c r="F18">
        <v>50</v>
      </c>
      <c r="G18">
        <v>10</v>
      </c>
      <c r="H18">
        <v>50</v>
      </c>
      <c r="I18" s="367">
        <v>50</v>
      </c>
      <c r="J18" s="367">
        <v>50</v>
      </c>
      <c r="K18">
        <f>IF(Gewicht/10&lt;6,E18,IF(Gewicht/10&lt;11,G18,I18))</f>
        <v>10</v>
      </c>
      <c r="L18">
        <f>IF(Gewicht/10&lt;6,F18,IF(Gewicht/10&lt;11,H18,J18))</f>
        <v>50</v>
      </c>
      <c r="O18">
        <f t="shared" si="0"/>
        <v>10</v>
      </c>
      <c r="P18">
        <f t="shared" si="1"/>
        <v>50</v>
      </c>
      <c r="Q18">
        <v>10</v>
      </c>
      <c r="R18">
        <f>IF(P18&gt;0,ROUND(Q18/10*(O18/P18)/(Gewicht/10),3),0)</f>
        <v>0.02</v>
      </c>
    </row>
    <row r="19" spans="1:18" ht="15.85" x14ac:dyDescent="0.5">
      <c r="A19" t="s">
        <v>1268</v>
      </c>
      <c r="B19" s="366" t="s">
        <v>1343</v>
      </c>
      <c r="C19" s="366" t="s">
        <v>871</v>
      </c>
      <c r="D19" s="366" t="s">
        <v>524</v>
      </c>
      <c r="E19">
        <v>2</v>
      </c>
      <c r="F19">
        <v>50</v>
      </c>
      <c r="G19">
        <v>2</v>
      </c>
      <c r="H19">
        <v>50</v>
      </c>
      <c r="I19" s="367">
        <v>2</v>
      </c>
      <c r="J19" s="367">
        <v>50</v>
      </c>
      <c r="K19">
        <f>IF(Gewicht/10&lt;6,E19,IF(Gewicht/10&lt;11,G19,I19))</f>
        <v>2</v>
      </c>
      <c r="L19">
        <f>IF(Gewicht/10&lt;6,F19,IF(Gewicht/10&lt;11,H19,J19))</f>
        <v>50</v>
      </c>
      <c r="O19">
        <f t="shared" si="0"/>
        <v>2</v>
      </c>
      <c r="P19">
        <f t="shared" si="1"/>
        <v>50</v>
      </c>
      <c r="Q19">
        <v>10</v>
      </c>
      <c r="R19">
        <f>IF(P19&gt;0,ROUND(1000*Q19/10*(O19/P19)/(Gewicht/10)/60,3),0)</f>
        <v>6.7000000000000004E-2</v>
      </c>
    </row>
    <row r="20" spans="1:18" ht="15.85" x14ac:dyDescent="0.5">
      <c r="A20" t="s">
        <v>1446</v>
      </c>
      <c r="D20" s="366" t="s">
        <v>524</v>
      </c>
      <c r="E20">
        <v>250</v>
      </c>
      <c r="F20">
        <v>50</v>
      </c>
      <c r="G20">
        <v>250</v>
      </c>
      <c r="H20">
        <v>50</v>
      </c>
      <c r="I20" s="367">
        <v>250</v>
      </c>
      <c r="J20" s="367">
        <v>50</v>
      </c>
      <c r="K20">
        <f>IF(Gewicht/10&lt;6,E20,IF(Gewicht/10&lt;11,G20,I20))</f>
        <v>250</v>
      </c>
      <c r="L20">
        <f>IF(Gewicht/10&lt;6,F20,IF(Gewicht/10&lt;11,H20,J20))</f>
        <v>50</v>
      </c>
      <c r="O20">
        <f t="shared" si="0"/>
        <v>250</v>
      </c>
      <c r="P20">
        <f t="shared" si="1"/>
        <v>50</v>
      </c>
      <c r="Q20">
        <v>10</v>
      </c>
    </row>
    <row r="21" spans="1:18" ht="15.85" x14ac:dyDescent="0.5">
      <c r="A21" t="s">
        <v>1447</v>
      </c>
      <c r="D21" s="366" t="s">
        <v>524</v>
      </c>
      <c r="E21">
        <v>160</v>
      </c>
      <c r="F21">
        <v>1</v>
      </c>
      <c r="G21">
        <v>160</v>
      </c>
      <c r="H21">
        <v>1</v>
      </c>
      <c r="I21" s="367">
        <v>160</v>
      </c>
      <c r="J21" s="367">
        <v>1</v>
      </c>
      <c r="K21">
        <f>IF(Gewicht/10&lt;6,E21,IF(Gewicht/10&lt;11,G21,I21))</f>
        <v>160</v>
      </c>
      <c r="L21">
        <f>IF(Gewicht/10&lt;6,F21,IF(Gewicht/10&lt;11,H21,J21))</f>
        <v>1</v>
      </c>
      <c r="O21">
        <f t="shared" si="0"/>
        <v>160</v>
      </c>
      <c r="P21">
        <f t="shared" si="1"/>
        <v>1</v>
      </c>
      <c r="Q21">
        <v>10</v>
      </c>
    </row>
    <row r="22" spans="1:18" ht="15.85" x14ac:dyDescent="0.5">
      <c r="A22" t="s">
        <v>1092</v>
      </c>
      <c r="B22" s="366" t="s">
        <v>1100</v>
      </c>
      <c r="C22" s="366" t="s">
        <v>382</v>
      </c>
      <c r="D22" s="366" t="s">
        <v>524</v>
      </c>
      <c r="E22">
        <v>50</v>
      </c>
      <c r="F22" s="366">
        <v>50</v>
      </c>
      <c r="G22">
        <v>50</v>
      </c>
      <c r="H22">
        <v>50</v>
      </c>
      <c r="I22" s="367">
        <v>50</v>
      </c>
      <c r="J22" s="367">
        <v>50</v>
      </c>
      <c r="K22">
        <f>IF(Gewicht/10&lt;6,E22,IF(Gewicht/10&lt;11,G22,I22))</f>
        <v>50</v>
      </c>
      <c r="L22">
        <f>IF(Gewicht/10&lt;6,F22,IF(Gewicht/10&lt;11,H22,J22))</f>
        <v>50</v>
      </c>
      <c r="O22">
        <f t="shared" si="0"/>
        <v>50</v>
      </c>
      <c r="P22">
        <f t="shared" si="1"/>
        <v>50</v>
      </c>
      <c r="Q22">
        <v>10</v>
      </c>
      <c r="R22">
        <f>IF(P22&gt;0,ROUND(Q22/10*(O22/P22)/(Gewicht/10),3),0)</f>
        <v>0.1</v>
      </c>
    </row>
    <row r="23" spans="1:18" ht="15.85" x14ac:dyDescent="0.5">
      <c r="A23" t="s">
        <v>1448</v>
      </c>
      <c r="B23" s="366" t="s">
        <v>1343</v>
      </c>
      <c r="C23" s="366" t="s">
        <v>1256</v>
      </c>
      <c r="D23" s="366" t="s">
        <v>524</v>
      </c>
      <c r="E23">
        <v>5</v>
      </c>
      <c r="F23">
        <v>50</v>
      </c>
      <c r="G23">
        <v>10</v>
      </c>
      <c r="H23">
        <v>50</v>
      </c>
      <c r="I23" s="367">
        <v>20</v>
      </c>
      <c r="J23" s="367">
        <v>50</v>
      </c>
      <c r="K23">
        <f>IF(Gewicht/10&lt;6,E23,IF(Gewicht/10&lt;11,G23,I23))</f>
        <v>10</v>
      </c>
      <c r="L23">
        <f>IF(Gewicht/10&lt;6,F23,IF(Gewicht/10&lt;11,H23,J23))</f>
        <v>50</v>
      </c>
      <c r="O23">
        <f t="shared" si="0"/>
        <v>10</v>
      </c>
      <c r="P23">
        <f t="shared" si="1"/>
        <v>50</v>
      </c>
      <c r="Q23">
        <v>10</v>
      </c>
      <c r="R23">
        <f>IF(P23&gt;0,ROUND(1000*Q23/10*(O23/P23)/(Gewicht/10)/60,3),0)</f>
        <v>0.33300000000000002</v>
      </c>
    </row>
    <row r="24" spans="1:18" ht="15.85" x14ac:dyDescent="0.5">
      <c r="A24" t="s">
        <v>383</v>
      </c>
      <c r="B24" s="366" t="s">
        <v>1101</v>
      </c>
      <c r="C24" s="366" t="s">
        <v>385</v>
      </c>
      <c r="D24" s="366" t="s">
        <v>524</v>
      </c>
      <c r="E24">
        <v>2</v>
      </c>
      <c r="F24" s="366">
        <v>50</v>
      </c>
      <c r="G24">
        <v>5</v>
      </c>
      <c r="H24">
        <v>50</v>
      </c>
      <c r="I24" s="367">
        <v>10</v>
      </c>
      <c r="J24" s="367">
        <v>50</v>
      </c>
      <c r="K24">
        <f>IF(Gewicht/10&lt;6,E24,IF(Gewicht/10&lt;11,G24,I24))</f>
        <v>5</v>
      </c>
      <c r="L24">
        <f>IF(Gewicht/10&lt;6,F24,IF(Gewicht/10&lt;11,H24,J24))</f>
        <v>50</v>
      </c>
      <c r="O24">
        <f t="shared" si="0"/>
        <v>5</v>
      </c>
      <c r="P24">
        <f t="shared" si="1"/>
        <v>50</v>
      </c>
      <c r="Q24">
        <v>10</v>
      </c>
    </row>
    <row r="25" spans="1:18" x14ac:dyDescent="0.35">
      <c r="A25" s="366" t="s">
        <v>1033</v>
      </c>
      <c r="B25" s="366" t="s">
        <v>1259</v>
      </c>
      <c r="C25" s="366" t="s">
        <v>639</v>
      </c>
      <c r="K25">
        <f>IF(Gewicht/10&lt;6,E25,IF(Gewicht/10&lt;11,G25,I25))</f>
        <v>0</v>
      </c>
      <c r="L25">
        <f>IF(Gewicht/10&lt;6,F25,IF(Gewicht/10&lt;11,H25,J25))</f>
        <v>0</v>
      </c>
      <c r="O25">
        <f t="shared" si="0"/>
        <v>0</v>
      </c>
      <c r="P25">
        <f t="shared" si="1"/>
        <v>0</v>
      </c>
      <c r="Q25">
        <v>10</v>
      </c>
    </row>
    <row r="26" spans="1:18" ht="15.85" x14ac:dyDescent="0.5">
      <c r="A26" t="s">
        <v>191</v>
      </c>
      <c r="B26" s="366" t="s">
        <v>1343</v>
      </c>
      <c r="C26" s="366" t="s">
        <v>193</v>
      </c>
      <c r="D26" s="366" t="s">
        <v>524</v>
      </c>
      <c r="E26">
        <v>10</v>
      </c>
      <c r="F26">
        <v>50</v>
      </c>
      <c r="G26">
        <v>20</v>
      </c>
      <c r="H26">
        <v>50</v>
      </c>
      <c r="I26" s="367">
        <v>40</v>
      </c>
      <c r="J26" s="367">
        <v>50</v>
      </c>
      <c r="K26">
        <f>IF(Gewicht/10&lt;6,E26,IF(Gewicht/10&lt;11,G26,I26))</f>
        <v>20</v>
      </c>
      <c r="L26">
        <f>IF(Gewicht/10&lt;6,F26,IF(Gewicht/10&lt;11,H26,J26))</f>
        <v>50</v>
      </c>
      <c r="O26">
        <f t="shared" si="0"/>
        <v>20</v>
      </c>
      <c r="P26">
        <f t="shared" si="1"/>
        <v>50</v>
      </c>
      <c r="Q26">
        <v>10</v>
      </c>
      <c r="R26">
        <f>IF(P26&gt;0,ROUND(1000*Q26/10*(O26/P26)/(Gewicht/10)/60,3),0)</f>
        <v>0.66700000000000004</v>
      </c>
    </row>
    <row r="27" spans="1:18" ht="15.85" x14ac:dyDescent="0.5">
      <c r="A27" t="s">
        <v>1257</v>
      </c>
      <c r="B27" s="366" t="s">
        <v>1343</v>
      </c>
      <c r="C27" s="366" t="s">
        <v>1258</v>
      </c>
      <c r="D27" s="366" t="s">
        <v>524</v>
      </c>
      <c r="E27">
        <v>1</v>
      </c>
      <c r="F27">
        <v>50</v>
      </c>
      <c r="G27">
        <v>2</v>
      </c>
      <c r="H27">
        <v>50</v>
      </c>
      <c r="I27" s="367">
        <v>5</v>
      </c>
      <c r="J27" s="367">
        <v>50</v>
      </c>
      <c r="K27">
        <f>IF(Gewicht/10&lt;6,E27,IF(Gewicht/10&lt;11,G27,I27))</f>
        <v>2</v>
      </c>
      <c r="L27">
        <f>IF(Gewicht/10&lt;6,F27,IF(Gewicht/10&lt;11,H27,J27))</f>
        <v>50</v>
      </c>
      <c r="O27">
        <f t="shared" si="0"/>
        <v>2</v>
      </c>
      <c r="P27">
        <f t="shared" si="1"/>
        <v>50</v>
      </c>
      <c r="Q27">
        <v>10</v>
      </c>
      <c r="R27">
        <f>IF(P27&gt;0,ROUND(1000*Q27/10*(O27/P27)/(Gewicht/10)/60,3),0)</f>
        <v>6.7000000000000004E-2</v>
      </c>
    </row>
    <row r="28" spans="1:18" ht="15.85" x14ac:dyDescent="0.5">
      <c r="A28" s="366" t="s">
        <v>992</v>
      </c>
      <c r="B28" s="366" t="s">
        <v>1100</v>
      </c>
      <c r="C28" s="366" t="s">
        <v>1394</v>
      </c>
      <c r="D28" s="366" t="s">
        <v>524</v>
      </c>
      <c r="E28">
        <v>10</v>
      </c>
      <c r="F28">
        <v>1</v>
      </c>
      <c r="G28">
        <v>10</v>
      </c>
      <c r="H28">
        <v>1</v>
      </c>
      <c r="I28" s="367">
        <v>10</v>
      </c>
      <c r="J28" s="367">
        <v>1</v>
      </c>
      <c r="K28">
        <f>IF(Gewicht/10&lt;6,E28,IF(Gewicht/10&lt;11,G28,I28))</f>
        <v>10</v>
      </c>
      <c r="L28">
        <f>IF(Gewicht/10&lt;6,F28,IF(Gewicht/10&lt;11,H28,J28))</f>
        <v>1</v>
      </c>
      <c r="O28">
        <f t="shared" si="0"/>
        <v>10</v>
      </c>
      <c r="P28">
        <f t="shared" si="1"/>
        <v>1</v>
      </c>
      <c r="Q28">
        <v>10</v>
      </c>
      <c r="R28">
        <f>IF(P28&gt;0,ROUND(Q28/10*(O28/P28)/(Gewicht/10),3),0)</f>
        <v>1</v>
      </c>
    </row>
    <row r="29" spans="1:18" ht="15.85" x14ac:dyDescent="0.5">
      <c r="A29" s="366" t="s">
        <v>993</v>
      </c>
      <c r="B29" s="366" t="s">
        <v>1100</v>
      </c>
      <c r="C29" s="366" t="s">
        <v>1394</v>
      </c>
      <c r="D29" s="366" t="s">
        <v>524</v>
      </c>
      <c r="E29">
        <v>20</v>
      </c>
      <c r="F29">
        <v>1</v>
      </c>
      <c r="G29">
        <v>20</v>
      </c>
      <c r="H29">
        <v>1</v>
      </c>
      <c r="I29" s="367">
        <v>20</v>
      </c>
      <c r="J29" s="367">
        <v>1</v>
      </c>
      <c r="K29">
        <f>IF(Gewicht/10&lt;6,E29,IF(Gewicht/10&lt;11,G29,I29))</f>
        <v>20</v>
      </c>
      <c r="L29">
        <f>IF(Gewicht/10&lt;6,F29,IF(Gewicht/10&lt;11,H29,J29))</f>
        <v>1</v>
      </c>
      <c r="O29">
        <f t="shared" si="0"/>
        <v>20</v>
      </c>
      <c r="P29">
        <f t="shared" si="1"/>
        <v>1</v>
      </c>
      <c r="Q29">
        <v>10</v>
      </c>
      <c r="R29">
        <f>IF(P29&gt;0,ROUND(Q29/10*(O29/P29)/(Gewicht/10),3),0)</f>
        <v>2</v>
      </c>
    </row>
    <row r="30" spans="1:18" ht="15.85" x14ac:dyDescent="0.5">
      <c r="A30" t="s">
        <v>870</v>
      </c>
      <c r="B30" s="366" t="s">
        <v>1100</v>
      </c>
      <c r="C30" s="366" t="s">
        <v>1004</v>
      </c>
      <c r="D30" s="366" t="s">
        <v>524</v>
      </c>
      <c r="E30">
        <v>50</v>
      </c>
      <c r="F30">
        <v>50</v>
      </c>
      <c r="G30">
        <v>100</v>
      </c>
      <c r="H30">
        <v>50</v>
      </c>
      <c r="I30" s="367">
        <v>200</v>
      </c>
      <c r="J30" s="367">
        <v>50</v>
      </c>
      <c r="K30">
        <f>IF(Gewicht/10&lt;6,E30,IF(Gewicht/10&lt;11,G30,I30))</f>
        <v>100</v>
      </c>
      <c r="L30">
        <f>IF(Gewicht/10&lt;6,F30,IF(Gewicht/10&lt;11,H30,J30))</f>
        <v>50</v>
      </c>
      <c r="O30">
        <f t="shared" si="0"/>
        <v>100</v>
      </c>
      <c r="P30">
        <f t="shared" si="1"/>
        <v>50</v>
      </c>
      <c r="Q30">
        <v>10</v>
      </c>
      <c r="R30">
        <f>IF(P30&gt;0,ROUND(Q30/10*(O30/P30)/(Gewicht/10),3),0)</f>
        <v>0.2</v>
      </c>
    </row>
    <row r="31" spans="1:18" ht="15.85" x14ac:dyDescent="0.5">
      <c r="A31" t="s">
        <v>100</v>
      </c>
      <c r="B31" s="366" t="s">
        <v>1343</v>
      </c>
      <c r="C31" s="366" t="s">
        <v>969</v>
      </c>
      <c r="D31" s="366" t="s">
        <v>524</v>
      </c>
      <c r="E31">
        <v>5</v>
      </c>
      <c r="F31">
        <v>50</v>
      </c>
      <c r="G31">
        <v>10</v>
      </c>
      <c r="H31">
        <v>50</v>
      </c>
      <c r="I31" s="367">
        <v>20</v>
      </c>
      <c r="J31" s="367">
        <v>50</v>
      </c>
      <c r="K31">
        <f>IF(Gewicht/10&lt;6,E31,IF(Gewicht/10&lt;11,G31,I31))</f>
        <v>10</v>
      </c>
      <c r="L31">
        <f>IF(Gewicht/10&lt;6,F31,IF(Gewicht/10&lt;11,H31,J31))</f>
        <v>50</v>
      </c>
      <c r="O31">
        <f t="shared" si="0"/>
        <v>10</v>
      </c>
      <c r="P31">
        <f t="shared" si="1"/>
        <v>50</v>
      </c>
      <c r="Q31">
        <v>10</v>
      </c>
      <c r="R31">
        <f>IF(P31&gt;0,ROUND(1000*Q31/10*(O31/P31)/(Gewicht/10)/60,3),0)</f>
        <v>0.33300000000000002</v>
      </c>
    </row>
    <row r="32" spans="1:18" ht="15.85" x14ac:dyDescent="0.5">
      <c r="A32" t="s">
        <v>1082</v>
      </c>
      <c r="B32" s="366" t="s">
        <v>1100</v>
      </c>
      <c r="C32" s="366" t="s">
        <v>1391</v>
      </c>
      <c r="D32" s="366" t="s">
        <v>524</v>
      </c>
      <c r="E32">
        <v>1000</v>
      </c>
      <c r="F32">
        <v>50</v>
      </c>
      <c r="G32">
        <v>2000</v>
      </c>
      <c r="H32">
        <v>50</v>
      </c>
      <c r="I32" s="367">
        <v>4000</v>
      </c>
      <c r="J32" s="367">
        <v>50</v>
      </c>
      <c r="K32">
        <f>IF(Gewicht/10&lt;6,E32,IF(Gewicht/10&lt;11,G32,I32))</f>
        <v>2000</v>
      </c>
      <c r="L32">
        <f>IF(Gewicht/10&lt;6,F32,IF(Gewicht/10&lt;11,H32,J32))</f>
        <v>50</v>
      </c>
      <c r="O32">
        <f t="shared" si="0"/>
        <v>2000</v>
      </c>
      <c r="P32">
        <f t="shared" si="1"/>
        <v>50</v>
      </c>
      <c r="Q32">
        <v>10</v>
      </c>
      <c r="R32">
        <f>IF(P32&gt;0,ROUND(Q32/10*(O32/P32)/(Gewicht/10),3),0)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G3" sqref="G3"/>
    </sheetView>
  </sheetViews>
  <sheetFormatPr defaultColWidth="9.1328125" defaultRowHeight="12.85" x14ac:dyDescent="0.35"/>
  <cols>
    <col min="1" max="1" width="9.1328125" style="25"/>
    <col min="2" max="2" width="13.3984375" style="25" customWidth="1"/>
    <col min="3" max="7" width="9.1328125" style="25"/>
    <col min="8" max="8" width="18.86328125" style="25" customWidth="1"/>
    <col min="9" max="9" width="24.265625" style="25" customWidth="1"/>
    <col min="10" max="10" width="7.73046875" style="25" customWidth="1"/>
    <col min="11" max="11" width="8.59765625" style="25" customWidth="1"/>
    <col min="12" max="12" width="9.86328125" style="25" customWidth="1"/>
    <col min="13" max="16384" width="9.1328125" style="25"/>
  </cols>
  <sheetData>
    <row r="1" spans="1:16" ht="26.05" thickBot="1" x14ac:dyDescent="0.4">
      <c r="B1" s="26" t="s">
        <v>934</v>
      </c>
      <c r="C1" s="27"/>
      <c r="D1" s="26" t="s">
        <v>935</v>
      </c>
      <c r="E1" s="26" t="s">
        <v>936</v>
      </c>
      <c r="F1" s="26" t="s">
        <v>937</v>
      </c>
      <c r="G1" s="26" t="s">
        <v>585</v>
      </c>
      <c r="H1" s="28" t="s">
        <v>586</v>
      </c>
      <c r="I1" s="28" t="s">
        <v>300</v>
      </c>
      <c r="J1" s="29" t="s">
        <v>586</v>
      </c>
      <c r="K1" s="28" t="s">
        <v>594</v>
      </c>
      <c r="L1" s="28" t="s">
        <v>637</v>
      </c>
      <c r="M1" s="28"/>
      <c r="P1" s="25" t="s">
        <v>595</v>
      </c>
    </row>
    <row r="2" spans="1:16" x14ac:dyDescent="0.35">
      <c r="B2" s="29"/>
      <c r="C2" s="30"/>
      <c r="D2" s="29"/>
      <c r="E2" s="29"/>
      <c r="F2" s="29"/>
      <c r="G2" s="28"/>
      <c r="H2" s="28"/>
      <c r="I2" s="28"/>
      <c r="J2" s="28"/>
      <c r="K2" s="28"/>
      <c r="L2" s="28"/>
    </row>
    <row r="3" spans="1:16" x14ac:dyDescent="0.35">
      <c r="A3" s="25">
        <v>1</v>
      </c>
      <c r="B3" s="29" t="s">
        <v>433</v>
      </c>
      <c r="C3" s="25">
        <f>ROUND((F3/100)*(Gewicht/10)*D3/(E3/10)/K3,0)*K3</f>
        <v>30</v>
      </c>
      <c r="D3" s="25">
        <v>50</v>
      </c>
      <c r="E3" s="25">
        <v>10</v>
      </c>
      <c r="F3" s="25">
        <v>5</v>
      </c>
      <c r="G3" s="25">
        <f>ROUND(C3/D3/(Gewicht/10),3)</f>
        <v>0.06</v>
      </c>
      <c r="H3" s="28" t="s">
        <v>223</v>
      </c>
      <c r="I3" s="28" t="s">
        <v>121</v>
      </c>
      <c r="J3" s="28" t="s">
        <v>225</v>
      </c>
      <c r="K3" s="28">
        <v>10</v>
      </c>
      <c r="L3" s="28"/>
    </row>
    <row r="4" spans="1:16" x14ac:dyDescent="0.35">
      <c r="A4" s="25">
        <v>2</v>
      </c>
      <c r="B4" s="25" t="s">
        <v>635</v>
      </c>
      <c r="C4" s="25">
        <f>IF(AND(L4&lt;&gt;"",ROUND((F4/100/1000)*(Gewicht/10)*60*D4/(E4/10)/K4,1)*K4/MedIVMlSpuit_2&gt;L4),MedIVMlSpuit_2*L4,ROUND((F4/100/1000)*(Gewicht/10)*60*D4/(E4/10)/K4,1)*K4)</f>
        <v>3</v>
      </c>
      <c r="D4" s="25">
        <v>50</v>
      </c>
      <c r="E4" s="25">
        <v>10</v>
      </c>
      <c r="F4" s="25">
        <v>10</v>
      </c>
      <c r="G4" s="25">
        <f>ROUND(1000*C4/D4/(Gewicht/10)/60,3)</f>
        <v>0.1</v>
      </c>
      <c r="H4" s="25" t="s">
        <v>1343</v>
      </c>
      <c r="I4" s="25" t="s">
        <v>1255</v>
      </c>
      <c r="J4" s="25" t="s">
        <v>524</v>
      </c>
      <c r="K4" s="25">
        <v>1</v>
      </c>
      <c r="L4" s="25">
        <v>1</v>
      </c>
      <c r="P4" s="25" t="s">
        <v>879</v>
      </c>
    </row>
    <row r="5" spans="1:16" x14ac:dyDescent="0.35">
      <c r="A5" s="25">
        <v>3</v>
      </c>
      <c r="B5" s="25" t="s">
        <v>384</v>
      </c>
      <c r="C5" s="25">
        <v>0.2</v>
      </c>
      <c r="D5" s="25">
        <v>1</v>
      </c>
      <c r="E5" s="25">
        <v>10</v>
      </c>
      <c r="F5" s="25">
        <v>5</v>
      </c>
      <c r="G5" s="25">
        <f>ROUND(24*C5/1/(Gewicht/10),2)</f>
        <v>0.48</v>
      </c>
      <c r="H5" s="25" t="s">
        <v>1102</v>
      </c>
      <c r="I5" s="25" t="s">
        <v>638</v>
      </c>
      <c r="J5" s="25" t="s">
        <v>226</v>
      </c>
      <c r="K5" s="25">
        <v>10</v>
      </c>
      <c r="P5" s="25" t="s">
        <v>880</v>
      </c>
    </row>
    <row r="6" spans="1:16" x14ac:dyDescent="0.35">
      <c r="A6" s="25">
        <v>4</v>
      </c>
      <c r="B6" s="25" t="s">
        <v>486</v>
      </c>
      <c r="C6" s="25">
        <f>IF((ROUND(ROUND((F6/1000/1000)*(Gewicht/10)*60*D6/(E6/10),2)/K6,2)*K6)/MedIVMlSpuit_4&gt;L6,MedIVMlSpuit_4*L6,ROUND(ROUND((F6/1000/1000)*(Gewicht/10)*60*D6/(E6/10),2)/K6,2)*K6)</f>
        <v>1</v>
      </c>
      <c r="D6" s="25">
        <v>50</v>
      </c>
      <c r="E6" s="25">
        <v>10</v>
      </c>
      <c r="F6" s="25">
        <v>25</v>
      </c>
      <c r="G6" s="25">
        <f>ROUND(1000*1000*C6/D6/(Gewicht/10)/60,1)</f>
        <v>33.299999999999997</v>
      </c>
      <c r="H6" s="25" t="s">
        <v>1344</v>
      </c>
      <c r="I6" s="25" t="s">
        <v>872</v>
      </c>
      <c r="J6" s="25" t="s">
        <v>524</v>
      </c>
      <c r="K6" s="25">
        <v>50</v>
      </c>
      <c r="L6" s="25">
        <v>0.02</v>
      </c>
      <c r="P6" s="25" t="s">
        <v>881</v>
      </c>
    </row>
    <row r="7" spans="1:16" x14ac:dyDescent="0.35">
      <c r="A7" s="25">
        <v>5</v>
      </c>
      <c r="B7" s="25" t="s">
        <v>173</v>
      </c>
      <c r="C7" s="25">
        <f>ROUND((F7/100)*(Gewicht/10)*D7/(E7/10)/K7,0)*K7/1000</f>
        <v>0.45</v>
      </c>
      <c r="D7" s="25">
        <v>50</v>
      </c>
      <c r="E7" s="25">
        <v>10</v>
      </c>
      <c r="F7" s="25">
        <v>100</v>
      </c>
      <c r="G7" s="25">
        <f>ROUND(C7*1000/D7/(Gewicht/10),3)</f>
        <v>0.9</v>
      </c>
      <c r="H7" s="25" t="s">
        <v>596</v>
      </c>
      <c r="I7" s="25" t="s">
        <v>593</v>
      </c>
      <c r="J7" s="25" t="s">
        <v>524</v>
      </c>
      <c r="K7" s="25">
        <v>150</v>
      </c>
      <c r="L7" s="25">
        <v>0.15</v>
      </c>
    </row>
    <row r="8" spans="1:16" x14ac:dyDescent="0.35">
      <c r="A8" s="25">
        <v>6</v>
      </c>
      <c r="B8" s="25" t="s">
        <v>1028</v>
      </c>
      <c r="C8" s="25">
        <f>IF(ROUND((F8/1/1000)*(Gewicht/10)*60*D8/(E8/10)/K8,1)*K8/MedIVMlSpuit_6&gt;L8,MedIVMlSpuit_6*L8,ROUND((F8/1/1000)*(Gewicht/10)*60*D8/(E8/10)/K8,1)*K8)</f>
        <v>250</v>
      </c>
      <c r="D8" s="25">
        <v>50</v>
      </c>
      <c r="E8" s="25">
        <v>10</v>
      </c>
      <c r="F8" s="25">
        <v>10</v>
      </c>
      <c r="G8" s="25">
        <f>ROUND(1000*C8/D8/(Gewicht/10)/60,1)</f>
        <v>8.3000000000000007</v>
      </c>
      <c r="H8" s="25" t="s">
        <v>1343</v>
      </c>
      <c r="I8" s="25" t="s">
        <v>1254</v>
      </c>
      <c r="J8" s="25" t="s">
        <v>524</v>
      </c>
      <c r="K8" s="25">
        <v>2500</v>
      </c>
      <c r="L8" s="25">
        <v>5</v>
      </c>
    </row>
    <row r="9" spans="1:16" x14ac:dyDescent="0.35">
      <c r="A9" s="25">
        <v>7</v>
      </c>
      <c r="B9" s="25" t="s">
        <v>938</v>
      </c>
      <c r="C9" s="25">
        <f>IF(ROUND((F9/1/1000)*(Gewicht/10)*60*D9/(E9/10)/K9,0)*K9/MedIVMlSpuit_7&gt;L9,MedIVMlSpuit_7*L9,ROUND((F9/1/1000)*(Gewicht/10)*60*D9/(E9/10)/K9,0)*K9)</f>
        <v>200</v>
      </c>
      <c r="D9" s="25">
        <v>50</v>
      </c>
      <c r="E9" s="25">
        <v>10</v>
      </c>
      <c r="F9" s="25">
        <v>5</v>
      </c>
      <c r="G9" s="25">
        <f>ROUND(1000*C9/D9/(Gewicht/10)/60,1)</f>
        <v>6.7</v>
      </c>
      <c r="H9" s="25" t="s">
        <v>1343</v>
      </c>
      <c r="I9" s="25" t="s">
        <v>1027</v>
      </c>
      <c r="J9" s="25" t="s">
        <v>524</v>
      </c>
      <c r="K9" s="25">
        <v>200</v>
      </c>
      <c r="L9" s="25">
        <v>40</v>
      </c>
    </row>
    <row r="10" spans="1:16" x14ac:dyDescent="0.35">
      <c r="A10" s="25">
        <v>8</v>
      </c>
      <c r="B10" s="25" t="s">
        <v>304</v>
      </c>
      <c r="C10" s="25">
        <f>ROUND(ROUND((F10/1000/1000)*(Gewicht/10)*60*D10/(E10/10),2)/K10,2)*K10</f>
        <v>0.5</v>
      </c>
      <c r="D10" s="25">
        <v>50</v>
      </c>
      <c r="E10" s="25">
        <v>10</v>
      </c>
      <c r="F10" s="25">
        <v>10</v>
      </c>
      <c r="G10" s="25">
        <f>ROUND(1000*1000*C10/D10/(Gewicht/10)/60,0)</f>
        <v>17</v>
      </c>
      <c r="H10" s="25" t="s">
        <v>1344</v>
      </c>
      <c r="I10" s="25" t="s">
        <v>192</v>
      </c>
      <c r="J10" s="25" t="s">
        <v>524</v>
      </c>
      <c r="K10" s="25">
        <v>50</v>
      </c>
      <c r="L10" s="25">
        <v>0.01</v>
      </c>
    </row>
    <row r="11" spans="1:16" x14ac:dyDescent="0.35">
      <c r="A11" s="25">
        <v>9</v>
      </c>
      <c r="B11" s="25" t="s">
        <v>434</v>
      </c>
      <c r="C11" s="25">
        <f>ROUND((F11/10)*(Gewicht/10)*D11/(E11/10)/K11,0)*K11</f>
        <v>300</v>
      </c>
      <c r="D11" s="25">
        <v>50</v>
      </c>
      <c r="E11" s="25">
        <v>10</v>
      </c>
      <c r="F11" s="25">
        <v>5</v>
      </c>
      <c r="G11" s="25">
        <f>ROUND(C11/D11/(Gewicht/10),2)</f>
        <v>0.6</v>
      </c>
      <c r="H11" s="25" t="s">
        <v>1100</v>
      </c>
      <c r="I11" s="25" t="s">
        <v>636</v>
      </c>
      <c r="J11" s="25" t="s">
        <v>524</v>
      </c>
      <c r="K11" s="25">
        <v>100</v>
      </c>
      <c r="L11" s="25">
        <v>25</v>
      </c>
    </row>
    <row r="12" spans="1:16" x14ac:dyDescent="0.35">
      <c r="A12" s="25">
        <v>10</v>
      </c>
      <c r="B12" s="25" t="s">
        <v>545</v>
      </c>
      <c r="C12" s="25">
        <f>ROUND((F12/10)*(Gewicht/10)*D12/(E12/10)/24/K12,0)*K12</f>
        <v>40</v>
      </c>
      <c r="D12" s="25">
        <v>50</v>
      </c>
      <c r="E12" s="25">
        <v>10</v>
      </c>
      <c r="F12" s="25">
        <v>20</v>
      </c>
      <c r="G12" s="25">
        <f>ROUND(24*C12/D12/(Gewicht/10),1)</f>
        <v>1.9</v>
      </c>
      <c r="H12" s="25" t="s">
        <v>1101</v>
      </c>
      <c r="I12" s="25" t="s">
        <v>478</v>
      </c>
      <c r="J12" s="25" t="s">
        <v>524</v>
      </c>
      <c r="K12" s="25">
        <v>20</v>
      </c>
      <c r="L12" s="25">
        <v>10</v>
      </c>
    </row>
    <row r="13" spans="1:16" x14ac:dyDescent="0.35">
      <c r="A13" s="25">
        <v>11</v>
      </c>
      <c r="B13" s="25" t="s">
        <v>590</v>
      </c>
      <c r="C13" s="25">
        <f>ROUND((F13/1)*(Gewicht/10)*D13/(E13/10)/K13,0)*K13</f>
        <v>10000</v>
      </c>
      <c r="D13" s="25">
        <v>50</v>
      </c>
      <c r="E13" s="25">
        <v>10</v>
      </c>
      <c r="F13" s="25">
        <v>15</v>
      </c>
      <c r="G13" s="25">
        <f>ROUND(C13/D13/(Gewicht/10),1)</f>
        <v>20</v>
      </c>
      <c r="H13" s="25" t="s">
        <v>591</v>
      </c>
      <c r="I13" s="25" t="s">
        <v>592</v>
      </c>
      <c r="J13" s="25" t="s">
        <v>589</v>
      </c>
      <c r="K13" s="25">
        <v>5000</v>
      </c>
      <c r="L13" s="25">
        <v>5000</v>
      </c>
    </row>
    <row r="14" spans="1:16" x14ac:dyDescent="0.35">
      <c r="A14" s="25">
        <v>12</v>
      </c>
      <c r="B14" s="25" t="s">
        <v>1268</v>
      </c>
      <c r="C14" s="25">
        <f>ROUND((F14/100/1000)*(Gewicht/10)*60*D14/(E14/10)/K14,1)*K14</f>
        <v>3</v>
      </c>
      <c r="D14" s="25">
        <v>50</v>
      </c>
      <c r="E14" s="25">
        <v>10</v>
      </c>
      <c r="F14" s="25">
        <v>10</v>
      </c>
      <c r="G14" s="25">
        <f>ROUND(1000*C14/D14/(Gewicht/10)/60,3)</f>
        <v>0.1</v>
      </c>
      <c r="H14" s="25" t="s">
        <v>1343</v>
      </c>
      <c r="I14" s="25" t="s">
        <v>871</v>
      </c>
      <c r="J14" s="25" t="s">
        <v>524</v>
      </c>
      <c r="K14" s="25">
        <v>2</v>
      </c>
      <c r="L14" s="25">
        <v>2</v>
      </c>
    </row>
    <row r="15" spans="1:16" x14ac:dyDescent="0.35">
      <c r="A15" s="25">
        <v>13</v>
      </c>
      <c r="B15" s="25" t="s">
        <v>41</v>
      </c>
      <c r="C15" s="25">
        <f>ROUND((F15/100/100)*(Gewicht/10)*60*D15/(E15/10)/K15,0)*K15</f>
        <v>30</v>
      </c>
      <c r="D15" s="25">
        <v>50</v>
      </c>
      <c r="E15" s="25">
        <v>10</v>
      </c>
      <c r="F15" s="25">
        <v>10</v>
      </c>
      <c r="G15" s="25">
        <f>ROUND(1000*C15/D15/(Gewicht/10)/60,2)</f>
        <v>1</v>
      </c>
      <c r="H15" s="25" t="s">
        <v>1343</v>
      </c>
      <c r="I15" s="25" t="s">
        <v>968</v>
      </c>
      <c r="J15" s="25" t="s">
        <v>524</v>
      </c>
      <c r="K15" s="25">
        <v>10</v>
      </c>
      <c r="L15" s="25">
        <v>5</v>
      </c>
    </row>
    <row r="16" spans="1:16" x14ac:dyDescent="0.35">
      <c r="A16" s="25">
        <v>14</v>
      </c>
      <c r="B16" s="25" t="s">
        <v>1092</v>
      </c>
      <c r="C16" s="25">
        <f>IF(IF(MedIVMlSpuit_14=1,5,ROUND((F16/100)*(Gewicht/10)*D16/(E16/10)/K16,0)*K16)/MedIVMlSpuit_14&gt;L16,MedIVMlSpuit_14*L16,IF(MedIVMlSpuit_14=1,5,ROUND((F16/100)*(Gewicht/10)*D16/(E16/10)/K16,0)*K16))</f>
        <v>50</v>
      </c>
      <c r="D16" s="25">
        <v>50</v>
      </c>
      <c r="E16" s="25">
        <v>10</v>
      </c>
      <c r="F16" s="25">
        <v>10</v>
      </c>
      <c r="G16" s="25">
        <f>ROUND(C16/D16/(Gewicht/10),3)</f>
        <v>0.1</v>
      </c>
      <c r="H16" s="25" t="s">
        <v>1100</v>
      </c>
      <c r="I16" s="25" t="s">
        <v>382</v>
      </c>
      <c r="J16" s="25" t="s">
        <v>524</v>
      </c>
      <c r="K16" s="25">
        <v>5</v>
      </c>
      <c r="L16" s="25">
        <v>5</v>
      </c>
    </row>
    <row r="17" spans="1:14" x14ac:dyDescent="0.35">
      <c r="A17" s="25">
        <v>15</v>
      </c>
      <c r="B17" s="25" t="s">
        <v>980</v>
      </c>
      <c r="C17" s="25">
        <f>ROUND((F17/100/1000)*(Gewicht/10)*60*D17/(E17/10)/K17,0)*K17</f>
        <v>10</v>
      </c>
      <c r="D17" s="25">
        <v>50</v>
      </c>
      <c r="E17" s="25">
        <v>10</v>
      </c>
      <c r="F17" s="25">
        <v>30</v>
      </c>
      <c r="G17" s="25">
        <f>ROUND(1000*C17/D17/(Gewicht/10)/60,3)</f>
        <v>0.33300000000000002</v>
      </c>
      <c r="H17" s="25" t="s">
        <v>1343</v>
      </c>
      <c r="I17" s="25" t="s">
        <v>1256</v>
      </c>
      <c r="J17" s="25" t="s">
        <v>524</v>
      </c>
      <c r="K17" s="25">
        <v>10</v>
      </c>
      <c r="L17" s="25">
        <v>0.2</v>
      </c>
    </row>
    <row r="18" spans="1:14" x14ac:dyDescent="0.35">
      <c r="A18" s="25">
        <v>16</v>
      </c>
      <c r="B18" s="25" t="s">
        <v>383</v>
      </c>
      <c r="C18" s="25">
        <f>ROUND((F18/100)*(Gewicht/10)*D18/(E18)/24/K18,0)*K18</f>
        <v>10</v>
      </c>
      <c r="D18" s="25">
        <v>50</v>
      </c>
      <c r="E18" s="25">
        <v>10</v>
      </c>
      <c r="F18" s="25">
        <v>250</v>
      </c>
      <c r="G18" s="25">
        <f>ROUND(24*C18/D18/(Gewicht/10),4)</f>
        <v>0.48</v>
      </c>
      <c r="H18" s="25" t="s">
        <v>1101</v>
      </c>
      <c r="I18" s="25" t="s">
        <v>385</v>
      </c>
      <c r="J18" s="25" t="s">
        <v>524</v>
      </c>
      <c r="K18" s="25">
        <v>10</v>
      </c>
      <c r="L18" s="25">
        <v>10</v>
      </c>
    </row>
    <row r="19" spans="1:14" x14ac:dyDescent="0.35">
      <c r="A19" s="25">
        <v>17</v>
      </c>
      <c r="B19" s="25" t="s">
        <v>1033</v>
      </c>
      <c r="C19" s="25">
        <v>0.5</v>
      </c>
      <c r="G19" s="25">
        <f>ROUND(24*C19/(Gewicht/10),2)</f>
        <v>1.2</v>
      </c>
      <c r="H19" s="25" t="s">
        <v>1259</v>
      </c>
      <c r="I19" s="25" t="s">
        <v>639</v>
      </c>
      <c r="J19" s="25" t="s">
        <v>1198</v>
      </c>
    </row>
    <row r="20" spans="1:14" x14ac:dyDescent="0.35">
      <c r="A20" s="25">
        <v>18</v>
      </c>
      <c r="B20" s="25" t="s">
        <v>191</v>
      </c>
      <c r="C20" s="25">
        <f>K20</f>
        <v>10</v>
      </c>
      <c r="D20" s="25">
        <v>50</v>
      </c>
      <c r="E20" s="25">
        <v>10</v>
      </c>
      <c r="F20" s="25">
        <v>30</v>
      </c>
      <c r="G20" s="25">
        <f>ROUND(1000*C20/D20/(Gewicht/10)/60,3)</f>
        <v>0.33300000000000002</v>
      </c>
      <c r="H20" s="25" t="s">
        <v>1343</v>
      </c>
      <c r="I20" s="25" t="s">
        <v>193</v>
      </c>
      <c r="J20" s="25" t="s">
        <v>524</v>
      </c>
      <c r="K20" s="25">
        <f>IF(Gewicht/10&gt;10,20,10)</f>
        <v>10</v>
      </c>
      <c r="L20" s="25">
        <v>1</v>
      </c>
    </row>
    <row r="21" spans="1:14" x14ac:dyDescent="0.35">
      <c r="A21" s="25">
        <v>19</v>
      </c>
      <c r="B21" s="25" t="s">
        <v>1257</v>
      </c>
      <c r="C21" s="25">
        <f>ROUND((F21/100/1000)*(Gewicht/10)*60*D21/(E21/10)/K21,)*K21</f>
        <v>5</v>
      </c>
      <c r="D21" s="25">
        <v>50</v>
      </c>
      <c r="E21" s="25">
        <v>10</v>
      </c>
      <c r="F21" s="25">
        <v>10</v>
      </c>
      <c r="G21" s="25">
        <f>ROUND(1000*C21/D21/(Gewicht/10)/60,3)</f>
        <v>0.16700000000000001</v>
      </c>
      <c r="H21" s="25" t="s">
        <v>1343</v>
      </c>
      <c r="I21" s="25" t="s">
        <v>1258</v>
      </c>
      <c r="J21" s="25" t="s">
        <v>524</v>
      </c>
      <c r="K21" s="25">
        <v>5</v>
      </c>
      <c r="L21" s="25">
        <v>1</v>
      </c>
    </row>
    <row r="22" spans="1:14" x14ac:dyDescent="0.35">
      <c r="A22" s="25">
        <v>20</v>
      </c>
      <c r="B22" s="25" t="s">
        <v>992</v>
      </c>
      <c r="C22" s="25">
        <v>10</v>
      </c>
      <c r="G22" s="25">
        <f>ROUND(C22/(Gewicht/10),3)</f>
        <v>1</v>
      </c>
      <c r="H22" s="25" t="s">
        <v>1100</v>
      </c>
      <c r="I22" s="25" t="s">
        <v>1394</v>
      </c>
      <c r="J22" s="25" t="s">
        <v>1105</v>
      </c>
    </row>
    <row r="23" spans="1:14" x14ac:dyDescent="0.35">
      <c r="A23" s="25">
        <v>21</v>
      </c>
      <c r="B23" s="25" t="s">
        <v>993</v>
      </c>
      <c r="C23" s="25">
        <v>20</v>
      </c>
      <c r="G23" s="25">
        <f>ROUND(C23/(Gewicht/10),3)</f>
        <v>2</v>
      </c>
      <c r="H23" s="25" t="s">
        <v>1100</v>
      </c>
      <c r="I23" s="25" t="s">
        <v>1394</v>
      </c>
      <c r="J23" s="25" t="s">
        <v>1105</v>
      </c>
    </row>
    <row r="24" spans="1:14" x14ac:dyDescent="0.35">
      <c r="A24" s="25">
        <v>22</v>
      </c>
      <c r="B24" s="25" t="s">
        <v>870</v>
      </c>
      <c r="C24" s="25">
        <f>ROUND((F24/10)*(Gewicht/10)*D24/(E24/10)/K24,0)*K24</f>
        <v>300</v>
      </c>
      <c r="D24" s="25">
        <v>50</v>
      </c>
      <c r="E24" s="25">
        <v>10</v>
      </c>
      <c r="F24" s="25">
        <v>6</v>
      </c>
      <c r="G24" s="25">
        <f>ROUND(C24/D24/(Gewicht/10),2)</f>
        <v>0.6</v>
      </c>
      <c r="H24" s="25" t="s">
        <v>1100</v>
      </c>
      <c r="I24" s="25" t="s">
        <v>1004</v>
      </c>
      <c r="J24" s="25" t="s">
        <v>524</v>
      </c>
      <c r="K24" s="25">
        <v>50</v>
      </c>
      <c r="L24" s="25">
        <v>10</v>
      </c>
    </row>
    <row r="25" spans="1:14" x14ac:dyDescent="0.35">
      <c r="A25" s="25">
        <v>23</v>
      </c>
      <c r="B25" s="25" t="s">
        <v>100</v>
      </c>
      <c r="C25" s="25">
        <f>ROUND((F25/10/1000)*(Gewicht/10)*60*D25/(E25/10)/K25,0)*K25</f>
        <v>5</v>
      </c>
      <c r="D25" s="25">
        <v>50</v>
      </c>
      <c r="E25" s="25">
        <v>10</v>
      </c>
      <c r="F25" s="25">
        <v>2</v>
      </c>
      <c r="G25" s="25">
        <f>ROUND(1000*C25/D25/(Gewicht/10)/60,2)</f>
        <v>0.17</v>
      </c>
      <c r="H25" s="25" t="s">
        <v>1343</v>
      </c>
      <c r="I25" s="25" t="s">
        <v>969</v>
      </c>
      <c r="J25" s="25" t="s">
        <v>524</v>
      </c>
      <c r="K25" s="25">
        <v>5</v>
      </c>
      <c r="L25" s="25">
        <v>1</v>
      </c>
    </row>
    <row r="26" spans="1:14" x14ac:dyDescent="0.35">
      <c r="A26" s="25">
        <v>24</v>
      </c>
      <c r="B26" s="25" t="s">
        <v>1082</v>
      </c>
      <c r="C26" s="25">
        <v>48</v>
      </c>
      <c r="D26" s="25">
        <v>50</v>
      </c>
      <c r="E26" s="25">
        <v>10</v>
      </c>
      <c r="F26" s="25">
        <v>70</v>
      </c>
      <c r="G26" s="25">
        <f>ROUND(C26/D26/(Gewicht/10),1)</f>
        <v>0.1</v>
      </c>
      <c r="H26" s="25" t="s">
        <v>1100</v>
      </c>
      <c r="I26" s="25" t="s">
        <v>1391</v>
      </c>
      <c r="J26" s="25" t="s">
        <v>524</v>
      </c>
      <c r="K26" s="25">
        <v>500</v>
      </c>
    </row>
    <row r="27" spans="1:14" x14ac:dyDescent="0.35">
      <c r="A27" s="25">
        <v>25</v>
      </c>
      <c r="B27" s="25" t="s">
        <v>1395</v>
      </c>
      <c r="C27" s="25">
        <v>0</v>
      </c>
      <c r="D27" s="25">
        <v>100</v>
      </c>
      <c r="E27" s="25">
        <v>10</v>
      </c>
      <c r="F27" s="25">
        <v>10</v>
      </c>
      <c r="G27" s="25">
        <f>F27/10</f>
        <v>1</v>
      </c>
      <c r="H27" s="25" t="s">
        <v>1396</v>
      </c>
      <c r="I27" s="25" t="s">
        <v>1422</v>
      </c>
      <c r="J27" s="25" t="s">
        <v>525</v>
      </c>
      <c r="K27" s="25">
        <v>10</v>
      </c>
    </row>
    <row r="29" spans="1:14" x14ac:dyDescent="0.35">
      <c r="F29" s="31"/>
      <c r="G29" s="31"/>
      <c r="H29" s="31"/>
      <c r="I29" s="31"/>
      <c r="J29" s="31"/>
      <c r="K29" s="31"/>
      <c r="L29" s="31"/>
    </row>
    <row r="30" spans="1:14" ht="25.65" x14ac:dyDescent="0.35">
      <c r="A30" s="33" t="s">
        <v>704</v>
      </c>
      <c r="B30" s="33" t="s">
        <v>705</v>
      </c>
      <c r="C30" s="34" t="s">
        <v>1005</v>
      </c>
      <c r="D30" s="33" t="s">
        <v>706</v>
      </c>
      <c r="E30" s="34" t="s">
        <v>587</v>
      </c>
      <c r="F30" s="35" t="s">
        <v>588</v>
      </c>
      <c r="G30" s="35" t="s">
        <v>880</v>
      </c>
      <c r="H30" s="34" t="s">
        <v>883</v>
      </c>
      <c r="I30" s="34" t="s">
        <v>879</v>
      </c>
      <c r="J30" s="34" t="s">
        <v>659</v>
      </c>
      <c r="K30" s="34" t="s">
        <v>660</v>
      </c>
      <c r="L30" s="34" t="s">
        <v>1260</v>
      </c>
      <c r="M30" s="25" t="s">
        <v>653</v>
      </c>
      <c r="N30" s="34" t="s">
        <v>613</v>
      </c>
    </row>
    <row r="31" spans="1:14" x14ac:dyDescent="0.35">
      <c r="A31" s="25">
        <v>1</v>
      </c>
      <c r="B31" s="25">
        <v>1</v>
      </c>
      <c r="D31" s="25">
        <v>4</v>
      </c>
      <c r="E31" s="32">
        <v>1</v>
      </c>
      <c r="F31" s="32">
        <f>IF(MedicatieIV!C8&lt;&gt;0,24*E31/10,0)</f>
        <v>0</v>
      </c>
      <c r="G31" s="32">
        <f>IF(ber_IVmed!$D31=2,ber_IVmed!F31*0.05,0)</f>
        <v>0</v>
      </c>
      <c r="H31" s="32">
        <f>IF(ber_IVmed!$D31=3,ber_IVmed!F31*0.1,0)</f>
        <v>0</v>
      </c>
      <c r="I31" s="32">
        <f>IF(ber_IVmed!$D31=1,ber_IVmed!F31*0.155,0)</f>
        <v>0</v>
      </c>
      <c r="J31" s="25">
        <f>IF(OR($B31=18),0.5*$F31,IF(B31=4,F31*145/1000,0))</f>
        <v>0</v>
      </c>
      <c r="K31" s="25">
        <f>IF(OR($B31=19),0,0)</f>
        <v>0</v>
      </c>
      <c r="L31" s="25">
        <f>IF(OR($B31=4),0.2*$F31,0)</f>
        <v>0</v>
      </c>
      <c r="M31" s="25">
        <f>IF(OR(B31=20,B31=21),0.1*F31,0)</f>
        <v>0</v>
      </c>
    </row>
    <row r="32" spans="1:14" x14ac:dyDescent="0.35">
      <c r="A32" s="25">
        <v>2</v>
      </c>
      <c r="B32" s="25">
        <v>1</v>
      </c>
      <c r="D32" s="25">
        <v>4</v>
      </c>
      <c r="E32" s="32"/>
      <c r="F32" s="32">
        <f>IF(MedicatieIV!C9&lt;&gt;0,24*E32/10,0)</f>
        <v>0</v>
      </c>
      <c r="G32" s="32">
        <f>IF(ber_IVmed!$D32=2,ber_IVmed!F32*0.05,0)</f>
        <v>0</v>
      </c>
      <c r="H32" s="32">
        <f>IF(ber_IVmed!$D32=3,ber_IVmed!F32*0.1,0)</f>
        <v>0</v>
      </c>
      <c r="I32" s="32">
        <f>IF(ber_IVmed!$D32=1,ber_IVmed!F32*0.155,0)</f>
        <v>0</v>
      </c>
      <c r="J32" s="25">
        <f t="shared" ref="J32:J45" si="0">IF(OR($B32=18),0.5*$F32,IF(B32=4,F32*145/1000,0))</f>
        <v>0</v>
      </c>
      <c r="K32" s="25">
        <f t="shared" ref="K32:K45" si="1">IF(OR($B32=19),0,0)</f>
        <v>0</v>
      </c>
      <c r="L32" s="25">
        <f t="shared" ref="L32:L45" si="2">IF(OR($B32=4),0.2*$F32,0)</f>
        <v>0</v>
      </c>
      <c r="M32" s="25">
        <f t="shared" ref="M32:M45" si="3">IF(OR(B32=20,B32=21),0.1*F32,0)</f>
        <v>0</v>
      </c>
    </row>
    <row r="33" spans="1:13" x14ac:dyDescent="0.35">
      <c r="A33" s="25">
        <v>3</v>
      </c>
      <c r="B33" s="25">
        <v>1</v>
      </c>
      <c r="D33" s="25">
        <v>4</v>
      </c>
      <c r="E33" s="32"/>
      <c r="F33" s="32">
        <f>IF(MedicatieIV!C10&lt;&gt;0,24*E33/10,0)</f>
        <v>0</v>
      </c>
      <c r="G33" s="32">
        <f>IF(ber_IVmed!$D33=2,ber_IVmed!F33*0.05,0)</f>
        <v>0</v>
      </c>
      <c r="H33" s="32">
        <f>IF(ber_IVmed!$D33=3,ber_IVmed!F33*0.1,0)</f>
        <v>0</v>
      </c>
      <c r="I33" s="32">
        <f>IF(ber_IVmed!$D33=1,ber_IVmed!F33*0.155,0)</f>
        <v>0</v>
      </c>
      <c r="J33" s="25">
        <f t="shared" si="0"/>
        <v>0</v>
      </c>
      <c r="K33" s="25">
        <f t="shared" si="1"/>
        <v>0</v>
      </c>
      <c r="L33" s="25">
        <f t="shared" si="2"/>
        <v>0</v>
      </c>
      <c r="M33" s="25">
        <f t="shared" si="3"/>
        <v>0</v>
      </c>
    </row>
    <row r="34" spans="1:13" x14ac:dyDescent="0.35">
      <c r="A34" s="25">
        <v>4</v>
      </c>
      <c r="B34" s="25">
        <v>1</v>
      </c>
      <c r="D34" s="25">
        <v>4</v>
      </c>
      <c r="E34" s="32"/>
      <c r="F34" s="32">
        <f>IF(MedicatieIV!C11&lt;&gt;0,24*E34/10,0)</f>
        <v>0</v>
      </c>
      <c r="G34" s="32">
        <f>IF(ber_IVmed!$D34=2,ber_IVmed!F34*0.05,0)</f>
        <v>0</v>
      </c>
      <c r="H34" s="32">
        <f>IF(ber_IVmed!$D34=3,ber_IVmed!F34*0.1,0)</f>
        <v>0</v>
      </c>
      <c r="I34" s="32">
        <f>IF(ber_IVmed!$D34=1,ber_IVmed!F34*0.155,0)</f>
        <v>0</v>
      </c>
      <c r="J34" s="25">
        <f t="shared" si="0"/>
        <v>0</v>
      </c>
      <c r="K34" s="25">
        <f t="shared" si="1"/>
        <v>0</v>
      </c>
      <c r="L34" s="25">
        <f t="shared" si="2"/>
        <v>0</v>
      </c>
      <c r="M34" s="25">
        <f t="shared" si="3"/>
        <v>0</v>
      </c>
    </row>
    <row r="35" spans="1:13" x14ac:dyDescent="0.35">
      <c r="A35" s="25">
        <v>5</v>
      </c>
      <c r="B35" s="25">
        <v>1</v>
      </c>
      <c r="D35" s="25">
        <v>4</v>
      </c>
      <c r="E35" s="32"/>
      <c r="F35" s="32">
        <f>IF(MedicatieIV!C12&lt;&gt;0,24*E35/10,0)</f>
        <v>0</v>
      </c>
      <c r="G35" s="32">
        <f>IF(ber_IVmed!$D35=2,ber_IVmed!F35*0.05,0)</f>
        <v>0</v>
      </c>
      <c r="H35" s="32">
        <f>IF(ber_IVmed!$D35=3,ber_IVmed!F35*0.1,0)</f>
        <v>0</v>
      </c>
      <c r="I35" s="32">
        <f>IF(ber_IVmed!$D35=1,ber_IVmed!F35*0.155,0)</f>
        <v>0</v>
      </c>
      <c r="J35" s="25">
        <f t="shared" si="0"/>
        <v>0</v>
      </c>
      <c r="K35" s="25">
        <f t="shared" si="1"/>
        <v>0</v>
      </c>
      <c r="L35" s="25">
        <f t="shared" si="2"/>
        <v>0</v>
      </c>
      <c r="M35" s="25">
        <f t="shared" si="3"/>
        <v>0</v>
      </c>
    </row>
    <row r="36" spans="1:13" x14ac:dyDescent="0.35">
      <c r="A36" s="25">
        <v>6</v>
      </c>
      <c r="B36" s="25">
        <v>1</v>
      </c>
      <c r="D36" s="25">
        <v>4</v>
      </c>
      <c r="E36" s="32"/>
      <c r="F36" s="32">
        <f>IF(MedicatieIV!C13&lt;&gt;0,24*E36/10,0)</f>
        <v>0</v>
      </c>
      <c r="G36" s="32">
        <f>IF(ber_IVmed!$D36=2,ber_IVmed!F36*0.05,0)</f>
        <v>0</v>
      </c>
      <c r="H36" s="32">
        <f>IF(ber_IVmed!$D36=3,ber_IVmed!F36*0.1,0)</f>
        <v>0</v>
      </c>
      <c r="I36" s="32">
        <f>IF(ber_IVmed!$D36=1,ber_IVmed!F36*0.155,0)</f>
        <v>0</v>
      </c>
      <c r="J36" s="25">
        <f t="shared" si="0"/>
        <v>0</v>
      </c>
      <c r="K36" s="25">
        <f t="shared" si="1"/>
        <v>0</v>
      </c>
      <c r="L36" s="25">
        <f t="shared" si="2"/>
        <v>0</v>
      </c>
      <c r="M36" s="25">
        <f t="shared" si="3"/>
        <v>0</v>
      </c>
    </row>
    <row r="37" spans="1:13" x14ac:dyDescent="0.35">
      <c r="A37" s="25">
        <v>7</v>
      </c>
      <c r="B37" s="25">
        <v>1</v>
      </c>
      <c r="D37" s="25">
        <v>4</v>
      </c>
      <c r="E37" s="32"/>
      <c r="F37" s="32">
        <f>IF(MedicatieIV!C14&lt;&gt;0,24*E37/10,0)</f>
        <v>0</v>
      </c>
      <c r="G37" s="32">
        <f>IF(ber_IVmed!$D37=2,ber_IVmed!F37*0.05,0)</f>
        <v>0</v>
      </c>
      <c r="H37" s="32">
        <f>IF(ber_IVmed!$D37=3,ber_IVmed!F37*0.1,0)</f>
        <v>0</v>
      </c>
      <c r="I37" s="32">
        <f>IF(ber_IVmed!$D37=1,ber_IVmed!F37*0.155,0)</f>
        <v>0</v>
      </c>
      <c r="J37" s="25">
        <f t="shared" si="0"/>
        <v>0</v>
      </c>
      <c r="K37" s="25">
        <f t="shared" si="1"/>
        <v>0</v>
      </c>
      <c r="L37" s="25">
        <f t="shared" si="2"/>
        <v>0</v>
      </c>
      <c r="M37" s="25">
        <f t="shared" si="3"/>
        <v>0</v>
      </c>
    </row>
    <row r="38" spans="1:13" x14ac:dyDescent="0.35">
      <c r="A38" s="25">
        <v>8</v>
      </c>
      <c r="B38" s="25">
        <v>1</v>
      </c>
      <c r="D38" s="25">
        <v>4</v>
      </c>
      <c r="E38" s="32"/>
      <c r="F38" s="32">
        <f>IF(MedicatieIV!C15&lt;&gt;0,24*E38/10,0)</f>
        <v>0</v>
      </c>
      <c r="G38" s="32">
        <f>IF(ber_IVmed!$D38=2,ber_IVmed!F38*0.05,0)</f>
        <v>0</v>
      </c>
      <c r="H38" s="32">
        <f>IF(ber_IVmed!$D38=3,ber_IVmed!F38*0.1,0)</f>
        <v>0</v>
      </c>
      <c r="I38" s="32">
        <f>IF(ber_IVmed!$D38=1,ber_IVmed!F38*0.155,0)</f>
        <v>0</v>
      </c>
      <c r="J38" s="25">
        <f t="shared" si="0"/>
        <v>0</v>
      </c>
      <c r="K38" s="25">
        <f t="shared" si="1"/>
        <v>0</v>
      </c>
      <c r="L38" s="25">
        <f t="shared" si="2"/>
        <v>0</v>
      </c>
      <c r="M38" s="25">
        <f t="shared" si="3"/>
        <v>0</v>
      </c>
    </row>
    <row r="39" spans="1:13" x14ac:dyDescent="0.35">
      <c r="A39" s="25">
        <v>9</v>
      </c>
      <c r="B39" s="25">
        <v>1</v>
      </c>
      <c r="D39" s="25">
        <v>4</v>
      </c>
      <c r="E39" s="32"/>
      <c r="F39" s="32">
        <f>IF(MedicatieIV!C16&lt;&gt;0,24*E39/10,0)</f>
        <v>0</v>
      </c>
      <c r="G39" s="32">
        <f>IF(ber_IVmed!$D39=2,ber_IVmed!F39*0.05,0)</f>
        <v>0</v>
      </c>
      <c r="H39" s="32">
        <f>IF(ber_IVmed!$D39=3,ber_IVmed!F39*0.1,0)</f>
        <v>0</v>
      </c>
      <c r="I39" s="32">
        <f>IF(ber_IVmed!$D39=1,ber_IVmed!F39*0.155,0)</f>
        <v>0</v>
      </c>
      <c r="J39" s="25">
        <f t="shared" si="0"/>
        <v>0</v>
      </c>
      <c r="K39" s="25">
        <f t="shared" si="1"/>
        <v>0</v>
      </c>
      <c r="L39" s="25">
        <f t="shared" si="2"/>
        <v>0</v>
      </c>
      <c r="M39" s="25">
        <f t="shared" si="3"/>
        <v>0</v>
      </c>
    </row>
    <row r="40" spans="1:13" x14ac:dyDescent="0.35">
      <c r="A40" s="25">
        <v>10</v>
      </c>
      <c r="B40" s="25">
        <v>1</v>
      </c>
      <c r="D40" s="25">
        <v>4</v>
      </c>
      <c r="E40" s="32"/>
      <c r="F40" s="32">
        <f>IF(MedicatieIV!C17&lt;&gt;0,24*E40/10,0)</f>
        <v>0</v>
      </c>
      <c r="G40" s="32">
        <f>IF(ber_IVmed!$D40=2,ber_IVmed!F40*0.05,0)</f>
        <v>0</v>
      </c>
      <c r="H40" s="32">
        <f>IF(ber_IVmed!$D40=3,ber_IVmed!F40*0.1,0)</f>
        <v>0</v>
      </c>
      <c r="I40" s="32">
        <f>IF(ber_IVmed!$D40=1,ber_IVmed!F40*0.155,0)</f>
        <v>0</v>
      </c>
      <c r="J40" s="25">
        <f t="shared" si="0"/>
        <v>0</v>
      </c>
      <c r="K40" s="25">
        <f t="shared" si="1"/>
        <v>0</v>
      </c>
      <c r="L40" s="25">
        <f t="shared" si="2"/>
        <v>0</v>
      </c>
      <c r="M40" s="25">
        <f t="shared" si="3"/>
        <v>0</v>
      </c>
    </row>
    <row r="41" spans="1:13" x14ac:dyDescent="0.35">
      <c r="A41" s="25">
        <v>11</v>
      </c>
      <c r="C41" s="32"/>
      <c r="D41" s="25">
        <v>4</v>
      </c>
      <c r="E41" s="32"/>
      <c r="F41" s="32">
        <f>IF(MedicatieIV!C19&lt;&gt;"",E41/10*24,0)</f>
        <v>0</v>
      </c>
      <c r="G41" s="32">
        <f>IF(ber_IVmed!$D41=2,ber_IVmed!F41*0.05,0)</f>
        <v>0</v>
      </c>
      <c r="H41" s="32">
        <f>IF(ber_IVmed!$D41=3,ber_IVmed!F41*0.1,0)</f>
        <v>0</v>
      </c>
      <c r="I41" s="32">
        <f>IF(ber_IVmed!$D41=1,ber_IVmed!F41*0.155,0)</f>
        <v>0</v>
      </c>
      <c r="J41" s="25">
        <f t="shared" si="0"/>
        <v>0</v>
      </c>
      <c r="K41" s="25">
        <f t="shared" si="1"/>
        <v>0</v>
      </c>
      <c r="L41" s="25">
        <f t="shared" si="2"/>
        <v>0</v>
      </c>
      <c r="M41" s="25">
        <f t="shared" si="3"/>
        <v>0</v>
      </c>
    </row>
    <row r="42" spans="1:13" x14ac:dyDescent="0.35">
      <c r="A42" s="25">
        <v>12</v>
      </c>
      <c r="C42" s="32"/>
      <c r="D42" s="25">
        <v>4</v>
      </c>
      <c r="E42" s="32"/>
      <c r="F42" s="32">
        <f>IF(MedicatieIV!C20&lt;&gt;"",E42/10*24,0)</f>
        <v>0</v>
      </c>
      <c r="G42" s="32">
        <f>IF(ber_IVmed!$D42=2,ber_IVmed!F42*0.05,0)</f>
        <v>0</v>
      </c>
      <c r="H42" s="32">
        <f>IF(ber_IVmed!$D42=3,ber_IVmed!F42*0.1,0)</f>
        <v>0</v>
      </c>
      <c r="I42" s="32">
        <f>IF(ber_IVmed!$D42=1,ber_IVmed!F42*0.155,0)</f>
        <v>0</v>
      </c>
      <c r="J42" s="25">
        <f t="shared" si="0"/>
        <v>0</v>
      </c>
      <c r="K42" s="25">
        <f t="shared" si="1"/>
        <v>0</v>
      </c>
      <c r="L42" s="25">
        <f t="shared" si="2"/>
        <v>0</v>
      </c>
      <c r="M42" s="25">
        <f t="shared" si="3"/>
        <v>0</v>
      </c>
    </row>
    <row r="43" spans="1:13" x14ac:dyDescent="0.35">
      <c r="A43" s="25">
        <v>13</v>
      </c>
      <c r="C43" s="32"/>
      <c r="D43" s="25">
        <v>4</v>
      </c>
      <c r="E43" s="32"/>
      <c r="F43" s="32">
        <f>IF(MedicatieIV!C21&lt;&gt;"",E43/10*24,0)</f>
        <v>0</v>
      </c>
      <c r="G43" s="32">
        <f>IF(ber_IVmed!$D43=2,ber_IVmed!F43*0.05,0)</f>
        <v>0</v>
      </c>
      <c r="H43" s="32">
        <f>IF(ber_IVmed!$D43=3,ber_IVmed!F43*0.1,0)</f>
        <v>0</v>
      </c>
      <c r="I43" s="32">
        <f>IF(ber_IVmed!$D43=1,ber_IVmed!F43*0.155,0)</f>
        <v>0</v>
      </c>
      <c r="J43" s="25">
        <f t="shared" si="0"/>
        <v>0</v>
      </c>
      <c r="K43" s="25">
        <f t="shared" si="1"/>
        <v>0</v>
      </c>
      <c r="L43" s="25">
        <f t="shared" si="2"/>
        <v>0</v>
      </c>
      <c r="M43" s="25">
        <f t="shared" si="3"/>
        <v>0</v>
      </c>
    </row>
    <row r="44" spans="1:13" x14ac:dyDescent="0.35">
      <c r="A44" s="25">
        <v>14</v>
      </c>
      <c r="C44" s="32"/>
      <c r="D44" s="25">
        <v>4</v>
      </c>
      <c r="E44" s="32"/>
      <c r="F44" s="32">
        <f>IF(MedicatieIV!C22&lt;&gt;"",E44/10*24,0)</f>
        <v>0</v>
      </c>
      <c r="G44" s="32">
        <f>IF(ber_IVmed!$D44=2,ber_IVmed!F44*0.05,0)</f>
        <v>0</v>
      </c>
      <c r="H44" s="32">
        <f>IF(ber_IVmed!$D44=3,ber_IVmed!F44*0.1,0)</f>
        <v>0</v>
      </c>
      <c r="I44" s="32">
        <f>IF(ber_IVmed!$D44=1,ber_IVmed!F44*0.155,0)</f>
        <v>0</v>
      </c>
      <c r="J44" s="25">
        <f t="shared" si="0"/>
        <v>0</v>
      </c>
      <c r="K44" s="25">
        <f t="shared" si="1"/>
        <v>0</v>
      </c>
      <c r="L44" s="25">
        <f t="shared" si="2"/>
        <v>0</v>
      </c>
      <c r="M44" s="25">
        <f t="shared" si="3"/>
        <v>0</v>
      </c>
    </row>
    <row r="45" spans="1:13" x14ac:dyDescent="0.35">
      <c r="A45" s="25">
        <v>15</v>
      </c>
      <c r="C45" s="32"/>
      <c r="D45" s="25">
        <v>4</v>
      </c>
      <c r="E45" s="32"/>
      <c r="F45" s="32">
        <f>IF(MedicatieIV!C23&lt;&gt;"",E45/10*24,0)</f>
        <v>0</v>
      </c>
      <c r="G45" s="32">
        <f>IF(ber_IVmed!$D45=2,ber_IVmed!F45*0.05,0)</f>
        <v>0</v>
      </c>
      <c r="H45" s="32">
        <f>IF(ber_IVmed!$D45=3,ber_IVmed!F45*0.1,0)</f>
        <v>0</v>
      </c>
      <c r="I45" s="32">
        <f>IF(ber_IVmed!$D45=1,ber_IVmed!F45*0.155,0)</f>
        <v>0</v>
      </c>
      <c r="J45" s="25">
        <f t="shared" si="0"/>
        <v>0</v>
      </c>
      <c r="K45" s="25">
        <f t="shared" si="1"/>
        <v>0</v>
      </c>
      <c r="L45" s="25">
        <f t="shared" si="2"/>
        <v>0</v>
      </c>
      <c r="M45" s="25">
        <f t="shared" si="3"/>
        <v>0</v>
      </c>
    </row>
    <row r="46" spans="1:13" x14ac:dyDescent="0.35">
      <c r="F46" s="32">
        <f>SUM(F31:F45)</f>
        <v>0</v>
      </c>
      <c r="G46" s="32">
        <f>SUM(G31:G45)</f>
        <v>0</v>
      </c>
      <c r="H46" s="32">
        <f>SUM(H31:H45)</f>
        <v>0</v>
      </c>
      <c r="I46" s="32"/>
      <c r="J46" s="25">
        <f>SUM(J31:J45)+SUM(I31:I45)</f>
        <v>0</v>
      </c>
      <c r="K46" s="25">
        <f>SUM(K31:K45)</f>
        <v>0</v>
      </c>
      <c r="L46" s="25">
        <f>SUM(L31:L45)</f>
        <v>0</v>
      </c>
      <c r="M46" s="25">
        <f>SUM(M31:M45)</f>
        <v>0</v>
      </c>
    </row>
    <row r="47" spans="1:13" x14ac:dyDescent="0.35">
      <c r="M47" s="32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pageSetUpPr autoPageBreaks="0"/>
  </sheetPr>
  <dimension ref="A1:I23"/>
  <sheetViews>
    <sheetView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2" customWidth="1"/>
    <col min="2" max="2" width="13.3984375" style="192" customWidth="1"/>
    <col min="3" max="3" width="11.3984375" style="192" customWidth="1"/>
    <col min="4" max="4" width="11.73046875" style="192" customWidth="1"/>
    <col min="5" max="5" width="14.86328125" style="192" customWidth="1"/>
    <col min="6" max="6" width="18.265625" style="192" customWidth="1"/>
    <col min="7" max="7" width="25.59765625" style="192" customWidth="1"/>
    <col min="8" max="8" width="9.1328125" style="192"/>
    <col min="9" max="9" width="9.73046875" style="192" customWidth="1"/>
    <col min="10" max="16384" width="9.1328125" style="192"/>
  </cols>
  <sheetData>
    <row r="1" spans="1:9" ht="10" customHeight="1" x14ac:dyDescent="0.4">
      <c r="A1" s="191"/>
      <c r="B1" s="191"/>
      <c r="C1" s="191"/>
      <c r="D1" s="191"/>
      <c r="E1" s="191"/>
      <c r="F1" s="191"/>
      <c r="G1" s="191"/>
      <c r="H1" s="191"/>
    </row>
    <row r="2" spans="1:9" ht="17.25" customHeight="1" x14ac:dyDescent="0.4">
      <c r="A2" s="191"/>
      <c r="B2" s="234" t="s">
        <v>934</v>
      </c>
      <c r="C2" s="235"/>
      <c r="D2" s="234" t="s">
        <v>935</v>
      </c>
      <c r="E2" s="234" t="s">
        <v>936</v>
      </c>
      <c r="F2" s="234" t="s">
        <v>937</v>
      </c>
      <c r="G2" s="236" t="s">
        <v>1007</v>
      </c>
      <c r="H2" s="237" t="s">
        <v>594</v>
      </c>
      <c r="I2" s="322"/>
    </row>
    <row r="3" spans="1:9" ht="14.25" customHeight="1" x14ac:dyDescent="0.4">
      <c r="A3" s="191"/>
      <c r="C3" s="204"/>
      <c r="D3" s="204"/>
      <c r="E3" s="204"/>
      <c r="F3" s="204"/>
      <c r="G3" s="204"/>
      <c r="H3" s="204"/>
    </row>
    <row r="4" spans="1:9" ht="17.25" customHeight="1" x14ac:dyDescent="0.4">
      <c r="A4" s="191"/>
      <c r="B4" s="193" t="str">
        <f>ber_IVmed!B3</f>
        <v>insuline aspart</v>
      </c>
      <c r="C4" s="238" t="str">
        <f>ber_IVmed!C3&amp;" "&amp;ber_IVmed!J3</f>
        <v>30 E</v>
      </c>
      <c r="D4" s="199" t="str">
        <f>ber_IVmed!D3&amp;" ml"</f>
        <v>50 ml</v>
      </c>
      <c r="E4" s="200" t="str">
        <f>ber_IVmed!E3/10&amp;" ml/uur"</f>
        <v>1 ml/uur</v>
      </c>
      <c r="F4" s="201" t="str">
        <f>ber_IVmed!F3/100&amp;" "&amp;ber_IVmed!H3</f>
        <v>0,05 E/kg/uur</v>
      </c>
      <c r="G4" s="202" t="str">
        <f>ber_IVmed!I3</f>
        <v>0,05-0,1 E/kg/uur</v>
      </c>
      <c r="H4" s="203">
        <f>ber_IVmed!K3</f>
        <v>10</v>
      </c>
    </row>
    <row r="5" spans="1:9" ht="17.25" customHeight="1" x14ac:dyDescent="0.4">
      <c r="A5" s="191"/>
      <c r="B5" s="193" t="str">
        <f>ber_IVmed!B4</f>
        <v>adrenaline</v>
      </c>
      <c r="C5" s="238" t="str">
        <f>ber_IVmed!C4&amp;" "&amp;ber_IVmed!J4</f>
        <v>3 mg</v>
      </c>
      <c r="D5" s="199" t="str">
        <f>ber_IVmed!D4&amp;" ml"</f>
        <v>50 ml</v>
      </c>
      <c r="E5" s="200" t="str">
        <f>ber_IVmed!E4/10&amp;" ml/uur"</f>
        <v>1 ml/uur</v>
      </c>
      <c r="F5" s="201" t="str">
        <f>ber_IVmed!F4/100&amp;" "&amp;ber_IVmed!H4</f>
        <v>0,1 mcg/kg/min</v>
      </c>
      <c r="G5" s="202" t="str">
        <f>ber_IVmed!I4</f>
        <v>0,05-0,1 mcg/kg/min</v>
      </c>
      <c r="H5" s="203">
        <f>ber_IVmed!K4/10</f>
        <v>0.1</v>
      </c>
    </row>
    <row r="6" spans="1:9" ht="17.25" customHeight="1" x14ac:dyDescent="0.4">
      <c r="A6" s="191"/>
      <c r="B6" s="193" t="str">
        <f>ber_IVmed!B6</f>
        <v>alprostadil</v>
      </c>
      <c r="C6" s="239" t="str">
        <f>ber_IVmed!C6&amp;" "&amp;ber_IVmed!J6</f>
        <v>1 mg</v>
      </c>
      <c r="D6" s="194" t="str">
        <f>ber_IVmed!D6&amp;" ml"</f>
        <v>50 ml</v>
      </c>
      <c r="E6" s="195" t="str">
        <f>ber_IVmed!E6/10&amp;" ml/uur"</f>
        <v>1 ml/uur</v>
      </c>
      <c r="F6" s="196" t="str">
        <f>ber_IVmed!F6&amp;" "&amp;ber_IVmed!H6</f>
        <v>25 nanog/kg/min</v>
      </c>
      <c r="G6" s="197" t="str">
        <f>ber_IVmed!I6</f>
        <v>25-100 nanogram/kg/min</v>
      </c>
      <c r="H6" s="198">
        <f>ber_IVmed!K6/100</f>
        <v>0.5</v>
      </c>
    </row>
    <row r="7" spans="1:9" ht="17.25" customHeight="1" x14ac:dyDescent="0.4">
      <c r="A7" s="191"/>
      <c r="B7" s="193" t="str">
        <f>ber_IVmed!B7</f>
        <v>clonidine</v>
      </c>
      <c r="C7" s="239" t="str">
        <f>ber_IVmed!C7&amp;" "&amp;ber_IVmed!J7</f>
        <v>0,45 mg</v>
      </c>
      <c r="D7" s="194" t="str">
        <f>ber_IVmed!D7&amp;" ml"</f>
        <v>50 ml</v>
      </c>
      <c r="E7" s="195" t="str">
        <f>ber_IVmed!E7/10&amp;" ml/uur"</f>
        <v>1 ml/uur</v>
      </c>
      <c r="F7" s="196" t="str">
        <f>ber_IVmed!F7/100&amp;" "&amp;ber_IVmed!H7</f>
        <v>1 mcg/kg/uur</v>
      </c>
      <c r="G7" s="197" t="str">
        <f>ber_IVmed!I7</f>
        <v>0,25-2 mcg/kg/uur</v>
      </c>
      <c r="H7" s="198">
        <f>ber_IVmed!K7/1000</f>
        <v>0.15</v>
      </c>
    </row>
    <row r="8" spans="1:9" ht="17.25" customHeight="1" x14ac:dyDescent="0.4">
      <c r="A8" s="191"/>
      <c r="B8" s="193" t="str">
        <f>ber_IVmed!B8</f>
        <v>dobutamine</v>
      </c>
      <c r="C8" s="239" t="str">
        <f>ber_IVmed!C8&amp;" "&amp;ber_IVmed!J8</f>
        <v>250 mg</v>
      </c>
      <c r="D8" s="194" t="str">
        <f>ber_IVmed!D8&amp;" ml"</f>
        <v>50 ml</v>
      </c>
      <c r="E8" s="195" t="str">
        <f>ber_IVmed!E8/10&amp;" ml/uur"</f>
        <v>1 ml/uur</v>
      </c>
      <c r="F8" s="196" t="str">
        <f>ber_IVmed!F8/1&amp;" "&amp;ber_IVmed!H8</f>
        <v>10 mcg/kg/min</v>
      </c>
      <c r="G8" s="197" t="str">
        <f>ber_IVmed!I8</f>
        <v>2,5-20 mcg/kg/min</v>
      </c>
      <c r="H8" s="198">
        <f>ber_IVmed!K8/10</f>
        <v>250</v>
      </c>
    </row>
    <row r="9" spans="1:9" ht="17.25" customHeight="1" x14ac:dyDescent="0.4">
      <c r="A9" s="191"/>
      <c r="B9" s="193" t="str">
        <f>ber_IVmed!B9</f>
        <v>dopamine</v>
      </c>
      <c r="C9" s="239" t="str">
        <f>ber_IVmed!C9&amp;" "&amp;ber_IVmed!J9</f>
        <v>200 mg</v>
      </c>
      <c r="D9" s="194" t="str">
        <f>ber_IVmed!D9&amp;" ml"</f>
        <v>50 ml</v>
      </c>
      <c r="E9" s="195" t="str">
        <f>ber_IVmed!E9/10&amp;" ml/uur"</f>
        <v>1 ml/uur</v>
      </c>
      <c r="F9" s="196" t="str">
        <f>ber_IVmed!F9/1&amp;" "&amp;ber_IVmed!H9</f>
        <v>5 mcg/kg/min</v>
      </c>
      <c r="G9" s="197" t="str">
        <f>ber_IVmed!I9</f>
        <v>1-20 mcg/kg/min</v>
      </c>
      <c r="H9" s="198">
        <f>ber_IVmed!K9/1</f>
        <v>200</v>
      </c>
    </row>
    <row r="10" spans="1:9" ht="17.25" customHeight="1" x14ac:dyDescent="0.4">
      <c r="A10" s="191"/>
      <c r="B10" s="193" t="str">
        <f>ber_IVmed!B10</f>
        <v>epoprostenol</v>
      </c>
      <c r="C10" s="239" t="str">
        <f>ber_IVmed!C10&amp;" "&amp;ber_IVmed!J10</f>
        <v>0,5 mg</v>
      </c>
      <c r="D10" s="194" t="str">
        <f>ber_IVmed!D10&amp;" ml"</f>
        <v>50 ml</v>
      </c>
      <c r="E10" s="195" t="str">
        <f>ber_IVmed!E10/10&amp;" ml/uur"</f>
        <v>1 ml/uur</v>
      </c>
      <c r="F10" s="196" t="str">
        <f>ber_IVmed!F10/1&amp;" "&amp;ber_IVmed!H10</f>
        <v>10 nanog/kg/min</v>
      </c>
      <c r="G10" s="197" t="str">
        <f>ber_IVmed!I10</f>
        <v>5-30 nanogram/kg/min (moet in zout!)</v>
      </c>
      <c r="H10" s="198">
        <f>ber_IVmed!K10/100</f>
        <v>0.5</v>
      </c>
    </row>
    <row r="11" spans="1:9" ht="17.25" customHeight="1" x14ac:dyDescent="0.4">
      <c r="A11" s="191"/>
      <c r="B11" s="193" t="str">
        <f>ber_IVmed!B11</f>
        <v>esketamine</v>
      </c>
      <c r="C11" s="239" t="str">
        <f>ber_IVmed!C11&amp;" "&amp;ber_IVmed!J11</f>
        <v>300 mg</v>
      </c>
      <c r="D11" s="194" t="str">
        <f>ber_IVmed!D11&amp;" ml"</f>
        <v>50 ml</v>
      </c>
      <c r="E11" s="195" t="str">
        <f>ber_IVmed!E11/10&amp;" ml/uur"</f>
        <v>1 ml/uur</v>
      </c>
      <c r="F11" s="196" t="str">
        <f>ber_IVmed!F11/10&amp;" "&amp;ber_IVmed!H11</f>
        <v>0,5 mg/kg/uur</v>
      </c>
      <c r="G11" s="197" t="str">
        <f>ber_IVmed!I11</f>
        <v>0,5-1 mg/kg/uur</v>
      </c>
      <c r="H11" s="198">
        <f>ber_IVmed!K11</f>
        <v>100</v>
      </c>
    </row>
    <row r="12" spans="1:9" ht="17.25" customHeight="1" x14ac:dyDescent="0.4">
      <c r="A12" s="191"/>
      <c r="B12" s="193" t="str">
        <f>ber_IVmed!B12</f>
        <v>furosemide</v>
      </c>
      <c r="C12" s="239" t="str">
        <f>ber_IVmed!C12&amp;" "&amp;ber_IVmed!J12</f>
        <v>40 mg</v>
      </c>
      <c r="D12" s="194" t="str">
        <f>ber_IVmed!D12&amp;" ml"</f>
        <v>50 ml</v>
      </c>
      <c r="E12" s="195" t="str">
        <f>ber_IVmed!E12/10&amp;" ml/uur"</f>
        <v>1 ml/uur</v>
      </c>
      <c r="F12" s="196" t="str">
        <f>ber_IVmed!F12/10&amp;" "&amp;ber_IVmed!H12</f>
        <v>2 mg/kg/dag</v>
      </c>
      <c r="G12" s="197" t="str">
        <f>ber_IVmed!I12</f>
        <v>1-4 mg/kg/dag</v>
      </c>
      <c r="H12" s="198">
        <f>ber_IVmed!K12/1</f>
        <v>20</v>
      </c>
    </row>
    <row r="13" spans="1:9" ht="17.25" customHeight="1" x14ac:dyDescent="0.35">
      <c r="B13" s="193" t="str">
        <f>ber_IVmed!B13</f>
        <v>heparine</v>
      </c>
      <c r="C13" s="239" t="str">
        <f>ber_IVmed!C13&amp;" "&amp;ber_IVmed!J13</f>
        <v>10000 IE</v>
      </c>
      <c r="D13" s="194" t="str">
        <f>ber_IVmed!D13&amp;" ml"</f>
        <v>50 ml</v>
      </c>
      <c r="E13" s="195" t="str">
        <f>ber_IVmed!E13/10&amp;" ml/uur"</f>
        <v>1 ml/uur</v>
      </c>
      <c r="F13" s="196" t="str">
        <f>ber_IVmed!F13/1&amp;" "&amp;ber_IVmed!H13</f>
        <v>15 IE/kg/uur</v>
      </c>
      <c r="G13" s="197" t="str">
        <f>ber_IVmed!I13</f>
        <v>15-20 IE/kg/uur</v>
      </c>
      <c r="H13" s="198">
        <f>ber_IVmed!K13</f>
        <v>5000</v>
      </c>
    </row>
    <row r="14" spans="1:9" ht="17.25" customHeight="1" x14ac:dyDescent="0.35">
      <c r="B14" s="193" t="str">
        <f>ber_IVmed!B14</f>
        <v>isoprenaline</v>
      </c>
      <c r="C14" s="239" t="str">
        <f>ber_IVmed!C14&amp;" "&amp;ber_IVmed!J14</f>
        <v>3 mg</v>
      </c>
      <c r="D14" s="194" t="str">
        <f>ber_IVmed!D14&amp;" ml"</f>
        <v>50 ml</v>
      </c>
      <c r="E14" s="195" t="str">
        <f>ber_IVmed!E14/10&amp;" ml/uur"</f>
        <v>1 ml/uur</v>
      </c>
      <c r="F14" s="196" t="str">
        <f>ber_IVmed!F14/100&amp;" "&amp;ber_IVmed!H14</f>
        <v>0,1 mcg/kg/min</v>
      </c>
      <c r="G14" s="197" t="str">
        <f>ber_IVmed!I14</f>
        <v>0,01-1,5 mcg/kg/min</v>
      </c>
      <c r="H14" s="198">
        <f>ber_IVmed!K14/10</f>
        <v>0.2</v>
      </c>
    </row>
    <row r="15" spans="1:9" ht="17.25" customHeight="1" x14ac:dyDescent="0.35">
      <c r="B15" s="193" t="str">
        <f>ber_IVmed!B15</f>
        <v>ketanserine</v>
      </c>
      <c r="C15" s="239" t="str">
        <f>ber_IVmed!C15&amp;" "&amp;ber_IVmed!J15</f>
        <v>30 mg</v>
      </c>
      <c r="D15" s="194" t="str">
        <f>ber_IVmed!D15&amp;" ml"</f>
        <v>50 ml</v>
      </c>
      <c r="E15" s="195" t="str">
        <f>ber_IVmed!E15/10&amp;" ml/uur"</f>
        <v>1 ml/uur</v>
      </c>
      <c r="F15" s="196" t="str">
        <f>ber_IVmed!F15/10&amp;" "&amp;ber_IVmed!H15</f>
        <v>1 mcg/kg/min</v>
      </c>
      <c r="G15" s="197" t="str">
        <f>ber_IVmed!I15</f>
        <v>0,5-5 mcg/kg/min</v>
      </c>
      <c r="H15" s="198">
        <f>ber_IVmed!K15</f>
        <v>10</v>
      </c>
    </row>
    <row r="16" spans="1:9" ht="17.25" customHeight="1" x14ac:dyDescent="0.35">
      <c r="B16" s="193" t="str">
        <f>ber_IVmed!B16</f>
        <v>midazolam</v>
      </c>
      <c r="C16" s="239" t="str">
        <f>ber_IVmed!C16&amp;" "&amp;ber_IVmed!J16</f>
        <v>50 mg</v>
      </c>
      <c r="D16" s="194" t="str">
        <f>ber_IVmed!D16&amp;" ml"</f>
        <v>50 ml</v>
      </c>
      <c r="E16" s="195" t="str">
        <f>ber_IVmed!E16/10&amp;" ml/uur"</f>
        <v>1 ml/uur</v>
      </c>
      <c r="F16" s="196" t="str">
        <f>ber_IVmed!F16/100&amp;" "&amp;ber_IVmed!H16</f>
        <v>0,1 mg/kg/uur</v>
      </c>
      <c r="G16" s="197" t="str">
        <f>ber_IVmed!I16</f>
        <v>0,05-0,5 mg/kg/uur</v>
      </c>
      <c r="H16" s="198">
        <f>ber_IVmed!K16</f>
        <v>5</v>
      </c>
    </row>
    <row r="17" spans="2:8" ht="17.25" customHeight="1" x14ac:dyDescent="0.35">
      <c r="B17" s="193" t="str">
        <f>ber_IVmed!B17</f>
        <v>milrinon</v>
      </c>
      <c r="C17" s="239" t="str">
        <f>ber_IVmed!C17&amp;" "&amp;ber_IVmed!J17</f>
        <v>10 mg</v>
      </c>
      <c r="D17" s="194" t="str">
        <f>ber_IVmed!D17&amp;" ml"</f>
        <v>50 ml</v>
      </c>
      <c r="E17" s="195" t="str">
        <f>ber_IVmed!E17/10&amp;" ml/uur"</f>
        <v>1 ml/uur</v>
      </c>
      <c r="F17" s="196" t="str">
        <f>ber_IVmed!F17/100&amp;" "&amp;ber_IVmed!H17</f>
        <v>0,3 mcg/kg/min</v>
      </c>
      <c r="G17" s="197" t="str">
        <f>ber_IVmed!I17</f>
        <v>0,15-0,7 mcg/kg/min</v>
      </c>
      <c r="H17" s="198">
        <f>ber_IVmed!K17</f>
        <v>10</v>
      </c>
    </row>
    <row r="18" spans="2:8" ht="17.25" customHeight="1" x14ac:dyDescent="0.35">
      <c r="B18" s="193" t="str">
        <f>ber_IVmed!B18</f>
        <v>morfine</v>
      </c>
      <c r="C18" s="239" t="str">
        <f>ber_IVmed!C18&amp;" "&amp;ber_IVmed!J18</f>
        <v>10 mg</v>
      </c>
      <c r="D18" s="194" t="str">
        <f>ber_IVmed!D18&amp;" ml"</f>
        <v>50 ml</v>
      </c>
      <c r="E18" s="195" t="str">
        <f>ber_IVmed!E18/10&amp;" ml/uur"</f>
        <v>1 ml/uur</v>
      </c>
      <c r="F18" s="196" t="str">
        <f>ber_IVmed!F18/1000&amp;" "&amp;ber_IVmed!H18</f>
        <v>0,25 mg/kg/dag</v>
      </c>
      <c r="G18" s="197" t="str">
        <f>ber_IVmed!I18</f>
        <v>0,125-0,25 mg/kg/dag</v>
      </c>
      <c r="H18" s="198">
        <f>ber_IVmed!K18</f>
        <v>10</v>
      </c>
    </row>
    <row r="19" spans="2:8" ht="17.25" customHeight="1" x14ac:dyDescent="0.35">
      <c r="B19" s="193" t="str">
        <f>ber_IVmed!B21</f>
        <v>noradrenaline</v>
      </c>
      <c r="C19" s="239" t="str">
        <f>ber_IVmed!C21&amp;" "&amp;ber_IVmed!J21</f>
        <v>5 mg</v>
      </c>
      <c r="D19" s="194" t="str">
        <f>ber_IVmed!D21&amp;" ml"</f>
        <v>50 ml</v>
      </c>
      <c r="E19" s="195" t="str">
        <f>ber_IVmed!E21/10&amp;" ml/uur"</f>
        <v>1 ml/uur</v>
      </c>
      <c r="F19" s="196" t="str">
        <f>ber_IVmed!F21/100&amp;" "&amp;ber_IVmed!H21</f>
        <v>0,1 mcg/kg/min</v>
      </c>
      <c r="G19" s="197" t="str">
        <f>ber_IVmed!I21</f>
        <v>0,05-2 mcg/kg/min</v>
      </c>
      <c r="H19" s="198">
        <f>ber_IVmed!K21</f>
        <v>5</v>
      </c>
    </row>
    <row r="20" spans="2:8" ht="17.25" customHeight="1" x14ac:dyDescent="0.35">
      <c r="B20" s="193" t="str">
        <f>ber_IVmed!B24</f>
        <v>rocuronium</v>
      </c>
      <c r="C20" s="239" t="str">
        <f>ber_IVmed!C24&amp;" "&amp;ber_IVmed!J24</f>
        <v>300 mg</v>
      </c>
      <c r="D20" s="194" t="str">
        <f>ber_IVmed!D24&amp;" ml"</f>
        <v>50 ml</v>
      </c>
      <c r="E20" s="195" t="str">
        <f>ber_IVmed!E24/10&amp;" ml/uur"</f>
        <v>1 ml/uur</v>
      </c>
      <c r="F20" s="196" t="str">
        <f>ber_IVmed!F24/10&amp;" "&amp;ber_IVmed!H24</f>
        <v>0,6 mg/kg/uur</v>
      </c>
      <c r="G20" s="197" t="str">
        <f>ber_IVmed!I24</f>
        <v>0,6-1,2 mg/kg/uur</v>
      </c>
      <c r="H20" s="198">
        <f>ber_IVmed!K24</f>
        <v>50</v>
      </c>
    </row>
    <row r="21" spans="2:8" ht="17.25" customHeight="1" x14ac:dyDescent="0.35">
      <c r="B21" s="193" t="str">
        <f>ber_IVmed!B25</f>
        <v>salbutamol</v>
      </c>
      <c r="C21" s="239" t="str">
        <f>ber_IVmed!C25&amp;" "&amp;ber_IVmed!J25</f>
        <v>5 mg</v>
      </c>
      <c r="D21" s="194" t="str">
        <f>ber_IVmed!D25&amp;" ml"</f>
        <v>50 ml</v>
      </c>
      <c r="E21" s="195" t="str">
        <f>ber_IVmed!E25/10&amp;" ml/uur"</f>
        <v>1 ml/uur</v>
      </c>
      <c r="F21" s="196" t="str">
        <f>ber_IVmed!F25/10&amp;" "&amp;ber_IVmed!H25</f>
        <v>0,2 mcg/kg/min</v>
      </c>
      <c r="G21" s="197" t="str">
        <f>ber_IVmed!I25</f>
        <v>0,2-2 mcg/kg/min</v>
      </c>
      <c r="H21" s="198">
        <f>ber_IVmed!K25/1</f>
        <v>5</v>
      </c>
    </row>
    <row r="22" spans="2:8" ht="17.25" customHeight="1" x14ac:dyDescent="0.35">
      <c r="B22" s="193" t="str">
        <f>ber_IVmed!B26</f>
        <v>thiopental</v>
      </c>
      <c r="C22" s="239" t="str">
        <f>ber_IVmed!C26&amp;" "&amp;ber_IVmed!J26</f>
        <v>48 mg</v>
      </c>
      <c r="D22" s="194" t="str">
        <f>ber_IVmed!D26&amp;" ml"</f>
        <v>50 ml</v>
      </c>
      <c r="E22" s="195" t="str">
        <f>ber_IVmed!E26/10&amp;" ml/uur"</f>
        <v>1 ml/uur</v>
      </c>
      <c r="F22" s="196" t="str">
        <f>ber_IVmed!F26/10&amp;" "&amp;ber_IVmed!H26</f>
        <v>7 mg/kg/uur</v>
      </c>
      <c r="G22" s="197" t="str">
        <f>ber_IVmed!I26</f>
        <v>Op geleide van spiegels</v>
      </c>
      <c r="H22" s="198">
        <f>ber_IVmed!K26/1</f>
        <v>500</v>
      </c>
    </row>
    <row r="23" spans="2:8" ht="17.25" customHeight="1" x14ac:dyDescent="0.35">
      <c r="B23" s="193" t="str">
        <f>ber_IVmed!B27</f>
        <v>Epiduraal WKZ</v>
      </c>
      <c r="C23" s="239" t="str">
        <f>ber_IVmed!C27&amp;" "&amp;ber_IVmed!J27</f>
        <v>0 ml</v>
      </c>
      <c r="D23" s="194" t="str">
        <f>ber_IVmed!D27&amp;" ml"</f>
        <v>100 ml</v>
      </c>
      <c r="E23" s="195"/>
      <c r="F23" s="196"/>
      <c r="G23" s="197"/>
      <c r="H23" s="198"/>
    </row>
  </sheetData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/>
  <dimension ref="A1:BL128"/>
  <sheetViews>
    <sheetView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66"/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66"/>
      <c r="AO1" s="166"/>
      <c r="AP1" s="166"/>
      <c r="AQ1" s="166"/>
      <c r="AR1" s="166"/>
      <c r="AS1" s="166"/>
      <c r="AT1" s="166"/>
      <c r="AU1" s="166"/>
      <c r="AV1" s="166"/>
      <c r="AW1" s="166"/>
      <c r="AX1" s="166"/>
      <c r="AY1" s="166"/>
      <c r="AZ1" s="166"/>
      <c r="BA1" s="166"/>
      <c r="BB1" s="166"/>
      <c r="BC1" s="166"/>
      <c r="BD1" s="166"/>
      <c r="BE1" s="166"/>
      <c r="BF1" s="166"/>
      <c r="BG1" s="166"/>
      <c r="BH1" s="166"/>
      <c r="BI1" s="166"/>
      <c r="BJ1" s="166"/>
      <c r="BK1" s="166"/>
    </row>
    <row r="2" spans="1:64" s="42" customFormat="1" ht="17.25" customHeight="1" x14ac:dyDescent="0.4">
      <c r="A2" s="166"/>
      <c r="B2" s="166"/>
      <c r="C2" s="167" t="s">
        <v>942</v>
      </c>
      <c r="D2" s="166"/>
      <c r="E2" s="168">
        <f ca="1">AfspraakDatum</f>
        <v>42194</v>
      </c>
      <c r="F2" s="169"/>
      <c r="G2" s="166"/>
      <c r="H2" s="167" t="s">
        <v>943</v>
      </c>
      <c r="I2" s="166"/>
      <c r="J2" s="170">
        <f>OpnDatum</f>
        <v>41363</v>
      </c>
      <c r="K2" s="167" t="str">
        <f ca="1">"ICU-dag: "&amp;AfspraakDatum-OpnDatum+1</f>
        <v>ICU-dag: 832</v>
      </c>
      <c r="L2" s="166"/>
      <c r="M2" s="167"/>
      <c r="N2" s="167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</row>
    <row r="3" spans="1:64" s="42" customFormat="1" ht="17.25" customHeight="1" x14ac:dyDescent="0.4">
      <c r="A3" s="166"/>
      <c r="B3" s="166"/>
      <c r="C3" s="167" t="s">
        <v>106</v>
      </c>
      <c r="D3" s="166"/>
      <c r="E3" s="171" t="str">
        <f>AchterNaam&amp;", "&amp;VoorNaam</f>
        <v>Achternaam, Voornaam</v>
      </c>
      <c r="F3" s="171"/>
      <c r="G3" s="166"/>
      <c r="H3" s="167" t="s">
        <v>961</v>
      </c>
      <c r="I3" s="166"/>
      <c r="J3" s="170">
        <f>GebDatum</f>
        <v>40909</v>
      </c>
      <c r="K3" s="172" t="str">
        <f>"Gewicht: "&amp;Gewicht/10&amp;" kg"</f>
        <v>Gewicht: 10 kg</v>
      </c>
      <c r="L3" s="167"/>
      <c r="M3" s="166"/>
      <c r="N3" s="172" t="str">
        <f>"Lengte: "&amp;Lengte&amp;" cm"</f>
        <v>Lengte: 80 cm</v>
      </c>
      <c r="O3" s="167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6"/>
      <c r="AP3" s="166"/>
      <c r="AQ3" s="166"/>
      <c r="AR3" s="166"/>
      <c r="AS3" s="166"/>
      <c r="AT3" s="166"/>
      <c r="AU3" s="166"/>
      <c r="AV3" s="166"/>
      <c r="AW3" s="166"/>
      <c r="AX3" s="166"/>
      <c r="AY3" s="166"/>
      <c r="AZ3" s="166"/>
      <c r="BA3" s="166"/>
      <c r="BB3" s="166"/>
      <c r="BC3" s="166"/>
      <c r="BD3" s="166"/>
      <c r="BE3" s="166"/>
      <c r="BF3" s="166"/>
      <c r="BG3" s="166"/>
      <c r="BH3" s="166"/>
      <c r="BI3" s="166"/>
      <c r="BJ3" s="166"/>
      <c r="BK3" s="166"/>
    </row>
    <row r="4" spans="1:64" s="42" customFormat="1" ht="17.25" customHeight="1" x14ac:dyDescent="0.4">
      <c r="A4" s="166"/>
      <c r="B4" s="166"/>
      <c r="C4" s="167" t="s">
        <v>1057</v>
      </c>
      <c r="D4" s="173"/>
      <c r="E4" s="172">
        <f>PatNummer</f>
        <v>0</v>
      </c>
      <c r="F4" s="169"/>
      <c r="G4" s="173"/>
      <c r="H4" s="167" t="s">
        <v>874</v>
      </c>
      <c r="I4" s="173"/>
      <c r="J4" s="174" t="str">
        <f ca="1">TRUNC((AfspraakDatum-GebDatum)/365,0)&amp;" jaar en "&amp;TRUNC(((AfspraakDatum-GebDatum)-365*TRUNC((AfspraakDatum-GebDatum)/365,0))/30,0)&amp;" maand(-en)"</f>
        <v>3 jaar en 6 maand(-en)</v>
      </c>
      <c r="K4" s="167"/>
      <c r="L4" s="173"/>
      <c r="M4" s="167" t="str">
        <f>"Lichamelijk oppervlak: "&amp;ROUND(POWER(Gewicht/10,0.425)*POWER(((Lengte/100)*100),0.725)*0.007184,2)&amp;" m2"</f>
        <v>Lichamelijk oppervlak: 0,46 m2</v>
      </c>
      <c r="N4" s="167"/>
      <c r="O4" s="173"/>
      <c r="P4" s="173"/>
      <c r="Q4" s="173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  <c r="AO4" s="166"/>
      <c r="AP4" s="166"/>
      <c r="AQ4" s="166"/>
      <c r="AR4" s="166"/>
      <c r="AS4" s="166"/>
      <c r="AT4" s="166"/>
      <c r="AU4" s="166"/>
      <c r="AV4" s="166"/>
      <c r="AW4" s="166"/>
      <c r="AX4" s="166"/>
      <c r="AY4" s="166"/>
      <c r="AZ4" s="166"/>
      <c r="BA4" s="166"/>
      <c r="BB4" s="166"/>
      <c r="BC4" s="166"/>
      <c r="BD4" s="166"/>
      <c r="BE4" s="166"/>
      <c r="BF4" s="166"/>
      <c r="BG4" s="166"/>
      <c r="BH4" s="166"/>
      <c r="BI4" s="166"/>
      <c r="BJ4" s="166"/>
      <c r="BK4" s="166"/>
    </row>
    <row r="5" spans="1:64" s="347" customFormat="1" x14ac:dyDescent="0.35">
      <c r="A5" s="175"/>
      <c r="B5" s="175"/>
      <c r="C5" s="175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5"/>
      <c r="P5" s="175"/>
      <c r="Q5" s="175"/>
      <c r="R5" s="175"/>
      <c r="S5" s="175"/>
      <c r="T5" s="175"/>
      <c r="U5" s="175"/>
      <c r="V5" s="175"/>
    </row>
    <row r="6" spans="1:64" s="347" customFormat="1" ht="19.55" customHeight="1" x14ac:dyDescent="0.4">
      <c r="A6" s="175"/>
      <c r="B6" s="177">
        <v>1</v>
      </c>
      <c r="C6" s="178"/>
      <c r="D6" s="350">
        <f>ber_Med_disc!C2</f>
        <v>0</v>
      </c>
      <c r="E6" s="350"/>
      <c r="F6" s="350"/>
      <c r="G6" s="350"/>
      <c r="H6" s="179" t="str">
        <f>IF(INDEX(ber_Med_disc!$D$27:$D$38,ber_Med_disc!I2,1)=0,"",INDEX(ber_Med_disc!$D$27:$D$38,ber_Med_disc!I2,1))</f>
        <v/>
      </c>
      <c r="I6" s="180" t="str">
        <f>IF(ber_Med_disc!C2&gt;1,ber_Med_disc!H2,"")</f>
        <v/>
      </c>
      <c r="J6" s="181" t="str">
        <f>IF(ber_Med_disc!C2&gt;1,ber_Med_disc!F2,"")</f>
        <v/>
      </c>
      <c r="K6" s="182">
        <f>ber_Med_disc!L2</f>
        <v>0</v>
      </c>
      <c r="L6" s="175" t="str">
        <f>IF(AND(ber_Med_disc!C2&gt;1,ber_Med_disc!O2&gt;1),ber_Med_disc!N2,"")</f>
        <v/>
      </c>
      <c r="M6" s="175" t="str">
        <f>IF(AND(ber_Med_disc!C2&gt;1,L6&lt;&gt;0,ber_Med_disc!O2&gt;1),"ml","")</f>
        <v/>
      </c>
      <c r="N6" s="175"/>
      <c r="O6" s="175" t="str">
        <f>IF(AND(L6&lt;&gt;"",ber_Med_disc!Q2&gt;0),ber_Med_disc!Q2&amp;" min","")</f>
        <v/>
      </c>
      <c r="P6" s="175"/>
      <c r="Q6" s="175"/>
      <c r="R6" s="175"/>
      <c r="S6" s="175"/>
      <c r="T6" s="175"/>
      <c r="U6" s="175"/>
      <c r="V6" s="175"/>
    </row>
    <row r="7" spans="1:64" s="347" customFormat="1" ht="19.55" customHeight="1" x14ac:dyDescent="0.35">
      <c r="A7" s="176"/>
      <c r="B7" s="183" t="s">
        <v>906</v>
      </c>
      <c r="C7" s="184"/>
      <c r="D7" s="186">
        <f>ber_Opm!C16</f>
        <v>0</v>
      </c>
      <c r="E7" s="186"/>
      <c r="F7" s="186"/>
      <c r="G7" s="186"/>
      <c r="H7" s="185" t="str">
        <f>IF(ber_Med_disc!C2&gt;1,"Dosering/kg/dag: ","")</f>
        <v/>
      </c>
      <c r="I7" s="184"/>
      <c r="J7" s="186" t="str">
        <f>IF(ber_Med_disc!C2&gt;1,ber_Med_disc!M2,"")</f>
        <v/>
      </c>
      <c r="K7" s="184" t="str">
        <f>IF(AND(ber_Med_disc!C2&gt;1),J6&amp;"/kg/dag ","")</f>
        <v/>
      </c>
      <c r="L7" s="184"/>
      <c r="M7" s="184" t="str">
        <f>IF(AND(ber_Med_disc!C2&gt;1,ber_Med_disc!O2&gt;1,ber_Med_disc!N2&gt;0),"Oplossing:","")</f>
        <v/>
      </c>
      <c r="N7" s="184" t="str">
        <f>IF(AND(ber_Med_disc!C2&gt;1,ber_Med_disc!O2&gt;1,ber_Med_disc!N2&gt;0),ROUND(ber_Med_disc!H2/ber_Med_disc!N2,2)&amp;" "&amp;ber_Med_disc!F2&amp;"/ml","")</f>
        <v/>
      </c>
      <c r="O7" s="184"/>
      <c r="P7" s="184"/>
      <c r="Q7" s="175"/>
      <c r="R7" s="175"/>
      <c r="S7" s="175"/>
      <c r="T7" s="175"/>
      <c r="U7" s="175"/>
      <c r="V7" s="175"/>
    </row>
    <row r="8" spans="1:64" s="347" customFormat="1" ht="19.55" customHeight="1" x14ac:dyDescent="0.4">
      <c r="A8" s="175"/>
      <c r="B8" s="177">
        <v>2</v>
      </c>
      <c r="C8" s="178"/>
      <c r="D8" s="393">
        <f>ber_Med_disc!C3</f>
        <v>0</v>
      </c>
      <c r="E8" s="393"/>
      <c r="F8" s="393"/>
      <c r="G8" s="393"/>
      <c r="H8" s="179" t="str">
        <f>IF(INDEX(ber_Med_disc!$D$27:$D$38,ber_Med_disc!I3,1)=0,"",INDEX(ber_Med_disc!$D$27:$D$38,ber_Med_disc!I3,1))</f>
        <v/>
      </c>
      <c r="I8" s="180" t="str">
        <f>IF(ber_Med_disc!C3&gt;1,ber_Med_disc!H3,"")</f>
        <v/>
      </c>
      <c r="J8" s="181" t="str">
        <f>IF(ber_Med_disc!C3&gt;1,ber_Med_disc!F3,"")</f>
        <v/>
      </c>
      <c r="K8" s="182">
        <f>ber_Med_disc!L3</f>
        <v>0</v>
      </c>
      <c r="L8" s="175" t="str">
        <f>IF(AND(ber_Med_disc!C3&gt;1,ber_Med_disc!O3&gt;1,H8&lt;&gt;"STOP"),ber_Med_disc!N3,"")</f>
        <v/>
      </c>
      <c r="M8" s="175" t="str">
        <f>IF(AND(ber_Med_disc!C3&gt;1,L8&lt;&gt;0,ber_Med_disc!O3&gt;1,H8&lt;&gt;"STOP"),"ml","")</f>
        <v/>
      </c>
      <c r="N8" s="175"/>
      <c r="O8" s="175" t="str">
        <f>IF(AND(L8&lt;&gt;"",ber_Med_disc!Q3&gt;0,H8&lt;&gt;"STOP"),ber_Med_disc!Q3&amp;" min","")</f>
        <v/>
      </c>
      <c r="P8" s="175"/>
      <c r="Q8" s="175"/>
      <c r="R8" s="175"/>
      <c r="S8" s="175"/>
      <c r="T8" s="175"/>
      <c r="U8" s="175"/>
      <c r="V8" s="175"/>
    </row>
    <row r="9" spans="1:64" s="347" customFormat="1" ht="19.55" customHeight="1" x14ac:dyDescent="0.35">
      <c r="A9" s="175"/>
      <c r="B9" s="183" t="s">
        <v>906</v>
      </c>
      <c r="C9" s="184"/>
      <c r="D9" s="186">
        <f>ber_Opm!C17</f>
        <v>0</v>
      </c>
      <c r="E9" s="186"/>
      <c r="F9" s="186"/>
      <c r="G9" s="186"/>
      <c r="H9" s="185" t="str">
        <f>IF(AND(ber_Med_disc!C3&gt;1,H8&lt;&gt;"STOP"),"Dosering/kg/dag: ","")</f>
        <v/>
      </c>
      <c r="I9" s="184"/>
      <c r="J9" s="186" t="str">
        <f>IF(ber_Med_disc!C3&gt;1,ber_Med_disc!M3,"")</f>
        <v/>
      </c>
      <c r="K9" s="184" t="str">
        <f>IF(AND(ber_Med_disc!C3&gt;1,H8&lt;&gt;"STOP"),J8&amp;"/kg/dag ","")</f>
        <v/>
      </c>
      <c r="L9" s="184"/>
      <c r="M9" s="184" t="str">
        <f>IF(AND(ber_Med_disc!C3&gt;1,ber_Med_disc!O3&gt;1,ber_Med_disc!N3&gt;0,H8&lt;&gt;"STOP"),"Oplossing:","")</f>
        <v/>
      </c>
      <c r="N9" s="184" t="str">
        <f>IF(AND(ber_Med_disc!C3&gt;1,ber_Med_disc!O3&gt;1,ber_Med_disc!N3&gt;0,H8&lt;&gt;"STOP"),ROUND(ber_Med_disc!H3/ber_Med_disc!N3,2)&amp;" "&amp;ber_Med_disc!F3&amp;"/ml","")</f>
        <v/>
      </c>
      <c r="O9" s="184"/>
      <c r="P9" s="184"/>
      <c r="Q9" s="175"/>
      <c r="R9" s="175"/>
      <c r="S9" s="175"/>
      <c r="T9" s="175"/>
      <c r="U9" s="175"/>
      <c r="V9" s="175"/>
    </row>
    <row r="10" spans="1:64" s="347" customFormat="1" ht="19.55" customHeight="1" x14ac:dyDescent="0.4">
      <c r="A10" s="175"/>
      <c r="B10" s="177">
        <v>3</v>
      </c>
      <c r="C10" s="178"/>
      <c r="D10" s="393">
        <f>ber_Med_disc!C4</f>
        <v>0</v>
      </c>
      <c r="E10" s="393"/>
      <c r="F10" s="393"/>
      <c r="G10" s="393"/>
      <c r="H10" s="179" t="str">
        <f>IF(INDEX(ber_Med_disc!$D$27:$D$38,ber_Med_disc!I4,1)=0,"",INDEX(ber_Med_disc!$D$27:$D$38,ber_Med_disc!I4,1))</f>
        <v/>
      </c>
      <c r="I10" s="180" t="str">
        <f>IF(ber_Med_disc!C4&gt;1,ber_Med_disc!H4,"")</f>
        <v/>
      </c>
      <c r="J10" s="181" t="str">
        <f>IF(ber_Med_disc!C4&gt;1,ber_Med_disc!F4,"")</f>
        <v/>
      </c>
      <c r="K10" s="182">
        <f>ber_Med_disc!L4</f>
        <v>0</v>
      </c>
      <c r="L10" s="175" t="str">
        <f>IF(AND(ber_Med_disc!C4&gt;1,ber_Med_disc!O4&gt;1,H10&lt;&gt;"STOP"),ber_Med_disc!N4,"")</f>
        <v/>
      </c>
      <c r="M10" s="175" t="str">
        <f>IF(AND(ber_Med_disc!C4&gt;1,L10&lt;&gt;0,ber_Med_disc!O4&gt;1,H10&lt;&gt;"STOP"),"ml","")</f>
        <v/>
      </c>
      <c r="N10" s="175"/>
      <c r="O10" s="175" t="str">
        <f>IF(AND(L10&lt;&gt;"",ber_Med_disc!Q4&gt;0,H10&lt;&gt;"STOP"),ber_Med_disc!Q4&amp;" min","")</f>
        <v/>
      </c>
      <c r="P10" s="175"/>
      <c r="Q10" s="175"/>
      <c r="R10" s="175"/>
      <c r="S10" s="175"/>
      <c r="T10" s="175"/>
      <c r="U10" s="175"/>
      <c r="V10" s="175"/>
    </row>
    <row r="11" spans="1:64" s="347" customFormat="1" ht="19.55" customHeight="1" x14ac:dyDescent="0.35">
      <c r="A11" s="175"/>
      <c r="B11" s="183" t="s">
        <v>906</v>
      </c>
      <c r="C11" s="184"/>
      <c r="D11" s="186">
        <f>ber_Opm!C18</f>
        <v>0</v>
      </c>
      <c r="E11" s="186"/>
      <c r="F11" s="186"/>
      <c r="G11" s="186"/>
      <c r="H11" s="185" t="str">
        <f>IF(AND(ber_Med_disc!C4&gt;1,H10&lt;&gt;"STOP"),"Dosering/kg/dag: ","")</f>
        <v/>
      </c>
      <c r="I11" s="184"/>
      <c r="J11" s="186" t="str">
        <f>IF(ber_Med_disc!C4&gt;1,ber_Med_disc!M4,"")</f>
        <v/>
      </c>
      <c r="K11" s="184" t="str">
        <f>IF(AND(ber_Med_disc!C4&gt;1,H10&lt;&gt;"STOP"),J10&amp;"/kg/dag ","")</f>
        <v/>
      </c>
      <c r="L11" s="184"/>
      <c r="M11" s="184" t="str">
        <f>IF(AND(ber_Med_disc!C4&gt;1,ber_Med_disc!O4&gt;1,ber_Med_disc!N4&gt;0,H10&lt;&gt;"STOP"),"Oplossing:","")</f>
        <v/>
      </c>
      <c r="N11" s="184" t="str">
        <f>IF(AND(ber_Med_disc!C4&gt;1,ber_Med_disc!O4&gt;1,ber_Med_disc!N4&gt;0,H10&lt;&gt;"STOP"),ROUND(ber_Med_disc!H4/ber_Med_disc!N4,2)&amp;" "&amp;ber_Med_disc!F4&amp;"/ml","")</f>
        <v/>
      </c>
      <c r="O11" s="184"/>
      <c r="P11" s="184"/>
      <c r="Q11" s="175"/>
      <c r="R11" s="175"/>
      <c r="S11" s="175"/>
      <c r="T11" s="175"/>
      <c r="U11" s="175"/>
      <c r="V11" s="175"/>
    </row>
    <row r="12" spans="1:64" s="347" customFormat="1" ht="19.55" customHeight="1" x14ac:dyDescent="0.4">
      <c r="A12" s="175"/>
      <c r="B12" s="177">
        <v>4</v>
      </c>
      <c r="C12" s="178"/>
      <c r="D12" s="393">
        <f>ber_Med_disc!C5</f>
        <v>0</v>
      </c>
      <c r="E12" s="393"/>
      <c r="F12" s="393"/>
      <c r="G12" s="393"/>
      <c r="H12" s="179" t="str">
        <f>IF(INDEX(ber_Med_disc!$D$27:$D$38,ber_Med_disc!I5,1)=0,"",INDEX(ber_Med_disc!$D$27:$D$38,ber_Med_disc!I5,1))</f>
        <v/>
      </c>
      <c r="I12" s="180" t="str">
        <f>IF(ber_Med_disc!C5&gt;1,ber_Med_disc!H5,"")</f>
        <v/>
      </c>
      <c r="J12" s="181" t="str">
        <f>IF(ber_Med_disc!C5&gt;1,ber_Med_disc!F5,"")</f>
        <v/>
      </c>
      <c r="K12" s="182">
        <f>ber_Med_disc!L5</f>
        <v>0</v>
      </c>
      <c r="L12" s="175" t="str">
        <f>IF(AND(ber_Med_disc!C5&gt;1,ber_Med_disc!O5&gt;1,H12&lt;&gt;"STOP"),ber_Med_disc!N5,"")</f>
        <v/>
      </c>
      <c r="M12" s="175" t="str">
        <f>IF(AND(ber_Med_disc!C5&gt;1,L12&lt;&gt;0,ber_Med_disc!O5&gt;1,H12&lt;&gt;"STOP"),"ml","")</f>
        <v/>
      </c>
      <c r="N12" s="175"/>
      <c r="O12" s="175" t="str">
        <f>IF(AND(L12&lt;&gt;"",ber_Med_disc!Q5&gt;0,H12&lt;&gt;"STOP"),ber_Med_disc!Q5&amp;" min","")</f>
        <v/>
      </c>
      <c r="P12" s="175"/>
      <c r="Q12" s="175"/>
      <c r="R12" s="175"/>
      <c r="S12" s="175"/>
      <c r="T12" s="175"/>
      <c r="U12" s="175"/>
      <c r="V12" s="175"/>
    </row>
    <row r="13" spans="1:64" s="347" customFormat="1" ht="19.55" customHeight="1" x14ac:dyDescent="0.35">
      <c r="A13" s="175"/>
      <c r="B13" s="183" t="s">
        <v>906</v>
      </c>
      <c r="C13" s="184"/>
      <c r="D13" s="186">
        <f>ber_Opm!C19</f>
        <v>0</v>
      </c>
      <c r="E13" s="186"/>
      <c r="F13" s="186"/>
      <c r="G13" s="186"/>
      <c r="H13" s="185" t="str">
        <f>IF(AND(ber_Med_disc!C5&gt;1,H12&lt;&gt;"STOP"),"Dosering/kg/dag: ","")</f>
        <v/>
      </c>
      <c r="I13" s="184"/>
      <c r="J13" s="186" t="str">
        <f>IF(ber_Med_disc!C5&gt;1,ber_Med_disc!M5,"")</f>
        <v/>
      </c>
      <c r="K13" s="184" t="str">
        <f>IF(AND(ber_Med_disc!C5&gt;1,H12&lt;&gt;"STOP"),J12&amp;"/kg/dag ","")</f>
        <v/>
      </c>
      <c r="L13" s="184"/>
      <c r="M13" s="184" t="str">
        <f>IF(AND(ber_Med_disc!C5&gt;1,ber_Med_disc!O5&gt;1,ber_Med_disc!N5&gt;0,H12&lt;&gt;"STOP"),"Oplossing:","")</f>
        <v/>
      </c>
      <c r="N13" s="184" t="str">
        <f>IF(AND(ber_Med_disc!C5&gt;1,ber_Med_disc!O5&gt;1,ber_Med_disc!N5&gt;0,H12&lt;&gt;"STOP"),ROUND(ber_Med_disc!H5/ber_Med_disc!N5,2)&amp;" "&amp;ber_Med_disc!F5&amp;"/ml","")</f>
        <v/>
      </c>
      <c r="O13" s="184"/>
      <c r="P13" s="184"/>
      <c r="Q13" s="175"/>
      <c r="R13" s="187"/>
      <c r="S13" s="187"/>
      <c r="T13" s="187"/>
      <c r="U13" s="187"/>
      <c r="V13" s="187"/>
      <c r="W13" s="348"/>
      <c r="X13" s="348"/>
      <c r="Y13" s="348"/>
      <c r="Z13" s="348"/>
      <c r="AA13" s="348"/>
      <c r="AB13" s="348"/>
      <c r="AC13" s="348"/>
      <c r="AD13" s="348"/>
      <c r="AE13" s="348"/>
      <c r="AF13" s="348"/>
      <c r="AG13" s="348"/>
      <c r="AH13" s="348"/>
      <c r="AI13" s="348"/>
      <c r="AJ13" s="348"/>
      <c r="AK13" s="348"/>
      <c r="AL13" s="348"/>
      <c r="AM13" s="348"/>
      <c r="AN13" s="348"/>
      <c r="AO13" s="348"/>
      <c r="AP13" s="348"/>
      <c r="AQ13" s="348"/>
      <c r="AR13" s="348"/>
      <c r="AS13" s="348"/>
      <c r="AT13" s="348"/>
      <c r="AU13" s="348"/>
      <c r="AV13" s="348"/>
      <c r="AW13" s="348"/>
      <c r="AX13" s="348"/>
      <c r="AY13" s="348"/>
      <c r="AZ13" s="348"/>
      <c r="BA13" s="348"/>
      <c r="BB13" s="348"/>
      <c r="BC13" s="348"/>
      <c r="BD13" s="348"/>
      <c r="BE13" s="348"/>
      <c r="BF13" s="348"/>
      <c r="BG13" s="348"/>
      <c r="BH13" s="348"/>
      <c r="BI13" s="348"/>
      <c r="BJ13" s="348"/>
      <c r="BK13" s="348"/>
      <c r="BL13" s="348"/>
    </row>
    <row r="14" spans="1:64" s="348" customFormat="1" ht="19.55" customHeight="1" x14ac:dyDescent="0.4">
      <c r="A14" s="175"/>
      <c r="B14" s="177">
        <v>5</v>
      </c>
      <c r="C14" s="178"/>
      <c r="D14" s="393">
        <f>ber_Med_disc!C6</f>
        <v>0</v>
      </c>
      <c r="E14" s="393"/>
      <c r="F14" s="393"/>
      <c r="G14" s="393"/>
      <c r="H14" s="179" t="str">
        <f>IF(INDEX(ber_Med_disc!$D$27:$D$38,ber_Med_disc!I6,1)=0,"",INDEX(ber_Med_disc!$D$27:$D$38,ber_Med_disc!I6,1))</f>
        <v/>
      </c>
      <c r="I14" s="180" t="str">
        <f>IF(ber_Med_disc!C6&gt;1,ber_Med_disc!H6,"")</f>
        <v/>
      </c>
      <c r="J14" s="181" t="str">
        <f>IF(ber_Med_disc!C6&gt;1,ber_Med_disc!F6,"")</f>
        <v/>
      </c>
      <c r="K14" s="182">
        <f>ber_Med_disc!L6</f>
        <v>0</v>
      </c>
      <c r="L14" s="175" t="str">
        <f>IF(AND(ber_Med_disc!C6&gt;1,ber_Med_disc!O6&gt;1,H14&lt;&gt;"STOP"),ber_Med_disc!N6,"")</f>
        <v/>
      </c>
      <c r="M14" s="175" t="str">
        <f>IF(AND(ber_Med_disc!C6&gt;1,L14&lt;&gt;0,ber_Med_disc!O6&gt;1,H14&lt;&gt;"STOP"),"ml","")</f>
        <v/>
      </c>
      <c r="N14" s="175"/>
      <c r="O14" s="175" t="str">
        <f>IF(AND(L14&lt;&gt;"",ber_Med_disc!Q6&gt;0,H14&lt;&gt;"STOP"),ber_Med_disc!Q6&amp;" min","")</f>
        <v/>
      </c>
      <c r="P14" s="175"/>
      <c r="Q14" s="175"/>
      <c r="R14" s="175"/>
      <c r="S14" s="175"/>
      <c r="T14" s="175"/>
      <c r="U14" s="175"/>
      <c r="V14" s="175"/>
      <c r="W14" s="347"/>
      <c r="X14" s="347"/>
      <c r="Y14" s="347"/>
      <c r="Z14" s="347"/>
      <c r="AA14" s="347"/>
      <c r="AB14" s="347"/>
      <c r="AC14" s="347"/>
      <c r="AD14" s="347"/>
      <c r="AE14" s="347"/>
      <c r="AF14" s="347"/>
      <c r="AG14" s="347"/>
      <c r="AH14" s="347"/>
      <c r="AI14" s="347"/>
      <c r="AJ14" s="347"/>
      <c r="AK14" s="347"/>
      <c r="AL14" s="347"/>
      <c r="AM14" s="347"/>
      <c r="AN14" s="347"/>
      <c r="AO14" s="347"/>
      <c r="AP14" s="347"/>
      <c r="AQ14" s="347"/>
      <c r="AR14" s="347"/>
      <c r="AS14" s="347"/>
      <c r="AT14" s="347"/>
      <c r="AU14" s="347"/>
      <c r="AV14" s="347"/>
      <c r="AW14" s="347"/>
      <c r="AX14" s="347"/>
      <c r="AY14" s="347"/>
      <c r="AZ14" s="347"/>
      <c r="BA14" s="347"/>
      <c r="BB14" s="347"/>
      <c r="BC14" s="347"/>
      <c r="BD14" s="347"/>
      <c r="BE14" s="347"/>
      <c r="BF14" s="347"/>
      <c r="BG14" s="347"/>
      <c r="BH14" s="347"/>
      <c r="BI14" s="347"/>
      <c r="BJ14" s="347"/>
      <c r="BK14" s="347"/>
      <c r="BL14" s="347"/>
    </row>
    <row r="15" spans="1:64" s="347" customFormat="1" ht="19.55" customHeight="1" x14ac:dyDescent="0.35">
      <c r="A15" s="175"/>
      <c r="B15" s="183" t="s">
        <v>906</v>
      </c>
      <c r="C15" s="184"/>
      <c r="D15" s="186">
        <f>ber_Opm!C20</f>
        <v>0</v>
      </c>
      <c r="E15" s="186"/>
      <c r="F15" s="186"/>
      <c r="G15" s="186"/>
      <c r="H15" s="185" t="str">
        <f>IF(AND(ber_Med_disc!C6&gt;1,H14&lt;&gt;"STOP"),"Dosering/kg/dag: ","")</f>
        <v/>
      </c>
      <c r="I15" s="184"/>
      <c r="J15" s="186" t="str">
        <f>IF(ber_Med_disc!C6&gt;1,ber_Med_disc!M6,"")</f>
        <v/>
      </c>
      <c r="K15" s="184" t="str">
        <f>IF(AND(ber_Med_disc!C6&gt;1,H14&lt;&gt;"STOP"),J14&amp;"/kg/dag ","")</f>
        <v/>
      </c>
      <c r="L15" s="184"/>
      <c r="M15" s="184" t="str">
        <f>IF(AND(ber_Med_disc!C6&gt;1,ber_Med_disc!O6&gt;1,ber_Med_disc!N6&gt;0,H14&lt;&gt;"STOP"),"Oplossing:","")</f>
        <v/>
      </c>
      <c r="N15" s="184" t="str">
        <f>IF(AND(ber_Med_disc!C6&gt;1,ber_Med_disc!O6&gt;1,ber_Med_disc!N6&gt;0,H14&lt;&gt;"STOP"),ROUND(ber_Med_disc!H6/ber_Med_disc!N6,2)&amp;" "&amp;ber_Med_disc!F6&amp;"/ml","")</f>
        <v/>
      </c>
      <c r="O15" s="184"/>
      <c r="P15" s="184"/>
      <c r="Q15" s="175"/>
      <c r="R15" s="175"/>
      <c r="S15" s="175"/>
      <c r="T15" s="175"/>
      <c r="U15" s="175"/>
      <c r="V15" s="175"/>
    </row>
    <row r="16" spans="1:64" s="347" customFormat="1" ht="19.55" customHeight="1" x14ac:dyDescent="0.4">
      <c r="A16" s="175"/>
      <c r="B16" s="177">
        <v>6</v>
      </c>
      <c r="C16" s="178"/>
      <c r="D16" s="393">
        <f>ber_Med_disc!C7</f>
        <v>0</v>
      </c>
      <c r="E16" s="393"/>
      <c r="F16" s="393"/>
      <c r="G16" s="393"/>
      <c r="H16" s="179" t="str">
        <f>IF(INDEX(ber_Med_disc!$D$27:$D$38,ber_Med_disc!I7,1)=0,"",INDEX(ber_Med_disc!$D$27:$D$38,ber_Med_disc!I7,1))</f>
        <v/>
      </c>
      <c r="I16" s="180" t="str">
        <f>IF(ber_Med_disc!C7&gt;1,ber_Med_disc!H7,"")</f>
        <v/>
      </c>
      <c r="J16" s="181" t="str">
        <f>IF(ber_Med_disc!C7&gt;1,ber_Med_disc!F7,"")</f>
        <v/>
      </c>
      <c r="K16" s="182">
        <f>ber_Med_disc!L7</f>
        <v>0</v>
      </c>
      <c r="L16" s="175" t="str">
        <f>IF(AND(ber_Med_disc!C7&gt;1,ber_Med_disc!O7&gt;1,H16&lt;&gt;"STOP"),ber_Med_disc!N7,"")</f>
        <v/>
      </c>
      <c r="M16" s="175" t="str">
        <f>IF(AND(ber_Med_disc!C7&gt;1,L16&lt;&gt;0,ber_Med_disc!O7&gt;1,H16&lt;&gt;"STOP"),"ml","")</f>
        <v/>
      </c>
      <c r="N16" s="175"/>
      <c r="O16" s="175" t="str">
        <f>IF(AND(L16&lt;&gt;"",ber_Med_disc!Q7&gt;0,H16&lt;&gt;"STOP"),ber_Med_disc!Q7&amp;" min","")</f>
        <v/>
      </c>
      <c r="P16" s="175"/>
      <c r="Q16" s="175"/>
      <c r="R16" s="175"/>
      <c r="S16" s="175"/>
      <c r="T16" s="175"/>
      <c r="U16" s="175"/>
      <c r="V16" s="175"/>
    </row>
    <row r="17" spans="1:22" s="347" customFormat="1" ht="19.55" customHeight="1" x14ac:dyDescent="0.35">
      <c r="A17" s="175"/>
      <c r="B17" s="183" t="s">
        <v>906</v>
      </c>
      <c r="C17" s="184"/>
      <c r="D17" s="186">
        <f>ber_Opm!C21</f>
        <v>0</v>
      </c>
      <c r="E17" s="186"/>
      <c r="F17" s="186"/>
      <c r="G17" s="186"/>
      <c r="H17" s="185" t="str">
        <f>IF(AND(ber_Med_disc!C7&gt;1,H16&lt;&gt;"STOP"),"Dosering/kg/dag: ","")</f>
        <v/>
      </c>
      <c r="I17" s="184"/>
      <c r="J17" s="186" t="str">
        <f>IF(ber_Med_disc!C7&gt;1,ber_Med_disc!M7,"")</f>
        <v/>
      </c>
      <c r="K17" s="184" t="str">
        <f>IF(AND(ber_Med_disc!C7&gt;1,H16&lt;&gt;"STOP"),J16&amp;"/kg/dag ","")</f>
        <v/>
      </c>
      <c r="L17" s="184"/>
      <c r="M17" s="184" t="str">
        <f>IF(AND(ber_Med_disc!C7&gt;1,ber_Med_disc!O7&gt;1,ber_Med_disc!N7&gt;0,H16&lt;&gt;"STOP"),"Oplossing:","")</f>
        <v/>
      </c>
      <c r="N17" s="184" t="str">
        <f>IF(AND(ber_Med_disc!C7&gt;1,ber_Med_disc!O7&gt;1,ber_Med_disc!N7&gt;0,H16&lt;&gt;"STOP"),ROUND(ber_Med_disc!H7/ber_Med_disc!N7,2)&amp;" "&amp;ber_Med_disc!F7&amp;"/ml","")</f>
        <v/>
      </c>
      <c r="O17" s="184"/>
      <c r="P17" s="184"/>
      <c r="Q17" s="175"/>
      <c r="R17" s="175"/>
      <c r="S17" s="175"/>
      <c r="T17" s="175"/>
      <c r="U17" s="175"/>
      <c r="V17" s="175"/>
    </row>
    <row r="18" spans="1:22" s="347" customFormat="1" ht="19.55" customHeight="1" x14ac:dyDescent="0.4">
      <c r="A18" s="175"/>
      <c r="B18" s="177">
        <v>7</v>
      </c>
      <c r="C18" s="178"/>
      <c r="D18" s="393">
        <f>ber_Med_disc!C8</f>
        <v>0</v>
      </c>
      <c r="E18" s="393"/>
      <c r="F18" s="393"/>
      <c r="G18" s="393"/>
      <c r="H18" s="179" t="str">
        <f>IF(INDEX(ber_Med_disc!$D$27:$D$38,ber_Med_disc!I8,1)=0,"",INDEX(ber_Med_disc!$D$27:$D$38,ber_Med_disc!I8,1))</f>
        <v/>
      </c>
      <c r="I18" s="180" t="str">
        <f>IF(ber_Med_disc!C8&gt;1,ber_Med_disc!H8,"")</f>
        <v/>
      </c>
      <c r="J18" s="181" t="str">
        <f>IF(ber_Med_disc!C8&gt;1,ber_Med_disc!F8,"")</f>
        <v/>
      </c>
      <c r="K18" s="182">
        <f>ber_Med_disc!L8</f>
        <v>0</v>
      </c>
      <c r="L18" s="175" t="str">
        <f>IF(AND(ber_Med_disc!C8&gt;1,ber_Med_disc!O8&gt;1,H18&lt;&gt;"STOP"),ber_Med_disc!N8,"")</f>
        <v/>
      </c>
      <c r="M18" s="175" t="str">
        <f>IF(AND(ber_Med_disc!C8&gt;1,L18&lt;&gt;0,ber_Med_disc!O8&gt;1,H18&lt;&gt;"STOP"),"ml","")</f>
        <v/>
      </c>
      <c r="N18" s="175"/>
      <c r="O18" s="175" t="str">
        <f>IF(AND(L18&lt;&gt;"",ber_Med_disc!Q8&gt;0,H18&lt;&gt;"STOP"),ber_Med_disc!Q8&amp;" min","")</f>
        <v/>
      </c>
      <c r="P18" s="175"/>
      <c r="Q18" s="175"/>
      <c r="R18" s="175"/>
      <c r="S18" s="175"/>
      <c r="T18" s="175"/>
      <c r="U18" s="175"/>
      <c r="V18" s="175"/>
    </row>
    <row r="19" spans="1:22" s="347" customFormat="1" ht="19.55" customHeight="1" x14ac:dyDescent="0.35">
      <c r="A19" s="175"/>
      <c r="B19" s="183" t="s">
        <v>906</v>
      </c>
      <c r="C19" s="184"/>
      <c r="D19" s="186">
        <f>ber_Opm!C22</f>
        <v>0</v>
      </c>
      <c r="E19" s="186"/>
      <c r="F19" s="186"/>
      <c r="G19" s="186"/>
      <c r="H19" s="185" t="str">
        <f>IF(AND(ber_Med_disc!C8&gt;1,H18&lt;&gt;"STOP"),"Dosering/kg/dag: ","")</f>
        <v/>
      </c>
      <c r="I19" s="184"/>
      <c r="J19" s="186" t="str">
        <f>IF(ber_Med_disc!C8&gt;1,ber_Med_disc!M8,"")</f>
        <v/>
      </c>
      <c r="K19" s="184" t="str">
        <f>IF(AND(ber_Med_disc!C8&gt;1,H18&lt;&gt;"STOP"),J18&amp;"/kg/dag ","")</f>
        <v/>
      </c>
      <c r="L19" s="184"/>
      <c r="M19" s="184" t="str">
        <f>IF(AND(ber_Med_disc!C8&gt;1,ber_Med_disc!O8&gt;1,ber_Med_disc!N8&gt;0,H18&lt;&gt;"STOP"),"Oplossing:","")</f>
        <v/>
      </c>
      <c r="N19" s="184" t="str">
        <f>IF(AND(ber_Med_disc!C8&gt;1,ber_Med_disc!O8&gt;1,ber_Med_disc!N8&gt;0,H18&lt;&gt;"STOP"),ROUND(ber_Med_disc!H8/ber_Med_disc!N8,2)&amp;" "&amp;ber_Med_disc!F8&amp;"/ml","")</f>
        <v/>
      </c>
      <c r="O19" s="184"/>
      <c r="P19" s="184"/>
      <c r="Q19" s="175"/>
      <c r="R19" s="175"/>
      <c r="S19" s="175"/>
      <c r="T19" s="175"/>
      <c r="U19" s="175"/>
      <c r="V19" s="175"/>
    </row>
    <row r="20" spans="1:22" s="347" customFormat="1" ht="19.55" customHeight="1" x14ac:dyDescent="0.4">
      <c r="A20" s="175"/>
      <c r="B20" s="177">
        <v>8</v>
      </c>
      <c r="C20" s="178"/>
      <c r="D20" s="393">
        <f>ber_Med_disc!C9</f>
        <v>0</v>
      </c>
      <c r="E20" s="393"/>
      <c r="F20" s="393"/>
      <c r="G20" s="393"/>
      <c r="H20" s="179" t="str">
        <f>IF(INDEX(ber_Med_disc!$D$27:$D$38,ber_Med_disc!I9,1)=0,"",INDEX(ber_Med_disc!$D$27:$D$38,ber_Med_disc!I9,1))</f>
        <v/>
      </c>
      <c r="I20" s="180" t="str">
        <f>IF(ber_Med_disc!C9&gt;1,ber_Med_disc!H9,"")</f>
        <v/>
      </c>
      <c r="J20" s="181" t="str">
        <f>IF(ber_Med_disc!C9&gt;1,ber_Med_disc!F9,"")</f>
        <v/>
      </c>
      <c r="K20" s="182">
        <f>ber_Med_disc!L9</f>
        <v>0</v>
      </c>
      <c r="L20" s="175" t="str">
        <f>IF(AND(ber_Med_disc!C9&gt;1,ber_Med_disc!O9&gt;1,H20&lt;&gt;"STOP"),ber_Med_disc!N9,"")</f>
        <v/>
      </c>
      <c r="M20" s="175" t="str">
        <f>IF(AND(ber_Med_disc!C9&gt;1,L20&lt;&gt;0,ber_Med_disc!O9&gt;1,H20&lt;&gt;"STOP"),"ml","")</f>
        <v/>
      </c>
      <c r="N20" s="175"/>
      <c r="O20" s="175" t="str">
        <f>IF(AND(L20&lt;&gt;"",ber_Med_disc!Q9&gt;0,H20&lt;&gt;"STOP"),ber_Med_disc!Q9&amp;" min","")</f>
        <v/>
      </c>
      <c r="P20" s="175"/>
      <c r="Q20" s="175"/>
      <c r="R20" s="175"/>
      <c r="S20" s="175"/>
      <c r="T20" s="175"/>
      <c r="U20" s="175"/>
      <c r="V20" s="175"/>
    </row>
    <row r="21" spans="1:22" s="347" customFormat="1" ht="19.55" customHeight="1" x14ac:dyDescent="0.35">
      <c r="A21" s="175"/>
      <c r="B21" s="183" t="s">
        <v>906</v>
      </c>
      <c r="C21" s="184"/>
      <c r="D21" s="186">
        <f>ber_Opm!C23</f>
        <v>0</v>
      </c>
      <c r="E21" s="186"/>
      <c r="F21" s="186"/>
      <c r="G21" s="186"/>
      <c r="H21" s="185" t="str">
        <f>IF(AND(ber_Med_disc!C9&gt;1,H20&lt;&gt;"STOP"),"Dosering/kg/dag: ","")</f>
        <v/>
      </c>
      <c r="I21" s="184"/>
      <c r="J21" s="186" t="str">
        <f>IF(ber_Med_disc!C9&gt;1,ber_Med_disc!M9,"")</f>
        <v/>
      </c>
      <c r="K21" s="184" t="str">
        <f>IF(AND(ber_Med_disc!C9&gt;1,H20&lt;&gt;"STOP"),J20&amp;"/kg/dag ","")</f>
        <v/>
      </c>
      <c r="L21" s="184"/>
      <c r="M21" s="184" t="str">
        <f>IF(AND(ber_Med_disc!C9&gt;1,ber_Med_disc!O9&gt;1,ber_Med_disc!N9&gt;0,H20&lt;&gt;"STOP"),"Oplossing:","")</f>
        <v/>
      </c>
      <c r="N21" s="184" t="str">
        <f>IF(AND(ber_Med_disc!C9&gt;1,ber_Med_disc!O9&gt;1,ber_Med_disc!N9&gt;0,H20&lt;&gt;"STOP"),ROUND(ber_Med_disc!H9/ber_Med_disc!N9,2)&amp;" "&amp;ber_Med_disc!F9&amp;"/ml","")</f>
        <v/>
      </c>
      <c r="O21" s="184"/>
      <c r="P21" s="184"/>
      <c r="Q21" s="175"/>
      <c r="R21" s="175"/>
      <c r="S21" s="175"/>
      <c r="T21" s="175"/>
      <c r="U21" s="175"/>
      <c r="V21" s="175"/>
    </row>
    <row r="22" spans="1:22" s="347" customFormat="1" ht="19.55" customHeight="1" x14ac:dyDescent="0.4">
      <c r="A22" s="175"/>
      <c r="B22" s="177">
        <v>9</v>
      </c>
      <c r="C22" s="178"/>
      <c r="D22" s="393">
        <f>ber_Med_disc!C10</f>
        <v>0</v>
      </c>
      <c r="E22" s="393"/>
      <c r="F22" s="393"/>
      <c r="G22" s="393"/>
      <c r="H22" s="179" t="str">
        <f>IF(INDEX(ber_Med_disc!$D$27:$D$38,ber_Med_disc!I10,1)=0,"",INDEX(ber_Med_disc!$D$27:$D$38,ber_Med_disc!I10,1))</f>
        <v/>
      </c>
      <c r="I22" s="180" t="str">
        <f>IF(ber_Med_disc!C10&gt;1,ber_Med_disc!H10,"")</f>
        <v/>
      </c>
      <c r="J22" s="181" t="str">
        <f>IF(ber_Med_disc!C10&gt;1,ber_Med_disc!F10,"")</f>
        <v/>
      </c>
      <c r="K22" s="182">
        <f>ber_Med_disc!L10</f>
        <v>0</v>
      </c>
      <c r="L22" s="175" t="str">
        <f>IF(AND(ber_Med_disc!C10&gt;1,ber_Med_disc!O10&gt;1,H22&lt;&gt;"STOP"),ber_Med_disc!N10,"")</f>
        <v/>
      </c>
      <c r="M22" s="175" t="str">
        <f>IF(AND(ber_Med_disc!C10&gt;1,L22&lt;&gt;0,ber_Med_disc!O10&gt;1,H22&lt;&gt;"STOP"),"ml","")</f>
        <v/>
      </c>
      <c r="N22" s="175"/>
      <c r="O22" s="175" t="str">
        <f>IF(AND(L22&lt;&gt;"",ber_Med_disc!Q10&gt;0,H22&lt;&gt;"STOP"),ber_Med_disc!Q10&amp;" min","")</f>
        <v/>
      </c>
      <c r="P22" s="175"/>
      <c r="Q22" s="175"/>
      <c r="R22" s="175"/>
      <c r="S22" s="175"/>
      <c r="T22" s="175"/>
      <c r="U22" s="175"/>
      <c r="V22" s="175"/>
    </row>
    <row r="23" spans="1:22" s="347" customFormat="1" ht="19.55" customHeight="1" x14ac:dyDescent="0.35">
      <c r="A23" s="175"/>
      <c r="B23" s="183" t="s">
        <v>906</v>
      </c>
      <c r="C23" s="184"/>
      <c r="D23" s="186">
        <f>ber_Opm!C24</f>
        <v>0</v>
      </c>
      <c r="E23" s="186"/>
      <c r="F23" s="186"/>
      <c r="G23" s="186"/>
      <c r="H23" s="185" t="str">
        <f>IF(AND(ber_Med_disc!C10&gt;1,H22&lt;&gt;"STOP"),"Dosering/kg/dag: ","")</f>
        <v/>
      </c>
      <c r="I23" s="184"/>
      <c r="J23" s="186" t="str">
        <f>IF(ber_Med_disc!C10&gt;1,ber_Med_disc!M10,"")</f>
        <v/>
      </c>
      <c r="K23" s="184" t="str">
        <f>IF(AND(ber_Med_disc!C10&gt;1,H22&lt;&gt;"STOP"),J22&amp;"/kg/dag ","")</f>
        <v/>
      </c>
      <c r="L23" s="184"/>
      <c r="M23" s="184" t="str">
        <f>IF(AND(ber_Med_disc!C10&gt;1,ber_Med_disc!O10&gt;1,ber_Med_disc!N10&gt;0,H22&lt;&gt;"STOP"),"Oplossing:","")</f>
        <v/>
      </c>
      <c r="N23" s="184" t="str">
        <f>IF(AND(ber_Med_disc!C10&gt;1,ber_Med_disc!O10&gt;1,ber_Med_disc!N10&gt;0,H22&lt;&gt;"STOP"),ROUND(ber_Med_disc!H10/ber_Med_disc!N10,2)&amp;" "&amp;ber_Med_disc!F10&amp;"/ml","")</f>
        <v/>
      </c>
      <c r="O23" s="184"/>
      <c r="P23" s="184"/>
      <c r="Q23" s="175"/>
      <c r="R23" s="175"/>
      <c r="S23" s="175"/>
      <c r="T23" s="175"/>
      <c r="U23" s="175"/>
      <c r="V23" s="175"/>
    </row>
    <row r="24" spans="1:22" s="347" customFormat="1" ht="19.55" customHeight="1" x14ac:dyDescent="0.4">
      <c r="A24" s="175"/>
      <c r="B24" s="177">
        <v>10</v>
      </c>
      <c r="C24" s="178"/>
      <c r="D24" s="393">
        <f>ber_Med_disc!C11</f>
        <v>0</v>
      </c>
      <c r="E24" s="393"/>
      <c r="F24" s="393"/>
      <c r="G24" s="393"/>
      <c r="H24" s="179" t="str">
        <f>IF(INDEX(ber_Med_disc!$D$27:$D$38,ber_Med_disc!I11,1)=0,"",INDEX(ber_Med_disc!$D$27:$D$38,ber_Med_disc!I11,1))</f>
        <v/>
      </c>
      <c r="I24" s="180" t="str">
        <f>IF(ber_Med_disc!C11&gt;1,ber_Med_disc!H11,"")</f>
        <v/>
      </c>
      <c r="J24" s="181" t="str">
        <f>IF(ber_Med_disc!C11&gt;1,ber_Med_disc!F11,"")</f>
        <v/>
      </c>
      <c r="K24" s="182">
        <f>ber_Med_disc!L11</f>
        <v>0</v>
      </c>
      <c r="L24" s="175" t="str">
        <f>IF(AND(ber_Med_disc!C11&gt;1,ber_Med_disc!O11&gt;1,H24&lt;&gt;"STOP"),ber_Med_disc!N11,"")</f>
        <v/>
      </c>
      <c r="M24" s="175" t="str">
        <f>IF(AND(ber_Med_disc!C11&gt;1,L24&lt;&gt;0,ber_Med_disc!O11&gt;1,H24&lt;&gt;"STOP"),"ml","")</f>
        <v/>
      </c>
      <c r="N24" s="175"/>
      <c r="O24" s="175" t="str">
        <f>IF(AND(L24&lt;&gt;"",ber_Med_disc!Q11&gt;0,H24&lt;&gt;"STOP"),ber_Med_disc!Q11&amp;" min","")</f>
        <v/>
      </c>
      <c r="P24" s="175"/>
      <c r="Q24" s="175"/>
      <c r="R24" s="175"/>
      <c r="S24" s="175"/>
      <c r="T24" s="175"/>
      <c r="U24" s="175"/>
      <c r="V24" s="175"/>
    </row>
    <row r="25" spans="1:22" s="347" customFormat="1" ht="19.55" customHeight="1" x14ac:dyDescent="0.35">
      <c r="A25" s="175"/>
      <c r="B25" s="183" t="s">
        <v>906</v>
      </c>
      <c r="C25" s="184"/>
      <c r="D25" s="186">
        <f>ber_Opm!C25</f>
        <v>0</v>
      </c>
      <c r="E25" s="186"/>
      <c r="F25" s="186"/>
      <c r="G25" s="186"/>
      <c r="H25" s="185" t="str">
        <f>IF(AND(ber_Med_disc!C11&gt;1,H24&lt;&gt;"STOP"),"Dosering/kg/dag: ","")</f>
        <v/>
      </c>
      <c r="I25" s="184"/>
      <c r="J25" s="186" t="str">
        <f>IF(ber_Med_disc!C11&gt;1,ber_Med_disc!M11,"")</f>
        <v/>
      </c>
      <c r="K25" s="184" t="str">
        <f>IF(AND(ber_Med_disc!C11&gt;1,H24&lt;&gt;"STOP"),J24&amp;"/kg/dag ","")</f>
        <v/>
      </c>
      <c r="L25" s="184"/>
      <c r="M25" s="184" t="str">
        <f>IF(AND(ber_Med_disc!C11&gt;1,ber_Med_disc!O11&gt;1,ber_Med_disc!N11&gt;0,H24&lt;&gt;"STOP"),"Oplossing:","")</f>
        <v/>
      </c>
      <c r="N25" s="184" t="str">
        <f>IF(AND(ber_Med_disc!C11&gt;1,ber_Med_disc!O11&gt;1,ber_Med_disc!N11&gt;0,H24&lt;&gt;"STOP"),ROUND(ber_Med_disc!H11/ber_Med_disc!N11,2)&amp;" "&amp;ber_Med_disc!F11&amp;"/ml","")</f>
        <v/>
      </c>
      <c r="O25" s="184"/>
      <c r="P25" s="184"/>
      <c r="Q25" s="175"/>
      <c r="R25" s="175"/>
      <c r="S25" s="175"/>
      <c r="T25" s="175"/>
      <c r="U25" s="175"/>
      <c r="V25" s="175"/>
    </row>
    <row r="26" spans="1:22" s="347" customFormat="1" ht="19.55" customHeight="1" x14ac:dyDescent="0.4">
      <c r="A26" s="175"/>
      <c r="B26" s="177">
        <v>11</v>
      </c>
      <c r="C26" s="178"/>
      <c r="D26" s="393">
        <f>ber_Med_disc!C12</f>
        <v>0</v>
      </c>
      <c r="E26" s="393"/>
      <c r="F26" s="393"/>
      <c r="G26" s="393"/>
      <c r="H26" s="179" t="str">
        <f>IF(INDEX(ber_Med_disc!$D$27:$D$38,ber_Med_disc!I12,1)=0,"",INDEX(ber_Med_disc!$D$27:$D$38,ber_Med_disc!I12,1))</f>
        <v/>
      </c>
      <c r="I26" s="180" t="str">
        <f>IF(ber_Med_disc!C12&gt;1,ber_Med_disc!H12,"")</f>
        <v/>
      </c>
      <c r="J26" s="181" t="str">
        <f>IF(ber_Med_disc!C12&gt;1,ber_Med_disc!F12,"")</f>
        <v/>
      </c>
      <c r="K26" s="182">
        <f>ber_Med_disc!L12</f>
        <v>0</v>
      </c>
      <c r="L26" s="175" t="str">
        <f>IF(AND(ber_Med_disc!C12&gt;1,ber_Med_disc!O12&gt;1,H26&lt;&gt;"STOP"),ber_Med_disc!N12,"")</f>
        <v/>
      </c>
      <c r="M26" s="175" t="str">
        <f>IF(AND(ber_Med_disc!C12&gt;1,L26&lt;&gt;0,ber_Med_disc!O12&gt;1,H26&lt;&gt;"STOP"),"ml","")</f>
        <v/>
      </c>
      <c r="N26" s="175"/>
      <c r="O26" s="175" t="str">
        <f>IF(AND(L26&lt;&gt;"",ber_Med_disc!Q12&gt;0,H26&lt;&gt;"STOP"),ber_Med_disc!Q12&amp;" min","")</f>
        <v/>
      </c>
      <c r="P26" s="175"/>
      <c r="Q26" s="175"/>
      <c r="R26" s="175"/>
      <c r="S26" s="175"/>
      <c r="T26" s="175"/>
      <c r="U26" s="175"/>
      <c r="V26" s="175"/>
    </row>
    <row r="27" spans="1:22" s="347" customFormat="1" ht="19.55" customHeight="1" x14ac:dyDescent="0.35">
      <c r="A27" s="175"/>
      <c r="B27" s="183" t="s">
        <v>906</v>
      </c>
      <c r="C27" s="184"/>
      <c r="D27" s="186">
        <f>ber_Opm!C26</f>
        <v>0</v>
      </c>
      <c r="E27" s="186"/>
      <c r="F27" s="186"/>
      <c r="G27" s="186"/>
      <c r="H27" s="185" t="str">
        <f>IF(AND(ber_Med_disc!C12&gt;1,H26&lt;&gt;"STOP"),"Dosering/kg/dag: ","")</f>
        <v/>
      </c>
      <c r="I27" s="184"/>
      <c r="J27" s="186" t="str">
        <f>IF(ber_Med_disc!C12&gt;1,ber_Med_disc!M12,"")</f>
        <v/>
      </c>
      <c r="K27" s="184" t="str">
        <f>IF(AND(ber_Med_disc!C12&gt;1,H26&lt;&gt;"STOP"),J26&amp;"/kg/dag ","")</f>
        <v/>
      </c>
      <c r="L27" s="184"/>
      <c r="M27" s="184" t="str">
        <f>IF(AND(ber_Med_disc!C12&gt;1,ber_Med_disc!O12&gt;1,ber_Med_disc!N12&gt;0,H26&lt;&gt;"STOP"),"Oplossing:","")</f>
        <v/>
      </c>
      <c r="N27" s="184" t="str">
        <f>IF(AND(ber_Med_disc!C12&gt;1,ber_Med_disc!O12&gt;1,ber_Med_disc!N12&gt;0,H26&lt;&gt;"STOP"),ROUND(ber_Med_disc!H12/ber_Med_disc!N12,2)&amp;" "&amp;ber_Med_disc!F12&amp;"/ml","")</f>
        <v/>
      </c>
      <c r="O27" s="184"/>
      <c r="P27" s="184"/>
      <c r="Q27" s="175"/>
      <c r="R27" s="175"/>
      <c r="S27" s="175"/>
      <c r="T27" s="175"/>
      <c r="U27" s="175"/>
      <c r="V27" s="175"/>
    </row>
    <row r="28" spans="1:22" s="347" customFormat="1" ht="19.55" customHeight="1" x14ac:dyDescent="0.4">
      <c r="A28" s="175"/>
      <c r="B28" s="177">
        <v>12</v>
      </c>
      <c r="C28" s="178"/>
      <c r="D28" s="393">
        <f>ber_Med_disc!C13</f>
        <v>0</v>
      </c>
      <c r="E28" s="393"/>
      <c r="F28" s="393"/>
      <c r="G28" s="393"/>
      <c r="H28" s="179" t="str">
        <f>IF(INDEX(ber_Med_disc!$D$27:$D$38,ber_Med_disc!I13,1)=0,"",INDEX(ber_Med_disc!$D$27:$D$38,ber_Med_disc!I13,1))</f>
        <v/>
      </c>
      <c r="I28" s="180" t="str">
        <f>IF(ber_Med_disc!C13&gt;1,ber_Med_disc!H13,"")</f>
        <v/>
      </c>
      <c r="J28" s="181" t="str">
        <f>IF(ber_Med_disc!C13&gt;1,ber_Med_disc!F13,"")</f>
        <v/>
      </c>
      <c r="K28" s="182">
        <f>ber_Med_disc!L13</f>
        <v>0</v>
      </c>
      <c r="L28" s="175" t="str">
        <f>IF(AND(ber_Med_disc!C13&gt;1,ber_Med_disc!O13&gt;1,H28&lt;&gt;"STOP"),ber_Med_disc!N13,"")</f>
        <v/>
      </c>
      <c r="M28" s="175" t="str">
        <f>IF(AND(ber_Med_disc!C13&gt;1,L28&lt;&gt;0,ber_Med_disc!O13&gt;1,H28&lt;&gt;"STOP"),"ml","")</f>
        <v/>
      </c>
      <c r="N28" s="175"/>
      <c r="O28" s="175" t="str">
        <f>IF(AND(L28&lt;&gt;"",ber_Med_disc!Q13&gt;0,H28&lt;&gt;"STOP"),ber_Med_disc!Q13&amp;" min","")</f>
        <v/>
      </c>
      <c r="P28" s="175"/>
      <c r="Q28" s="175"/>
      <c r="R28" s="175"/>
      <c r="S28" s="175"/>
      <c r="T28" s="175"/>
      <c r="U28" s="175"/>
      <c r="V28" s="175"/>
    </row>
    <row r="29" spans="1:22" s="347" customFormat="1" ht="19.55" customHeight="1" x14ac:dyDescent="0.35">
      <c r="A29" s="175"/>
      <c r="B29" s="183" t="s">
        <v>906</v>
      </c>
      <c r="C29" s="184"/>
      <c r="D29" s="186">
        <f>ber_Opm!C27</f>
        <v>0</v>
      </c>
      <c r="E29" s="186"/>
      <c r="F29" s="186"/>
      <c r="G29" s="186"/>
      <c r="H29" s="185" t="str">
        <f>IF(AND(ber_Med_disc!C13&gt;1,H28&lt;&gt;"STOP"),"Dosering/kg/dag: ","")</f>
        <v/>
      </c>
      <c r="I29" s="184"/>
      <c r="J29" s="186" t="str">
        <f>IF(ber_Med_disc!C13&gt;1,ber_Med_disc!M13,"")</f>
        <v/>
      </c>
      <c r="K29" s="184" t="str">
        <f>IF(AND(ber_Med_disc!C13&gt;1,H28&lt;&gt;"STOP"),J28&amp;"/kg/dag ","")</f>
        <v/>
      </c>
      <c r="L29" s="184"/>
      <c r="M29" s="184" t="str">
        <f>IF(AND(ber_Med_disc!C13&gt;1,ber_Med_disc!O13&gt;1,ber_Med_disc!N13&gt;0,H28&lt;&gt;"STOP"),"Oplossing:","")</f>
        <v/>
      </c>
      <c r="N29" s="184" t="str">
        <f>IF(AND(ber_Med_disc!C13&gt;1,ber_Med_disc!O13&gt;1,ber_Med_disc!N13&gt;0,H28&lt;&gt;"STOP"),ROUND(ber_Med_disc!H13/ber_Med_disc!N13,2)&amp;" "&amp;ber_Med_disc!F13&amp;"/ml","")</f>
        <v/>
      </c>
      <c r="O29" s="184"/>
      <c r="P29" s="184"/>
      <c r="Q29" s="175"/>
      <c r="R29" s="175"/>
      <c r="S29" s="175"/>
      <c r="T29" s="175"/>
      <c r="U29" s="175"/>
      <c r="V29" s="175"/>
    </row>
    <row r="30" spans="1:22" s="347" customFormat="1" ht="19.55" customHeight="1" x14ac:dyDescent="0.4">
      <c r="A30" s="175"/>
      <c r="B30" s="177">
        <v>13</v>
      </c>
      <c r="C30" s="178"/>
      <c r="D30" s="393">
        <f>ber_Med_disc!C14</f>
        <v>0</v>
      </c>
      <c r="E30" s="393"/>
      <c r="F30" s="393"/>
      <c r="G30" s="393"/>
      <c r="H30" s="179" t="str">
        <f>IF(INDEX(ber_Med_disc!$D$27:$D$38,ber_Med_disc!I14,1)=0,"",INDEX(ber_Med_disc!$D$27:$D$38,ber_Med_disc!I14,1))</f>
        <v/>
      </c>
      <c r="I30" s="180" t="str">
        <f>IF(ber_Med_disc!C14&gt;1,ber_Med_disc!H14,"")</f>
        <v/>
      </c>
      <c r="J30" s="181" t="str">
        <f>IF(ber_Med_disc!C14&gt;1,ber_Med_disc!F14,"")</f>
        <v/>
      </c>
      <c r="K30" s="182">
        <f>ber_Med_disc!L14</f>
        <v>0</v>
      </c>
      <c r="L30" s="175" t="str">
        <f>IF(AND(ber_Med_disc!C14&gt;1,ber_Med_disc!O14&gt;1,H30&lt;&gt;"STOP"),ber_Med_disc!N14,"")</f>
        <v/>
      </c>
      <c r="M30" s="175" t="str">
        <f>IF(AND(ber_Med_disc!C14&gt;1,L30&lt;&gt;0,ber_Med_disc!O14&gt;1,H30&lt;&gt;"STOP"),"ml","")</f>
        <v/>
      </c>
      <c r="N30" s="175"/>
      <c r="O30" s="175" t="str">
        <f>IF(AND(L30&lt;&gt;"",ber_Med_disc!Q14&gt;0,H30&lt;&gt;"STOP"),ber_Med_disc!Q14&amp;" min","")</f>
        <v/>
      </c>
      <c r="P30" s="175"/>
      <c r="Q30" s="175"/>
      <c r="R30" s="175"/>
      <c r="S30" s="175"/>
      <c r="T30" s="175"/>
      <c r="U30" s="175"/>
      <c r="V30" s="175"/>
    </row>
    <row r="31" spans="1:22" s="347" customFormat="1" ht="19.55" customHeight="1" x14ac:dyDescent="0.35">
      <c r="A31" s="175"/>
      <c r="B31" s="183" t="s">
        <v>906</v>
      </c>
      <c r="C31" s="184"/>
      <c r="D31" s="186">
        <f>ber_Opm!C28</f>
        <v>0</v>
      </c>
      <c r="E31" s="186"/>
      <c r="F31" s="186"/>
      <c r="G31" s="186"/>
      <c r="H31" s="185" t="str">
        <f>IF(AND(ber_Med_disc!C14&gt;1,H30&lt;&gt;"STOP"),"Dosering/kg/dag: ","")</f>
        <v/>
      </c>
      <c r="I31" s="184"/>
      <c r="J31" s="186" t="str">
        <f>IF(ber_Med_disc!C14&gt;1,ber_Med_disc!M14,"")</f>
        <v/>
      </c>
      <c r="K31" s="184" t="str">
        <f>IF(AND(ber_Med_disc!C14&gt;1,H30&lt;&gt;"STOP"),J30&amp;"/kg/dag ","")</f>
        <v/>
      </c>
      <c r="L31" s="184"/>
      <c r="M31" s="184" t="str">
        <f>IF(AND(ber_Med_disc!C14&gt;1,ber_Med_disc!O14&gt;1,ber_Med_disc!N14&gt;0,H30&lt;&gt;"STOP"),"Oplossing:","")</f>
        <v/>
      </c>
      <c r="N31" s="184" t="str">
        <f>IF(AND(ber_Med_disc!C14&gt;1,ber_Med_disc!O14&gt;1,ber_Med_disc!N14&gt;0,H30&lt;&gt;"STOP"),ROUND(ber_Med_disc!H14/ber_Med_disc!N14,2)&amp;" "&amp;ber_Med_disc!F14&amp;"/ml","")</f>
        <v/>
      </c>
      <c r="O31" s="184"/>
      <c r="P31" s="184"/>
      <c r="Q31" s="175"/>
      <c r="R31" s="175"/>
      <c r="S31" s="175"/>
      <c r="T31" s="175"/>
      <c r="U31" s="175"/>
      <c r="V31" s="175"/>
    </row>
    <row r="32" spans="1:22" s="347" customFormat="1" ht="19.55" customHeight="1" x14ac:dyDescent="0.4">
      <c r="A32" s="175"/>
      <c r="B32" s="177">
        <v>14</v>
      </c>
      <c r="C32" s="178"/>
      <c r="D32" s="393">
        <f>ber_Med_disc!C15</f>
        <v>0</v>
      </c>
      <c r="E32" s="393"/>
      <c r="F32" s="393"/>
      <c r="G32" s="393"/>
      <c r="H32" s="179" t="str">
        <f>IF(INDEX(ber_Med_disc!$D$27:$D$38,ber_Med_disc!I15,1)=0,"",INDEX(ber_Med_disc!$D$27:$D$38,ber_Med_disc!I15,1))</f>
        <v/>
      </c>
      <c r="I32" s="180" t="str">
        <f>IF(ber_Med_disc!C15&gt;1,ber_Med_disc!H15,"")</f>
        <v/>
      </c>
      <c r="J32" s="181" t="str">
        <f>IF(ber_Med_disc!C15&gt;1,ber_Med_disc!F15,"")</f>
        <v/>
      </c>
      <c r="K32" s="182">
        <f>ber_Med_disc!L15</f>
        <v>0</v>
      </c>
      <c r="L32" s="175" t="str">
        <f>IF(AND(ber_Med_disc!C15&gt;1,ber_Med_disc!O15&gt;1,H32&lt;&gt;"STOP"),ber_Med_disc!N15,"")</f>
        <v/>
      </c>
      <c r="M32" s="175" t="str">
        <f>IF(AND(ber_Med_disc!C15&gt;1,L32&lt;&gt;0,ber_Med_disc!O15&gt;1,H32&lt;&gt;"STOP"),"ml","")</f>
        <v/>
      </c>
      <c r="N32" s="175"/>
      <c r="O32" s="175" t="str">
        <f>IF(AND(L32&lt;&gt;"",ber_Med_disc!Q15&gt;0,H32&lt;&gt;"STOP"),ber_Med_disc!Q15&amp;" min","")</f>
        <v/>
      </c>
      <c r="P32" s="175"/>
      <c r="Q32" s="175"/>
      <c r="R32" s="175"/>
      <c r="S32" s="175"/>
      <c r="T32" s="175"/>
      <c r="U32" s="175"/>
      <c r="V32" s="175"/>
    </row>
    <row r="33" spans="1:22" s="347" customFormat="1" ht="19.55" customHeight="1" x14ac:dyDescent="0.35">
      <c r="A33" s="175"/>
      <c r="B33" s="183" t="s">
        <v>906</v>
      </c>
      <c r="C33" s="184"/>
      <c r="D33" s="186">
        <f>ber_Opm!C29</f>
        <v>0</v>
      </c>
      <c r="E33" s="186"/>
      <c r="F33" s="186"/>
      <c r="G33" s="186"/>
      <c r="H33" s="185" t="str">
        <f>IF(AND(ber_Med_disc!C15&gt;1,H32&lt;&gt;"STOP"),"Dosering/kg/dag: ","")</f>
        <v/>
      </c>
      <c r="I33" s="184"/>
      <c r="J33" s="186" t="str">
        <f>IF(ber_Med_disc!C15&gt;1,ber_Med_disc!M15,"")</f>
        <v/>
      </c>
      <c r="K33" s="184" t="str">
        <f>IF(AND(ber_Med_disc!C15&gt;1,H32&lt;&gt;"STOP"),J32&amp;"/kg/dag ","")</f>
        <v/>
      </c>
      <c r="L33" s="184"/>
      <c r="M33" s="184" t="str">
        <f>IF(AND(ber_Med_disc!C15&gt;1,ber_Med_disc!O15&gt;1,ber_Med_disc!N15&gt;0,H32&lt;&gt;"STOP"),"Oplossing:","")</f>
        <v/>
      </c>
      <c r="N33" s="184" t="str">
        <f>IF(AND(ber_Med_disc!C15&gt;1,ber_Med_disc!O15&gt;1,ber_Med_disc!N15&gt;0,H32&lt;&gt;"STOP"),ROUND(ber_Med_disc!H15/ber_Med_disc!N15,2)&amp;" "&amp;ber_Med_disc!F15&amp;"/ml","")</f>
        <v/>
      </c>
      <c r="O33" s="184"/>
      <c r="P33" s="184"/>
      <c r="Q33" s="175"/>
      <c r="R33" s="175"/>
      <c r="S33" s="175"/>
      <c r="T33" s="175"/>
      <c r="U33" s="175"/>
      <c r="V33" s="175"/>
    </row>
    <row r="34" spans="1:22" s="347" customFormat="1" ht="19.55" customHeight="1" x14ac:dyDescent="0.4">
      <c r="A34" s="175"/>
      <c r="B34" s="177">
        <v>15</v>
      </c>
      <c r="C34" s="178"/>
      <c r="D34" s="393">
        <f>ber_Med_disc!C16</f>
        <v>0</v>
      </c>
      <c r="E34" s="393"/>
      <c r="F34" s="393"/>
      <c r="G34" s="393"/>
      <c r="H34" s="179" t="str">
        <f>IF(INDEX(ber_Med_disc!$D$27:$D$38,ber_Med_disc!I16,1)=0,"",INDEX(ber_Med_disc!$D$27:$D$38,ber_Med_disc!I16,1))</f>
        <v/>
      </c>
      <c r="I34" s="180" t="str">
        <f>IF(ber_Med_disc!C16&gt;1,ber_Med_disc!H16,"")</f>
        <v/>
      </c>
      <c r="J34" s="181" t="str">
        <f>IF(ber_Med_disc!C16&gt;1,ber_Med_disc!F16,"")</f>
        <v/>
      </c>
      <c r="K34" s="182">
        <f>ber_Med_disc!L16</f>
        <v>0</v>
      </c>
      <c r="L34" s="175" t="str">
        <f>IF(AND(ber_Med_disc!C16&gt;1,ber_Med_disc!O16&gt;1,H34&lt;&gt;"STOP"),ber_Med_disc!N16,"")</f>
        <v/>
      </c>
      <c r="M34" s="175" t="str">
        <f>IF(AND(ber_Med_disc!C16&gt;1,L34&lt;&gt;0,ber_Med_disc!O16&gt;1,H34&lt;&gt;"STOP"),"ml","")</f>
        <v/>
      </c>
      <c r="N34" s="175"/>
      <c r="O34" s="175" t="str">
        <f>IF(AND(L34&lt;&gt;"",ber_Med_disc!Q16&gt;0,H34&lt;&gt;"STOP"),ber_Med_disc!Q16&amp;" min","")</f>
        <v/>
      </c>
      <c r="P34" s="175"/>
      <c r="Q34" s="175"/>
      <c r="R34" s="175"/>
      <c r="S34" s="175"/>
      <c r="T34" s="175"/>
      <c r="U34" s="175"/>
      <c r="V34" s="175"/>
    </row>
    <row r="35" spans="1:22" s="347" customFormat="1" ht="19.55" customHeight="1" x14ac:dyDescent="0.35">
      <c r="A35" s="175"/>
      <c r="B35" s="183" t="s">
        <v>906</v>
      </c>
      <c r="C35" s="184"/>
      <c r="D35" s="186">
        <f>ber_Opm!C30</f>
        <v>0</v>
      </c>
      <c r="E35" s="186"/>
      <c r="F35" s="186"/>
      <c r="G35" s="186"/>
      <c r="H35" s="185" t="str">
        <f>IF(AND(ber_Med_disc!C16&gt;1,H34&lt;&gt;"STOP"),"Dosering/kg/dag: ","")</f>
        <v/>
      </c>
      <c r="I35" s="184"/>
      <c r="J35" s="186" t="str">
        <f>IF(ber_Med_disc!C16&gt;1,ber_Med_disc!M16,"")</f>
        <v/>
      </c>
      <c r="K35" s="184" t="str">
        <f>IF(AND(ber_Med_disc!C16&gt;1,H34&lt;&gt;"STOP"),J34&amp;"/kg/dag ","")</f>
        <v/>
      </c>
      <c r="L35" s="184"/>
      <c r="M35" s="184" t="str">
        <f>IF(AND(ber_Med_disc!C16&gt;1,ber_Med_disc!O16&gt;1,ber_Med_disc!N16&gt;0,H34&lt;&gt;"STOP"),"Oplossing:","")</f>
        <v/>
      </c>
      <c r="N35" s="184" t="str">
        <f>IF(AND(ber_Med_disc!C16&gt;1,ber_Med_disc!O16&gt;1,ber_Med_disc!N16&gt;0,H34&lt;&gt;"STOP"),ROUND(ber_Med_disc!H16/ber_Med_disc!N16,2)&amp;" "&amp;ber_Med_disc!F16&amp;"/ml","")</f>
        <v/>
      </c>
      <c r="O35" s="184"/>
      <c r="P35" s="184"/>
      <c r="Q35" s="175"/>
      <c r="R35" s="175"/>
      <c r="S35" s="175"/>
      <c r="T35" s="175"/>
      <c r="U35" s="175"/>
      <c r="V35" s="175"/>
    </row>
    <row r="36" spans="1:22" s="347" customFormat="1" ht="19.55" customHeight="1" x14ac:dyDescent="0.4">
      <c r="A36" s="175"/>
      <c r="B36" s="177">
        <v>16</v>
      </c>
      <c r="C36" s="178"/>
      <c r="D36" s="393">
        <f>ber_Med_disc!C17</f>
        <v>0</v>
      </c>
      <c r="E36" s="393"/>
      <c r="F36" s="393"/>
      <c r="G36" s="393"/>
      <c r="H36" s="179" t="str">
        <f>IF(INDEX(ber_Med_disc!$D$27:$D$38,ber_Med_disc!I17,1)=0,"",INDEX(ber_Med_disc!$D$27:$D$38,ber_Med_disc!I17,1))</f>
        <v/>
      </c>
      <c r="I36" s="180" t="str">
        <f>IF(ber_Med_disc!C17&gt;1,ber_Med_disc!H17,"")</f>
        <v/>
      </c>
      <c r="J36" s="181" t="str">
        <f>IF(ber_Med_disc!C17&gt;1,ber_Med_disc!F17,"")</f>
        <v/>
      </c>
      <c r="K36" s="182">
        <f>ber_Med_disc!L17</f>
        <v>0</v>
      </c>
      <c r="L36" s="175" t="str">
        <f>IF(AND(ber_Med_disc!C17&gt;1,ber_Med_disc!O17&gt;1),ber_Med_disc!N17,"")</f>
        <v/>
      </c>
      <c r="M36" s="175" t="str">
        <f>IF(AND(ber_Med_disc!C17&gt;1,L36&lt;&gt;0,ber_Med_disc!O17&gt;1),"ml","")</f>
        <v/>
      </c>
      <c r="N36" s="175"/>
      <c r="O36" s="175" t="str">
        <f>IF(AND(L36&lt;&gt;"",ber_Med_disc!Q17&gt;0),ber_Med_disc!Q17&amp;" min","")</f>
        <v/>
      </c>
      <c r="P36" s="175"/>
      <c r="Q36" s="175"/>
      <c r="R36" s="175"/>
      <c r="S36" s="175"/>
      <c r="T36" s="175"/>
      <c r="U36" s="175"/>
      <c r="V36" s="175"/>
    </row>
    <row r="37" spans="1:22" s="347" customFormat="1" ht="19.55" customHeight="1" x14ac:dyDescent="0.35">
      <c r="A37" s="175"/>
      <c r="B37" s="183" t="s">
        <v>906</v>
      </c>
      <c r="C37" s="184"/>
      <c r="D37" s="186">
        <f>ber_Opm!C31</f>
        <v>0</v>
      </c>
      <c r="E37" s="186"/>
      <c r="F37" s="186"/>
      <c r="G37" s="186"/>
      <c r="H37" s="185" t="str">
        <f>IF(ber_Med_disc!C17&gt;1,"Dosering/kg/dag: ","")</f>
        <v/>
      </c>
      <c r="I37" s="184"/>
      <c r="J37" s="186" t="str">
        <f>IF(ber_Med_disc!C17&gt;1,ber_Med_disc!M17,"")</f>
        <v/>
      </c>
      <c r="K37" s="184" t="str">
        <f>IF(AND(ber_Med_disc!C17&gt;1),INDEX(ber_Med_disc!E27:E32,J36,1)&amp;"/kg/dag ","")</f>
        <v/>
      </c>
      <c r="L37" s="184"/>
      <c r="M37" s="184" t="str">
        <f>IF(AND(ber_Med_disc!C17&gt;1,ber_Med_disc!O17&gt;1,ber_Med_disc!N17&gt;0),"Oplossing:","")</f>
        <v/>
      </c>
      <c r="N37" s="184" t="str">
        <f>IF(AND(ber_Med_disc!C17&gt;1,ber_Med_disc!O17&gt;1,ber_Med_disc!N17&gt;0),ROUND(ber_Med_disc!H17/ber_Med_disc!N17,2)&amp;" "&amp;ber_Med_disc!F17&amp;"/ml","")</f>
        <v/>
      </c>
      <c r="O37" s="184"/>
      <c r="P37" s="184"/>
      <c r="Q37" s="175"/>
      <c r="R37" s="175"/>
      <c r="S37" s="175"/>
      <c r="T37" s="175"/>
      <c r="U37" s="175"/>
      <c r="V37" s="175"/>
    </row>
    <row r="38" spans="1:22" s="347" customFormat="1" ht="19.55" customHeight="1" x14ac:dyDescent="0.4">
      <c r="A38" s="175"/>
      <c r="B38" s="177">
        <v>17</v>
      </c>
      <c r="C38" s="178"/>
      <c r="D38" s="393">
        <f>ber_Med_disc!C18</f>
        <v>0</v>
      </c>
      <c r="E38" s="393"/>
      <c r="F38" s="393"/>
      <c r="G38" s="393"/>
      <c r="H38" s="179" t="str">
        <f>IF(INDEX(ber_Med_disc!$D$27:$D$38,ber_Med_disc!I18,1)=0,"",INDEX(ber_Med_disc!$D$27:$D$38,ber_Med_disc!I18,1))</f>
        <v/>
      </c>
      <c r="I38" s="180" t="str">
        <f>IF(ber_Med_disc!C18&gt;1,ber_Med_disc!H18,"")</f>
        <v/>
      </c>
      <c r="J38" s="181" t="str">
        <f>IF(ber_Med_disc!C18&gt;1,ber_Med_disc!F18,"")</f>
        <v/>
      </c>
      <c r="K38" s="182">
        <f>ber_Med_disc!L18</f>
        <v>0</v>
      </c>
      <c r="L38" s="175" t="str">
        <f>IF(AND(ber_Med_disc!C18&gt;1,ber_Med_disc!O18&gt;1),ber_Med_disc!N18,"")</f>
        <v/>
      </c>
      <c r="M38" s="175" t="str">
        <f>IF(AND(ber_Med_disc!C18&gt;1,L38&lt;&gt;0,ber_Med_disc!O18&gt;1),"ml","")</f>
        <v/>
      </c>
      <c r="N38" s="175"/>
      <c r="O38" s="175" t="str">
        <f>IF(AND(L38&lt;&gt;"",ber_Med_disc!Q18&gt;0),ber_Med_disc!Q18&amp;" min","")</f>
        <v/>
      </c>
      <c r="P38" s="175"/>
      <c r="Q38" s="175"/>
      <c r="R38" s="175"/>
      <c r="S38" s="175"/>
      <c r="T38" s="175"/>
      <c r="U38" s="175"/>
      <c r="V38" s="175"/>
    </row>
    <row r="39" spans="1:22" s="347" customFormat="1" ht="19.55" customHeight="1" x14ac:dyDescent="0.35">
      <c r="A39" s="175"/>
      <c r="B39" s="183" t="s">
        <v>906</v>
      </c>
      <c r="C39" s="184"/>
      <c r="D39" s="186">
        <f>ber_Opm!C32</f>
        <v>0</v>
      </c>
      <c r="E39" s="186"/>
      <c r="F39" s="186"/>
      <c r="G39" s="186"/>
      <c r="H39" s="185" t="str">
        <f>IF(ber_Med_disc!C18&gt;1,"Dosering/kg/dag: ","")</f>
        <v/>
      </c>
      <c r="I39" s="184"/>
      <c r="J39" s="186" t="str">
        <f>IF(ber_Med_disc!C18&gt;1,ber_Med_disc!M18,"")</f>
        <v/>
      </c>
      <c r="K39" s="184" t="str">
        <f>IF(AND(ber_Med_disc!C18&gt;1),J38&amp;"/kg/dag ","")</f>
        <v/>
      </c>
      <c r="L39" s="184"/>
      <c r="M39" s="184" t="str">
        <f>IF(AND(ber_Med_disc!C18&gt;1,ber_Med_disc!O18&gt;1,ber_Med_disc!N18&gt;0),"Oplossing:","")</f>
        <v/>
      </c>
      <c r="N39" s="184" t="str">
        <f>IF(AND(ber_Med_disc!C18&gt;1,ber_Med_disc!O18&gt;1,ber_Med_disc!N18&gt;0),ROUND(ber_Med_disc!H18/ber_Med_disc!N18,2)&amp;" "&amp;ber_Med_disc!F18&amp;"/ml","")</f>
        <v/>
      </c>
      <c r="O39" s="184"/>
      <c r="P39" s="184"/>
      <c r="Q39" s="175"/>
      <c r="R39" s="175"/>
      <c r="S39" s="175"/>
      <c r="T39" s="175"/>
      <c r="U39" s="175"/>
      <c r="V39" s="175"/>
    </row>
    <row r="40" spans="1:22" s="347" customFormat="1" ht="19.55" customHeight="1" x14ac:dyDescent="0.4">
      <c r="A40" s="175"/>
      <c r="B40" s="177">
        <v>18</v>
      </c>
      <c r="C40" s="178"/>
      <c r="D40" s="393">
        <f>ber_Med_disc!C19</f>
        <v>0</v>
      </c>
      <c r="E40" s="393"/>
      <c r="F40" s="393"/>
      <c r="G40" s="393"/>
      <c r="H40" s="179" t="str">
        <f>IF(INDEX(ber_Med_disc!$D$27:$D$38,ber_Med_disc!I19,1)=0,"",INDEX(ber_Med_disc!$D$27:$D$38,ber_Med_disc!I19,1))</f>
        <v/>
      </c>
      <c r="I40" s="180" t="str">
        <f>IF(ber_Med_disc!C19&gt;1,ber_Med_disc!H19,"")</f>
        <v/>
      </c>
      <c r="J40" s="181" t="str">
        <f>IF(ber_Med_disc!C19&gt;1,ber_Med_disc!F19,"")</f>
        <v/>
      </c>
      <c r="K40" s="182">
        <f>ber_Med_disc!L19</f>
        <v>0</v>
      </c>
      <c r="L40" s="175" t="str">
        <f>IF(AND(ber_Med_disc!C19&gt;1,ber_Med_disc!O19&gt;1),ber_Med_disc!N19,"")</f>
        <v/>
      </c>
      <c r="M40" s="175" t="str">
        <f>IF(AND(ber_Med_disc!C19&gt;1,L40&lt;&gt;0,ber_Med_disc!O19&gt;1),"ml","")</f>
        <v/>
      </c>
      <c r="N40" s="175"/>
      <c r="O40" s="175" t="str">
        <f>IF(AND(L40&lt;&gt;"",ber_Med_disc!Q19&gt;0),ber_Med_disc!Q19&amp;" min","")</f>
        <v/>
      </c>
      <c r="P40" s="175"/>
      <c r="Q40" s="175"/>
      <c r="R40" s="175"/>
      <c r="S40" s="175"/>
      <c r="T40" s="175"/>
      <c r="U40" s="175"/>
      <c r="V40" s="175"/>
    </row>
    <row r="41" spans="1:22" s="347" customFormat="1" ht="19.55" customHeight="1" x14ac:dyDescent="0.35">
      <c r="A41" s="175"/>
      <c r="B41" s="183" t="s">
        <v>906</v>
      </c>
      <c r="C41" s="184"/>
      <c r="D41" s="186">
        <f>ber_Opm!C33</f>
        <v>0</v>
      </c>
      <c r="E41" s="186"/>
      <c r="F41" s="186"/>
      <c r="G41" s="186"/>
      <c r="H41" s="185" t="str">
        <f>IF(ber_Med_disc!C19&gt;1,"Dosering/kg/dag: ","")</f>
        <v/>
      </c>
      <c r="I41" s="184"/>
      <c r="J41" s="186" t="str">
        <f>IF(ber_Med_disc!C19&gt;1,ber_Med_disc!M19,"")</f>
        <v/>
      </c>
      <c r="K41" s="184" t="str">
        <f>IF(AND(ber_Med_disc!C19&gt;1),J40&amp;"/kg/dag ","")</f>
        <v/>
      </c>
      <c r="L41" s="184"/>
      <c r="M41" s="184" t="str">
        <f>IF(AND(ber_Med_disc!C19&gt;1,ber_Med_disc!O19&gt;1,ber_Med_disc!N19&gt;0),"Oplossing:","")</f>
        <v/>
      </c>
      <c r="N41" s="184" t="str">
        <f>IF(AND(ber_Med_disc!C19&gt;1,ber_Med_disc!O19&gt;1,ber_Med_disc!N19&gt;0),ROUND(ber_Med_disc!H19/ber_Med_disc!N19,2)&amp;" "&amp;ber_Med_disc!F19&amp;"/ml","")</f>
        <v/>
      </c>
      <c r="O41" s="184"/>
      <c r="P41" s="184"/>
      <c r="Q41" s="175"/>
      <c r="R41" s="175"/>
      <c r="S41" s="175"/>
      <c r="T41" s="175"/>
      <c r="U41" s="175"/>
      <c r="V41" s="175"/>
    </row>
    <row r="42" spans="1:22" s="347" customFormat="1" ht="19.55" customHeight="1" x14ac:dyDescent="0.4">
      <c r="A42" s="175"/>
      <c r="B42" s="177">
        <v>19</v>
      </c>
      <c r="C42" s="178"/>
      <c r="D42" s="393">
        <f>ber_Med_disc!C20</f>
        <v>0</v>
      </c>
      <c r="E42" s="393"/>
      <c r="F42" s="393"/>
      <c r="G42" s="393"/>
      <c r="H42" s="179" t="str">
        <f>IF(INDEX(ber_Med_disc!$D$27:$D$38,ber_Med_disc!I20,1)=0,"",INDEX(ber_Med_disc!$D$27:$D$38,ber_Med_disc!I20,1))</f>
        <v/>
      </c>
      <c r="I42" s="180" t="str">
        <f>IF(ber_Med_disc!C20&gt;1,ber_Med_disc!H20,"")</f>
        <v/>
      </c>
      <c r="J42" s="181" t="str">
        <f>IF(ber_Med_disc!C20&gt;1,ber_Med_disc!F20,"")</f>
        <v/>
      </c>
      <c r="K42" s="182">
        <f>ber_Med_disc!L20</f>
        <v>0</v>
      </c>
      <c r="L42" s="175" t="str">
        <f>IF(AND(ber_Med_disc!C20&gt;1,ber_Med_disc!O20&gt;1),ber_Med_disc!N20,"")</f>
        <v/>
      </c>
      <c r="M42" s="175" t="str">
        <f>IF(AND(ber_Med_disc!C20&gt;1,L42&lt;&gt;0,ber_Med_disc!O20&gt;1),"ml","")</f>
        <v/>
      </c>
      <c r="N42" s="175"/>
      <c r="O42" s="175" t="str">
        <f>IF(AND(L42&lt;&gt;"",ber_Med_disc!Q20&gt;0),ber_Med_disc!Q20&amp;" min","")</f>
        <v/>
      </c>
      <c r="P42" s="175"/>
      <c r="Q42" s="175"/>
      <c r="R42" s="175"/>
      <c r="S42" s="175"/>
      <c r="T42" s="175"/>
      <c r="U42" s="175"/>
      <c r="V42" s="175"/>
    </row>
    <row r="43" spans="1:22" s="347" customFormat="1" ht="19.55" customHeight="1" x14ac:dyDescent="0.35">
      <c r="A43" s="175"/>
      <c r="B43" s="183" t="s">
        <v>906</v>
      </c>
      <c r="C43" s="184"/>
      <c r="D43" s="186">
        <f>ber_Opm!C34</f>
        <v>0</v>
      </c>
      <c r="E43" s="186"/>
      <c r="F43" s="186"/>
      <c r="G43" s="186"/>
      <c r="H43" s="185" t="str">
        <f>IF(ber_Med_disc!C20&gt;1,"Dosering/kg/dag: ","")</f>
        <v/>
      </c>
      <c r="I43" s="184"/>
      <c r="J43" s="186" t="str">
        <f>IF(ber_Med_disc!C20&gt;1,ber_Med_disc!M20,"")</f>
        <v/>
      </c>
      <c r="K43" s="184" t="str">
        <f>IF(AND(ber_Med_disc!C20&gt;1),J42&amp;"/kg/dag ","")</f>
        <v/>
      </c>
      <c r="L43" s="184"/>
      <c r="M43" s="184" t="str">
        <f>IF(AND(ber_Med_disc!C20&gt;1,ber_Med_disc!O20&gt;1,ber_Med_disc!N20&gt;0),"Oplossing:","")</f>
        <v/>
      </c>
      <c r="N43" s="184" t="str">
        <f>IF(AND(ber_Med_disc!C20&gt;1,ber_Med_disc!O20&gt;1,ber_Med_disc!N20&gt;0),ROUND(ber_Med_disc!H20/ber_Med_disc!N20,2)&amp;" "&amp;ber_Med_disc!F20&amp;"/ml","")</f>
        <v/>
      </c>
      <c r="O43" s="184"/>
      <c r="P43" s="184"/>
      <c r="Q43" s="175"/>
      <c r="R43" s="175"/>
      <c r="S43" s="175"/>
      <c r="T43" s="175"/>
      <c r="U43" s="175"/>
      <c r="V43" s="175"/>
    </row>
    <row r="44" spans="1:22" s="347" customFormat="1" ht="19.55" customHeight="1" x14ac:dyDescent="0.4">
      <c r="A44" s="175"/>
      <c r="B44" s="177">
        <v>20</v>
      </c>
      <c r="C44" s="188"/>
      <c r="D44" s="393">
        <f>ber_Med_disc!C21</f>
        <v>0</v>
      </c>
      <c r="E44" s="393"/>
      <c r="F44" s="393"/>
      <c r="G44" s="393"/>
      <c r="H44" s="179" t="str">
        <f>IF(INDEX(ber_Med_disc!$D$27:$D$38,ber_Med_disc!I21,1)=0,"",INDEX(ber_Med_disc!$D$27:$D$38,ber_Med_disc!I21,1))</f>
        <v/>
      </c>
      <c r="I44" s="180" t="str">
        <f>IF(ber_Med_disc!C21&gt;1,ber_Med_disc!H21,"")</f>
        <v/>
      </c>
      <c r="J44" s="181" t="str">
        <f>IF(ber_Med_disc!C21&gt;1,ber_Med_disc!F21,"")</f>
        <v/>
      </c>
      <c r="K44" s="182">
        <f>ber_Med_disc!L21</f>
        <v>0</v>
      </c>
      <c r="L44" s="175" t="str">
        <f>IF(AND(ber_Med_disc!C21&gt;1,ber_Med_disc!O21&gt;1),ber_Med_disc!N21,"")</f>
        <v/>
      </c>
      <c r="M44" s="175" t="str">
        <f>IF(AND(ber_Med_disc!C21&gt;1,L44&lt;&gt;0,ber_Med_disc!O21&gt;1),"ml","")</f>
        <v/>
      </c>
      <c r="N44" s="175"/>
      <c r="O44" s="175" t="str">
        <f>IF(AND(L44&lt;&gt;"",ber_Med_disc!Q21&gt;0),ber_Med_disc!Q21&amp;" min","")</f>
        <v/>
      </c>
      <c r="P44" s="175"/>
      <c r="Q44" s="175"/>
      <c r="R44" s="175"/>
      <c r="S44" s="175"/>
      <c r="T44" s="175"/>
      <c r="U44" s="175"/>
      <c r="V44" s="175"/>
    </row>
    <row r="45" spans="1:22" s="347" customFormat="1" ht="19.55" customHeight="1" x14ac:dyDescent="0.35">
      <c r="A45" s="175"/>
      <c r="B45" s="183" t="s">
        <v>906</v>
      </c>
      <c r="C45" s="184"/>
      <c r="D45" s="186">
        <f>ber_Opm!C35</f>
        <v>0</v>
      </c>
      <c r="E45" s="186"/>
      <c r="F45" s="186"/>
      <c r="G45" s="186"/>
      <c r="H45" s="185" t="str">
        <f>IF(ber_Med_disc!C21&gt;1,"Dosering/kg/dag: ","")</f>
        <v/>
      </c>
      <c r="I45" s="184"/>
      <c r="J45" s="186" t="str">
        <f>IF(ber_Med_disc!C21&gt;1,ber_Med_disc!M21,"")</f>
        <v/>
      </c>
      <c r="K45" s="184" t="str">
        <f>IF(AND(ber_Med_disc!C21&gt;1),J44&amp;"/kg/dag ","")</f>
        <v/>
      </c>
      <c r="L45" s="184"/>
      <c r="M45" s="184" t="str">
        <f>IF(AND(ber_Med_disc!C21&gt;1,ber_Med_disc!O21&gt;1,ber_Med_disc!N21&gt;0),"Oplossing:","")</f>
        <v/>
      </c>
      <c r="N45" s="184" t="str">
        <f>IF(AND(ber_Med_disc!C21&gt;1,ber_Med_disc!O21&gt;1,ber_Med_disc!N21&gt;0),ROUND(ber_Med_disc!H21/ber_Med_disc!N21,2)&amp;" "&amp;ber_Med_disc!F21&amp;"/ml","")</f>
        <v/>
      </c>
      <c r="O45" s="184"/>
      <c r="P45" s="184"/>
      <c r="Q45" s="175"/>
      <c r="R45" s="175"/>
      <c r="S45" s="175"/>
      <c r="T45" s="175"/>
      <c r="U45" s="175"/>
      <c r="V45" s="175"/>
    </row>
    <row r="46" spans="1:22" s="347" customFormat="1" ht="19.55" customHeight="1" x14ac:dyDescent="0.35">
      <c r="A46" s="175"/>
      <c r="B46" s="175"/>
      <c r="C46" s="175"/>
      <c r="D46" s="175"/>
      <c r="E46" s="175"/>
      <c r="F46" s="175"/>
      <c r="G46" s="176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</row>
    <row r="47" spans="1:22" s="347" customFormat="1" ht="19.55" customHeight="1" x14ac:dyDescent="0.35">
      <c r="A47" s="175"/>
      <c r="B47" s="17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</row>
    <row r="48" spans="1:22" s="347" customFormat="1" ht="19.55" customHeight="1" x14ac:dyDescent="0.35">
      <c r="A48" s="175"/>
      <c r="B48" s="17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</row>
    <row r="49" spans="1:22" s="347" customFormat="1" ht="19.55" customHeight="1" x14ac:dyDescent="0.35">
      <c r="A49" s="175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</row>
    <row r="50" spans="1:22" s="347" customFormat="1" ht="19.55" customHeight="1" x14ac:dyDescent="0.35">
      <c r="A50" s="175"/>
      <c r="B50" s="17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</row>
    <row r="51" spans="1:22" s="347" customFormat="1" ht="19.55" customHeight="1" x14ac:dyDescent="0.35">
      <c r="A51" s="175"/>
      <c r="B51" s="17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</row>
    <row r="52" spans="1:22" s="347" customFormat="1" ht="19.55" customHeight="1" x14ac:dyDescent="0.35">
      <c r="A52" s="175"/>
      <c r="B52" s="17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</row>
    <row r="53" spans="1:22" s="347" customFormat="1" ht="19.55" customHeight="1" x14ac:dyDescent="0.35">
      <c r="A53" s="175"/>
      <c r="B53" s="17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</row>
    <row r="54" spans="1:22" s="347" customFormat="1" ht="19.55" customHeight="1" x14ac:dyDescent="0.35">
      <c r="A54" s="175"/>
      <c r="B54" s="17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</row>
    <row r="55" spans="1:22" s="347" customFormat="1" ht="19.55" customHeight="1" x14ac:dyDescent="0.35">
      <c r="A55" s="175"/>
      <c r="B55" s="17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</row>
    <row r="56" spans="1:22" s="347" customFormat="1" ht="19.55" customHeight="1" x14ac:dyDescent="0.35">
      <c r="A56" s="175"/>
      <c r="B56" s="17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</row>
    <row r="57" spans="1:22" s="347" customFormat="1" ht="19.55" customHeight="1" x14ac:dyDescent="0.35">
      <c r="A57" s="175"/>
      <c r="B57" s="17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</row>
    <row r="58" spans="1:22" s="347" customFormat="1" x14ac:dyDescent="0.35">
      <c r="A58" s="175"/>
      <c r="B58" s="17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</row>
    <row r="59" spans="1:22" s="347" customFormat="1" x14ac:dyDescent="0.35">
      <c r="A59" s="175"/>
      <c r="B59" s="17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</row>
    <row r="60" spans="1:22" s="347" customFormat="1" x14ac:dyDescent="0.35">
      <c r="A60" s="175"/>
      <c r="B60" s="17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</row>
    <row r="61" spans="1:22" s="347" customFormat="1" x14ac:dyDescent="0.35">
      <c r="A61" s="175"/>
      <c r="B61" s="17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</row>
    <row r="62" spans="1:22" s="347" customFormat="1" x14ac:dyDescent="0.35">
      <c r="A62" s="175"/>
      <c r="B62" s="17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</row>
    <row r="63" spans="1:22" s="347" customFormat="1" x14ac:dyDescent="0.35">
      <c r="A63" s="175"/>
      <c r="B63" s="17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</row>
    <row r="64" spans="1:22" s="347" customFormat="1" x14ac:dyDescent="0.35">
      <c r="A64" s="175"/>
      <c r="B64" s="17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</row>
    <row r="65" spans="1:22" s="347" customFormat="1" x14ac:dyDescent="0.35">
      <c r="A65" s="175"/>
      <c r="B65" s="17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</row>
    <row r="66" spans="1:22" s="347" customFormat="1" x14ac:dyDescent="0.35">
      <c r="A66" s="175"/>
      <c r="B66" s="17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</row>
    <row r="67" spans="1:22" s="347" customFormat="1" x14ac:dyDescent="0.35">
      <c r="A67" s="175"/>
      <c r="B67" s="17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</row>
    <row r="68" spans="1:22" s="347" customFormat="1" x14ac:dyDescent="0.35">
      <c r="A68" s="175"/>
      <c r="B68" s="17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</row>
    <row r="69" spans="1:22" s="347" customFormat="1" x14ac:dyDescent="0.35">
      <c r="A69" s="175"/>
      <c r="B69" s="17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</row>
    <row r="70" spans="1:22" s="347" customFormat="1" x14ac:dyDescent="0.35"/>
    <row r="71" spans="1:22" s="347" customFormat="1" x14ac:dyDescent="0.35"/>
    <row r="72" spans="1:22" s="347" customFormat="1" x14ac:dyDescent="0.35"/>
    <row r="73" spans="1:22" s="347" customFormat="1" x14ac:dyDescent="0.35"/>
    <row r="74" spans="1:22" s="347" customFormat="1" x14ac:dyDescent="0.35"/>
    <row r="75" spans="1:22" s="347" customFormat="1" x14ac:dyDescent="0.35"/>
    <row r="76" spans="1:22" s="347" customFormat="1" x14ac:dyDescent="0.35"/>
    <row r="77" spans="1:22" s="347" customFormat="1" x14ac:dyDescent="0.35"/>
    <row r="78" spans="1:22" s="347" customFormat="1" x14ac:dyDescent="0.35"/>
    <row r="79" spans="1:22" s="347" customFormat="1" x14ac:dyDescent="0.35"/>
    <row r="80" spans="1:22" s="347" customFormat="1" x14ac:dyDescent="0.35"/>
    <row r="81" s="347" customFormat="1" x14ac:dyDescent="0.35"/>
    <row r="82" s="347" customFormat="1" x14ac:dyDescent="0.35"/>
    <row r="83" s="347" customFormat="1" x14ac:dyDescent="0.35"/>
    <row r="84" s="347" customFormat="1" x14ac:dyDescent="0.35"/>
    <row r="85" s="347" customFormat="1" x14ac:dyDescent="0.35"/>
    <row r="86" s="347" customFormat="1" x14ac:dyDescent="0.35"/>
    <row r="87" s="347" customFormat="1" x14ac:dyDescent="0.35"/>
    <row r="88" s="347" customFormat="1" x14ac:dyDescent="0.35"/>
    <row r="89" s="347" customFormat="1" x14ac:dyDescent="0.35"/>
    <row r="90" s="347" customFormat="1" x14ac:dyDescent="0.35"/>
    <row r="91" s="347" customFormat="1" x14ac:dyDescent="0.35"/>
    <row r="92" s="347" customFormat="1" x14ac:dyDescent="0.35"/>
    <row r="93" s="347" customFormat="1" x14ac:dyDescent="0.35"/>
    <row r="94" s="347" customFormat="1" x14ac:dyDescent="0.35"/>
    <row r="95" s="347" customFormat="1" x14ac:dyDescent="0.35"/>
    <row r="96" s="347" customFormat="1" x14ac:dyDescent="0.35"/>
    <row r="97" s="347" customFormat="1" x14ac:dyDescent="0.35"/>
    <row r="98" s="347" customFormat="1" x14ac:dyDescent="0.35"/>
    <row r="99" s="347" customFormat="1" x14ac:dyDescent="0.35"/>
    <row r="100" s="347" customFormat="1" x14ac:dyDescent="0.35"/>
    <row r="101" s="347" customFormat="1" x14ac:dyDescent="0.35"/>
    <row r="102" s="347" customFormat="1" x14ac:dyDescent="0.35"/>
    <row r="103" s="347" customFormat="1" x14ac:dyDescent="0.35"/>
    <row r="104" s="347" customFormat="1" x14ac:dyDescent="0.35"/>
    <row r="105" s="347" customFormat="1" x14ac:dyDescent="0.35"/>
    <row r="106" s="347" customFormat="1" x14ac:dyDescent="0.35"/>
    <row r="107" s="347" customFormat="1" x14ac:dyDescent="0.35"/>
    <row r="108" s="347" customFormat="1" x14ac:dyDescent="0.35"/>
    <row r="109" s="347" customFormat="1" x14ac:dyDescent="0.35"/>
    <row r="110" s="347" customFormat="1" x14ac:dyDescent="0.35"/>
    <row r="111" s="347" customFormat="1" x14ac:dyDescent="0.35"/>
    <row r="112" s="347" customFormat="1" x14ac:dyDescent="0.35"/>
    <row r="113" s="347" customFormat="1" x14ac:dyDescent="0.35"/>
    <row r="114" s="347" customFormat="1" x14ac:dyDescent="0.35"/>
    <row r="115" s="347" customFormat="1" x14ac:dyDescent="0.35"/>
    <row r="116" s="347" customFormat="1" x14ac:dyDescent="0.35"/>
    <row r="117" s="347" customFormat="1" x14ac:dyDescent="0.35"/>
    <row r="118" s="347" customFormat="1" x14ac:dyDescent="0.35"/>
    <row r="119" s="347" customFormat="1" x14ac:dyDescent="0.35"/>
    <row r="120" s="347" customFormat="1" x14ac:dyDescent="0.35"/>
    <row r="121" s="347" customFormat="1" x14ac:dyDescent="0.35"/>
    <row r="122" s="347" customFormat="1" x14ac:dyDescent="0.35"/>
    <row r="123" s="347" customFormat="1" x14ac:dyDescent="0.35"/>
    <row r="124" s="347" customFormat="1" x14ac:dyDescent="0.35"/>
    <row r="125" s="347" customFormat="1" x14ac:dyDescent="0.35"/>
    <row r="126" s="347" customFormat="1" x14ac:dyDescent="0.35"/>
    <row r="127" s="347" customFormat="1" x14ac:dyDescent="0.35"/>
    <row r="128" s="347" customFormat="1" x14ac:dyDescent="0.35"/>
  </sheetData>
  <mergeCells count="19"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1345</v>
      </c>
      <c r="C1" t="s">
        <v>1029</v>
      </c>
      <c r="D1" s="351" t="s">
        <v>1429</v>
      </c>
      <c r="E1" t="s">
        <v>522</v>
      </c>
      <c r="F1" t="s">
        <v>523</v>
      </c>
      <c r="G1" t="s">
        <v>435</v>
      </c>
      <c r="H1" t="s">
        <v>1030</v>
      </c>
      <c r="I1" t="s">
        <v>1172</v>
      </c>
      <c r="J1" t="s">
        <v>620</v>
      </c>
      <c r="K1" t="s">
        <v>436</v>
      </c>
      <c r="L1" t="s">
        <v>437</v>
      </c>
      <c r="M1" t="s">
        <v>343</v>
      </c>
      <c r="N1" t="s">
        <v>1140</v>
      </c>
      <c r="O1" t="s">
        <v>1141</v>
      </c>
      <c r="P1" t="s">
        <v>1143</v>
      </c>
      <c r="Q1" t="s">
        <v>1173</v>
      </c>
      <c r="R1" t="s">
        <v>659</v>
      </c>
      <c r="S1" t="s">
        <v>1167</v>
      </c>
      <c r="T1" t="s">
        <v>1168</v>
      </c>
      <c r="U1" t="s">
        <v>190</v>
      </c>
      <c r="V1" t="s">
        <v>1094</v>
      </c>
      <c r="W1" t="s">
        <v>1398</v>
      </c>
      <c r="X1" t="s">
        <v>1030</v>
      </c>
      <c r="Y1" t="s">
        <v>1399</v>
      </c>
      <c r="Z1" t="s">
        <v>489</v>
      </c>
      <c r="AA1" t="s">
        <v>1173</v>
      </c>
      <c r="AB1" t="s">
        <v>1400</v>
      </c>
      <c r="AC1" t="s">
        <v>1374</v>
      </c>
    </row>
    <row r="2" spans="1:31" x14ac:dyDescent="0.35">
      <c r="A2">
        <v>1</v>
      </c>
      <c r="B2">
        <v>1500</v>
      </c>
      <c r="D2" t="s">
        <v>1430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219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1" x14ac:dyDescent="0.35">
      <c r="A26" t="s">
        <v>1136</v>
      </c>
      <c r="B26" t="s">
        <v>1142</v>
      </c>
      <c r="D26" t="s">
        <v>1171</v>
      </c>
      <c r="E26" t="s">
        <v>1011</v>
      </c>
    </row>
    <row r="28" spans="1:31" x14ac:dyDescent="0.35">
      <c r="A28" t="s">
        <v>302</v>
      </c>
      <c r="B28" t="s">
        <v>879</v>
      </c>
      <c r="C28">
        <v>0</v>
      </c>
      <c r="D28" t="s">
        <v>1393</v>
      </c>
      <c r="E28" t="s">
        <v>532</v>
      </c>
    </row>
    <row r="29" spans="1:31" x14ac:dyDescent="0.35">
      <c r="A29" t="s">
        <v>301</v>
      </c>
      <c r="B29" t="s">
        <v>880</v>
      </c>
      <c r="C29">
        <v>1</v>
      </c>
      <c r="D29" t="s">
        <v>1170</v>
      </c>
      <c r="E29" t="s">
        <v>524</v>
      </c>
    </row>
    <row r="30" spans="1:31" x14ac:dyDescent="0.35">
      <c r="A30" t="s">
        <v>171</v>
      </c>
      <c r="B30" t="s">
        <v>881</v>
      </c>
      <c r="C30">
        <v>1</v>
      </c>
      <c r="D30" t="s">
        <v>1281</v>
      </c>
      <c r="E30" t="s">
        <v>117</v>
      </c>
    </row>
    <row r="31" spans="1:31" x14ac:dyDescent="0.35">
      <c r="A31" t="s">
        <v>948</v>
      </c>
      <c r="C31">
        <v>2</v>
      </c>
      <c r="D31" t="s">
        <v>1282</v>
      </c>
      <c r="E31" t="s">
        <v>225</v>
      </c>
    </row>
    <row r="32" spans="1:31" x14ac:dyDescent="0.35">
      <c r="A32" t="s">
        <v>172</v>
      </c>
      <c r="C32">
        <v>3</v>
      </c>
      <c r="D32" t="s">
        <v>1283</v>
      </c>
      <c r="E32" t="s">
        <v>525</v>
      </c>
    </row>
    <row r="33" spans="1:4" x14ac:dyDescent="0.35">
      <c r="A33" t="s">
        <v>614</v>
      </c>
      <c r="C33">
        <v>4</v>
      </c>
      <c r="D33" t="s">
        <v>1284</v>
      </c>
    </row>
    <row r="34" spans="1:4" x14ac:dyDescent="0.35">
      <c r="A34" t="s">
        <v>1137</v>
      </c>
      <c r="C34">
        <v>5</v>
      </c>
      <c r="D34" t="s">
        <v>1392</v>
      </c>
    </row>
    <row r="35" spans="1:4" x14ac:dyDescent="0.35">
      <c r="A35" t="s">
        <v>1138</v>
      </c>
      <c r="C35">
        <v>6</v>
      </c>
      <c r="D35" t="s">
        <v>556</v>
      </c>
    </row>
    <row r="36" spans="1:4" x14ac:dyDescent="0.35">
      <c r="A36" t="s">
        <v>1139</v>
      </c>
      <c r="C36">
        <v>8</v>
      </c>
      <c r="D36" t="s">
        <v>557</v>
      </c>
    </row>
    <row r="37" spans="1:4" x14ac:dyDescent="0.35">
      <c r="A37" t="s">
        <v>183</v>
      </c>
      <c r="C37">
        <v>12</v>
      </c>
      <c r="D37" t="s">
        <v>558</v>
      </c>
    </row>
    <row r="38" spans="1:4" x14ac:dyDescent="0.35">
      <c r="A38" t="s">
        <v>484</v>
      </c>
      <c r="C38">
        <v>24</v>
      </c>
      <c r="D38" t="s">
        <v>99</v>
      </c>
    </row>
  </sheetData>
  <phoneticPr fontId="26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1280</v>
      </c>
    </row>
    <row r="2" spans="1:24" x14ac:dyDescent="0.35">
      <c r="A2" t="s">
        <v>1222</v>
      </c>
      <c r="B2">
        <v>20</v>
      </c>
    </row>
    <row r="3" spans="1:24" x14ac:dyDescent="0.35">
      <c r="A3" t="s">
        <v>1281</v>
      </c>
      <c r="B3">
        <v>10</v>
      </c>
    </row>
    <row r="4" spans="1:24" x14ac:dyDescent="0.35">
      <c r="A4" t="s">
        <v>1282</v>
      </c>
      <c r="B4">
        <v>10</v>
      </c>
      <c r="C4">
        <v>22</v>
      </c>
    </row>
    <row r="5" spans="1:24" x14ac:dyDescent="0.35">
      <c r="A5" t="s">
        <v>1283</v>
      </c>
      <c r="B5">
        <v>10</v>
      </c>
      <c r="C5">
        <v>18</v>
      </c>
      <c r="D5">
        <v>2</v>
      </c>
    </row>
    <row r="6" spans="1:24" x14ac:dyDescent="0.35">
      <c r="A6" t="s">
        <v>1284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556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557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558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99</v>
      </c>
    </row>
    <row r="12" spans="1:24" x14ac:dyDescent="0.35">
      <c r="A12">
        <v>10</v>
      </c>
      <c r="B12" t="s">
        <v>1281</v>
      </c>
      <c r="C12" t="s">
        <v>1282</v>
      </c>
      <c r="D12" t="s">
        <v>1283</v>
      </c>
      <c r="E12" t="s">
        <v>1284</v>
      </c>
      <c r="F12" t="s">
        <v>556</v>
      </c>
      <c r="G12" t="s">
        <v>558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1169</v>
      </c>
      <c r="B16" s="38"/>
      <c r="C16" s="38"/>
      <c r="D16" s="40" t="s">
        <v>559</v>
      </c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9"/>
      <c r="S16" s="39"/>
      <c r="T16" s="39"/>
      <c r="U16" s="39"/>
      <c r="V16" s="39"/>
      <c r="W16" s="39"/>
      <c r="X16" s="39"/>
    </row>
    <row r="17" spans="1:24" x14ac:dyDescent="0.35">
      <c r="A17" t="s">
        <v>1170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0" t="s">
        <v>559</v>
      </c>
      <c r="M17" s="38"/>
      <c r="N17" s="40"/>
      <c r="O17" s="38"/>
      <c r="P17" s="38"/>
      <c r="Q17" s="38"/>
      <c r="R17" s="39"/>
      <c r="S17" s="39"/>
      <c r="T17" s="39"/>
      <c r="U17" s="39"/>
      <c r="V17" s="39"/>
      <c r="W17" s="39"/>
      <c r="X17" s="39"/>
    </row>
    <row r="18" spans="1:24" x14ac:dyDescent="0.35">
      <c r="A18" t="s">
        <v>1281</v>
      </c>
      <c r="B18" s="17" t="s">
        <v>559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1282</v>
      </c>
      <c r="B19" s="17" t="s">
        <v>559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559</v>
      </c>
      <c r="O19" s="17"/>
      <c r="P19" s="17"/>
      <c r="Q19" s="17"/>
    </row>
    <row r="20" spans="1:24" x14ac:dyDescent="0.35">
      <c r="A20" t="s">
        <v>1283</v>
      </c>
      <c r="B20" s="17" t="s">
        <v>559</v>
      </c>
      <c r="C20" s="17"/>
      <c r="D20" s="17"/>
      <c r="E20" s="17"/>
      <c r="F20" s="17"/>
      <c r="G20" s="17"/>
      <c r="H20" s="17"/>
      <c r="I20" s="17"/>
      <c r="J20" s="17" t="s">
        <v>559</v>
      </c>
      <c r="K20" s="17"/>
      <c r="L20" s="17"/>
      <c r="M20" s="17"/>
      <c r="N20" s="17"/>
      <c r="O20" s="17"/>
      <c r="P20" s="17"/>
      <c r="Q20" s="17"/>
      <c r="R20" t="s">
        <v>559</v>
      </c>
    </row>
    <row r="21" spans="1:24" x14ac:dyDescent="0.35">
      <c r="A21" t="s">
        <v>1284</v>
      </c>
      <c r="B21" s="17"/>
      <c r="C21" s="17"/>
      <c r="D21" s="17" t="s">
        <v>559</v>
      </c>
      <c r="E21" s="17"/>
      <c r="F21" s="17"/>
      <c r="G21" s="17"/>
      <c r="H21" s="17"/>
      <c r="I21" s="17"/>
      <c r="J21" s="17" t="s">
        <v>559</v>
      </c>
      <c r="K21" s="17"/>
      <c r="L21" s="17"/>
      <c r="M21" s="17"/>
      <c r="N21" s="17"/>
      <c r="O21" s="17"/>
      <c r="P21" s="17" t="s">
        <v>559</v>
      </c>
      <c r="Q21" s="17"/>
      <c r="V21" t="s">
        <v>559</v>
      </c>
    </row>
    <row r="22" spans="1:24" x14ac:dyDescent="0.35">
      <c r="A22" t="s">
        <v>556</v>
      </c>
      <c r="B22" s="17" t="s">
        <v>559</v>
      </c>
      <c r="C22" s="17"/>
      <c r="D22" s="17"/>
      <c r="E22" s="17"/>
      <c r="F22" s="17" t="s">
        <v>559</v>
      </c>
      <c r="G22" s="17"/>
      <c r="H22" s="17"/>
      <c r="I22" s="17"/>
      <c r="J22" s="17" t="s">
        <v>559</v>
      </c>
      <c r="K22" s="17"/>
      <c r="L22" s="17"/>
      <c r="M22" s="17"/>
      <c r="N22" s="17" t="s">
        <v>559</v>
      </c>
      <c r="O22" s="17"/>
      <c r="P22" s="17"/>
      <c r="Q22" s="17"/>
      <c r="R22" t="s">
        <v>559</v>
      </c>
      <c r="V22" t="s">
        <v>559</v>
      </c>
    </row>
    <row r="23" spans="1:24" x14ac:dyDescent="0.35">
      <c r="A23" t="s">
        <v>557</v>
      </c>
      <c r="B23" s="17"/>
      <c r="C23" s="17" t="s">
        <v>559</v>
      </c>
      <c r="D23" s="17"/>
      <c r="E23" s="17"/>
      <c r="F23" s="17" t="s">
        <v>559</v>
      </c>
      <c r="G23" s="17"/>
      <c r="H23" s="17"/>
      <c r="I23" s="17" t="s">
        <v>559</v>
      </c>
      <c r="J23" s="17"/>
      <c r="K23" s="17"/>
      <c r="L23" s="17" t="s">
        <v>559</v>
      </c>
      <c r="M23" s="17"/>
      <c r="N23" s="17"/>
      <c r="O23" s="17" t="s">
        <v>559</v>
      </c>
      <c r="P23" s="17"/>
      <c r="Q23" s="17"/>
      <c r="R23" t="s">
        <v>559</v>
      </c>
      <c r="U23" t="s">
        <v>559</v>
      </c>
      <c r="X23" t="s">
        <v>559</v>
      </c>
    </row>
    <row r="24" spans="1:24" x14ac:dyDescent="0.35">
      <c r="A24" t="s">
        <v>558</v>
      </c>
      <c r="B24" s="17" t="s">
        <v>559</v>
      </c>
      <c r="C24" s="17"/>
      <c r="D24" s="17" t="s">
        <v>559</v>
      </c>
      <c r="E24" s="17"/>
      <c r="F24" s="17" t="s">
        <v>559</v>
      </c>
      <c r="G24" s="17"/>
      <c r="H24" s="17" t="s">
        <v>559</v>
      </c>
      <c r="I24" s="17"/>
      <c r="J24" s="17" t="s">
        <v>559</v>
      </c>
      <c r="K24" s="17"/>
      <c r="L24" s="17" t="s">
        <v>559</v>
      </c>
      <c r="M24" s="17"/>
      <c r="N24" s="17" t="s">
        <v>559</v>
      </c>
      <c r="O24" s="17"/>
      <c r="P24" s="17" t="s">
        <v>559</v>
      </c>
      <c r="Q24" s="17"/>
      <c r="R24" t="s">
        <v>559</v>
      </c>
      <c r="T24" t="s">
        <v>559</v>
      </c>
      <c r="V24" t="s">
        <v>559</v>
      </c>
      <c r="X24" t="s">
        <v>559</v>
      </c>
    </row>
    <row r="25" spans="1:24" x14ac:dyDescent="0.35">
      <c r="A25" t="s">
        <v>99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/>
  <dimension ref="B1:AG22"/>
  <sheetViews>
    <sheetView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96">
        <f>GebDatum</f>
        <v>40909</v>
      </c>
      <c r="G1" s="396"/>
      <c r="I1" s="11" t="str">
        <f>"Gewicht: "&amp;ROUND(Gewicht/10,1)&amp;"kg"</f>
        <v>Gewicht: 10kg</v>
      </c>
      <c r="P1" s="11" t="s">
        <v>560</v>
      </c>
      <c r="R1" s="394"/>
      <c r="S1" s="394"/>
      <c r="T1" s="394"/>
      <c r="U1" s="394"/>
      <c r="V1" s="394"/>
      <c r="W1" s="394"/>
      <c r="Y1" t="s">
        <v>942</v>
      </c>
      <c r="AB1" s="395">
        <f ca="1">TODAY()</f>
        <v>42194</v>
      </c>
      <c r="AC1" s="395"/>
      <c r="AD1" s="395"/>
      <c r="AE1" s="395"/>
      <c r="AF1" s="395"/>
    </row>
    <row r="2" spans="2:33" ht="26.1" customHeight="1" x14ac:dyDescent="0.35">
      <c r="B2" s="157" t="s">
        <v>1345</v>
      </c>
      <c r="C2" s="158" t="s">
        <v>1029</v>
      </c>
      <c r="D2" s="159" t="s">
        <v>1030</v>
      </c>
      <c r="E2" s="159"/>
      <c r="F2" s="159"/>
      <c r="G2" s="160" t="s">
        <v>954</v>
      </c>
      <c r="H2" s="161">
        <v>10</v>
      </c>
      <c r="I2" s="161">
        <v>11</v>
      </c>
      <c r="J2" s="161">
        <v>12</v>
      </c>
      <c r="K2" s="161">
        <v>13</v>
      </c>
      <c r="L2" s="161">
        <v>14</v>
      </c>
      <c r="M2" s="161">
        <v>15</v>
      </c>
      <c r="N2" s="161">
        <v>16</v>
      </c>
      <c r="O2" s="161">
        <v>17</v>
      </c>
      <c r="P2" s="161">
        <v>18</v>
      </c>
      <c r="Q2" s="161">
        <v>19</v>
      </c>
      <c r="R2" s="162">
        <v>20</v>
      </c>
      <c r="S2" s="162">
        <v>21</v>
      </c>
      <c r="T2" s="162">
        <v>22</v>
      </c>
      <c r="U2" s="162">
        <v>23</v>
      </c>
      <c r="V2" s="162">
        <v>24</v>
      </c>
      <c r="W2" s="162">
        <v>1</v>
      </c>
      <c r="X2" s="161">
        <v>2</v>
      </c>
      <c r="Y2" s="161">
        <v>3</v>
      </c>
      <c r="Z2" s="161">
        <v>4</v>
      </c>
      <c r="AA2" s="161">
        <v>5</v>
      </c>
      <c r="AB2" s="161">
        <v>6</v>
      </c>
      <c r="AC2" s="161">
        <v>7</v>
      </c>
      <c r="AD2" s="161">
        <v>8</v>
      </c>
      <c r="AE2" s="163"/>
      <c r="AF2" s="163"/>
      <c r="AG2" s="163"/>
    </row>
    <row r="3" spans="2:33" ht="26.1" customHeight="1" x14ac:dyDescent="0.35">
      <c r="B3" s="165">
        <f>IF(C3&lt;&gt;" ",Med_disc!C6,"")</f>
        <v>0</v>
      </c>
      <c r="C3" s="332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333" t="str">
        <f>IF(Med_disc!H6&lt;&gt;"",Med_disc!H6,"")</f>
        <v/>
      </c>
      <c r="E3" s="334" t="str">
        <f>IF(AND(D3&lt;&gt;"",D3&lt;&gt;"STOP"),ber_Med_disc!H2&amp;" "&amp;ber_Med_disc!F2,"")</f>
        <v/>
      </c>
      <c r="F3" s="334" t="str">
        <f>IF(AND(D3&lt;&gt;"",D3&lt;&gt;"STOP"),ber_Med_disc!L2," ")</f>
        <v xml:space="preserve"> </v>
      </c>
      <c r="G3" s="334" t="str">
        <f>IF(Med_disc!L6&lt;&gt;"",Med_disc!L6&amp;" "&amp;Med_disc!M6&amp;" "&amp;INDEX(ber_Med_disc!$B$27:$B$30,ber_Med_disc!O2,1)&amp;" in "&amp;Med_disc!$O$6,"")</f>
        <v/>
      </c>
      <c r="H3" s="164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64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64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64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64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64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64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64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64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64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64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64" t="str">
        <f>IF(OR($D3="1 dd",$D3="2 dd",$D3="3 dd",$D3="4 dd",$D3="6 dd",$D3="8 dd",$D3="12 dd",$D3="an",$D3="1 X"),VLOOKUP($D3,ber_tijden!$A$16:$X$25,ber_tijden!X$14,FALSE),"")</f>
        <v/>
      </c>
      <c r="AE3" s="19"/>
      <c r="AF3" s="163"/>
      <c r="AG3" s="19"/>
    </row>
    <row r="4" spans="2:33" ht="26.1" customHeight="1" x14ac:dyDescent="0.35">
      <c r="B4" s="165">
        <f>IF(C4&lt;&gt;" ",Med_disc!C8,"")</f>
        <v>0</v>
      </c>
      <c r="C4" s="332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333" t="str">
        <f>IF(Med_disc!H8&lt;&gt;"",Med_disc!H8,"")</f>
        <v/>
      </c>
      <c r="E4" s="334" t="str">
        <f>IF(AND(D4&lt;&gt;"",D4&lt;&gt;"STOP"),ber_Med_disc!H3&amp;" "&amp;ber_Med_disc!F3,"")</f>
        <v/>
      </c>
      <c r="F4" s="334" t="str">
        <f>IF(AND(D4&lt;&gt;"",D4&lt;&gt;"STOP"),ber_Med_disc!L3," ")</f>
        <v xml:space="preserve"> </v>
      </c>
      <c r="G4" s="334" t="str">
        <f>IF(Med_disc!L8&lt;&gt;"",Med_disc!L8&amp;" "&amp;Med_disc!M8&amp;" "&amp;INDEX(ber_Med_disc!$B$27:$B$30,ber_Med_disc!O3,1)&amp;" in "&amp;Med_disc!$O$8,"")</f>
        <v/>
      </c>
      <c r="H4" s="164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64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64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64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64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64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64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64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64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64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64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64" t="str">
        <f>IF(OR($D4="1 dd",$D4="2 dd",$D4="3 dd",$D4="4 dd",$D4="6 dd",$D4="8 dd",$D4="12 dd",$D4="an",$D4="1 X"),VLOOKUP($D4,ber_tijden!$A$16:$X$25,ber_tijden!X$14,FALSE),"")</f>
        <v/>
      </c>
      <c r="AE4" s="19"/>
      <c r="AF4" s="163"/>
      <c r="AG4" s="19"/>
    </row>
    <row r="5" spans="2:33" ht="26.1" customHeight="1" x14ac:dyDescent="0.35">
      <c r="B5" s="165">
        <f>IF(C5&lt;&gt;" ",Med_disc!C10,"")</f>
        <v>0</v>
      </c>
      <c r="C5" s="332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333" t="str">
        <f>IF(Med_disc!H10&lt;&gt;"",Med_disc!H10,"")</f>
        <v/>
      </c>
      <c r="E5" s="334" t="str">
        <f>IF(AND(D5&lt;&gt;"",D5&lt;&gt;"STOP"),ber_Med_disc!H4&amp;" "&amp;ber_Med_disc!F4,"")</f>
        <v/>
      </c>
      <c r="F5" s="334" t="str">
        <f>IF(AND(D5&lt;&gt;"",D5&lt;&gt;"STOP"),ber_Med_disc!L4," ")</f>
        <v xml:space="preserve"> </v>
      </c>
      <c r="G5" s="334" t="str">
        <f>IF(Med_disc!L10&lt;&gt;"",Med_disc!L10&amp;" "&amp;Med_disc!M10&amp;" "&amp;INDEX(ber_Med_disc!$B$27:$B$30,ber_Med_disc!O4,1)&amp;" in "&amp;Med_disc!$O$10,"")</f>
        <v/>
      </c>
      <c r="H5" s="164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64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64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64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64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64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64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64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64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64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64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64" t="str">
        <f>IF(OR($D5="1 dd",$D5="2 dd",$D5="3 dd",$D5="4 dd",$D5="6 dd",$D5="8 dd",$D5="12 dd",$D5="an",$D5="1 X"),VLOOKUP($D5,ber_tijden!$A$16:$X$25,ber_tijden!X$14,FALSE),"")</f>
        <v/>
      </c>
      <c r="AE5" s="19"/>
      <c r="AF5" s="163"/>
      <c r="AG5" s="19"/>
    </row>
    <row r="6" spans="2:33" ht="26.1" customHeight="1" x14ac:dyDescent="0.35">
      <c r="B6" s="165">
        <f>IF(C6&lt;&gt;" ",Med_disc!C12,"")</f>
        <v>0</v>
      </c>
      <c r="C6" s="332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333" t="str">
        <f>IF(Med_disc!H12&lt;&gt;"",Med_disc!H12,"")</f>
        <v/>
      </c>
      <c r="E6" s="334" t="str">
        <f>IF(AND(D6&lt;&gt;"",D6&lt;&gt;"STOP"),ber_Med_disc!H5&amp;" "&amp;ber_Med_disc!F5,"")</f>
        <v/>
      </c>
      <c r="F6" s="334" t="str">
        <f>IF(AND(D6&lt;&gt;"",D6&lt;&gt;"STOP"),ber_Med_disc!L5," ")</f>
        <v xml:space="preserve"> </v>
      </c>
      <c r="G6" s="334" t="str">
        <f>IF(Med_disc!L12&lt;&gt;"",Med_disc!L12&amp;" "&amp;Med_disc!M12&amp;" "&amp;INDEX(ber_Med_disc!$B$27:$B$30,ber_Med_disc!O5,1)&amp;" in "&amp;Med_disc!$O$12,"")</f>
        <v/>
      </c>
      <c r="H6" s="164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64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64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64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64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64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64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64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64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64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64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64" t="str">
        <f>IF(OR($D6="1 dd",$D6="2 dd",$D6="3 dd",$D6="4 dd",$D6="6 dd",$D6="8 dd",$D6="12 dd",$D6="an",$D6="1 X"),VLOOKUP($D6,ber_tijden!$A$16:$X$25,ber_tijden!X$14,FALSE),"")</f>
        <v/>
      </c>
      <c r="AE6" s="19"/>
      <c r="AF6" s="163"/>
      <c r="AG6" s="19"/>
    </row>
    <row r="7" spans="2:33" ht="26.1" customHeight="1" x14ac:dyDescent="0.35">
      <c r="B7" s="165">
        <f>IF(C7&lt;&gt;" ",Med_disc!C14,"")</f>
        <v>0</v>
      </c>
      <c r="C7" s="332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333" t="str">
        <f>IF(Med_disc!H14&lt;&gt;"",Med_disc!H14,"")</f>
        <v/>
      </c>
      <c r="E7" s="334" t="str">
        <f>IF(AND(D7&lt;&gt;"",D7&lt;&gt;"STOP"),ber_Med_disc!H6&amp;" "&amp;ber_Med_disc!F6,"")</f>
        <v/>
      </c>
      <c r="F7" s="334" t="str">
        <f>IF(AND(D7&lt;&gt;"",D7&lt;&gt;"STOP"),ber_Med_disc!L6," ")</f>
        <v xml:space="preserve"> </v>
      </c>
      <c r="G7" s="334" t="str">
        <f>IF(Med_disc!L14&lt;&gt;"",Med_disc!L14&amp;" "&amp;Med_disc!M14&amp;" "&amp;INDEX(ber_Med_disc!$B$27:$B$30,ber_Med_disc!O6,1)&amp;" in "&amp;Med_disc!$O$14,"")</f>
        <v/>
      </c>
      <c r="H7" s="164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64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64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64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64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64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64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64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64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64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64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64" t="str">
        <f>IF(OR($D7="1 dd",$D7="2 dd",$D7="3 dd",$D7="4 dd",$D7="6 dd",$D7="8 dd",$D7="12 dd",$D7="an",$D7="1 X"),VLOOKUP($D7,ber_tijden!$A$16:$X$25,ber_tijden!X$14,FALSE),"")</f>
        <v/>
      </c>
      <c r="AE7" s="19"/>
      <c r="AF7" s="163"/>
      <c r="AG7" s="19"/>
    </row>
    <row r="8" spans="2:33" ht="26.1" customHeight="1" x14ac:dyDescent="0.35">
      <c r="B8" s="165">
        <f>IF(C8&lt;&gt;" ",Med_disc!C16,"")</f>
        <v>0</v>
      </c>
      <c r="C8" s="332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333" t="str">
        <f>IF(Med_disc!H16&lt;&gt;"",Med_disc!H16,"")</f>
        <v/>
      </c>
      <c r="E8" s="334" t="str">
        <f>IF(AND(D8&lt;&gt;"",D8&lt;&gt;"STOP"),ber_Med_disc!H7&amp;" "&amp;ber_Med_disc!F7,"")</f>
        <v/>
      </c>
      <c r="F8" s="334" t="str">
        <f>IF(AND(D8&lt;&gt;"",D8&lt;&gt;"STOP"),ber_Med_disc!L7," ")</f>
        <v xml:space="preserve"> </v>
      </c>
      <c r="G8" s="334" t="str">
        <f>IF(Med_disc!L16&lt;&gt;"",Med_disc!L16&amp;" "&amp;Med_disc!M16&amp;" "&amp;INDEX(ber_Med_disc!$B$27:$B$30,ber_Med_disc!O7,1)&amp;" in "&amp;Med_disc!$O$16,"")</f>
        <v/>
      </c>
      <c r="H8" s="164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64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64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64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64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64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64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64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64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64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64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64" t="str">
        <f>IF(OR($D8="1 dd",$D8="2 dd",$D8="3 dd",$D8="4 dd",$D8="6 dd",$D8="8 dd",$D8="12 dd",$D8="an",$D8="1 X"),VLOOKUP($D8,ber_tijden!$A$16:$X$25,ber_tijden!X$14,FALSE),"")</f>
        <v/>
      </c>
      <c r="AE8" s="19"/>
      <c r="AF8" s="163"/>
      <c r="AG8" s="19"/>
    </row>
    <row r="9" spans="2:33" ht="26.1" customHeight="1" x14ac:dyDescent="0.35">
      <c r="B9" s="165">
        <f>IF(C9&lt;&gt;" ",Med_disc!C18,"")</f>
        <v>0</v>
      </c>
      <c r="C9" s="332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333" t="str">
        <f>IF(Med_disc!H18&lt;&gt;"",Med_disc!H18,"")</f>
        <v/>
      </c>
      <c r="E9" s="334" t="str">
        <f>IF(AND(D9&lt;&gt;"",D9&lt;&gt;"STOP"),ber_Med_disc!H8&amp;" "&amp;ber_Med_disc!F8,"")</f>
        <v/>
      </c>
      <c r="F9" s="334" t="str">
        <f>IF(AND(D9&lt;&gt;"",D9&lt;&gt;"STOP"),ber_Med_disc!L8," ")</f>
        <v xml:space="preserve"> </v>
      </c>
      <c r="G9" s="334" t="str">
        <f>IF(Med_disc!L18&lt;&gt;"",Med_disc!L18&amp;" "&amp;Med_disc!M18&amp;" "&amp;INDEX(ber_Med_disc!$B$27:$B$30,ber_Med_disc!O8,1)&amp;" in "&amp;Med_disc!$O$18,"")</f>
        <v/>
      </c>
      <c r="H9" s="164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64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64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64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64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64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64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64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64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64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64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64" t="str">
        <f>IF(OR($D9="1 dd",$D9="2 dd",$D9="3 dd",$D9="4 dd",$D9="6 dd",$D9="8 dd",$D9="12 dd",$D9="an",$D9="1 X"),VLOOKUP($D9,ber_tijden!$A$16:$X$25,ber_tijden!X$14,FALSE),"")</f>
        <v/>
      </c>
      <c r="AE9" s="19"/>
      <c r="AF9" s="163"/>
      <c r="AG9" s="19"/>
    </row>
    <row r="10" spans="2:33" ht="26.1" customHeight="1" x14ac:dyDescent="0.35">
      <c r="B10" s="165">
        <f>IF(C10&lt;&gt;" ",Med_disc!C20,"")</f>
        <v>0</v>
      </c>
      <c r="C10" s="332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333" t="str">
        <f>IF(Med_disc!H20&lt;&gt;"",Med_disc!H20,"")</f>
        <v/>
      </c>
      <c r="E10" s="334" t="str">
        <f>IF(AND(D10&lt;&gt;"",D10&lt;&gt;"STOP"),ber_Med_disc!H9&amp;" "&amp;ber_Med_disc!F9,"")</f>
        <v/>
      </c>
      <c r="F10" s="334" t="str">
        <f>IF(AND(D10&lt;&gt;"",D10&lt;&gt;"STOP"),ber_Med_disc!L9," ")</f>
        <v xml:space="preserve"> </v>
      </c>
      <c r="G10" s="334" t="str">
        <f>IF(Med_disc!L20&lt;&gt;"",Med_disc!L20&amp;" "&amp;Med_disc!M20&amp;" "&amp;INDEX(ber_Med_disc!$B$27:$B$30,ber_Med_disc!O9,1)&amp;" in "&amp;Med_disc!$O$20,"")</f>
        <v/>
      </c>
      <c r="H10" s="164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64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64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64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64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64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64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64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64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64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64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64" t="str">
        <f>IF(OR($D10="1 dd",$D10="2 dd",$D10="3 dd",$D10="4 dd",$D10="6 dd",$D10="8 dd",$D10="12 dd",$D10="an",$D10="1 X"),VLOOKUP($D10,ber_tijden!$A$16:$X$25,ber_tijden!X$14,FALSE),"")</f>
        <v/>
      </c>
      <c r="AE10" s="19"/>
      <c r="AF10" s="163"/>
      <c r="AG10" s="19"/>
    </row>
    <row r="11" spans="2:33" ht="26.1" customHeight="1" x14ac:dyDescent="0.35">
      <c r="B11" s="165">
        <f>IF(C11&lt;&gt;" ",Med_disc!C22,"")</f>
        <v>0</v>
      </c>
      <c r="C11" s="332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333" t="str">
        <f>IF(Med_disc!H22&lt;&gt;"",Med_disc!H22,"")</f>
        <v/>
      </c>
      <c r="E11" s="334" t="str">
        <f>IF(AND(D11&lt;&gt;"",D11&lt;&gt;"STOP"),ber_Med_disc!H10&amp;" "&amp;ber_Med_disc!F10,"")</f>
        <v/>
      </c>
      <c r="F11" s="334" t="str">
        <f>IF(AND(D11&lt;&gt;"",D11&lt;&gt;"STOP"),ber_Med_disc!L10," ")</f>
        <v xml:space="preserve"> </v>
      </c>
      <c r="G11" s="334" t="str">
        <f>IF(Med_disc!L22&lt;&gt;"",Med_disc!L22&amp;" "&amp;Med_disc!M22&amp;" "&amp;INDEX(ber_Med_disc!$B$27:$B$30,ber_Med_disc!O10,1)&amp;" in "&amp;Med_disc!$O$22,"")</f>
        <v/>
      </c>
      <c r="H11" s="164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64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64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64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64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64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64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64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64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64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64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64" t="str">
        <f>IF(OR($D11="1 dd",$D11="2 dd",$D11="3 dd",$D11="4 dd",$D11="6 dd",$D11="8 dd",$D11="12 dd",$D11="an",$D11="1 X"),VLOOKUP($D11,ber_tijden!$A$16:$X$25,ber_tijden!X$14,FALSE),"")</f>
        <v/>
      </c>
      <c r="AE11" s="19"/>
      <c r="AF11" s="163"/>
      <c r="AG11" s="19"/>
    </row>
    <row r="12" spans="2:33" ht="26.1" customHeight="1" x14ac:dyDescent="0.35">
      <c r="B12" s="165">
        <f>IF(C12&lt;&gt;" ",Med_disc!C24,"")</f>
        <v>0</v>
      </c>
      <c r="C12" s="332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333" t="str">
        <f>IF(Med_disc!H24&lt;&gt;"",Med_disc!H24,"")</f>
        <v/>
      </c>
      <c r="E12" s="334" t="str">
        <f>IF(AND(D12&lt;&gt;"",D12&lt;&gt;"STOP"),ber_Med_disc!H11&amp;" "&amp;ber_Med_disc!F11,"")</f>
        <v/>
      </c>
      <c r="F12" s="334" t="str">
        <f>IF(AND(D12&lt;&gt;"",D12&lt;&gt;"STOP"),ber_Med_disc!L11," ")</f>
        <v xml:space="preserve"> </v>
      </c>
      <c r="G12" s="334" t="str">
        <f>IF(Med_disc!L24&lt;&gt;"",Med_disc!L24&amp;" "&amp;Med_disc!M24&amp;" "&amp;INDEX(ber_Med_disc!$B$27:$B$30,ber_Med_disc!O11,1)&amp;" in "&amp;Med_disc!$O$1424,"")</f>
        <v/>
      </c>
      <c r="H12" s="164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64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64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64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64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64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64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64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64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64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64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64" t="str">
        <f>IF(OR($D12="1 dd",$D12="2 dd",$D12="3 dd",$D12="4 dd",$D12="6 dd",$D12="8 dd",$D12="12 dd",$D12="an",$D12="1 X"),VLOOKUP($D12,ber_tijden!$A$16:$X$25,ber_tijden!X$14,FALSE),"")</f>
        <v/>
      </c>
      <c r="AE12" s="19"/>
      <c r="AF12" s="163"/>
      <c r="AG12" s="19"/>
    </row>
    <row r="13" spans="2:33" ht="26.1" customHeight="1" x14ac:dyDescent="0.35">
      <c r="B13" s="165">
        <f>IF(C13&lt;&gt;" ",Med_disc!C26,"")</f>
        <v>0</v>
      </c>
      <c r="C13" s="332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333" t="str">
        <f>IF(Med_disc!H26&lt;&gt;"",Med_disc!H26,"")</f>
        <v/>
      </c>
      <c r="E13" s="334" t="str">
        <f>IF(AND(D13&lt;&gt;"",D13&lt;&gt;"STOP"),ber_Med_disc!H12&amp;" "&amp;ber_Med_disc!F12,"")</f>
        <v/>
      </c>
      <c r="F13" s="334" t="str">
        <f>IF(AND(D13&lt;&gt;"",D13&lt;&gt;"STOP"),ber_Med_disc!L12," ")</f>
        <v xml:space="preserve"> </v>
      </c>
      <c r="G13" s="334" t="str">
        <f>IF(Med_disc!L26&lt;&gt;"",Med_disc!L26&amp;" "&amp;Med_disc!M26&amp;" "&amp;INDEX(ber_Med_disc!$B$27:$B$30,ber_Med_disc!O12,1)&amp;" in "&amp;Med_disc!$O$26,"")</f>
        <v/>
      </c>
      <c r="H13" s="164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64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64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64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64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64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64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64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64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64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64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64" t="str">
        <f>IF(OR($D13="1 dd",$D13="2 dd",$D13="3 dd",$D13="4 dd",$D13="6 dd",$D13="8 dd",$D13="12 dd",$D13="an",$D13="1 X"),VLOOKUP($D13,ber_tijden!$A$16:$X$25,ber_tijden!X$14,FALSE),"")</f>
        <v/>
      </c>
      <c r="AE13" s="19"/>
      <c r="AF13" s="163"/>
      <c r="AG13" s="19"/>
    </row>
    <row r="14" spans="2:33" ht="26.1" customHeight="1" x14ac:dyDescent="0.35">
      <c r="B14" s="165">
        <f>IF(C14&lt;&gt;" ",Med_disc!C28,"")</f>
        <v>0</v>
      </c>
      <c r="C14" s="332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333" t="str">
        <f>IF(Med_disc!H28&lt;&gt;"",Med_disc!H28,"")</f>
        <v/>
      </c>
      <c r="E14" s="334" t="str">
        <f>IF(AND(D14&lt;&gt;"",D14&lt;&gt;"STOP"),ber_Med_disc!H13&amp;" "&amp;ber_Med_disc!F13,"")</f>
        <v/>
      </c>
      <c r="F14" s="334" t="str">
        <f>IF(AND(D14&lt;&gt;"",D14&lt;&gt;"STOP"),ber_Med_disc!L13," ")</f>
        <v xml:space="preserve"> </v>
      </c>
      <c r="G14" s="334" t="str">
        <f>IF(Med_disc!L28&lt;&gt;"",Med_disc!L28&amp;" "&amp;Med_disc!M28&amp;" "&amp;INDEX(ber_Med_disc!$B$27:$B$30,ber_Med_disc!O13,1)&amp;" in "&amp;Med_disc!$O$28,"")</f>
        <v/>
      </c>
      <c r="H14" s="164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64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64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64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64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64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64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64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64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64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64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64" t="str">
        <f>IF(OR($D14="1 dd",$D14="2 dd",$D14="3 dd",$D14="4 dd",$D14="6 dd",$D14="8 dd",$D14="12 dd",$D14="an",$D14="1 X"),VLOOKUP($D14,ber_tijden!$A$16:$X$25,ber_tijden!X$14,FALSE),"")</f>
        <v/>
      </c>
      <c r="AE14" s="19"/>
      <c r="AF14" s="163"/>
      <c r="AG14" s="19"/>
    </row>
    <row r="15" spans="2:33" ht="26.1" customHeight="1" x14ac:dyDescent="0.35">
      <c r="B15" s="165">
        <f>IF(C15&lt;&gt;" ",Med_disc!C30,"")</f>
        <v>0</v>
      </c>
      <c r="C15" s="332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333" t="str">
        <f>IF(Med_disc!H30&lt;&gt;"",Med_disc!H30,"")</f>
        <v/>
      </c>
      <c r="E15" s="334" t="str">
        <f>IF(AND(D15&lt;&gt;"",D15&lt;&gt;"STOP"),ber_Med_disc!H14&amp;" "&amp;ber_Med_disc!F14,"")</f>
        <v/>
      </c>
      <c r="F15" s="334" t="str">
        <f>IF(AND(D15&lt;&gt;"",D15&lt;&gt;"STOP"),ber_Med_disc!L14," ")</f>
        <v xml:space="preserve"> </v>
      </c>
      <c r="G15" s="334" t="str">
        <f>IF(Med_disc!L30&lt;&gt;"",Med_disc!L30&amp;" "&amp;Med_disc!M30&amp;" "&amp;INDEX(ber_Med_disc!$B$27:$B$30,ber_Med_disc!O14,1)&amp;" in "&amp;Med_disc!$O$30,"")</f>
        <v/>
      </c>
      <c r="H15" s="164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64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64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64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64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64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64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64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64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64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64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64" t="str">
        <f>IF(OR($D15="1 dd",$D15="2 dd",$D15="3 dd",$D15="4 dd",$D15="6 dd",$D15="8 dd",$D15="12 dd",$D15="an",$D15="1 X"),VLOOKUP($D15,ber_tijden!$A$16:$X$25,ber_tijden!X$14,FALSE),"")</f>
        <v/>
      </c>
      <c r="AE15" s="19"/>
      <c r="AF15" s="163"/>
      <c r="AG15" s="19"/>
    </row>
    <row r="16" spans="2:33" ht="26.1" customHeight="1" x14ac:dyDescent="0.35">
      <c r="B16" s="165">
        <f>IF(C16&lt;&gt;" ",Med_disc!C32,"")</f>
        <v>0</v>
      </c>
      <c r="C16" s="332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333" t="str">
        <f>IF(Med_disc!H32&lt;&gt;"",Med_disc!H32,"")</f>
        <v/>
      </c>
      <c r="E16" s="334" t="str">
        <f>IF(AND(D16&lt;&gt;"",D16&lt;&gt;"STOP"),ber_Med_disc!H15&amp;" "&amp;ber_Med_disc!F15,"")</f>
        <v/>
      </c>
      <c r="F16" s="334" t="str">
        <f>IF(AND(D16&lt;&gt;"",D16&lt;&gt;"STOP"),ber_Med_disc!L15," ")</f>
        <v xml:space="preserve"> </v>
      </c>
      <c r="G16" s="334" t="str">
        <f>IF(Med_disc!L32&lt;&gt;"",Med_disc!L32&amp;" "&amp;Med_disc!M32&amp;" "&amp;INDEX(ber_Med_disc!$B$27:$B$30,ber_Med_disc!O15,1)&amp;" in "&amp;Med_disc!$O$32,"")</f>
        <v/>
      </c>
      <c r="H16" s="164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64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64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64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64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64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64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64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64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64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64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64" t="str">
        <f>IF(OR($D16="1 dd",$D16="2 dd",$D16="3 dd",$D16="4 dd",$D16="6 dd",$D16="8 dd",$D16="12 dd",$D16="an",$D16="1 X"),VLOOKUP($D16,ber_tijden!$A$16:$X$25,ber_tijden!X$14,FALSE),"")</f>
        <v/>
      </c>
      <c r="AE16" s="19"/>
      <c r="AF16" s="163"/>
      <c r="AG16" s="19"/>
    </row>
    <row r="17" spans="2:33" ht="26.1" customHeight="1" x14ac:dyDescent="0.35">
      <c r="B17" s="165">
        <f>IF(C17&lt;&gt;" ",Med_disc!C34,"")</f>
        <v>0</v>
      </c>
      <c r="C17" s="332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333" t="str">
        <f>IF(Med_disc!H34&lt;&gt;"",Med_disc!H34,"")</f>
        <v/>
      </c>
      <c r="E17" s="334" t="str">
        <f>IF(AND(D17&lt;&gt;"",D17&lt;&gt;"STOP"),ber_Med_disc!H16&amp;" "&amp;ber_Med_disc!F16,"")</f>
        <v/>
      </c>
      <c r="F17" s="334" t="str">
        <f>IF(AND(D17&lt;&gt;"",D17&lt;&gt;"STOP"),ber_Med_disc!L16," ")</f>
        <v xml:space="preserve"> </v>
      </c>
      <c r="G17" s="334" t="str">
        <f>IF(Med_disc!L34&lt;&gt;"",Med_disc!L34&amp;" "&amp;Med_disc!M34&amp;" "&amp;INDEX(ber_Med_disc!$B$27:$B$30,ber_Med_disc!O16,1)&amp;" in "&amp;Med_disc!$O$34,"")</f>
        <v/>
      </c>
      <c r="H17" s="164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64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64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64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64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64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64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64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64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64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64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64" t="str">
        <f>IF(OR($D17="1 dd",$D17="2 dd",$D17="3 dd",$D17="4 dd",$D17="6 dd",$D17="8 dd",$D17="12 dd",$D17="an",$D17="1 X"),VLOOKUP($D17,ber_tijden!$A$16:$X$25,ber_tijden!X$14,FALSE),"")</f>
        <v/>
      </c>
      <c r="AE17" s="19"/>
      <c r="AF17" s="163"/>
      <c r="AG17" s="19"/>
    </row>
    <row r="18" spans="2:33" ht="26.1" customHeight="1" x14ac:dyDescent="0.35">
      <c r="B18" s="165">
        <f>IF(C18&lt;&gt;" ",Med_disc!C36,"")</f>
        <v>0</v>
      </c>
      <c r="C18" s="332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333" t="str">
        <f>IF(Med_disc!H36&lt;&gt;"",Med_disc!H36,"")</f>
        <v/>
      </c>
      <c r="E18" s="334" t="str">
        <f>IF(AND(D18&lt;&gt;"",D18&lt;&gt;"STOP"),ber_Med_disc!H17&amp;" "&amp;ber_Med_disc!F17,"")</f>
        <v/>
      </c>
      <c r="F18" s="334" t="str">
        <f>IF(AND(D18&lt;&gt;"",D18&lt;&gt;"STOP"),ber_Med_disc!L17," ")</f>
        <v xml:space="preserve"> </v>
      </c>
      <c r="G18" s="334" t="str">
        <f>IF(Med_disc!L36&lt;&gt;"",Med_disc!L36&amp;" "&amp;Med_disc!M36&amp;" "&amp;INDEX(ber_Med_disc!$B$27:$B$30,ber_Med_disc!O17,1)&amp;" in "&amp;Med_disc!$O$36,"")</f>
        <v/>
      </c>
      <c r="H18" s="164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64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64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64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64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64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64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64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64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64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64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64" t="str">
        <f>IF(OR($D18="1 dd",$D18="2 dd",$D18="3 dd",$D18="4 dd",$D18="6 dd",$D18="8 dd",$D18="12 dd",$D18="an",$D18="1 X"),VLOOKUP($D18,ber_tijden!$A$16:$X$25,ber_tijden!X$14,FALSE),"")</f>
        <v/>
      </c>
      <c r="AE18" s="19"/>
      <c r="AF18" s="163"/>
      <c r="AG18" s="19"/>
    </row>
    <row r="19" spans="2:33" ht="26.1" customHeight="1" x14ac:dyDescent="0.35">
      <c r="B19" s="165">
        <f>IF(C19&lt;&gt;" ",Med_disc!C38,"")</f>
        <v>0</v>
      </c>
      <c r="C19" s="332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333" t="str">
        <f>IF(Med_disc!H38&lt;&gt;"",Med_disc!H38,"")</f>
        <v/>
      </c>
      <c r="E19" s="334" t="str">
        <f>IF(AND(D19&lt;&gt;"",D19&lt;&gt;"STOP"),ber_Med_disc!H18&amp;" "&amp;ber_Med_disc!F18,"")</f>
        <v/>
      </c>
      <c r="F19" s="334" t="str">
        <f>IF(AND(D19&lt;&gt;"",D19&lt;&gt;"STOP"),ber_Med_disc!L18," ")</f>
        <v xml:space="preserve"> </v>
      </c>
      <c r="G19" s="334" t="str">
        <f>IF(Med_disc!L38&lt;&gt;"",Med_disc!L38&amp;" "&amp;Med_disc!M38&amp;" "&amp;INDEX(ber_Med_disc!$B$27:$B$30,ber_Med_disc!O18,1)&amp;" in "&amp;Med_disc!$O$38,"")</f>
        <v/>
      </c>
      <c r="H19" s="164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64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64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64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64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64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64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64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64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64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64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64" t="str">
        <f>IF(OR($D19="1 dd",$D19="2 dd",$D19="3 dd",$D19="4 dd",$D19="6 dd",$D19="8 dd",$D19="12 dd",$D19="an",$D19="1 X"),VLOOKUP($D19,ber_tijden!$A$16:$X$25,ber_tijden!X$14,FALSE),"")</f>
        <v/>
      </c>
      <c r="AE19" s="19"/>
      <c r="AF19" s="163"/>
      <c r="AG19" s="19"/>
    </row>
    <row r="20" spans="2:33" ht="26.1" customHeight="1" x14ac:dyDescent="0.35">
      <c r="B20" s="165">
        <f>IF(C20&lt;&gt;" ",Med_disc!C40,"")</f>
        <v>0</v>
      </c>
      <c r="C20" s="332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333" t="str">
        <f>IF(Med_disc!H40&lt;&gt;"",Med_disc!H40,"")</f>
        <v/>
      </c>
      <c r="E20" s="334" t="str">
        <f>IF(AND(D20&lt;&gt;"",D20&lt;&gt;"STOP"),ber_Med_disc!H19&amp;" "&amp;ber_Med_disc!F19,"")</f>
        <v/>
      </c>
      <c r="F20" s="334" t="str">
        <f>IF(AND(D20&lt;&gt;"",D20&lt;&gt;"STOP"),ber_Med_disc!L19," ")</f>
        <v xml:space="preserve"> </v>
      </c>
      <c r="G20" s="334" t="str">
        <f>IF(Med_disc!L40&lt;&gt;"",Med_disc!L40&amp;" "&amp;Med_disc!M40&amp;" "&amp;INDEX(ber_Med_disc!$B$27:$B$30,ber_Med_disc!O19,1)&amp;" in "&amp;Med_disc!$O$40,"")</f>
        <v/>
      </c>
      <c r="H20" s="164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64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64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64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64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64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64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64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64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64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64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64" t="str">
        <f>IF(OR($D20="1 dd",$D20="2 dd",$D20="3 dd",$D20="4 dd",$D20="6 dd",$D20="8 dd",$D20="12 dd",$D20="an",$D20="1 X"),VLOOKUP($D20,ber_tijden!$A$16:$X$25,ber_tijden!X$14,FALSE),"")</f>
        <v/>
      </c>
      <c r="AE20" s="19"/>
      <c r="AF20" s="163"/>
      <c r="AG20" s="19"/>
    </row>
    <row r="21" spans="2:33" ht="26.1" customHeight="1" x14ac:dyDescent="0.35">
      <c r="B21" s="165">
        <f>IF(C21&lt;&gt;" ",Med_disc!C42,"")</f>
        <v>0</v>
      </c>
      <c r="C21" s="332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333" t="str">
        <f>IF(Med_disc!H42&lt;&gt;"",Med_disc!H42,"")</f>
        <v/>
      </c>
      <c r="E21" s="334" t="str">
        <f>IF(AND(D21&lt;&gt;"",D21&lt;&gt;"STOP"),ber_Med_disc!H20&amp;" "&amp;ber_Med_disc!F20,"")</f>
        <v/>
      </c>
      <c r="F21" s="334" t="str">
        <f>IF(AND(D21&lt;&gt;"",D21&lt;&gt;"STOP"),ber_Med_disc!L20," ")</f>
        <v xml:space="preserve"> </v>
      </c>
      <c r="G21" s="334" t="str">
        <f>IF(Med_disc!L42&lt;&gt;"",Med_disc!L42&amp;" "&amp;Med_disc!M42&amp;" "&amp;INDEX(ber_Med_disc!$B$27:$B$30,ber_Med_disc!O20,1)&amp;" in "&amp;Med_disc!$O$42,"")</f>
        <v/>
      </c>
      <c r="H21" s="164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64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64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64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64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64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64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64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64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64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64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64" t="str">
        <f>IF(OR($D21="1 dd",$D21="2 dd",$D21="3 dd",$D21="4 dd",$D21="6 dd",$D21="8 dd",$D21="12 dd",$D21="an",$D21="1 X"),VLOOKUP($D21,ber_tijden!$A$16:$X$25,ber_tijden!X$14,FALSE),"")</f>
        <v/>
      </c>
      <c r="AE21" s="19"/>
      <c r="AF21" s="163"/>
      <c r="AG21" s="19"/>
    </row>
    <row r="22" spans="2:33" ht="26.1" customHeight="1" x14ac:dyDescent="0.35">
      <c r="B22" s="165">
        <f>IF(C22&lt;&gt;" ",Med_disc!C44,"")</f>
        <v>0</v>
      </c>
      <c r="C22" s="332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333" t="str">
        <f>IF(Med_disc!H44&lt;&gt;"",Med_disc!H44,"")</f>
        <v/>
      </c>
      <c r="E22" s="334" t="str">
        <f>IF(AND(D22&lt;&gt;"",D22&lt;&gt;"STOP"),ber_Med_disc!H21&amp;" "&amp;ber_Med_disc!F21,"")</f>
        <v/>
      </c>
      <c r="F22" s="334" t="str">
        <f>IF(AND(D22&lt;&gt;"",D22&lt;&gt;"STOP"),ber_Med_disc!L21," ")</f>
        <v xml:space="preserve"> </v>
      </c>
      <c r="G22" s="334" t="str">
        <f>IF(Med_disc!L44&lt;&gt;"",Med_disc!L44&amp;" "&amp;Med_disc!M44&amp;" "&amp;INDEX(ber_Med_disc!$B$27:$B$30,ber_Med_disc!O21,1)&amp;" in "&amp;Med_disc!$O$44,"")</f>
        <v/>
      </c>
      <c r="H22" s="164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64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64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64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64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64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64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64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64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64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64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64" t="str">
        <f>IF(OR($D22="1 dd",$D22="2 dd",$D22="3 dd",$D22="4 dd",$D22="6 dd",$D22="8 dd",$D22="12 dd",$D22="an",$D22="1 X"),VLOOKUP($D22,ber_tijden!$A$16:$X$25,ber_tijden!X$14,FALSE),"")</f>
        <v/>
      </c>
      <c r="AE22" s="19"/>
      <c r="AF22" s="163"/>
      <c r="AG22" s="19"/>
    </row>
  </sheetData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pageSetUpPr autoPageBreaks="0"/>
  </sheetPr>
  <dimension ref="A1:J42"/>
  <sheetViews>
    <sheetView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205" customFormat="1" x14ac:dyDescent="0.35"/>
    <row r="2" spans="1:10" s="205" customFormat="1" ht="17.25" customHeight="1" x14ac:dyDescent="0.4">
      <c r="B2" s="206" t="s">
        <v>942</v>
      </c>
      <c r="C2" s="207">
        <f ca="1">AfspraakDatum</f>
        <v>42194</v>
      </c>
      <c r="D2" s="208"/>
      <c r="E2" s="206" t="s">
        <v>943</v>
      </c>
      <c r="F2" s="209">
        <f>OpnDatum</f>
        <v>41363</v>
      </c>
      <c r="G2" s="206" t="str">
        <f ca="1">"ICU-dag: "&amp;AfspraakDatum-OpnDatum+1</f>
        <v>ICU-dag: 832</v>
      </c>
      <c r="H2" s="206"/>
      <c r="I2" s="206"/>
      <c r="J2" s="206"/>
    </row>
    <row r="3" spans="1:10" s="205" customFormat="1" ht="17.25" customHeight="1" x14ac:dyDescent="0.4">
      <c r="B3" s="206" t="s">
        <v>106</v>
      </c>
      <c r="C3" s="210" t="str">
        <f>AchterNaam&amp;", "&amp;VoorNaam</f>
        <v>Achternaam, Voornaam</v>
      </c>
      <c r="D3" s="210"/>
      <c r="E3" s="206" t="s">
        <v>961</v>
      </c>
      <c r="F3" s="209">
        <f>GebDatum</f>
        <v>40909</v>
      </c>
      <c r="G3" s="211" t="str">
        <f>"Gewicht: "&amp;Gewicht/10&amp;" kg"</f>
        <v>Gewicht: 10 kg</v>
      </c>
      <c r="H3" s="206"/>
      <c r="I3" s="211" t="str">
        <f>"Lengte: "&amp;Lengte&amp;" cm"</f>
        <v>Lengte: 80 cm</v>
      </c>
      <c r="J3" s="206"/>
    </row>
    <row r="4" spans="1:10" s="205" customFormat="1" ht="17.25" customHeight="1" x14ac:dyDescent="0.4">
      <c r="A4" s="241"/>
      <c r="B4" s="206" t="s">
        <v>1057</v>
      </c>
      <c r="C4" s="211">
        <f>PatNummer</f>
        <v>0</v>
      </c>
      <c r="D4" s="208"/>
      <c r="E4" s="206" t="s">
        <v>874</v>
      </c>
      <c r="F4" s="213" t="str">
        <f ca="1">TRUNC((AfspraakDatum-GebDatum)/365,0)&amp;" jaar en "&amp;TRUNC(((AfspraakDatum-GebDatum)-365*TRUNC((AfspraakDatum-GebDatum)/365,0))/30,0)&amp;" maand(-en)"</f>
        <v>3 jaar en 6 maand(-en)</v>
      </c>
      <c r="G4" s="206"/>
      <c r="H4" s="206" t="str">
        <f>"Lichamelijk oppervlak: "&amp;ROUND(POWER(Gewicht/10,0.425)*POWER(((Lengte/100)*100),0.725)*0.007184,2)&amp;" m2"</f>
        <v>Lichamelijk oppervlak: 0,46 m2</v>
      </c>
      <c r="I4" s="206"/>
      <c r="J4" s="206"/>
    </row>
    <row r="5" spans="1:10" ht="12.75" customHeight="1" x14ac:dyDescent="0.35"/>
    <row r="6" spans="1:10" ht="17.25" customHeight="1" x14ac:dyDescent="0.4">
      <c r="B6" s="281" t="s">
        <v>96</v>
      </c>
    </row>
    <row r="7" spans="1:10" ht="9.0500000000000007" customHeight="1" x14ac:dyDescent="0.35">
      <c r="I7" s="118" t="s">
        <v>390</v>
      </c>
      <c r="J7" s="118" t="s">
        <v>1035</v>
      </c>
    </row>
    <row r="8" spans="1:10" ht="17.25" customHeight="1" x14ac:dyDescent="0.35">
      <c r="A8" s="25">
        <v>1</v>
      </c>
      <c r="C8" s="274"/>
      <c r="E8" s="28"/>
      <c r="F8" s="275" t="str">
        <f>IF(INDEX(ber_Infusen!A1:C34,ber_Infusen!E2,2)&lt;&gt;0,INDEX(ber_Infusen!$A$1:$C$34,ber_Infusen!E2,2)&amp;" ml","")</f>
        <v/>
      </c>
      <c r="I8" s="118" t="b">
        <f>IF(INDEX(ber_Infusen!$A$1:$C$34,ber_Infusen!E2,2)&lt;&gt;0,INDEX(ber_Infusen!$A$1:$C$34,ber_Infusen!E2,3))</f>
        <v>0</v>
      </c>
      <c r="J8" s="118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8"/>
      <c r="F9" s="276" t="str">
        <f>IF(INDEX(ber_Infusen!$A$1:$C$34,ber_Infusen!E3,2)&lt;&gt;0,INDEX(ber_Infusen!$A$1:$C$34,ber_Infusen!E3,2)&amp;" ml","")</f>
        <v/>
      </c>
      <c r="I9" s="118" t="b">
        <f>IF(INDEX(ber_Infusen!$A$1:$C$34,ber_Infusen!E3,2)&lt;&gt;0,INDEX(ber_Infusen!$A$1:$C$34,ber_Infusen!E3,3))</f>
        <v>0</v>
      </c>
      <c r="J9" s="118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8"/>
      <c r="F10" s="276" t="str">
        <f>IF(INDEX(ber_Infusen!$A$1:$C$34,ber_Infusen!E4,2)&lt;&gt;0,INDEX(ber_Infusen!$A$1:$C$34,ber_Infusen!E4,2)&amp;" ml","")</f>
        <v/>
      </c>
      <c r="I10" s="118" t="b">
        <f>IF(INDEX(ber_Infusen!$A$1:$C$34,ber_Infusen!E4,2)&lt;&gt;0,INDEX(ber_Infusen!$A$1:$C$34,ber_Infusen!E4,3))</f>
        <v>0</v>
      </c>
      <c r="J10" s="118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8"/>
      <c r="F11" s="276" t="str">
        <f>IF(INDEX(ber_Infusen!$A$1:$C$34,ber_Infusen!E5,2)&lt;&gt;0,INDEX(ber_Infusen!$A$1:$C$34,ber_Infusen!E5,2)&amp;" ml","")</f>
        <v/>
      </c>
      <c r="I11" s="118" t="b">
        <f>IF(INDEX(ber_Infusen!$A$1:$C$34,ber_Infusen!E5,2)&lt;&gt;0,INDEX(ber_Infusen!$A$1:$C$34,ber_Infusen!E5,3))</f>
        <v>0</v>
      </c>
      <c r="J11" s="118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8"/>
      <c r="F12" s="276" t="str">
        <f>IF(INDEX(ber_Infusen!$A$1:$C$34,ber_Infusen!E6,2)&lt;&gt;0,INDEX(ber_Infusen!$A$1:$C$34,ber_Infusen!E6,2)&amp;" ml","")</f>
        <v/>
      </c>
      <c r="I12" s="118" t="b">
        <f>IF(INDEX(ber_Infusen!$A$1:$C$34,ber_Infusen!E6,2)&lt;&gt;0,INDEX(ber_Infusen!$A$1:$C$34,ber_Infusen!E6,3))</f>
        <v>0</v>
      </c>
      <c r="J12" s="118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8"/>
      <c r="F13" s="276" t="str">
        <f>IF(INDEX(ber_Infusen!$A$1:$C$34,ber_Infusen!E7,2)&lt;&gt;0,INDEX(ber_Infusen!$A$1:$C$34,ber_Infusen!E7,2)&amp;" ml","")</f>
        <v/>
      </c>
      <c r="I13" s="118" t="b">
        <f>IF(INDEX(ber_Infusen!$A$1:$C$34,ber_Infusen!E7,2)&lt;&gt;0,INDEX(ber_Infusen!$A$1:$C$34,ber_Infusen!E7,3))</f>
        <v>0</v>
      </c>
      <c r="J13" s="118">
        <f>IF(INDEX(ber_Infusen!$A$1:$C$34,ber_Infusen!E7,2)&lt;&gt;0,INDEX(ber_Infusen!$A$1:$C$34,ber_Infusen!E7,2),0)</f>
        <v>0</v>
      </c>
    </row>
    <row r="14" spans="1:10" ht="17.25" customHeight="1" x14ac:dyDescent="0.35">
      <c r="I14" s="118" t="b">
        <f>IF(INDEX(ber_Infusen!$A$1:$C$34,ber_Infusen!E8,2)&lt;&gt;0,INDEX(ber_Infusen!$A$1:$C$34,ber_Infusen!E8,3))</f>
        <v>0</v>
      </c>
      <c r="J14" s="118">
        <f>IF(INDEX(ber_Infusen!$A$1:$C$34,ber_Infusen!E8,2)&lt;&gt;0,INDEX(ber_Infusen!$A$1:$C$34,ber_Infusen!E8,2),0)</f>
        <v>0</v>
      </c>
    </row>
    <row r="15" spans="1:10" ht="17.25" customHeight="1" x14ac:dyDescent="0.35">
      <c r="B15" s="303" t="s">
        <v>906</v>
      </c>
      <c r="C15" s="312">
        <f>ber_Opm!C3</f>
        <v>0</v>
      </c>
      <c r="D15" s="313"/>
      <c r="E15" s="313"/>
      <c r="F15" s="313"/>
      <c r="G15" s="313"/>
      <c r="H15" s="313"/>
      <c r="I15" s="314">
        <f>SUM(I8:I14)</f>
        <v>0</v>
      </c>
      <c r="J15" s="314">
        <f>SUM(J8:J14)</f>
        <v>0</v>
      </c>
    </row>
    <row r="16" spans="1:10" ht="17.25" customHeight="1" x14ac:dyDescent="0.35"/>
    <row r="17" spans="1:10" ht="17.25" customHeight="1" x14ac:dyDescent="0.4">
      <c r="A17" s="28"/>
      <c r="B17" s="281" t="s">
        <v>227</v>
      </c>
    </row>
    <row r="18" spans="1:10" ht="8.3000000000000007" customHeight="1" x14ac:dyDescent="0.35">
      <c r="A18" s="28"/>
    </row>
    <row r="19" spans="1:10" ht="17.25" customHeight="1" x14ac:dyDescent="0.4">
      <c r="A19" s="25">
        <v>1</v>
      </c>
      <c r="C19" s="274"/>
      <c r="E19" s="28"/>
      <c r="H19" s="237" t="s">
        <v>110</v>
      </c>
      <c r="I19" s="205"/>
      <c r="J19" s="205"/>
    </row>
    <row r="20" spans="1:10" ht="17.25" customHeight="1" x14ac:dyDescent="0.35">
      <c r="A20" s="25">
        <v>2</v>
      </c>
      <c r="E20" s="28"/>
      <c r="H20" s="241" t="s">
        <v>863</v>
      </c>
      <c r="I20" s="205"/>
      <c r="J20" s="205"/>
    </row>
    <row r="21" spans="1:10" ht="17.25" customHeight="1" x14ac:dyDescent="0.4">
      <c r="A21" s="25">
        <v>3</v>
      </c>
      <c r="E21" s="28"/>
      <c r="H21" s="280" t="str">
        <f>IF(Comfort,"Ja","Nee")</f>
        <v>Ja</v>
      </c>
    </row>
    <row r="22" spans="1:10" ht="17.25" customHeight="1" x14ac:dyDescent="0.35">
      <c r="A22" s="25">
        <v>4</v>
      </c>
      <c r="E22" s="28"/>
    </row>
    <row r="23" spans="1:10" ht="17.25" customHeight="1" x14ac:dyDescent="0.35">
      <c r="B23" s="205" t="s">
        <v>1300</v>
      </c>
      <c r="C23" s="25" t="str">
        <f>IF(Controle_3&gt;0,"om de "&amp;Controle_3&amp;" uur","")</f>
        <v/>
      </c>
      <c r="E23" s="241" t="s">
        <v>1302</v>
      </c>
      <c r="F23" s="25" t="str">
        <f>IF(Controle_2&gt;0,"om de "&amp;Controle_2&amp;" uur","")</f>
        <v/>
      </c>
    </row>
    <row r="24" spans="1:10" ht="17.25" customHeight="1" x14ac:dyDescent="0.35">
      <c r="B24" s="205" t="s">
        <v>1303</v>
      </c>
      <c r="C24" s="25" t="str">
        <f>IF(Controle_6&gt;0,"om de "&amp;Controle_6&amp;" uur","")</f>
        <v/>
      </c>
      <c r="E24" s="241" t="s">
        <v>1301</v>
      </c>
      <c r="F24" s="25" t="str">
        <f>IF(Controle_8&gt;0,"om de "&amp;Controle_8&amp;" uur","")</f>
        <v/>
      </c>
    </row>
    <row r="25" spans="1:10" ht="18" customHeight="1" x14ac:dyDescent="0.35">
      <c r="A25" s="271">
        <v>6</v>
      </c>
      <c r="B25" s="397">
        <f>ber_Opm!C11</f>
        <v>0</v>
      </c>
      <c r="C25" s="392"/>
      <c r="D25" s="392"/>
      <c r="E25" s="392"/>
      <c r="F25" s="392"/>
      <c r="G25" s="273"/>
      <c r="H25" s="28"/>
    </row>
    <row r="26" spans="1:10" ht="17.25" customHeight="1" x14ac:dyDescent="0.35">
      <c r="B26" s="392"/>
      <c r="C26" s="392"/>
      <c r="D26" s="392"/>
      <c r="E26" s="392"/>
      <c r="F26" s="392"/>
      <c r="G26" s="273"/>
      <c r="H26" s="273"/>
      <c r="I26" s="273"/>
      <c r="J26" s="277"/>
    </row>
    <row r="27" spans="1:10" ht="17.25" customHeight="1" x14ac:dyDescent="0.35">
      <c r="B27" s="392"/>
      <c r="C27" s="392"/>
      <c r="D27" s="392"/>
      <c r="E27" s="392"/>
      <c r="F27" s="392"/>
      <c r="G27" s="273"/>
      <c r="H27" s="273"/>
      <c r="I27" s="273"/>
      <c r="J27" s="278"/>
    </row>
    <row r="28" spans="1:10" ht="20.100000000000001" customHeight="1" x14ac:dyDescent="0.35">
      <c r="B28" s="309"/>
      <c r="C28" s="310"/>
      <c r="D28" s="310"/>
      <c r="E28" s="310"/>
      <c r="F28" s="310"/>
      <c r="G28" s="310"/>
      <c r="H28" s="311"/>
      <c r="I28" s="311"/>
      <c r="J28" s="310"/>
    </row>
    <row r="29" spans="1:10" ht="20.100000000000001" customHeight="1" x14ac:dyDescent="0.4">
      <c r="B29" s="281" t="s">
        <v>73</v>
      </c>
      <c r="H29" s="277"/>
      <c r="I29" s="277"/>
      <c r="J29" s="277"/>
    </row>
    <row r="30" spans="1:10" ht="20.100000000000001" customHeight="1" x14ac:dyDescent="0.35"/>
    <row r="31" spans="1:10" ht="20.100000000000001" customHeight="1" x14ac:dyDescent="0.35">
      <c r="B31" s="205" t="s">
        <v>769</v>
      </c>
      <c r="E31" s="205" t="s">
        <v>196</v>
      </c>
    </row>
    <row r="32" spans="1:10" ht="20.100000000000001" customHeight="1" x14ac:dyDescent="0.35"/>
    <row r="33" spans="2:3" ht="13.2" x14ac:dyDescent="0.4">
      <c r="B33" s="205" t="s">
        <v>915</v>
      </c>
      <c r="C33" s="279" t="str">
        <f>IF(ber_Infusen!O1&gt;1,ber_Infusen!R1&amp;" /min","")</f>
        <v/>
      </c>
    </row>
    <row r="34" spans="2:3" ht="17.25" customHeight="1" x14ac:dyDescent="0.4">
      <c r="C34" s="279"/>
    </row>
    <row r="35" spans="2:3" ht="17.25" customHeight="1" x14ac:dyDescent="0.4">
      <c r="B35" s="205" t="s">
        <v>197</v>
      </c>
      <c r="C35" s="279" t="str">
        <f>IF(ber_Infusen!O1&gt;1,ber_Infusen!R2&amp;" mA","")</f>
        <v/>
      </c>
    </row>
    <row r="36" spans="2:3" ht="17.25" customHeight="1" x14ac:dyDescent="0.4">
      <c r="B36" s="205" t="s">
        <v>198</v>
      </c>
      <c r="C36" s="279" t="str">
        <f>IF(ber_Infusen!O1&gt;1,ber_Infusen!R3&amp;" mA","")</f>
        <v/>
      </c>
    </row>
    <row r="37" spans="2:3" ht="17.25" customHeight="1" x14ac:dyDescent="0.4">
      <c r="C37" s="279"/>
    </row>
    <row r="38" spans="2:3" ht="17.25" customHeight="1" x14ac:dyDescent="0.4">
      <c r="B38" s="205" t="s">
        <v>199</v>
      </c>
      <c r="C38" s="279" t="str">
        <f>IF(ber_Infusen!O1&gt;1,ber_Infusen!R4&amp;" msec","")</f>
        <v/>
      </c>
    </row>
    <row r="39" spans="2:3" ht="17.25" customHeight="1" x14ac:dyDescent="0.4">
      <c r="C39" s="279"/>
    </row>
    <row r="40" spans="2:3" ht="17.25" customHeight="1" x14ac:dyDescent="0.4">
      <c r="B40" s="205" t="s">
        <v>200</v>
      </c>
      <c r="C40" s="279" t="str">
        <f>IF(ber_Infusen!O1&gt;1,ber_Infusen!R5/10&amp;" mV","")</f>
        <v/>
      </c>
    </row>
    <row r="41" spans="2:3" ht="17.25" customHeight="1" x14ac:dyDescent="0.4">
      <c r="B41" s="205" t="s">
        <v>201</v>
      </c>
      <c r="C41" s="279" t="str">
        <f>IF(ber_Infusen!O1&gt;1,ber_Infusen!R6/10&amp;" mV","")</f>
        <v/>
      </c>
    </row>
    <row r="42" spans="2:3" ht="17.25" customHeight="1" x14ac:dyDescent="0.35"/>
  </sheetData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391</v>
      </c>
      <c r="L1">
        <v>1</v>
      </c>
      <c r="M1">
        <v>1</v>
      </c>
      <c r="Q1" t="s">
        <v>768</v>
      </c>
      <c r="S1">
        <v>70</v>
      </c>
    </row>
    <row r="2" spans="1:19" x14ac:dyDescent="0.35">
      <c r="A2" s="11" t="s">
        <v>505</v>
      </c>
      <c r="D2">
        <v>1</v>
      </c>
      <c r="E2">
        <v>1</v>
      </c>
      <c r="G2" s="8" t="s">
        <v>392</v>
      </c>
      <c r="J2" t="s">
        <v>1306</v>
      </c>
      <c r="L2">
        <v>2</v>
      </c>
      <c r="M2">
        <v>1</v>
      </c>
      <c r="Q2" t="s">
        <v>764</v>
      </c>
      <c r="S2">
        <v>10</v>
      </c>
    </row>
    <row r="3" spans="1:19" x14ac:dyDescent="0.35">
      <c r="A3" s="11" t="s">
        <v>597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891</v>
      </c>
      <c r="J3" t="s">
        <v>1307</v>
      </c>
      <c r="L3">
        <v>3</v>
      </c>
      <c r="M3">
        <v>1</v>
      </c>
      <c r="O3" t="s">
        <v>1126</v>
      </c>
      <c r="P3" t="s">
        <v>761</v>
      </c>
      <c r="Q3" t="s">
        <v>765</v>
      </c>
      <c r="S3">
        <v>10</v>
      </c>
    </row>
    <row r="4" spans="1:19" x14ac:dyDescent="0.35">
      <c r="A4" s="11" t="s">
        <v>1095</v>
      </c>
      <c r="B4">
        <v>72</v>
      </c>
      <c r="C4">
        <f>B4*0.155</f>
        <v>11.16</v>
      </c>
      <c r="D4">
        <v>3</v>
      </c>
      <c r="E4">
        <v>1</v>
      </c>
      <c r="G4" s="8" t="s">
        <v>892</v>
      </c>
      <c r="J4" t="s">
        <v>1293</v>
      </c>
      <c r="L4">
        <v>4</v>
      </c>
      <c r="M4">
        <v>1</v>
      </c>
      <c r="O4" t="s">
        <v>759</v>
      </c>
      <c r="P4" t="s">
        <v>762</v>
      </c>
      <c r="Q4" t="s">
        <v>766</v>
      </c>
      <c r="S4">
        <v>170</v>
      </c>
    </row>
    <row r="5" spans="1:19" x14ac:dyDescent="0.35">
      <c r="A5" s="11" t="s">
        <v>1096</v>
      </c>
      <c r="B5">
        <v>12</v>
      </c>
      <c r="C5">
        <f>B5*0.155</f>
        <v>1.8599999999999999</v>
      </c>
      <c r="D5">
        <v>4</v>
      </c>
      <c r="E5">
        <v>1</v>
      </c>
      <c r="G5" s="8" t="s">
        <v>893</v>
      </c>
      <c r="J5" t="s">
        <v>1290</v>
      </c>
      <c r="L5">
        <v>5</v>
      </c>
      <c r="M5">
        <v>1</v>
      </c>
      <c r="O5" t="s">
        <v>760</v>
      </c>
      <c r="P5" t="s">
        <v>763</v>
      </c>
      <c r="Q5" t="s">
        <v>767</v>
      </c>
      <c r="S5">
        <v>20</v>
      </c>
    </row>
    <row r="6" spans="1:19" x14ac:dyDescent="0.35">
      <c r="A6" s="11" t="s">
        <v>387</v>
      </c>
      <c r="B6">
        <v>72</v>
      </c>
      <c r="C6">
        <f>B6*0.155</f>
        <v>11.16</v>
      </c>
      <c r="D6">
        <v>5</v>
      </c>
      <c r="E6">
        <v>1</v>
      </c>
      <c r="G6" s="9" t="s">
        <v>894</v>
      </c>
      <c r="J6" t="s">
        <v>119</v>
      </c>
      <c r="L6">
        <v>6</v>
      </c>
      <c r="M6">
        <v>1</v>
      </c>
      <c r="Q6" t="s">
        <v>933</v>
      </c>
      <c r="S6">
        <v>20</v>
      </c>
    </row>
    <row r="7" spans="1:19" x14ac:dyDescent="0.35">
      <c r="A7" s="11" t="s">
        <v>388</v>
      </c>
      <c r="D7">
        <v>6</v>
      </c>
      <c r="E7">
        <v>1</v>
      </c>
      <c r="G7" s="8" t="s">
        <v>895</v>
      </c>
      <c r="J7" t="s">
        <v>1286</v>
      </c>
    </row>
    <row r="8" spans="1:19" x14ac:dyDescent="0.35">
      <c r="A8" s="11" t="s">
        <v>127</v>
      </c>
      <c r="B8">
        <v>12</v>
      </c>
      <c r="C8">
        <f>B8*0.155</f>
        <v>1.8599999999999999</v>
      </c>
      <c r="G8" s="9" t="s">
        <v>896</v>
      </c>
      <c r="J8" t="s">
        <v>1287</v>
      </c>
      <c r="O8" t="s">
        <v>864</v>
      </c>
      <c r="P8" t="b">
        <v>1</v>
      </c>
    </row>
    <row r="9" spans="1:19" x14ac:dyDescent="0.35">
      <c r="A9" s="11" t="s">
        <v>128</v>
      </c>
      <c r="B9">
        <v>72</v>
      </c>
      <c r="C9">
        <f>B9*0.155</f>
        <v>11.16</v>
      </c>
      <c r="G9" s="9" t="s">
        <v>897</v>
      </c>
      <c r="J9" t="s">
        <v>978</v>
      </c>
    </row>
    <row r="10" spans="1:19" x14ac:dyDescent="0.35">
      <c r="A10" s="11" t="s">
        <v>291</v>
      </c>
      <c r="G10" s="9" t="s">
        <v>438</v>
      </c>
      <c r="J10" t="s">
        <v>1296</v>
      </c>
    </row>
    <row r="11" spans="1:19" x14ac:dyDescent="0.35">
      <c r="A11" s="11" t="s">
        <v>1315</v>
      </c>
      <c r="J11" t="s">
        <v>1295</v>
      </c>
    </row>
    <row r="12" spans="1:19" x14ac:dyDescent="0.35">
      <c r="A12" s="11" t="s">
        <v>1316</v>
      </c>
      <c r="J12" t="s">
        <v>1285</v>
      </c>
    </row>
    <row r="13" spans="1:19" x14ac:dyDescent="0.35">
      <c r="A13" s="11" t="s">
        <v>1042</v>
      </c>
      <c r="G13" s="9"/>
      <c r="J13" t="s">
        <v>1297</v>
      </c>
    </row>
    <row r="14" spans="1:19" x14ac:dyDescent="0.35">
      <c r="A14" s="11" t="s">
        <v>1043</v>
      </c>
      <c r="G14" s="9"/>
      <c r="J14" t="s">
        <v>1305</v>
      </c>
    </row>
    <row r="15" spans="1:19" x14ac:dyDescent="0.35">
      <c r="A15" s="11" t="s">
        <v>389</v>
      </c>
      <c r="G15" s="9" t="s">
        <v>439</v>
      </c>
      <c r="H15">
        <v>8</v>
      </c>
      <c r="J15" t="s">
        <v>1294</v>
      </c>
    </row>
    <row r="16" spans="1:19" x14ac:dyDescent="0.35">
      <c r="A16" s="11" t="s">
        <v>129</v>
      </c>
      <c r="B16">
        <v>12</v>
      </c>
      <c r="C16">
        <f>B16*0.155</f>
        <v>1.8599999999999999</v>
      </c>
      <c r="G16" s="9" t="s">
        <v>440</v>
      </c>
      <c r="H16">
        <v>3</v>
      </c>
      <c r="J16" t="s">
        <v>1288</v>
      </c>
    </row>
    <row r="17" spans="1:10" x14ac:dyDescent="0.35">
      <c r="A17" s="11" t="s">
        <v>130</v>
      </c>
      <c r="B17">
        <v>72</v>
      </c>
      <c r="C17">
        <f>B17*0.155</f>
        <v>11.16</v>
      </c>
      <c r="J17" t="s">
        <v>1292</v>
      </c>
    </row>
    <row r="18" spans="1:10" x14ac:dyDescent="0.35">
      <c r="A18" s="11" t="s">
        <v>583</v>
      </c>
      <c r="J18" t="s">
        <v>1291</v>
      </c>
    </row>
    <row r="19" spans="1:10" x14ac:dyDescent="0.35">
      <c r="A19" s="11" t="s">
        <v>1315</v>
      </c>
      <c r="J19" t="s">
        <v>1304</v>
      </c>
    </row>
    <row r="20" spans="1:10" x14ac:dyDescent="0.35">
      <c r="A20" s="11" t="s">
        <v>1316</v>
      </c>
      <c r="J20" t="s">
        <v>1289</v>
      </c>
    </row>
    <row r="21" spans="1:10" x14ac:dyDescent="0.35">
      <c r="A21" s="11" t="s">
        <v>1044</v>
      </c>
      <c r="J21" t="s">
        <v>1308</v>
      </c>
    </row>
    <row r="22" spans="1:10" x14ac:dyDescent="0.35">
      <c r="A22" s="11" t="s">
        <v>974</v>
      </c>
      <c r="J22" t="s">
        <v>1069</v>
      </c>
    </row>
    <row r="23" spans="1:10" x14ac:dyDescent="0.35">
      <c r="A23" s="11" t="s">
        <v>504</v>
      </c>
      <c r="J23" t="s">
        <v>1298</v>
      </c>
    </row>
    <row r="24" spans="1:10" x14ac:dyDescent="0.35">
      <c r="A24" s="11" t="s">
        <v>975</v>
      </c>
      <c r="J24" t="s">
        <v>1070</v>
      </c>
    </row>
    <row r="25" spans="1:10" x14ac:dyDescent="0.35">
      <c r="A25" s="11" t="s">
        <v>947</v>
      </c>
      <c r="J25" t="s">
        <v>1299</v>
      </c>
    </row>
    <row r="26" spans="1:10" x14ac:dyDescent="0.35">
      <c r="A26" s="11" t="s">
        <v>1386</v>
      </c>
      <c r="J26" t="s">
        <v>1071</v>
      </c>
    </row>
    <row r="27" spans="1:10" x14ac:dyDescent="0.35">
      <c r="A27" s="11" t="s">
        <v>1215</v>
      </c>
      <c r="J27" t="s">
        <v>1072</v>
      </c>
    </row>
    <row r="28" spans="1:10" x14ac:dyDescent="0.35">
      <c r="A28" s="11" t="s">
        <v>1213</v>
      </c>
      <c r="J28" t="s">
        <v>1073</v>
      </c>
    </row>
    <row r="29" spans="1:10" x14ac:dyDescent="0.35">
      <c r="A29" s="11" t="s">
        <v>1214</v>
      </c>
      <c r="J29" t="s">
        <v>290</v>
      </c>
    </row>
    <row r="30" spans="1:10" x14ac:dyDescent="0.35">
      <c r="A30" s="11" t="s">
        <v>1387</v>
      </c>
      <c r="J30" t="s">
        <v>118</v>
      </c>
    </row>
    <row r="31" spans="1:10" x14ac:dyDescent="0.35">
      <c r="A31" s="11" t="s">
        <v>1349</v>
      </c>
      <c r="J31" t="s">
        <v>72</v>
      </c>
    </row>
    <row r="32" spans="1:10" x14ac:dyDescent="0.35">
      <c r="A32" s="11" t="s">
        <v>1350</v>
      </c>
    </row>
    <row r="33" spans="1:1" x14ac:dyDescent="0.35">
      <c r="A33" s="11" t="s">
        <v>1351</v>
      </c>
    </row>
    <row r="34" spans="1:1" x14ac:dyDescent="0.35">
      <c r="A34" s="11" t="s">
        <v>979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1076</v>
      </c>
      <c r="E17" t="s">
        <v>1077</v>
      </c>
      <c r="F17" s="22">
        <f ca="1">TODAY()-GebDatum+1</f>
        <v>1286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1078</v>
      </c>
      <c r="F18">
        <f>Gewicht/10</f>
        <v>10</v>
      </c>
    </row>
    <row r="20" spans="1:6" x14ac:dyDescent="0.35">
      <c r="A20" t="s">
        <v>376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pageSetUpPr autoPageBreaks="0"/>
  </sheetPr>
  <dimension ref="A1:V35"/>
  <sheetViews>
    <sheetView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8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205" customFormat="1" x14ac:dyDescent="0.35">
      <c r="A1" s="241"/>
    </row>
    <row r="2" spans="1:22" s="205" customFormat="1" ht="13.2" x14ac:dyDescent="0.4">
      <c r="A2" s="241"/>
      <c r="B2" s="206" t="s">
        <v>942</v>
      </c>
      <c r="D2" s="207">
        <f ca="1">AfspraakDatum</f>
        <v>42194</v>
      </c>
      <c r="E2" s="208"/>
      <c r="F2" s="206" t="s">
        <v>943</v>
      </c>
      <c r="G2" s="209">
        <f>OpnDatum</f>
        <v>41363</v>
      </c>
      <c r="H2" s="206" t="str">
        <f ca="1">"ICU-dag: "&amp;AfspraakDatum-OpnDatum+1</f>
        <v>ICU-dag: 832</v>
      </c>
      <c r="I2" s="206"/>
      <c r="J2" s="206"/>
      <c r="K2" s="206"/>
    </row>
    <row r="3" spans="1:22" s="205" customFormat="1" ht="13.2" x14ac:dyDescent="0.4">
      <c r="A3" s="241"/>
      <c r="B3" s="206" t="s">
        <v>106</v>
      </c>
      <c r="D3" s="210" t="str">
        <f>AchterNaam&amp;", "&amp;VoorNaam</f>
        <v>Achternaam, Voornaam</v>
      </c>
      <c r="E3" s="210"/>
      <c r="F3" s="206" t="s">
        <v>961</v>
      </c>
      <c r="G3" s="209">
        <f>GebDatum</f>
        <v>40909</v>
      </c>
      <c r="H3" s="211" t="str">
        <f>"Gewicht: "&amp;Gewicht/10&amp;" kg"</f>
        <v>Gewicht: 10 kg</v>
      </c>
      <c r="I3" s="206"/>
      <c r="J3" s="211" t="str">
        <f>"Lengte: "&amp;Lengte&amp;" cm"</f>
        <v>Lengte: 80 cm</v>
      </c>
      <c r="K3" s="206"/>
    </row>
    <row r="4" spans="1:22" s="205" customFormat="1" ht="13.2" x14ac:dyDescent="0.4">
      <c r="A4" s="241"/>
      <c r="B4" s="206" t="s">
        <v>1057</v>
      </c>
      <c r="D4" s="211">
        <f>PatNummer</f>
        <v>0</v>
      </c>
      <c r="E4" s="208"/>
      <c r="F4" s="206" t="s">
        <v>874</v>
      </c>
      <c r="G4" s="213" t="str">
        <f ca="1">TRUNC((AfspraakDatum-GebDatum)/365,0)&amp;" jaar en "&amp;TRUNC(((AfspraakDatum-GebDatum)-365*TRUNC((AfspraakDatum-GebDatum)/365,0))/30,0)&amp;" maand(-en)"</f>
        <v>3 jaar en 6 maand(-en)</v>
      </c>
      <c r="H4" s="206"/>
      <c r="I4" s="206" t="str">
        <f>"Lichamelijk oppervlak: "&amp;ROUND(POWER(Gewicht/10,0.425)*POWER(((Lengte/100)*100),0.725)*0.007184,2)&amp;" m2"</f>
        <v>Lichamelijk oppervlak: 0,46 m2</v>
      </c>
      <c r="J4" s="206"/>
      <c r="K4" s="206"/>
    </row>
    <row r="5" spans="1:22" ht="13.2" x14ac:dyDescent="0.4">
      <c r="C5" s="117"/>
      <c r="D5" s="217"/>
      <c r="E5" s="104"/>
      <c r="F5" s="117"/>
      <c r="G5" s="218"/>
      <c r="H5" s="117"/>
      <c r="I5" s="117"/>
      <c r="J5" s="117"/>
      <c r="K5" s="117"/>
    </row>
    <row r="6" spans="1:22" ht="17.25" customHeight="1" x14ac:dyDescent="0.4">
      <c r="C6" s="281" t="s">
        <v>513</v>
      </c>
      <c r="D6" s="25" t="str">
        <f>INDEX(tblSonde,ber_PO!P22,1)</f>
        <v>Geen sonde</v>
      </c>
      <c r="I6" s="28"/>
      <c r="J6" s="28"/>
      <c r="K6" s="28"/>
      <c r="L6" s="28"/>
    </row>
    <row r="7" spans="1:22" ht="19.55" customHeight="1" x14ac:dyDescent="0.4">
      <c r="B7" s="28"/>
      <c r="C7" s="294" t="s">
        <v>884</v>
      </c>
      <c r="D7" s="28"/>
      <c r="E7" s="28"/>
      <c r="F7" s="28"/>
      <c r="G7" s="28"/>
      <c r="H7" s="28"/>
      <c r="I7" s="28"/>
      <c r="J7" s="28"/>
      <c r="K7" s="28"/>
      <c r="L7" s="294" t="s">
        <v>537</v>
      </c>
      <c r="N7" s="272"/>
    </row>
    <row r="8" spans="1:22" ht="19.55" customHeight="1" x14ac:dyDescent="0.35">
      <c r="B8" s="275"/>
      <c r="C8" s="283" t="str">
        <f>IF(ber_PO!O22&lt;&gt;0,ber_PO!L22&amp;" dd","")</f>
        <v/>
      </c>
      <c r="D8" s="284" t="str">
        <f>IF(ber_PO!O22&lt;&gt;0,ber_PO!N22&amp;" ml","")</f>
        <v/>
      </c>
      <c r="E8" s="275"/>
      <c r="F8" s="275"/>
      <c r="G8" s="275" t="str">
        <f>IF(C8="24 dd","continue drip","")</f>
        <v/>
      </c>
      <c r="H8" s="275" t="str">
        <f>IF(ber_PO!P22&gt;1,ber_PO!O22&amp;" ml per dag","")</f>
        <v/>
      </c>
      <c r="I8" s="275"/>
      <c r="J8" s="28"/>
      <c r="L8" s="25" t="s">
        <v>370</v>
      </c>
      <c r="O8" s="28"/>
      <c r="P8" s="37"/>
      <c r="Q8" s="37"/>
      <c r="R8" s="37"/>
      <c r="S8" s="37"/>
      <c r="T8" s="37"/>
      <c r="U8" s="37"/>
      <c r="V8" s="37"/>
    </row>
    <row r="9" spans="1:22" ht="19.55" customHeight="1" x14ac:dyDescent="0.35">
      <c r="B9" s="275"/>
      <c r="C9" s="283" t="str">
        <f>IF(ber_PO!P23&gt;1,ber_PO!L23&amp;" dd","")</f>
        <v/>
      </c>
      <c r="D9" s="284" t="str">
        <f>IF(ber_PO!P23&gt;1,ber_PO!N23&amp;" gram","")</f>
        <v/>
      </c>
      <c r="E9" s="275"/>
      <c r="F9" s="275"/>
      <c r="G9" s="275"/>
      <c r="H9" s="275" t="str">
        <f>IF(ber_PO!P23&gt;1,ber_PO!O23&amp;" gram/dag","")</f>
        <v/>
      </c>
      <c r="I9" s="276" t="str">
        <f>IF(AND(ber_PO!O23&lt;&gt;0,ber_PO!O22&lt;&gt;0),"= "&amp;ROUND(ber_PO!O23*100/ber_PO!O22,1)&amp;"% extra","")</f>
        <v/>
      </c>
      <c r="J9" s="28"/>
      <c r="L9" s="205"/>
      <c r="M9" s="269" t="s">
        <v>538</v>
      </c>
      <c r="N9" s="305">
        <f>ber_PO!AF12</f>
        <v>0</v>
      </c>
      <c r="O9" s="28"/>
      <c r="P9" s="37"/>
      <c r="Q9" s="37"/>
      <c r="R9" s="37"/>
      <c r="S9" s="37"/>
      <c r="T9" s="37"/>
      <c r="U9" s="37"/>
      <c r="V9" s="37"/>
    </row>
    <row r="10" spans="1:22" ht="19.55" customHeight="1" x14ac:dyDescent="0.35">
      <c r="B10" s="275"/>
      <c r="C10" s="283" t="str">
        <f>IF(ber_PO!P24&gt;1,ber_PO!L24&amp;" dd","")</f>
        <v/>
      </c>
      <c r="D10" s="284" t="str">
        <f>IF(ber_PO!P24&gt;1,ber_PO!N24&amp;" gram","")</f>
        <v/>
      </c>
      <c r="E10" s="275"/>
      <c r="F10" s="275"/>
      <c r="G10" s="275"/>
      <c r="H10" s="275" t="str">
        <f>IF(ber_PO!P24&gt;1,ber_PO!O24&amp;" gram per dag","")</f>
        <v/>
      </c>
      <c r="I10" s="276" t="str">
        <f>IF(AND(ber_PO!O24&lt;&gt;0,ber_PO!O23&lt;&gt;0),"= "&amp;ROUND(ber_PO!O24*100/ber_PO!O22,1)&amp;"% extra","")</f>
        <v/>
      </c>
      <c r="J10" s="28"/>
      <c r="L10" s="205"/>
      <c r="M10" s="269" t="s">
        <v>652</v>
      </c>
      <c r="N10" s="308">
        <f>ber_PO!AF13</f>
        <v>0</v>
      </c>
      <c r="O10" s="37" t="s">
        <v>117</v>
      </c>
      <c r="P10" s="37"/>
      <c r="Q10" s="37"/>
      <c r="R10" s="37"/>
      <c r="S10" s="37"/>
      <c r="T10" s="37"/>
      <c r="U10" s="37"/>
      <c r="V10" s="37"/>
    </row>
    <row r="11" spans="1:22" ht="19.55" customHeight="1" x14ac:dyDescent="0.35">
      <c r="B11" s="275"/>
      <c r="C11" s="283" t="str">
        <f>IF(ber_PO!P25&gt;1,ber_PO!L25&amp;" dd","")</f>
        <v/>
      </c>
      <c r="D11" s="284" t="str">
        <f>IF(ber_PO!P25&gt;1,ber_PO!N25&amp;" gram","")</f>
        <v/>
      </c>
      <c r="E11" s="275"/>
      <c r="F11" s="275"/>
      <c r="G11" s="275"/>
      <c r="H11" s="275" t="str">
        <f>IF(ber_PO!P25&gt;1,ber_PO!O25&amp;" gram per dag","")</f>
        <v/>
      </c>
      <c r="I11" s="276" t="str">
        <f>IF(AND(ber_PO!O25&lt;&gt;0,ber_PO!O24&lt;&gt;0),"= "&amp;ROUND(ber_PO!O25*100/ber_PO!O22,1)&amp;"% extra","")</f>
        <v/>
      </c>
      <c r="J11" s="28"/>
      <c r="L11" s="205"/>
      <c r="M11" s="269" t="s">
        <v>539</v>
      </c>
      <c r="N11" s="308">
        <f>ber_PO!AF14</f>
        <v>0</v>
      </c>
      <c r="O11" s="37" t="s">
        <v>117</v>
      </c>
      <c r="P11" s="37"/>
      <c r="Q11" s="37"/>
      <c r="R11" s="37"/>
      <c r="S11" s="37"/>
      <c r="T11" s="37"/>
      <c r="U11" s="37"/>
      <c r="V11" s="37"/>
    </row>
    <row r="12" spans="1:22" ht="19.55" customHeight="1" x14ac:dyDescent="0.35">
      <c r="B12" s="28"/>
      <c r="C12" s="216"/>
      <c r="D12" s="117"/>
      <c r="E12" s="28"/>
      <c r="F12" s="28"/>
      <c r="G12" s="28"/>
      <c r="H12" s="28"/>
      <c r="I12" s="28"/>
      <c r="J12" s="28"/>
      <c r="L12" s="205"/>
      <c r="M12" s="298" t="s">
        <v>653</v>
      </c>
      <c r="N12" s="308">
        <f>ber_PO!AF15</f>
        <v>0</v>
      </c>
      <c r="O12" s="37" t="s">
        <v>117</v>
      </c>
      <c r="P12" s="37"/>
      <c r="Q12" s="37"/>
      <c r="R12" s="37"/>
      <c r="S12" s="37"/>
      <c r="T12" s="37"/>
      <c r="U12" s="37"/>
      <c r="V12" s="37"/>
    </row>
    <row r="13" spans="1:22" ht="19.55" customHeight="1" x14ac:dyDescent="0.35">
      <c r="B13" s="303"/>
      <c r="C13" s="270" t="s">
        <v>906</v>
      </c>
      <c r="D13" s="304">
        <f>ber_Opm!C15</f>
        <v>0</v>
      </c>
      <c r="E13" s="305"/>
      <c r="F13" s="305"/>
      <c r="G13" s="305"/>
      <c r="H13" s="305"/>
      <c r="I13" s="305"/>
      <c r="J13" s="305"/>
      <c r="K13" s="305"/>
      <c r="L13" s="205"/>
      <c r="M13" s="298" t="s">
        <v>540</v>
      </c>
      <c r="N13" s="308">
        <f>ber_PO!AF16</f>
        <v>0</v>
      </c>
      <c r="O13" s="37" t="s">
        <v>524</v>
      </c>
      <c r="P13" s="37"/>
      <c r="Q13" s="37"/>
      <c r="R13" s="37"/>
      <c r="S13" s="37"/>
      <c r="T13" s="37"/>
      <c r="U13" s="37"/>
      <c r="V13" s="37"/>
    </row>
    <row r="14" spans="1:22" ht="21.8" customHeight="1" x14ac:dyDescent="0.4">
      <c r="B14" s="28"/>
      <c r="C14" s="294" t="s">
        <v>885</v>
      </c>
      <c r="H14" s="282"/>
      <c r="J14" s="37"/>
      <c r="K14" s="37"/>
      <c r="L14" s="299"/>
      <c r="M14" s="298" t="s">
        <v>878</v>
      </c>
      <c r="N14" s="308">
        <f>ber_PO!AF17</f>
        <v>0</v>
      </c>
      <c r="O14" s="37" t="s">
        <v>524</v>
      </c>
      <c r="P14" s="37"/>
      <c r="Q14" s="37"/>
      <c r="R14" s="37"/>
      <c r="S14" s="37"/>
      <c r="T14" s="37"/>
      <c r="U14" s="37"/>
      <c r="V14" s="37"/>
    </row>
    <row r="15" spans="1:22" ht="23.3" customHeight="1" x14ac:dyDescent="0.4">
      <c r="B15" s="241"/>
      <c r="C15" s="307" t="s">
        <v>1040</v>
      </c>
      <c r="D15" s="272" t="str">
        <f>IF(ber_TPN!F3&lt;&gt;0,IF(ber_TPN!F3/24&gt;=10,ROUND(ber_TPN!F3/24,1),ROUND(ber_TPN!F3/24,1))&amp;" ml/uur","")</f>
        <v/>
      </c>
      <c r="E15" s="117" t="str">
        <f>IF(D15&lt;&gt;"",ber_TPN!F3&amp;" ml per dag","")</f>
        <v/>
      </c>
      <c r="F15" s="28"/>
      <c r="G15" s="275"/>
      <c r="H15" s="307" t="s">
        <v>1041</v>
      </c>
      <c r="I15" s="272" t="str">
        <f>IF(ber_TPN!D18&lt;&gt;0,ber_TPN!E18&amp;" ml/uur","")</f>
        <v/>
      </c>
      <c r="J15" s="117" t="str">
        <f>IF(I15&lt;&gt;"",ber_TPN!F18&amp;" ml per dag","")</f>
        <v/>
      </c>
      <c r="K15" s="28"/>
      <c r="L15" s="299"/>
      <c r="M15" s="298" t="s">
        <v>654</v>
      </c>
      <c r="N15" s="308">
        <f>ber_PO!AF18</f>
        <v>0</v>
      </c>
      <c r="O15" s="37" t="s">
        <v>524</v>
      </c>
      <c r="P15" s="37"/>
      <c r="T15" s="37"/>
      <c r="U15" s="37"/>
      <c r="V15" s="37"/>
    </row>
    <row r="16" spans="1:22" ht="23.3" customHeight="1" x14ac:dyDescent="0.4">
      <c r="B16" s="241"/>
      <c r="C16" s="307"/>
      <c r="D16" s="28"/>
      <c r="E16" s="272" t="str">
        <f>IF(AND(ber_TPN!E4&lt;&gt;0,ber_TPN!E4&lt;&gt;"",ber_TPN!B4&lt;&gt;1,ber_TPN!F4&lt;&gt;0),ber_TPN!F4&amp;" ml","")</f>
        <v/>
      </c>
      <c r="F16" s="271" t="str">
        <f>IF(AND(Gewicht/10&gt;=16,TPN=2),"Peditrace","")</f>
        <v/>
      </c>
      <c r="G16" s="287" t="str">
        <f>IF(AND(Gewicht/10&gt;=16,ber_TPN!F5&gt;0),ber_TPN!F5&amp;" ml","")</f>
        <v/>
      </c>
      <c r="H16" s="241"/>
      <c r="I16" s="28"/>
      <c r="J16" s="289"/>
      <c r="K16" s="290"/>
      <c r="L16" s="299"/>
      <c r="M16" s="300" t="s">
        <v>541</v>
      </c>
      <c r="N16" s="308">
        <f>ber_PO!AF19</f>
        <v>0</v>
      </c>
      <c r="O16" s="37" t="s">
        <v>524</v>
      </c>
      <c r="P16" s="37"/>
      <c r="T16" s="37"/>
      <c r="U16" s="37"/>
      <c r="V16" s="37"/>
    </row>
    <row r="17" spans="2:22" ht="23.3" customHeight="1" x14ac:dyDescent="0.4">
      <c r="B17" s="241"/>
      <c r="C17" s="241"/>
      <c r="D17" s="28"/>
      <c r="E17" s="272" t="str">
        <f>IF(ber_TPN!F6&lt;&gt;0,ROUND(ber_TPN!F6,1)&amp;" ml","")</f>
        <v/>
      </c>
      <c r="F17" s="398" t="str">
        <f>IF(AND(Gewicht/10&gt;50,TPN=2),"in 100 ml glucose 10%, "&amp;ROUND((ber_TPN!F5+ber_TPN!F16)/24,1)&amp;" ml/uur","")</f>
        <v/>
      </c>
      <c r="G17" s="398"/>
      <c r="H17" s="241"/>
      <c r="I17" s="28"/>
      <c r="J17" s="272" t="str">
        <f>IF(ber_TPN!F19&lt;&gt;0,ROUND(ber_TPN!F19,1)&amp;" ml","")</f>
        <v/>
      </c>
      <c r="K17" s="288"/>
      <c r="L17" s="241"/>
      <c r="M17" s="298" t="s">
        <v>971</v>
      </c>
      <c r="N17" s="308">
        <f>ber_PO!AF20</f>
        <v>0</v>
      </c>
      <c r="O17" s="37" t="s">
        <v>524</v>
      </c>
      <c r="P17" s="37"/>
      <c r="T17" s="37"/>
      <c r="U17" s="37"/>
      <c r="V17" s="37"/>
    </row>
    <row r="18" spans="2:22" ht="19.55" customHeight="1" x14ac:dyDescent="0.4">
      <c r="B18" s="241"/>
      <c r="C18" s="241" t="s">
        <v>1033</v>
      </c>
      <c r="D18" s="28"/>
      <c r="E18" s="272" t="str">
        <f>IF(ber_TPN!C7,ber_TPN!F7&amp;" ml","")</f>
        <v/>
      </c>
      <c r="F18" s="28"/>
      <c r="G18" s="28"/>
      <c r="H18" s="297" t="s">
        <v>1033</v>
      </c>
      <c r="I18" s="28"/>
      <c r="J18" s="272" t="str">
        <f>IF(ber_TPN!C20,ber_TPN!F20&amp;" ml","")</f>
        <v/>
      </c>
      <c r="K18" s="288"/>
      <c r="L18" s="28"/>
      <c r="P18" s="37"/>
      <c r="T18" s="37"/>
      <c r="U18" s="37"/>
      <c r="V18" s="37"/>
    </row>
    <row r="19" spans="2:22" ht="19.55" customHeight="1" x14ac:dyDescent="0.4">
      <c r="B19" s="241"/>
      <c r="C19" s="241" t="s">
        <v>656</v>
      </c>
      <c r="D19" s="28"/>
      <c r="E19" s="272" t="str">
        <f>IF(ber_TPN!C8,ber_TPN!F8&amp;" ml","")</f>
        <v/>
      </c>
      <c r="F19" s="28"/>
      <c r="G19" s="28"/>
      <c r="H19" s="297" t="s">
        <v>656</v>
      </c>
      <c r="I19" s="28"/>
      <c r="J19" s="272" t="str">
        <f>IF(ber_TPN!C21,ber_TPN!F21&amp;" ml","")</f>
        <v/>
      </c>
      <c r="K19" s="288"/>
      <c r="L19" s="28"/>
      <c r="P19" s="37"/>
      <c r="T19" s="37"/>
      <c r="U19" s="37"/>
      <c r="V19" s="37"/>
    </row>
    <row r="20" spans="2:22" ht="19.55" customHeight="1" x14ac:dyDescent="0.4">
      <c r="B20" s="28"/>
      <c r="C20" s="28"/>
      <c r="D20" s="28"/>
      <c r="E20" s="272"/>
      <c r="F20" s="28"/>
      <c r="G20" s="28"/>
      <c r="H20" s="216"/>
      <c r="I20" s="28"/>
      <c r="J20" s="272"/>
      <c r="K20" s="288"/>
      <c r="L20" s="28"/>
      <c r="P20" s="37"/>
      <c r="T20" s="37"/>
      <c r="U20" s="37"/>
      <c r="V20" s="37"/>
    </row>
    <row r="21" spans="2:22" ht="19.55" customHeight="1" x14ac:dyDescent="0.4">
      <c r="B21" s="241"/>
      <c r="C21" s="241" t="s">
        <v>1034</v>
      </c>
      <c r="D21" s="28"/>
      <c r="E21" s="272" t="str">
        <f>IF(ber_TPN!C9,ber_TPN!D9&amp;" ml","")</f>
        <v/>
      </c>
      <c r="F21" s="28"/>
      <c r="G21" s="272" t="str">
        <f>IF(AND(Gewicht/10&lt;=50,SSTglucose&lt;11,TPN=2),"in "&amp;ber_TPN!F16&amp;" ml glucose 10% ="&amp;ROUND((ber_TPN!F16+ber_TPN!F10+ber_TPN!F9)/24,1)&amp;" ml/uur","")</f>
        <v/>
      </c>
      <c r="H21" s="216"/>
      <c r="I21" s="28"/>
      <c r="J21" s="289"/>
      <c r="K21" s="290"/>
      <c r="L21" s="37"/>
      <c r="M21" s="28"/>
      <c r="N21" s="37"/>
      <c r="O21" s="37"/>
      <c r="P21" s="37"/>
      <c r="T21" s="37"/>
      <c r="U21" s="37"/>
      <c r="V21" s="37"/>
    </row>
    <row r="22" spans="2:22" s="28" customFormat="1" ht="19.55" customHeight="1" x14ac:dyDescent="0.4">
      <c r="B22" s="241"/>
      <c r="C22" s="241" t="s">
        <v>972</v>
      </c>
      <c r="E22" s="272" t="str">
        <f>IF(ber_TPN!C10,ber_TPN!D10&amp;" ml","")</f>
        <v/>
      </c>
      <c r="J22" s="289"/>
      <c r="K22" s="290"/>
      <c r="L22" s="289"/>
      <c r="M22" s="289"/>
      <c r="N22" s="289"/>
      <c r="O22" s="289"/>
      <c r="P22" s="289"/>
      <c r="T22" s="289"/>
      <c r="U22" s="289"/>
      <c r="V22" s="289"/>
    </row>
    <row r="23" spans="2:22" ht="24.05" customHeight="1" x14ac:dyDescent="0.4">
      <c r="B23" s="295"/>
      <c r="C23" s="295" t="s">
        <v>970</v>
      </c>
      <c r="D23" s="275"/>
      <c r="E23" s="285" t="str">
        <f>IF(ber_TPN!C11,ber_TPN!F11&amp;" ml","")</f>
        <v/>
      </c>
      <c r="F23" s="275"/>
      <c r="G23" s="275" t="str">
        <f>IF(ber_TPN!F11&gt;0,ROUND(ber_TPN!F11*1.5/(Gewicht/10),2)&amp;" mmol/kg","")</f>
        <v/>
      </c>
      <c r="H23" s="275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75"/>
      <c r="J23" s="37"/>
      <c r="K23" s="37"/>
      <c r="L23" s="37"/>
      <c r="M23" s="37"/>
      <c r="N23" s="37"/>
      <c r="O23" s="37"/>
      <c r="P23" s="37"/>
      <c r="T23" s="37"/>
      <c r="U23" s="37"/>
      <c r="V23" s="37"/>
    </row>
    <row r="24" spans="2:22" ht="23.3" customHeight="1" x14ac:dyDescent="0.4">
      <c r="B24" s="28"/>
      <c r="C24" s="272" t="s">
        <v>605</v>
      </c>
      <c r="D24" s="272" t="str">
        <f>IF(ber_TPN!D12&lt;&gt;0,ber_TPN!E12&amp;" ml/uur","")</f>
        <v/>
      </c>
      <c r="E24" s="272"/>
      <c r="F24" s="28"/>
      <c r="G24" s="28"/>
      <c r="H24" s="28" t="str">
        <f>IF(ber_TPN!F12&lt;&gt;0,ber_TPN!F12&amp;" ml per dag","")</f>
        <v/>
      </c>
      <c r="I24" s="28"/>
      <c r="J24" s="37"/>
      <c r="K24" s="37"/>
      <c r="L24" s="37"/>
      <c r="M24" s="37"/>
      <c r="N24" s="37"/>
      <c r="O24" s="37"/>
      <c r="P24" s="37"/>
      <c r="T24" s="37"/>
      <c r="U24" s="37"/>
      <c r="V24" s="37"/>
    </row>
    <row r="25" spans="2:22" ht="19.55" customHeight="1" x14ac:dyDescent="0.4">
      <c r="B25" s="296"/>
      <c r="C25" s="296" t="s">
        <v>606</v>
      </c>
      <c r="D25" s="287"/>
      <c r="E25" s="286" t="str">
        <f>IF(ber_TPN!F13&lt;&gt;0,ROUND(ber_TPN!F13,0)&amp;" ml","")</f>
        <v/>
      </c>
      <c r="F25" s="287"/>
      <c r="G25" s="287"/>
      <c r="H25" s="287"/>
      <c r="I25" s="291"/>
      <c r="J25" s="37"/>
      <c r="K25" s="37"/>
      <c r="L25" s="37"/>
      <c r="M25" s="37"/>
      <c r="N25" s="37"/>
      <c r="O25" s="37"/>
      <c r="P25" s="37"/>
      <c r="T25" s="37"/>
      <c r="U25" s="37"/>
      <c r="V25" s="37"/>
    </row>
    <row r="26" spans="2:22" ht="18.75" customHeight="1" x14ac:dyDescent="0.4">
      <c r="B26" s="241"/>
      <c r="C26" s="241" t="s">
        <v>607</v>
      </c>
      <c r="D26" s="28"/>
      <c r="E26" s="272" t="str">
        <f>IF(ber_TPN!C14,ber_TPN!F14&amp;" ml","")</f>
        <v/>
      </c>
      <c r="F26" s="28"/>
      <c r="G26" s="28"/>
      <c r="H26" s="28"/>
      <c r="I26" s="292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</row>
    <row r="27" spans="2:22" ht="19.55" customHeight="1" x14ac:dyDescent="0.4">
      <c r="B27" s="295"/>
      <c r="C27" s="295" t="s">
        <v>608</v>
      </c>
      <c r="D27" s="275"/>
      <c r="E27" s="285" t="str">
        <f>IF(ber_TPN!C15,ber_TPN!F15&amp;" ml","")</f>
        <v/>
      </c>
      <c r="F27" s="275"/>
      <c r="G27" s="275"/>
      <c r="H27" s="275"/>
      <c r="I27" s="293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</row>
    <row r="28" spans="2:22" ht="19.55" customHeight="1" x14ac:dyDescent="0.4">
      <c r="B28" s="28"/>
      <c r="C28" s="28"/>
      <c r="D28" s="28"/>
      <c r="E28" s="272"/>
      <c r="F28" s="28"/>
      <c r="G28" s="28"/>
      <c r="H28" s="28"/>
      <c r="I28" s="28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</row>
    <row r="29" spans="2:22" ht="19.55" customHeight="1" x14ac:dyDescent="0.35">
      <c r="B29" s="303"/>
      <c r="C29" s="270" t="s">
        <v>906</v>
      </c>
      <c r="D29" s="304">
        <f>ber_Opm!C9</f>
        <v>0</v>
      </c>
      <c r="E29" s="305"/>
      <c r="F29" s="305"/>
      <c r="G29" s="305"/>
      <c r="H29" s="305"/>
      <c r="I29" s="305"/>
      <c r="J29" s="306"/>
      <c r="K29" s="306"/>
      <c r="L29" s="306"/>
      <c r="M29" s="306"/>
      <c r="N29" s="306"/>
      <c r="O29" s="306"/>
      <c r="P29" s="306"/>
      <c r="Q29" s="37"/>
      <c r="R29" s="37"/>
      <c r="S29" s="37"/>
      <c r="T29" s="37"/>
      <c r="U29" s="37"/>
      <c r="V29" s="37"/>
    </row>
    <row r="30" spans="2:22" ht="10.5" customHeight="1" x14ac:dyDescent="0.4">
      <c r="B30" s="28"/>
      <c r="C30" s="272"/>
      <c r="D30" s="28"/>
      <c r="E30" s="272"/>
      <c r="F30" s="28"/>
      <c r="G30" s="28"/>
      <c r="H30" s="28"/>
      <c r="I30" s="28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</row>
    <row r="31" spans="2:22" ht="13.2" x14ac:dyDescent="0.4">
      <c r="B31" s="301" t="s">
        <v>875</v>
      </c>
      <c r="C31" s="301"/>
      <c r="D31" s="302" t="str">
        <f>ROUND(ber_totalen!C2,0)&amp;" ml/kg"</f>
        <v>0 ml/kg</v>
      </c>
      <c r="E31" s="301" t="str">
        <f ca="1">ROUND(ber_normaal!$A$18,0)&amp;" ml/kg"</f>
        <v>100 ml/kg</v>
      </c>
      <c r="F31" s="301" t="str">
        <f>"= "&amp;ROUND(ber_totalen!C2*Gewicht/10,0)&amp;" ml/dag"</f>
        <v>= 0 ml/dag</v>
      </c>
      <c r="G31" s="301"/>
      <c r="H31" s="301" t="s">
        <v>652</v>
      </c>
      <c r="I31" s="302" t="str">
        <f>ROUND(ber_totalen!$C$9,1)&amp;"  gram/kg"</f>
        <v>0  gram/kg</v>
      </c>
      <c r="J31" s="301" t="str">
        <f>IF(Gewicht/10&lt;30,"2-2,5 g/kg","1,5 g/kg")</f>
        <v>2-2,5 g/kg</v>
      </c>
      <c r="K31" s="301"/>
      <c r="L31" s="330"/>
      <c r="M31" s="331"/>
      <c r="N31" s="331"/>
      <c r="O31" s="331"/>
      <c r="P31" s="331"/>
    </row>
    <row r="32" spans="2:22" ht="13.2" x14ac:dyDescent="0.4">
      <c r="B32" s="301" t="s">
        <v>876</v>
      </c>
      <c r="C32" s="301"/>
      <c r="D32" s="302" t="str">
        <f>ROUND(ber_totalen!E38,0)&amp;" kCal/kg"</f>
        <v>0 kCal/kg</v>
      </c>
      <c r="E32" s="301" t="str">
        <f ca="1">ber_normaal!$A$21&amp;" kCal/kg"</f>
        <v>90 kCal/kg</v>
      </c>
      <c r="F32" s="301"/>
      <c r="G32" s="301"/>
      <c r="H32" s="301" t="s">
        <v>653</v>
      </c>
      <c r="I32" s="302" t="str">
        <f>ROUND(ber_totalen!$C$13,1)&amp;" gram/kg"</f>
        <v>0 gram/kg</v>
      </c>
      <c r="J32" s="301" t="str">
        <f>IF(Gewicht/10&lt;30,"4 g/kg","2 g/kg")</f>
        <v>4 g/kg</v>
      </c>
      <c r="K32" s="301"/>
      <c r="L32" s="330"/>
      <c r="M32" s="331"/>
      <c r="N32" s="331"/>
      <c r="O32" s="331"/>
      <c r="P32" s="331"/>
    </row>
    <row r="33" spans="2:16" ht="13.2" x14ac:dyDescent="0.4">
      <c r="B33" s="301" t="s">
        <v>696</v>
      </c>
      <c r="C33" s="301"/>
      <c r="D33" s="302" t="str">
        <f>ROUND(ber_totalen!C5,1)&amp;" g/kg"</f>
        <v>0 g/kg</v>
      </c>
      <c r="E33" s="301" t="s">
        <v>1081</v>
      </c>
      <c r="F33" s="301" t="str">
        <f>"= "&amp;ROUND(ber_totalen!C5/1.4,1)&amp;" mg/kg/min"</f>
        <v>= 0 mg/kg/min</v>
      </c>
      <c r="G33" s="301"/>
      <c r="H33" s="301" t="s">
        <v>654</v>
      </c>
      <c r="I33" s="302" t="str">
        <f>ROUND(ber_totalen!$C$27,1)&amp;" mmol/kg"</f>
        <v>0 mmol/kg</v>
      </c>
      <c r="J33" s="301" t="s">
        <v>1360</v>
      </c>
      <c r="K33" s="301"/>
      <c r="L33" s="330"/>
      <c r="M33" s="331"/>
      <c r="N33" s="331"/>
      <c r="O33" s="331"/>
      <c r="P33" s="331"/>
    </row>
    <row r="34" spans="2:16" ht="13.2" x14ac:dyDescent="0.4">
      <c r="B34" s="301" t="s">
        <v>877</v>
      </c>
      <c r="C34" s="301"/>
      <c r="D34" s="302" t="str">
        <f>ROUND(ber_totalen!C17,1)&amp;" mmol/kg"</f>
        <v>0 mmol/kg</v>
      </c>
      <c r="E34" s="301" t="s">
        <v>1075</v>
      </c>
      <c r="F34" s="301"/>
      <c r="G34" s="301"/>
      <c r="H34" s="301" t="s">
        <v>971</v>
      </c>
      <c r="I34" s="302" t="str">
        <f>ROUND(ber_totalen!$C$33,1)&amp;" mmol/kg"</f>
        <v>0 mmol/kg</v>
      </c>
      <c r="J34" s="301" t="s">
        <v>1080</v>
      </c>
      <c r="K34" s="301"/>
      <c r="L34" s="330"/>
      <c r="M34" s="331"/>
      <c r="N34" s="331"/>
      <c r="O34" s="331"/>
      <c r="P34" s="331"/>
    </row>
    <row r="35" spans="2:16" ht="13.2" x14ac:dyDescent="0.4">
      <c r="B35" s="301" t="s">
        <v>878</v>
      </c>
      <c r="C35" s="301"/>
      <c r="D35" s="302" t="str">
        <f>ROUND(ber_totalen!C23,1)&amp;" mmol/kg"</f>
        <v>0 mmol/kg</v>
      </c>
      <c r="E35" s="301" t="s">
        <v>1074</v>
      </c>
      <c r="F35" s="301"/>
      <c r="G35" s="301"/>
      <c r="H35" s="301" t="s">
        <v>655</v>
      </c>
      <c r="I35" s="302" t="str">
        <f>ROUND(ber_totalen!$C$30,1)&amp;" mmol/kg"</f>
        <v>0 mmol/kg</v>
      </c>
      <c r="J35" s="301" t="s">
        <v>1079</v>
      </c>
      <c r="K35" s="301"/>
      <c r="L35" s="330"/>
      <c r="M35" s="331"/>
      <c r="N35" s="331"/>
      <c r="O35" s="331"/>
      <c r="P35" s="331"/>
    </row>
  </sheetData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705</v>
      </c>
      <c r="C2" t="s">
        <v>379</v>
      </c>
      <c r="D2" s="36" t="s">
        <v>909</v>
      </c>
      <c r="E2" s="36" t="s">
        <v>373</v>
      </c>
      <c r="F2" t="s">
        <v>954</v>
      </c>
      <c r="G2" t="s">
        <v>598</v>
      </c>
      <c r="H2" t="s">
        <v>375</v>
      </c>
      <c r="I2" t="s">
        <v>659</v>
      </c>
      <c r="J2" t="s">
        <v>660</v>
      </c>
      <c r="K2" t="s">
        <v>661</v>
      </c>
      <c r="L2" t="s">
        <v>662</v>
      </c>
      <c r="M2" t="s">
        <v>601</v>
      </c>
      <c r="N2" t="s">
        <v>376</v>
      </c>
      <c r="O2" t="s">
        <v>604</v>
      </c>
    </row>
    <row r="3" spans="1:15" x14ac:dyDescent="0.35">
      <c r="A3" t="s">
        <v>1038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665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952</v>
      </c>
      <c r="F5">
        <f>IF(AND(Gewicht/10&gt;=16,TPN&gt;1,OR(SSTglucose&lt;11,Gewicht/10&gt;50)),E5,0)</f>
        <v>0</v>
      </c>
    </row>
    <row r="6" spans="1:15" x14ac:dyDescent="0.35">
      <c r="A6" t="s">
        <v>910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1033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656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1034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972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970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605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606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607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608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512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374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1039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910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1033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656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377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2"/>
      <c r="B25" s="102" t="s">
        <v>657</v>
      </c>
      <c r="C25" s="102" t="s">
        <v>658</v>
      </c>
      <c r="D25" s="102" t="s">
        <v>659</v>
      </c>
      <c r="E25" s="102" t="s">
        <v>660</v>
      </c>
      <c r="F25" s="102" t="s">
        <v>661</v>
      </c>
      <c r="G25" s="102" t="s">
        <v>662</v>
      </c>
      <c r="H25" s="102" t="s">
        <v>663</v>
      </c>
      <c r="I25" s="102" t="s">
        <v>664</v>
      </c>
      <c r="L25" t="s">
        <v>371</v>
      </c>
      <c r="M25" t="s">
        <v>372</v>
      </c>
      <c r="N25" t="s">
        <v>295</v>
      </c>
    </row>
    <row r="26" spans="1:15" x14ac:dyDescent="0.35">
      <c r="J26">
        <v>1</v>
      </c>
      <c r="K26" t="s">
        <v>939</v>
      </c>
      <c r="L26">
        <v>0.05</v>
      </c>
      <c r="M26">
        <v>0</v>
      </c>
    </row>
    <row r="27" spans="1:15" x14ac:dyDescent="0.35">
      <c r="A27" s="102" t="s">
        <v>1032</v>
      </c>
      <c r="B27" s="102">
        <v>0.08</v>
      </c>
      <c r="C27" s="102">
        <v>0</v>
      </c>
      <c r="D27" s="102">
        <v>8.0000000000000002E-3</v>
      </c>
      <c r="E27" s="102">
        <v>0.02</v>
      </c>
      <c r="F27" s="102">
        <v>2.8000000000000001E-2</v>
      </c>
      <c r="G27" s="102">
        <v>8.0000000000000002E-3</v>
      </c>
      <c r="H27" s="102">
        <v>2.4E-2</v>
      </c>
      <c r="I27" s="102">
        <v>0.32</v>
      </c>
      <c r="J27">
        <v>2</v>
      </c>
      <c r="K27" t="s">
        <v>940</v>
      </c>
      <c r="L27">
        <v>0.1</v>
      </c>
      <c r="M27">
        <v>0</v>
      </c>
    </row>
    <row r="28" spans="1:15" x14ac:dyDescent="0.35">
      <c r="A28" s="102" t="s">
        <v>1031</v>
      </c>
      <c r="B28" s="102">
        <v>7.3999999999999996E-2</v>
      </c>
      <c r="C28" s="102">
        <v>0</v>
      </c>
      <c r="D28" s="102">
        <f>(0.5*0.5)/35</f>
        <v>7.1428571428571426E-3</v>
      </c>
      <c r="E28" s="102">
        <f>1.7/100</f>
        <v>1.7000000000000001E-2</v>
      </c>
      <c r="F28" s="102">
        <v>2.5000000000000001E-2</v>
      </c>
      <c r="G28" s="102">
        <f>0.6/100</f>
        <v>6.0000000000000001E-3</v>
      </c>
      <c r="H28" s="102">
        <v>2.1000000000000001E-2</v>
      </c>
      <c r="I28" s="102">
        <v>0.28999999999999998</v>
      </c>
      <c r="J28">
        <v>3</v>
      </c>
      <c r="K28" t="s">
        <v>294</v>
      </c>
      <c r="L28">
        <v>0.125</v>
      </c>
    </row>
    <row r="29" spans="1:15" x14ac:dyDescent="0.35">
      <c r="A29" s="102" t="s">
        <v>1032</v>
      </c>
      <c r="B29" s="102">
        <v>0.08</v>
      </c>
      <c r="C29" s="102">
        <v>0</v>
      </c>
      <c r="D29" s="102">
        <f>0.4*0.5/25</f>
        <v>8.0000000000000002E-3</v>
      </c>
      <c r="E29" s="102">
        <f>0.5/25</f>
        <v>0.02</v>
      </c>
      <c r="F29" s="102">
        <v>2.8000000000000001E-2</v>
      </c>
      <c r="G29" s="102">
        <v>8.0000000000000002E-3</v>
      </c>
      <c r="H29" s="102">
        <v>2.4E-2</v>
      </c>
      <c r="I29" s="102">
        <v>0.32</v>
      </c>
      <c r="J29">
        <v>4</v>
      </c>
      <c r="K29" t="s">
        <v>308</v>
      </c>
      <c r="L29">
        <v>0.15</v>
      </c>
      <c r="M29">
        <v>0</v>
      </c>
    </row>
    <row r="30" spans="1:15" x14ac:dyDescent="0.35">
      <c r="A30" s="102" t="s">
        <v>174</v>
      </c>
      <c r="B30" s="102">
        <v>8.7999999999999995E-2</v>
      </c>
      <c r="C30" s="102">
        <v>0</v>
      </c>
      <c r="D30" s="102">
        <f>0.5*0.4/20</f>
        <v>0.01</v>
      </c>
      <c r="E30" s="102">
        <v>2.5000000000000001E-2</v>
      </c>
      <c r="F30" s="102">
        <v>1.7999999999999999E-2</v>
      </c>
      <c r="G30" s="102">
        <v>0.01</v>
      </c>
      <c r="H30" s="102">
        <v>0.03</v>
      </c>
      <c r="I30" s="102">
        <v>0.35</v>
      </c>
      <c r="J30">
        <v>5</v>
      </c>
      <c r="K30" t="s">
        <v>293</v>
      </c>
      <c r="L30">
        <v>0.17499999999999999</v>
      </c>
    </row>
    <row r="31" spans="1:15" x14ac:dyDescent="0.35">
      <c r="A31" s="102" t="s">
        <v>175</v>
      </c>
      <c r="B31" s="102">
        <v>8.3000000000000004E-2</v>
      </c>
      <c r="C31" s="102">
        <v>0</v>
      </c>
      <c r="D31" s="102">
        <f>0.3*0.5/12</f>
        <v>1.2499999999999999E-2</v>
      </c>
      <c r="E31" s="102">
        <v>3.1E-2</v>
      </c>
      <c r="F31" s="102">
        <v>2.5999999999999999E-2</v>
      </c>
      <c r="G31" s="102">
        <v>1.2500000000000001E-2</v>
      </c>
      <c r="H31" s="102">
        <v>3.7999999999999999E-2</v>
      </c>
      <c r="I31" s="102">
        <v>0.33</v>
      </c>
      <c r="J31">
        <v>6</v>
      </c>
      <c r="K31" t="s">
        <v>306</v>
      </c>
      <c r="L31">
        <v>0.2</v>
      </c>
      <c r="M31">
        <v>0</v>
      </c>
    </row>
    <row r="32" spans="1:15" x14ac:dyDescent="0.35">
      <c r="A32" s="102" t="s">
        <v>287</v>
      </c>
      <c r="B32" s="102">
        <v>7.0000000000000007E-2</v>
      </c>
      <c r="C32" s="102">
        <v>0.24</v>
      </c>
      <c r="D32" s="102">
        <v>4.0500000000000001E-2</v>
      </c>
      <c r="E32" s="102">
        <v>2.5700000000000001E-2</v>
      </c>
      <c r="F32" s="102">
        <v>4.1000000000000003E-3</v>
      </c>
      <c r="G32" s="102">
        <v>5.0000000000000001E-3</v>
      </c>
      <c r="H32" s="102">
        <v>1.47E-2</v>
      </c>
      <c r="I32" s="102">
        <v>0.96</v>
      </c>
      <c r="J32">
        <v>7</v>
      </c>
      <c r="K32" t="s">
        <v>646</v>
      </c>
      <c r="L32">
        <v>0.25</v>
      </c>
      <c r="M32">
        <v>0</v>
      </c>
    </row>
    <row r="33" spans="1:15" x14ac:dyDescent="0.35">
      <c r="J33">
        <v>8</v>
      </c>
      <c r="K33" t="s">
        <v>645</v>
      </c>
      <c r="L33">
        <v>0.3</v>
      </c>
      <c r="M33">
        <v>0</v>
      </c>
    </row>
    <row r="34" spans="1:15" x14ac:dyDescent="0.35">
      <c r="J34">
        <v>9</v>
      </c>
      <c r="K34" t="s">
        <v>855</v>
      </c>
      <c r="L34">
        <v>0.4</v>
      </c>
      <c r="M34">
        <v>0</v>
      </c>
      <c r="N34">
        <v>0</v>
      </c>
    </row>
    <row r="35" spans="1:15" x14ac:dyDescent="0.35">
      <c r="A35" s="102" t="s">
        <v>1031</v>
      </c>
      <c r="J35">
        <v>10</v>
      </c>
      <c r="K35" t="s">
        <v>307</v>
      </c>
      <c r="L35">
        <v>0.5</v>
      </c>
      <c r="M35">
        <v>0</v>
      </c>
    </row>
    <row r="36" spans="1:15" x14ac:dyDescent="0.35">
      <c r="A36" s="102" t="s">
        <v>1032</v>
      </c>
      <c r="J36">
        <v>11</v>
      </c>
      <c r="K36" t="s">
        <v>1423</v>
      </c>
      <c r="L36">
        <v>0.05</v>
      </c>
      <c r="M36">
        <v>7.6999999999999999E-2</v>
      </c>
      <c r="O36">
        <v>0</v>
      </c>
    </row>
    <row r="37" spans="1:15" x14ac:dyDescent="0.35">
      <c r="A37" s="102" t="s">
        <v>174</v>
      </c>
      <c r="J37">
        <v>12</v>
      </c>
      <c r="K37" t="s">
        <v>1424</v>
      </c>
      <c r="L37">
        <v>0.05</v>
      </c>
      <c r="M37">
        <v>0.155</v>
      </c>
      <c r="O37">
        <v>0</v>
      </c>
    </row>
    <row r="38" spans="1:15" x14ac:dyDescent="0.35">
      <c r="A38" s="102" t="s">
        <v>175</v>
      </c>
      <c r="J38">
        <v>13</v>
      </c>
      <c r="K38" t="s">
        <v>951</v>
      </c>
      <c r="L38">
        <v>0</v>
      </c>
      <c r="M38">
        <v>0.155</v>
      </c>
      <c r="O38">
        <v>0</v>
      </c>
    </row>
    <row r="39" spans="1:15" x14ac:dyDescent="0.35">
      <c r="A39" s="102" t="s">
        <v>287</v>
      </c>
      <c r="J39">
        <v>14</v>
      </c>
      <c r="K39" s="11" t="s">
        <v>1425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1175</v>
      </c>
      <c r="D4" t="s">
        <v>442</v>
      </c>
      <c r="F4" t="s">
        <v>443</v>
      </c>
      <c r="H4" t="s">
        <v>444</v>
      </c>
      <c r="J4" t="s">
        <v>445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pageSetUpPr autoPageBreaks="0"/>
  </sheetPr>
  <dimension ref="A1:Q33"/>
  <sheetViews>
    <sheetView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8"/>
      <c r="B1" s="294" t="s">
        <v>441</v>
      </c>
      <c r="C1" s="316"/>
      <c r="D1" s="329" t="s">
        <v>1414</v>
      </c>
      <c r="E1" s="316"/>
      <c r="F1" s="316"/>
      <c r="G1" s="28"/>
      <c r="H1" s="117"/>
      <c r="I1" s="28"/>
      <c r="J1" s="28"/>
    </row>
    <row r="2" spans="1:17" ht="13.2" x14ac:dyDescent="0.4">
      <c r="A2" s="28"/>
      <c r="B2" s="281"/>
    </row>
    <row r="3" spans="1:17" ht="18.75" customHeight="1" x14ac:dyDescent="0.4">
      <c r="A3" s="28"/>
      <c r="B3" s="307" t="s">
        <v>1175</v>
      </c>
      <c r="C3" s="241"/>
      <c r="D3" s="307" t="s">
        <v>1415</v>
      </c>
      <c r="E3" s="241"/>
      <c r="F3" s="307" t="s">
        <v>1416</v>
      </c>
      <c r="G3" s="241"/>
      <c r="H3" s="307" t="s">
        <v>445</v>
      </c>
      <c r="I3" s="241"/>
      <c r="J3" s="307"/>
      <c r="K3" s="241"/>
      <c r="L3" s="307" t="s">
        <v>68</v>
      </c>
      <c r="M3" s="241"/>
      <c r="N3" s="307" t="s">
        <v>69</v>
      </c>
      <c r="O3" s="241"/>
      <c r="P3" s="307" t="s">
        <v>70</v>
      </c>
      <c r="Q3" s="241"/>
    </row>
    <row r="4" spans="1:17" ht="26.3" customHeight="1" x14ac:dyDescent="0.35">
      <c r="B4" s="327"/>
      <c r="C4" s="328"/>
      <c r="D4" s="327"/>
      <c r="E4" s="327"/>
      <c r="F4" s="327"/>
      <c r="G4" s="327"/>
      <c r="H4" s="327"/>
      <c r="I4" s="327"/>
      <c r="J4" s="327"/>
      <c r="K4" s="327"/>
      <c r="L4" s="327"/>
      <c r="M4" s="327"/>
      <c r="N4" s="327"/>
      <c r="O4" s="327"/>
      <c r="P4" s="327"/>
      <c r="Q4" s="327"/>
    </row>
    <row r="5" spans="1:17" ht="26.3" customHeight="1" x14ac:dyDescent="0.35">
      <c r="B5" s="327"/>
      <c r="C5" s="328"/>
      <c r="D5" s="327"/>
      <c r="E5" s="327"/>
      <c r="F5" s="327"/>
      <c r="G5" s="327"/>
      <c r="H5" s="327"/>
      <c r="I5" s="327"/>
      <c r="J5" s="327"/>
      <c r="K5" s="327"/>
      <c r="L5" s="327"/>
      <c r="M5" s="327"/>
      <c r="N5" s="327"/>
      <c r="O5" s="327"/>
      <c r="P5" s="327"/>
      <c r="Q5" s="327"/>
    </row>
    <row r="6" spans="1:17" ht="26.3" customHeight="1" x14ac:dyDescent="0.35">
      <c r="B6" s="327"/>
      <c r="C6" s="328"/>
      <c r="D6" s="327"/>
      <c r="E6" s="327"/>
      <c r="F6" s="327"/>
      <c r="G6" s="327"/>
      <c r="H6" s="327"/>
      <c r="I6" s="327"/>
      <c r="J6" s="327"/>
      <c r="K6" s="327"/>
      <c r="L6" s="327"/>
      <c r="M6" s="327"/>
      <c r="N6" s="327"/>
      <c r="O6" s="327"/>
      <c r="P6" s="327"/>
      <c r="Q6" s="327"/>
    </row>
    <row r="7" spans="1:17" ht="26.3" customHeight="1" x14ac:dyDescent="0.35">
      <c r="B7" s="327"/>
      <c r="C7" s="328"/>
      <c r="D7" s="327"/>
      <c r="E7" s="327"/>
      <c r="F7" s="327"/>
      <c r="G7" s="327"/>
      <c r="H7" s="327"/>
      <c r="I7" s="327"/>
      <c r="J7" s="327"/>
      <c r="K7" s="327"/>
      <c r="L7" s="327"/>
      <c r="M7" s="327"/>
      <c r="N7" s="327"/>
      <c r="O7" s="327"/>
      <c r="P7" s="327"/>
      <c r="Q7" s="327"/>
    </row>
    <row r="8" spans="1:17" ht="26.3" customHeight="1" x14ac:dyDescent="0.35">
      <c r="B8" s="327"/>
      <c r="C8" s="328"/>
      <c r="D8" s="327"/>
      <c r="E8" s="327"/>
      <c r="F8" s="327"/>
      <c r="G8" s="327"/>
      <c r="H8" s="327"/>
      <c r="I8" s="327"/>
      <c r="J8" s="327"/>
      <c r="K8" s="327"/>
      <c r="L8" s="327"/>
      <c r="M8" s="327"/>
      <c r="N8" s="327"/>
      <c r="O8" s="327"/>
      <c r="P8" s="327"/>
      <c r="Q8" s="327"/>
    </row>
    <row r="9" spans="1:17" ht="26.3" customHeight="1" x14ac:dyDescent="0.35">
      <c r="B9" s="327"/>
      <c r="C9" s="328"/>
      <c r="D9" s="327"/>
      <c r="E9" s="327"/>
      <c r="F9" s="327"/>
      <c r="G9" s="327"/>
      <c r="H9" s="327"/>
      <c r="I9" s="327"/>
      <c r="J9" s="327"/>
      <c r="K9" s="327"/>
      <c r="L9" s="327"/>
      <c r="M9" s="327"/>
      <c r="N9" s="327"/>
      <c r="O9" s="327"/>
      <c r="P9" s="327"/>
      <c r="Q9" s="327"/>
    </row>
    <row r="10" spans="1:17" ht="26.3" customHeight="1" x14ac:dyDescent="0.35">
      <c r="B10" s="327"/>
      <c r="C10" s="328"/>
      <c r="D10" s="327"/>
      <c r="E10" s="327"/>
      <c r="F10" s="327"/>
      <c r="G10" s="327"/>
      <c r="H10" s="327"/>
      <c r="I10" s="327"/>
      <c r="J10" s="327"/>
      <c r="K10" s="327"/>
      <c r="L10" s="327"/>
      <c r="M10" s="327"/>
      <c r="N10" s="327"/>
      <c r="O10" s="327"/>
      <c r="P10" s="327"/>
      <c r="Q10" s="327"/>
    </row>
    <row r="11" spans="1:17" ht="26.3" customHeight="1" x14ac:dyDescent="0.35">
      <c r="B11" s="327"/>
      <c r="C11" s="328"/>
      <c r="D11" s="327"/>
      <c r="E11" s="327"/>
      <c r="F11" s="327"/>
      <c r="G11" s="327"/>
      <c r="H11" s="327"/>
      <c r="I11" s="327"/>
      <c r="J11" s="327"/>
      <c r="K11" s="327"/>
      <c r="L11" s="327"/>
      <c r="M11" s="327"/>
      <c r="N11" s="327"/>
      <c r="O11" s="327"/>
      <c r="P11" s="327"/>
      <c r="Q11" s="327"/>
    </row>
    <row r="12" spans="1:17" ht="26.3" customHeight="1" x14ac:dyDescent="0.35">
      <c r="B12" s="327"/>
      <c r="C12" s="328"/>
      <c r="D12" s="327"/>
      <c r="E12" s="327"/>
      <c r="F12" s="327"/>
      <c r="G12" s="327"/>
      <c r="H12" s="327"/>
      <c r="I12" s="327"/>
      <c r="J12" s="327"/>
      <c r="K12" s="327"/>
      <c r="L12" s="327"/>
      <c r="M12" s="327"/>
      <c r="N12" s="327"/>
      <c r="O12" s="327"/>
      <c r="P12" s="327"/>
      <c r="Q12" s="327"/>
    </row>
    <row r="13" spans="1:17" ht="26.3" customHeight="1" x14ac:dyDescent="0.35">
      <c r="B13" s="327"/>
      <c r="C13" s="328"/>
      <c r="D13" s="327"/>
      <c r="E13" s="327"/>
      <c r="F13" s="327"/>
      <c r="G13" s="327"/>
      <c r="H13" s="327"/>
      <c r="I13" s="327"/>
      <c r="J13" s="327"/>
      <c r="K13" s="327"/>
      <c r="L13" s="327"/>
      <c r="M13" s="327"/>
      <c r="N13" s="327"/>
      <c r="O13" s="327"/>
      <c r="P13" s="327"/>
      <c r="Q13" s="327"/>
    </row>
    <row r="14" spans="1:17" ht="26.3" customHeight="1" x14ac:dyDescent="0.35">
      <c r="B14" s="327"/>
      <c r="C14" s="328"/>
      <c r="D14" s="327"/>
      <c r="E14" s="327"/>
      <c r="F14" s="327"/>
      <c r="G14" s="327"/>
      <c r="H14" s="327"/>
      <c r="I14" s="327"/>
      <c r="J14" s="327"/>
      <c r="K14" s="327"/>
      <c r="L14" s="327"/>
      <c r="M14" s="327"/>
      <c r="N14" s="327"/>
      <c r="O14" s="327"/>
      <c r="P14" s="327"/>
      <c r="Q14" s="327"/>
    </row>
    <row r="15" spans="1:17" ht="26.3" customHeight="1" x14ac:dyDescent="0.35">
      <c r="B15" s="327"/>
      <c r="C15" s="328"/>
      <c r="D15" s="327"/>
      <c r="E15" s="327"/>
      <c r="F15" s="327"/>
      <c r="G15" s="327"/>
      <c r="H15" s="327"/>
      <c r="I15" s="327"/>
      <c r="J15" s="327"/>
      <c r="K15" s="327"/>
      <c r="L15" s="327"/>
      <c r="M15" s="327"/>
      <c r="N15" s="327"/>
      <c r="O15" s="327"/>
      <c r="P15" s="327"/>
      <c r="Q15" s="327"/>
    </row>
    <row r="16" spans="1:17" ht="26.3" customHeight="1" x14ac:dyDescent="0.35">
      <c r="B16" s="327"/>
      <c r="C16" s="328"/>
      <c r="D16" s="327"/>
      <c r="E16" s="327"/>
      <c r="F16" s="327"/>
      <c r="G16" s="327"/>
      <c r="H16" s="327"/>
      <c r="I16" s="327"/>
      <c r="J16" s="327"/>
      <c r="K16" s="327"/>
      <c r="L16" s="327"/>
      <c r="M16" s="327"/>
      <c r="N16" s="327"/>
      <c r="O16" s="327"/>
      <c r="P16" s="327"/>
      <c r="Q16" s="327"/>
    </row>
    <row r="17" spans="2:17" ht="26.3" customHeight="1" x14ac:dyDescent="0.35">
      <c r="B17" s="327"/>
      <c r="C17" s="328"/>
      <c r="D17" s="327"/>
      <c r="E17" s="327"/>
      <c r="F17" s="327"/>
      <c r="G17" s="327"/>
      <c r="H17" s="327"/>
      <c r="I17" s="327"/>
      <c r="J17" s="327"/>
      <c r="K17" s="327"/>
      <c r="L17" s="327"/>
      <c r="M17" s="327"/>
      <c r="N17" s="327"/>
      <c r="O17" s="327"/>
      <c r="P17" s="327"/>
      <c r="Q17" s="327"/>
    </row>
    <row r="18" spans="2:17" ht="26.3" customHeight="1" x14ac:dyDescent="0.35">
      <c r="B18" s="327"/>
      <c r="C18" s="328"/>
      <c r="D18" s="327"/>
      <c r="E18" s="327"/>
      <c r="F18" s="327"/>
      <c r="G18" s="327"/>
      <c r="H18" s="327"/>
      <c r="I18" s="327"/>
      <c r="J18" s="327"/>
      <c r="K18" s="327"/>
      <c r="L18" s="327"/>
      <c r="M18" s="327"/>
      <c r="N18" s="327"/>
      <c r="O18" s="327"/>
      <c r="P18" s="327"/>
      <c r="Q18" s="327"/>
    </row>
    <row r="19" spans="2:17" ht="26.3" customHeight="1" x14ac:dyDescent="0.35">
      <c r="B19" s="327"/>
      <c r="C19" s="328"/>
      <c r="D19" s="327"/>
      <c r="E19" s="327"/>
      <c r="F19" s="327"/>
      <c r="G19" s="327"/>
      <c r="H19" s="327"/>
      <c r="I19" s="327"/>
      <c r="J19" s="327"/>
      <c r="K19" s="327"/>
      <c r="L19" s="327"/>
      <c r="M19" s="327"/>
      <c r="N19" s="327"/>
      <c r="O19" s="327"/>
      <c r="P19" s="327"/>
      <c r="Q19" s="327"/>
    </row>
    <row r="20" spans="2:17" ht="26.3" customHeight="1" x14ac:dyDescent="0.35">
      <c r="B20" s="327"/>
      <c r="C20" s="328"/>
      <c r="D20" s="327"/>
      <c r="E20" s="327"/>
      <c r="F20" s="327"/>
      <c r="G20" s="327"/>
      <c r="H20" s="327"/>
      <c r="I20" s="327"/>
      <c r="J20" s="327"/>
      <c r="K20" s="327"/>
      <c r="L20" s="327"/>
      <c r="M20" s="327"/>
      <c r="N20" s="327"/>
      <c r="O20" s="327"/>
      <c r="P20" s="327"/>
      <c r="Q20" s="327"/>
    </row>
    <row r="21" spans="2:17" ht="26.3" customHeight="1" x14ac:dyDescent="0.35">
      <c r="B21" s="327"/>
      <c r="C21" s="328"/>
      <c r="D21" s="327"/>
      <c r="E21" s="327"/>
      <c r="F21" s="327"/>
      <c r="G21" s="327"/>
      <c r="H21" s="327"/>
      <c r="I21" s="327"/>
      <c r="J21" s="327"/>
      <c r="K21" s="327"/>
      <c r="L21" s="327"/>
      <c r="M21" s="327"/>
      <c r="N21" s="327"/>
      <c r="O21" s="327"/>
      <c r="P21" s="327"/>
      <c r="Q21" s="327"/>
    </row>
    <row r="22" spans="2:17" ht="26.3" customHeight="1" x14ac:dyDescent="0.35">
      <c r="B22" s="327"/>
      <c r="C22" s="328"/>
      <c r="D22" s="327"/>
      <c r="E22" s="327"/>
      <c r="F22" s="327"/>
      <c r="G22" s="327"/>
      <c r="H22" s="327"/>
      <c r="I22" s="327"/>
      <c r="J22" s="327"/>
      <c r="K22" s="327"/>
      <c r="L22" s="327"/>
      <c r="M22" s="327"/>
      <c r="N22" s="327"/>
      <c r="O22" s="327"/>
      <c r="P22" s="327"/>
      <c r="Q22" s="327"/>
    </row>
    <row r="23" spans="2:17" ht="26.3" customHeight="1" x14ac:dyDescent="0.35">
      <c r="B23" s="327"/>
      <c r="C23" s="328"/>
      <c r="D23" s="327"/>
      <c r="E23" s="327"/>
      <c r="F23" s="327"/>
      <c r="G23" s="327"/>
      <c r="H23" s="327"/>
      <c r="I23" s="327"/>
      <c r="J23" s="327"/>
      <c r="K23" s="327"/>
      <c r="L23" s="327"/>
      <c r="M23" s="327"/>
      <c r="N23" s="327"/>
      <c r="O23" s="327"/>
      <c r="P23" s="327"/>
      <c r="Q23" s="327"/>
    </row>
    <row r="24" spans="2:17" ht="26.3" customHeight="1" x14ac:dyDescent="0.35">
      <c r="B24" s="327"/>
      <c r="C24" s="328"/>
      <c r="D24" s="327"/>
      <c r="E24" s="327"/>
      <c r="F24" s="327"/>
      <c r="G24" s="327"/>
      <c r="H24" s="327"/>
      <c r="I24" s="327"/>
      <c r="J24" s="327"/>
      <c r="K24" s="327"/>
      <c r="L24" s="327"/>
      <c r="M24" s="327"/>
      <c r="N24" s="327"/>
      <c r="O24" s="327"/>
      <c r="P24" s="327"/>
      <c r="Q24" s="327"/>
    </row>
    <row r="25" spans="2:17" ht="26.3" customHeight="1" x14ac:dyDescent="0.35">
      <c r="B25" s="327"/>
      <c r="C25" s="328"/>
      <c r="D25" s="327"/>
      <c r="E25" s="327"/>
      <c r="F25" s="327"/>
      <c r="G25" s="327"/>
      <c r="H25" s="327"/>
      <c r="I25" s="327"/>
      <c r="J25" s="327"/>
      <c r="K25" s="327"/>
      <c r="L25" s="327"/>
      <c r="M25" s="327"/>
      <c r="N25" s="327"/>
      <c r="O25" s="327"/>
      <c r="P25" s="327"/>
      <c r="Q25" s="327"/>
    </row>
    <row r="26" spans="2:17" ht="26.3" customHeight="1" x14ac:dyDescent="0.35">
      <c r="B26" s="327"/>
      <c r="C26" s="328"/>
      <c r="D26" s="327"/>
      <c r="E26" s="327"/>
      <c r="F26" s="327"/>
      <c r="G26" s="327"/>
      <c r="H26" s="327"/>
      <c r="I26" s="327"/>
      <c r="J26" s="327"/>
      <c r="K26" s="327"/>
      <c r="L26" s="327"/>
      <c r="M26" s="327"/>
      <c r="N26" s="327"/>
      <c r="O26" s="327"/>
      <c r="P26" s="327"/>
      <c r="Q26" s="327"/>
    </row>
    <row r="27" spans="2:17" ht="26.3" customHeight="1" x14ac:dyDescent="0.35">
      <c r="B27" s="327"/>
      <c r="C27" s="328"/>
      <c r="D27" s="327"/>
      <c r="E27" s="327"/>
      <c r="F27" s="327"/>
      <c r="G27" s="327"/>
      <c r="H27" s="327"/>
      <c r="I27" s="327"/>
      <c r="J27" s="327"/>
      <c r="K27" s="327"/>
      <c r="L27" s="327"/>
      <c r="M27" s="327"/>
      <c r="N27" s="327"/>
      <c r="O27" s="327"/>
      <c r="P27" s="327"/>
      <c r="Q27" s="327"/>
    </row>
    <row r="28" spans="2:17" ht="26.3" customHeight="1" x14ac:dyDescent="0.35">
      <c r="B28" s="327"/>
      <c r="C28" s="328"/>
      <c r="D28" s="327"/>
      <c r="E28" s="327"/>
      <c r="F28" s="327"/>
      <c r="G28" s="327"/>
      <c r="H28" s="327"/>
      <c r="I28" s="327"/>
      <c r="J28" s="327"/>
      <c r="K28" s="327"/>
      <c r="L28" s="327"/>
      <c r="M28" s="327"/>
      <c r="N28" s="327"/>
      <c r="O28" s="327"/>
      <c r="P28" s="327"/>
      <c r="Q28" s="327"/>
    </row>
    <row r="29" spans="2:17" ht="26.3" customHeight="1" x14ac:dyDescent="0.35">
      <c r="B29" s="327"/>
      <c r="C29" s="328"/>
      <c r="D29" s="327"/>
      <c r="E29" s="327"/>
      <c r="F29" s="327"/>
      <c r="G29" s="327"/>
      <c r="H29" s="327"/>
      <c r="I29" s="327"/>
      <c r="J29" s="327"/>
      <c r="K29" s="327"/>
      <c r="L29" s="327"/>
      <c r="M29" s="327"/>
      <c r="N29" s="327"/>
      <c r="O29" s="327"/>
      <c r="P29" s="327"/>
      <c r="Q29" s="327"/>
    </row>
    <row r="30" spans="2:17" ht="26.3" customHeight="1" x14ac:dyDescent="0.35">
      <c r="B30" s="327"/>
      <c r="C30" s="328"/>
      <c r="D30" s="327"/>
      <c r="E30" s="327"/>
      <c r="F30" s="327"/>
      <c r="G30" s="327"/>
      <c r="H30" s="327"/>
      <c r="I30" s="327"/>
      <c r="J30" s="327"/>
      <c r="K30" s="327"/>
      <c r="L30" s="327"/>
      <c r="M30" s="327"/>
      <c r="N30" s="327"/>
      <c r="O30" s="327"/>
      <c r="P30" s="327"/>
      <c r="Q30" s="327"/>
    </row>
    <row r="33" spans="2:3" x14ac:dyDescent="0.35">
      <c r="B33" s="205" t="s">
        <v>906</v>
      </c>
      <c r="C33" s="25">
        <f>opmAfsprBlad__9</f>
        <v>0</v>
      </c>
    </row>
  </sheetData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514</v>
      </c>
      <c r="C1" t="s">
        <v>599</v>
      </c>
      <c r="D1" t="s">
        <v>876</v>
      </c>
      <c r="E1" t="s">
        <v>599</v>
      </c>
    </row>
    <row r="2" spans="1:5" ht="13.2" x14ac:dyDescent="0.4">
      <c r="A2" s="12" t="s">
        <v>1035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611</v>
      </c>
      <c r="B3">
        <f>ber_PO!O22</f>
        <v>0</v>
      </c>
    </row>
    <row r="4" spans="1:5" x14ac:dyDescent="0.35">
      <c r="A4" s="5" t="s">
        <v>609</v>
      </c>
      <c r="B4">
        <f>(ber_IVmed!F46+ber_TPN!F23+Infusen!J15+ber_Med_disc!O23)</f>
        <v>0</v>
      </c>
    </row>
    <row r="5" spans="1:5" ht="13.2" x14ac:dyDescent="0.4">
      <c r="A5" s="12" t="s">
        <v>598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611</v>
      </c>
      <c r="B6">
        <f>ber_PO!K25</f>
        <v>0</v>
      </c>
      <c r="C6" s="10" t="s">
        <v>616</v>
      </c>
      <c r="D6" s="10" t="s">
        <v>616</v>
      </c>
    </row>
    <row r="7" spans="1:5" x14ac:dyDescent="0.35">
      <c r="A7" s="5" t="s">
        <v>615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665</v>
      </c>
      <c r="B8">
        <f>ber_TPN!G23</f>
        <v>0</v>
      </c>
      <c r="C8" s="10" t="s">
        <v>616</v>
      </c>
      <c r="D8" s="10" t="s">
        <v>616</v>
      </c>
    </row>
    <row r="9" spans="1:5" ht="13.2" x14ac:dyDescent="0.4">
      <c r="A9" s="12" t="s">
        <v>603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611</v>
      </c>
      <c r="B10">
        <f>ber_PO!K24</f>
        <v>0</v>
      </c>
      <c r="C10" s="10" t="s">
        <v>616</v>
      </c>
      <c r="D10" s="10" t="s">
        <v>616</v>
      </c>
    </row>
    <row r="11" spans="1:5" ht="13.2" x14ac:dyDescent="0.4">
      <c r="A11" s="5" t="s">
        <v>609</v>
      </c>
      <c r="B11">
        <f>ber_TPN!H23</f>
        <v>0</v>
      </c>
      <c r="C11" s="10" t="s">
        <v>616</v>
      </c>
      <c r="D11" s="10" t="s">
        <v>616</v>
      </c>
    </row>
    <row r="12" spans="1:5" ht="13.2" x14ac:dyDescent="0.4">
      <c r="A12" s="5" t="s">
        <v>194</v>
      </c>
      <c r="B12">
        <f>ber_IVmed!L46</f>
        <v>0</v>
      </c>
      <c r="C12" s="10"/>
      <c r="D12" s="10"/>
    </row>
    <row r="13" spans="1:5" ht="13.2" x14ac:dyDescent="0.4">
      <c r="A13" s="12" t="s">
        <v>604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611</v>
      </c>
      <c r="B14">
        <f>ber_PO!K26</f>
        <v>0</v>
      </c>
      <c r="C14">
        <f>B14/(Gewicht/10)</f>
        <v>0</v>
      </c>
      <c r="D14" s="10" t="s">
        <v>616</v>
      </c>
    </row>
    <row r="15" spans="1:5" ht="13.2" x14ac:dyDescent="0.4">
      <c r="A15" s="5" t="s">
        <v>609</v>
      </c>
      <c r="B15">
        <f>ber_TPN!O23</f>
        <v>0</v>
      </c>
      <c r="C15">
        <f>B15/(Gewicht/10)</f>
        <v>0</v>
      </c>
      <c r="D15" s="10" t="s">
        <v>616</v>
      </c>
    </row>
    <row r="16" spans="1:5" x14ac:dyDescent="0.35">
      <c r="A16" s="5" t="s">
        <v>610</v>
      </c>
      <c r="B16">
        <f>ber_IVmed!M46</f>
        <v>0</v>
      </c>
      <c r="D16">
        <f>B16*9</f>
        <v>0</v>
      </c>
    </row>
    <row r="17" spans="1:5" ht="13.2" x14ac:dyDescent="0.4">
      <c r="A17" s="12" t="s">
        <v>1036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611</v>
      </c>
      <c r="B18">
        <f>ber_PO!K27</f>
        <v>0</v>
      </c>
      <c r="C18">
        <f>B18/(Gewicht/10)</f>
        <v>0</v>
      </c>
    </row>
    <row r="19" spans="1:5" x14ac:dyDescent="0.35">
      <c r="A19" s="5" t="s">
        <v>707</v>
      </c>
      <c r="B19">
        <f>Infusen!I15</f>
        <v>0</v>
      </c>
      <c r="C19">
        <f>B19/(Gewicht/10)</f>
        <v>0</v>
      </c>
    </row>
    <row r="20" spans="1:5" x14ac:dyDescent="0.35">
      <c r="A20" s="5" t="s">
        <v>615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665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1037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611</v>
      </c>
      <c r="B24">
        <f>ber_PO!K28</f>
        <v>0</v>
      </c>
      <c r="C24">
        <f>B24/(Gewicht/10)</f>
        <v>0</v>
      </c>
    </row>
    <row r="25" spans="1:5" x14ac:dyDescent="0.35">
      <c r="A25" s="5" t="s">
        <v>665</v>
      </c>
      <c r="B25">
        <f>ber_TPN!J23</f>
        <v>0</v>
      </c>
      <c r="C25">
        <f>B25/(Gewicht/10)</f>
        <v>0</v>
      </c>
    </row>
    <row r="26" spans="1:5" x14ac:dyDescent="0.35">
      <c r="A26" s="5" t="s">
        <v>615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600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611</v>
      </c>
      <c r="B28">
        <f>ber_PO!K29</f>
        <v>0</v>
      </c>
      <c r="C28">
        <f>B28/(Gewicht/10)</f>
        <v>0</v>
      </c>
    </row>
    <row r="29" spans="1:5" x14ac:dyDescent="0.35">
      <c r="A29" s="5" t="s">
        <v>665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601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611</v>
      </c>
      <c r="B31">
        <f>ber_PO!K30</f>
        <v>0</v>
      </c>
      <c r="C31">
        <f>B31/(Gewicht/10)</f>
        <v>0</v>
      </c>
    </row>
    <row r="32" spans="1:5" x14ac:dyDescent="0.35">
      <c r="A32" s="5" t="s">
        <v>665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602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611</v>
      </c>
      <c r="B34">
        <f>ber_PO!K31</f>
        <v>0</v>
      </c>
      <c r="C34">
        <f>B34/(Gewicht/10)</f>
        <v>0</v>
      </c>
    </row>
    <row r="35" spans="1:5" x14ac:dyDescent="0.35">
      <c r="A35" s="5" t="s">
        <v>609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665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1106</v>
      </c>
      <c r="B1" t="s">
        <v>1354</v>
      </c>
      <c r="C1" t="s">
        <v>408</v>
      </c>
      <c r="D1" t="s">
        <v>629</v>
      </c>
      <c r="E1" t="s">
        <v>914</v>
      </c>
      <c r="F1" t="s">
        <v>617</v>
      </c>
      <c r="G1" t="s">
        <v>913</v>
      </c>
      <c r="H1" t="s">
        <v>621</v>
      </c>
      <c r="I1" t="s">
        <v>1389</v>
      </c>
      <c r="J1" t="s">
        <v>1390</v>
      </c>
      <c r="K1" t="s">
        <v>1361</v>
      </c>
    </row>
    <row r="2" spans="1:17" x14ac:dyDescent="0.35">
      <c r="A2" t="s">
        <v>987</v>
      </c>
      <c r="B2" t="s">
        <v>986</v>
      </c>
      <c r="D2" t="s">
        <v>987</v>
      </c>
      <c r="E2" t="s">
        <v>929</v>
      </c>
      <c r="H2" t="s">
        <v>908</v>
      </c>
      <c r="I2" t="b">
        <v>0</v>
      </c>
      <c r="J2">
        <v>30</v>
      </c>
      <c r="K2">
        <v>3</v>
      </c>
    </row>
    <row r="3" spans="1:17" x14ac:dyDescent="0.35">
      <c r="A3" t="s">
        <v>1085</v>
      </c>
      <c r="B3" t="s">
        <v>581</v>
      </c>
      <c r="C3" t="s">
        <v>1372</v>
      </c>
      <c r="D3" t="s">
        <v>630</v>
      </c>
      <c r="E3" t="s">
        <v>930</v>
      </c>
      <c r="F3" t="s">
        <v>618</v>
      </c>
      <c r="G3" t="s">
        <v>1212</v>
      </c>
      <c r="H3" t="s">
        <v>622</v>
      </c>
    </row>
    <row r="4" spans="1:17" x14ac:dyDescent="0.35">
      <c r="A4" t="s">
        <v>1107</v>
      </c>
      <c r="B4" t="s">
        <v>582</v>
      </c>
      <c r="C4" t="s">
        <v>1373</v>
      </c>
      <c r="D4" t="s">
        <v>631</v>
      </c>
      <c r="E4" t="s">
        <v>931</v>
      </c>
      <c r="H4" t="s">
        <v>107</v>
      </c>
    </row>
    <row r="5" spans="1:17" x14ac:dyDescent="0.35">
      <c r="A5" t="s">
        <v>953</v>
      </c>
      <c r="B5" t="s">
        <v>984</v>
      </c>
      <c r="D5" t="s">
        <v>1388</v>
      </c>
      <c r="E5" t="s">
        <v>932</v>
      </c>
      <c r="H5" t="s">
        <v>108</v>
      </c>
    </row>
    <row r="6" spans="1:17" x14ac:dyDescent="0.35">
      <c r="A6" t="s">
        <v>406</v>
      </c>
      <c r="B6" t="s">
        <v>985</v>
      </c>
      <c r="D6" t="s">
        <v>405</v>
      </c>
      <c r="E6" t="s">
        <v>933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195</v>
      </c>
      <c r="E1" s="1" t="s">
        <v>490</v>
      </c>
    </row>
    <row r="2" spans="3:8" x14ac:dyDescent="0.35">
      <c r="D2" t="s">
        <v>139</v>
      </c>
    </row>
    <row r="4" spans="3:8" x14ac:dyDescent="0.35">
      <c r="C4" s="6"/>
      <c r="D4" s="73" t="s">
        <v>659</v>
      </c>
      <c r="E4" s="73">
        <v>4.3478000000000003E-2</v>
      </c>
      <c r="H4" s="73"/>
    </row>
    <row r="5" spans="3:8" x14ac:dyDescent="0.35">
      <c r="C5" s="6"/>
      <c r="D5" s="73" t="s">
        <v>660</v>
      </c>
      <c r="E5" s="73">
        <v>2.5641000000000001E-2</v>
      </c>
      <c r="H5" s="73"/>
    </row>
    <row r="6" spans="3:8" x14ac:dyDescent="0.35">
      <c r="D6" s="73" t="s">
        <v>661</v>
      </c>
      <c r="E6" s="73">
        <v>2.5000000000000001E-2</v>
      </c>
      <c r="H6" s="73"/>
    </row>
    <row r="7" spans="3:8" x14ac:dyDescent="0.35">
      <c r="D7" s="73" t="s">
        <v>668</v>
      </c>
      <c r="E7" s="73">
        <v>3.2288999999999998E-2</v>
      </c>
      <c r="H7" s="73"/>
    </row>
    <row r="8" spans="3:8" x14ac:dyDescent="0.35">
      <c r="D8" s="73" t="s">
        <v>662</v>
      </c>
      <c r="E8" s="73">
        <v>4.1140999999999997E-2</v>
      </c>
      <c r="H8" s="73"/>
    </row>
    <row r="9" spans="3:8" x14ac:dyDescent="0.35">
      <c r="D9" s="73"/>
      <c r="E9" s="73"/>
      <c r="H9" s="73"/>
    </row>
    <row r="10" spans="3:8" x14ac:dyDescent="0.35">
      <c r="D10" s="73"/>
      <c r="E10" s="73"/>
      <c r="H10" s="73"/>
    </row>
    <row r="11" spans="3:8" x14ac:dyDescent="0.35">
      <c r="D11" s="73"/>
      <c r="E11" s="73"/>
      <c r="H11" s="73"/>
    </row>
    <row r="12" spans="3:8" x14ac:dyDescent="0.35">
      <c r="D12" s="73"/>
      <c r="E12" s="73"/>
      <c r="H12" s="73"/>
    </row>
    <row r="13" spans="3:8" x14ac:dyDescent="0.35">
      <c r="D13" s="73"/>
      <c r="E13" s="73"/>
      <c r="H13" s="73"/>
    </row>
    <row r="14" spans="3:8" x14ac:dyDescent="0.35">
      <c r="D14" s="73"/>
      <c r="E14" s="73"/>
      <c r="H14" s="73"/>
    </row>
    <row r="15" spans="3:8" x14ac:dyDescent="0.35">
      <c r="D15" s="73"/>
      <c r="E15" s="73"/>
      <c r="H15" s="73"/>
    </row>
    <row r="16" spans="3:8" x14ac:dyDescent="0.35">
      <c r="D16" s="73"/>
      <c r="E16" s="73"/>
      <c r="H16" s="73"/>
    </row>
    <row r="17" spans="4:8" x14ac:dyDescent="0.35">
      <c r="D17" s="73"/>
      <c r="E17" s="73"/>
      <c r="H17" s="73"/>
    </row>
    <row r="18" spans="4:8" x14ac:dyDescent="0.35">
      <c r="D18" s="73"/>
      <c r="E18" s="73"/>
      <c r="H18" s="73"/>
    </row>
    <row r="19" spans="4:8" x14ac:dyDescent="0.35">
      <c r="D19" s="73"/>
      <c r="E19" s="73"/>
      <c r="H19" s="73"/>
    </row>
    <row r="20" spans="4:8" x14ac:dyDescent="0.35">
      <c r="D20" s="73"/>
      <c r="E20" s="73"/>
      <c r="H20" s="73"/>
    </row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6" customFormat="1" ht="38.450000000000003" x14ac:dyDescent="0.35">
      <c r="A1" s="36">
        <v>1</v>
      </c>
      <c r="B1" s="36" t="s">
        <v>535</v>
      </c>
      <c r="C1" s="36" t="s">
        <v>45</v>
      </c>
      <c r="D1" s="36" t="s">
        <v>44</v>
      </c>
      <c r="E1" s="36" t="s">
        <v>43</v>
      </c>
      <c r="F1" s="36" t="s">
        <v>46</v>
      </c>
      <c r="G1" s="36" t="s">
        <v>47</v>
      </c>
      <c r="H1" s="36" t="s">
        <v>48</v>
      </c>
      <c r="I1" s="36" t="s">
        <v>536</v>
      </c>
      <c r="J1" s="36" t="s">
        <v>49</v>
      </c>
      <c r="K1" s="36" t="s">
        <v>50</v>
      </c>
      <c r="L1" s="36" t="s">
        <v>51</v>
      </c>
      <c r="M1" s="36" t="s">
        <v>52</v>
      </c>
      <c r="N1" s="36" t="s">
        <v>53</v>
      </c>
      <c r="O1" s="36" t="s">
        <v>54</v>
      </c>
      <c r="P1" s="36" t="s">
        <v>55</v>
      </c>
      <c r="Q1" s="36" t="s">
        <v>56</v>
      </c>
      <c r="R1" s="36" t="s">
        <v>57</v>
      </c>
      <c r="S1" s="36" t="s">
        <v>58</v>
      </c>
      <c r="T1" s="36" t="s">
        <v>59</v>
      </c>
      <c r="U1" s="36" t="s">
        <v>945</v>
      </c>
      <c r="V1" s="36" t="s">
        <v>60</v>
      </c>
      <c r="W1" s="36" t="s">
        <v>946</v>
      </c>
      <c r="X1" s="36" t="s">
        <v>146</v>
      </c>
      <c r="Y1" s="36" t="s">
        <v>147</v>
      </c>
      <c r="Z1" s="36" t="s">
        <v>148</v>
      </c>
      <c r="AA1" s="36" t="s">
        <v>149</v>
      </c>
      <c r="AB1" s="36" t="s">
        <v>150</v>
      </c>
      <c r="AC1" s="36" t="s">
        <v>151</v>
      </c>
      <c r="AD1" s="36" t="s">
        <v>152</v>
      </c>
      <c r="AE1" s="36" t="s">
        <v>153</v>
      </c>
      <c r="AF1" s="36" t="s">
        <v>537</v>
      </c>
      <c r="AH1" s="36" t="s">
        <v>154</v>
      </c>
      <c r="AI1" s="36" t="s">
        <v>155</v>
      </c>
      <c r="AJ1" s="36" t="s">
        <v>156</v>
      </c>
      <c r="AK1" s="36" t="s">
        <v>157</v>
      </c>
      <c r="AL1" s="36" t="s">
        <v>158</v>
      </c>
      <c r="AM1" s="36" t="s">
        <v>159</v>
      </c>
      <c r="AN1" s="36" t="s">
        <v>160</v>
      </c>
      <c r="AO1" s="36" t="s">
        <v>161</v>
      </c>
      <c r="AP1" s="36" t="s">
        <v>162</v>
      </c>
      <c r="AQ1" s="36" t="s">
        <v>163</v>
      </c>
      <c r="AR1" s="36" t="s">
        <v>164</v>
      </c>
      <c r="AS1" s="36" t="s">
        <v>165</v>
      </c>
      <c r="AT1" s="36" t="s">
        <v>166</v>
      </c>
      <c r="AU1" s="36" t="s">
        <v>167</v>
      </c>
      <c r="AV1" s="36" t="s">
        <v>168</v>
      </c>
      <c r="AW1" s="36" t="s">
        <v>169</v>
      </c>
      <c r="AX1" s="36" t="s">
        <v>170</v>
      </c>
    </row>
    <row r="2" spans="1:50" x14ac:dyDescent="0.35">
      <c r="A2" t="s">
        <v>666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603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667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604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659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660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661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668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662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666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603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667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604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659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660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661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668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662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378</v>
      </c>
      <c r="M21" t="s">
        <v>298</v>
      </c>
      <c r="O21" t="s">
        <v>882</v>
      </c>
      <c r="P21" t="s">
        <v>705</v>
      </c>
    </row>
    <row r="22" spans="1:49" x14ac:dyDescent="0.35">
      <c r="E22" s="37">
        <v>1</v>
      </c>
      <c r="F22" s="37" t="s">
        <v>666</v>
      </c>
      <c r="G22" s="37">
        <f>IF(ber_PO!$O$22&lt;&gt;0,INDEX(tblBerPO,E22,KeuzePO_1-1)*ber_PO!$O$22,0)</f>
        <v>0</v>
      </c>
      <c r="H22" s="37">
        <f>IF(ber_PO!$O$23&lt;&gt;0,INDEX(tblBerPoeder,E22,ber_PO!$P$23-1)*ber_PO!$O$23,0)</f>
        <v>0</v>
      </c>
      <c r="I22" s="37">
        <f>IF(ber_PO!$O$24&lt;&gt;0,INDEX(tblBerPoeder,E22,ber_PO!$P$24-1)*ber_PO!$O$24,0)</f>
        <v>0</v>
      </c>
      <c r="J22" s="37">
        <f>IF(ber_PO!$O$25&lt;&gt;0,INDEX(tblBerPoeder,E22,ber_PO!$P$25-1)*ber_PO!$O$25,0)</f>
        <v>0</v>
      </c>
      <c r="K22">
        <f>SUM(G22:J22)</f>
        <v>0</v>
      </c>
      <c r="L22" s="37">
        <v>1</v>
      </c>
      <c r="M22" s="37">
        <v>0</v>
      </c>
      <c r="N22">
        <f>IF(M22&lt;51,M22/10,IF(M22&lt;66,(M22-49)+4,IF(M22&lt;82,(M22-61)*5,IF(M22&lt;122,(M22-71)*10,(M22-111)*50))))</f>
        <v>0</v>
      </c>
      <c r="O22" s="37">
        <f>IF(P22&gt;1,L22*N22,0)</f>
        <v>0</v>
      </c>
      <c r="P22">
        <v>1</v>
      </c>
    </row>
    <row r="23" spans="1:49" x14ac:dyDescent="0.35">
      <c r="A23" s="36" t="s">
        <v>535</v>
      </c>
      <c r="B23" s="36" t="s">
        <v>154</v>
      </c>
      <c r="E23" s="37"/>
      <c r="F23" s="37"/>
      <c r="G23" s="37"/>
      <c r="H23" s="37"/>
      <c r="I23" s="37"/>
      <c r="J23" s="37"/>
      <c r="N23">
        <f>IF(M23&lt;51,M23/10,IF(M23&lt;66,(M23-49)+4,IF(M23&lt;82,(M23-61)*5,IF(M23&lt;122,(M23-71)*10,(M23-111)*50))))</f>
        <v>0</v>
      </c>
      <c r="O23" s="37">
        <f>IF(P23&gt;1,L23*N23,0)</f>
        <v>0</v>
      </c>
    </row>
    <row r="24" spans="1:49" x14ac:dyDescent="0.35">
      <c r="A24" s="36" t="s">
        <v>45</v>
      </c>
      <c r="B24" s="36" t="s">
        <v>155</v>
      </c>
      <c r="E24" s="37">
        <v>2</v>
      </c>
      <c r="F24" s="37" t="s">
        <v>603</v>
      </c>
      <c r="G24" s="37">
        <f>IF(ber_PO!$O$22&lt;&gt;0,INDEX(tblBerPO,E24,KeuzePO_1-1)*ber_PO!$O$22,0)</f>
        <v>0</v>
      </c>
      <c r="H24" s="37">
        <f>IF(ber_PO!$O$23&lt;&gt;0,INDEX(tblBerPoeder,E24,ber_PO!$P$23-1)*ber_PO!$O$23,0)</f>
        <v>0</v>
      </c>
      <c r="I24" s="37">
        <f>IF(ber_PO!$O$24&lt;&gt;0,INDEX(tblBerPoeder,E24,ber_PO!$P$24-1)*ber_PO!$O$24,0)</f>
        <v>0</v>
      </c>
      <c r="J24" s="37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7">
        <f>IF(P24&gt;1,L24*N24,0)</f>
        <v>0</v>
      </c>
    </row>
    <row r="25" spans="1:49" x14ac:dyDescent="0.35">
      <c r="A25" s="36" t="s">
        <v>44</v>
      </c>
      <c r="B25" s="36" t="s">
        <v>156</v>
      </c>
      <c r="C25">
        <f>3*4.4</f>
        <v>13.200000000000001</v>
      </c>
      <c r="E25" s="37">
        <v>3</v>
      </c>
      <c r="F25" s="37" t="s">
        <v>667</v>
      </c>
      <c r="G25" s="37">
        <f>IF(ber_PO!$O$22&lt;&gt;0,INDEX(tblBerPO,E25,KeuzePO_1-1)*ber_PO!$O$22,0)</f>
        <v>0</v>
      </c>
      <c r="H25" s="37">
        <f>IF(ber_PO!$O$23&lt;&gt;0,INDEX(tblBerPoeder,E25,ber_PO!$P$23-1)*ber_PO!$O$23,0)</f>
        <v>0</v>
      </c>
      <c r="I25" s="37">
        <f>IF(ber_PO!$O$24&lt;&gt;0,INDEX(tblBerPoeder,E25,ber_PO!$P$24-1)*ber_PO!$O$24,0)</f>
        <v>0</v>
      </c>
      <c r="J25" s="37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7">
        <f>IF(P25&gt;1,L25*N25,0)</f>
        <v>0</v>
      </c>
    </row>
    <row r="26" spans="1:49" x14ac:dyDescent="0.35">
      <c r="A26" s="36" t="s">
        <v>43</v>
      </c>
      <c r="B26" s="36" t="s">
        <v>157</v>
      </c>
      <c r="C26">
        <f>3*5.1</f>
        <v>15.299999999999999</v>
      </c>
      <c r="E26" s="37">
        <v>4</v>
      </c>
      <c r="F26" s="37" t="s">
        <v>604</v>
      </c>
      <c r="G26" s="37">
        <f>IF(ber_PO!$O$22&lt;&gt;0,INDEX(tblBerPO,E26,KeuzePO_1-1)*ber_PO!$O$22,0)</f>
        <v>0</v>
      </c>
      <c r="H26" s="37">
        <f>IF(ber_PO!$O$23&lt;&gt;0,INDEX(tblBerPoeder,E26,ber_PO!$P$23-1)*ber_PO!$O$23,0)</f>
        <v>0</v>
      </c>
      <c r="I26" s="37">
        <f>IF(ber_PO!$O$24&lt;&gt;0,INDEX(tblBerPoeder,E26,ber_PO!$P$24-1)*ber_PO!$O$24,0)</f>
        <v>0</v>
      </c>
      <c r="J26" s="37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6" t="s">
        <v>46</v>
      </c>
      <c r="B27" s="36" t="s">
        <v>158</v>
      </c>
      <c r="C27">
        <f>3*4.7</f>
        <v>14.100000000000001</v>
      </c>
      <c r="E27" s="37">
        <v>5</v>
      </c>
      <c r="F27" s="37" t="s">
        <v>659</v>
      </c>
      <c r="G27" s="37">
        <f>IF(ber_PO!$O$22&lt;&gt;0,INDEX(tblBerPO,E27,KeuzePO_1-1)*ber_PO!$O$22,0)</f>
        <v>0</v>
      </c>
      <c r="H27" s="37">
        <f>IF(ber_PO!$O$23&lt;&gt;0,INDEX(tblBerPoeder,E27,ber_PO!$P$23-1)*ber_PO!$O$23,0)</f>
        <v>0</v>
      </c>
      <c r="I27" s="37">
        <f>IF(ber_PO!$O$24&lt;&gt;0,INDEX(tblBerPoeder,E27,ber_PO!$P$24-1)*ber_PO!$O$24,0)</f>
        <v>0</v>
      </c>
      <c r="J27" s="37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6" t="s">
        <v>47</v>
      </c>
      <c r="B28" s="36" t="s">
        <v>159</v>
      </c>
      <c r="C28">
        <f>3*4.4</f>
        <v>13.200000000000001</v>
      </c>
      <c r="E28" s="37">
        <v>6</v>
      </c>
      <c r="F28" s="37" t="s">
        <v>660</v>
      </c>
      <c r="G28" s="37">
        <f>IF(ber_PO!$O$22&lt;&gt;0,INDEX(tblBerPO,E28,KeuzePO_1-1)*ber_PO!$O$22,0)</f>
        <v>0</v>
      </c>
      <c r="H28" s="37">
        <f>IF(ber_PO!$O$23&lt;&gt;0,INDEX(tblBerPoeder,E28,ber_PO!$P$23-1)*ber_PO!$O$23,0)</f>
        <v>0</v>
      </c>
      <c r="I28" s="37">
        <f>IF(ber_PO!$O$24&lt;&gt;0,INDEX(tblBerPoeder,E28,ber_PO!$P$24-1)*ber_PO!$O$24,0)</f>
        <v>0</v>
      </c>
      <c r="J28" s="37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6" t="s">
        <v>48</v>
      </c>
      <c r="B29" s="36" t="s">
        <v>160</v>
      </c>
      <c r="C29">
        <f>3*4.3</f>
        <v>12.899999999999999</v>
      </c>
      <c r="E29" s="37">
        <v>7</v>
      </c>
      <c r="F29" s="37" t="s">
        <v>661</v>
      </c>
      <c r="G29" s="37">
        <f>IF(ber_PO!$O$22&lt;&gt;0,INDEX(tblBerPO,E29,KeuzePO_1-1)*ber_PO!$O$22,0)</f>
        <v>0</v>
      </c>
      <c r="H29" s="37">
        <f>IF(ber_PO!$O$23&lt;&gt;0,INDEX(tblBerPoeder,E29,ber_PO!$P$23-1)*ber_PO!$O$23,0)</f>
        <v>0</v>
      </c>
      <c r="I29" s="37">
        <f>IF(ber_PO!$O$24&lt;&gt;0,INDEX(tblBerPoeder,E29,ber_PO!$P$24-1)*ber_PO!$O$24,0)</f>
        <v>0</v>
      </c>
      <c r="J29" s="37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6" t="s">
        <v>536</v>
      </c>
      <c r="B30" s="36" t="s">
        <v>161</v>
      </c>
      <c r="C30">
        <f>3*4.2</f>
        <v>12.600000000000001</v>
      </c>
      <c r="E30" s="37">
        <v>8</v>
      </c>
      <c r="F30" s="37" t="s">
        <v>668</v>
      </c>
      <c r="G30" s="37">
        <f>IF(ber_PO!$O$22&lt;&gt;0,INDEX(tblBerPO,E30,KeuzePO_1-1)*ber_PO!$O$22,0)</f>
        <v>0</v>
      </c>
      <c r="H30" s="37">
        <f>IF(ber_PO!$O$23&lt;&gt;0,INDEX(tblBerPoeder,E30,ber_PO!$P$23-1)*ber_PO!$O$23,0)</f>
        <v>0</v>
      </c>
      <c r="I30" s="37">
        <f>IF(ber_PO!$O$24&lt;&gt;0,INDEX(tblBerPoeder,E30,ber_PO!$P$24-1)*ber_PO!$O$24,0)</f>
        <v>0</v>
      </c>
      <c r="J30" s="37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6" t="s">
        <v>49</v>
      </c>
      <c r="B31" s="36" t="s">
        <v>162</v>
      </c>
      <c r="C31">
        <f>3*4.3</f>
        <v>12.899999999999999</v>
      </c>
      <c r="E31" s="37">
        <v>9</v>
      </c>
      <c r="F31" s="37" t="s">
        <v>662</v>
      </c>
      <c r="G31" s="37">
        <f>IF(ber_PO!$O$22&lt;&gt;0,INDEX(tblBerPO,E31,KeuzePO_1-1)*ber_PO!$O$22,0)</f>
        <v>0</v>
      </c>
      <c r="H31" s="37">
        <f>IF(ber_PO!$O$23&lt;&gt;0,INDEX(tblBerPoeder,E31,ber_PO!$P$23-1)*ber_PO!$O$23,0)</f>
        <v>0</v>
      </c>
      <c r="I31" s="37">
        <f>IF(ber_PO!$O$24&lt;&gt;0,INDEX(tblBerPoeder,E31,ber_PO!$P$24-1)*ber_PO!$O$24,0)</f>
        <v>0</v>
      </c>
      <c r="J31" s="37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6" t="s">
        <v>50</v>
      </c>
      <c r="B32" s="36" t="s">
        <v>163</v>
      </c>
      <c r="C32">
        <f>3*4.3</f>
        <v>12.899999999999999</v>
      </c>
    </row>
    <row r="33" spans="1:3" x14ac:dyDescent="0.35">
      <c r="A33" s="36" t="s">
        <v>51</v>
      </c>
      <c r="B33" s="36" t="s">
        <v>164</v>
      </c>
      <c r="C33">
        <f>3*2.15</f>
        <v>6.4499999999999993</v>
      </c>
    </row>
    <row r="34" spans="1:3" x14ac:dyDescent="0.35">
      <c r="A34" s="36" t="s">
        <v>52</v>
      </c>
      <c r="B34" s="36" t="s">
        <v>165</v>
      </c>
    </row>
    <row r="35" spans="1:3" x14ac:dyDescent="0.35">
      <c r="A35" s="36" t="s">
        <v>53</v>
      </c>
      <c r="B35" s="36" t="s">
        <v>166</v>
      </c>
    </row>
    <row r="36" spans="1:3" x14ac:dyDescent="0.35">
      <c r="A36" s="36" t="s">
        <v>54</v>
      </c>
      <c r="B36" s="36" t="s">
        <v>167</v>
      </c>
    </row>
    <row r="37" spans="1:3" x14ac:dyDescent="0.35">
      <c r="A37" s="36" t="s">
        <v>55</v>
      </c>
      <c r="B37" s="36" t="s">
        <v>168</v>
      </c>
    </row>
    <row r="38" spans="1:3" x14ac:dyDescent="0.35">
      <c r="A38" s="36" t="s">
        <v>56</v>
      </c>
      <c r="B38" s="36" t="s">
        <v>169</v>
      </c>
    </row>
    <row r="39" spans="1:3" x14ac:dyDescent="0.35">
      <c r="A39" s="36" t="s">
        <v>57</v>
      </c>
      <c r="B39" s="36" t="s">
        <v>170</v>
      </c>
    </row>
    <row r="40" spans="1:3" x14ac:dyDescent="0.35">
      <c r="A40" s="36" t="s">
        <v>58</v>
      </c>
    </row>
    <row r="41" spans="1:3" x14ac:dyDescent="0.35">
      <c r="A41" s="36" t="s">
        <v>59</v>
      </c>
    </row>
    <row r="42" spans="1:3" x14ac:dyDescent="0.35">
      <c r="A42" s="36" t="s">
        <v>945</v>
      </c>
    </row>
    <row r="43" spans="1:3" x14ac:dyDescent="0.35">
      <c r="A43" s="36" t="s">
        <v>60</v>
      </c>
    </row>
    <row r="44" spans="1:3" x14ac:dyDescent="0.35">
      <c r="A44" s="36" t="s">
        <v>946</v>
      </c>
    </row>
    <row r="45" spans="1:3" x14ac:dyDescent="0.35">
      <c r="A45" s="36" t="s">
        <v>146</v>
      </c>
    </row>
    <row r="46" spans="1:3" x14ac:dyDescent="0.35">
      <c r="A46" s="36" t="s">
        <v>147</v>
      </c>
    </row>
    <row r="47" spans="1:3" x14ac:dyDescent="0.35">
      <c r="A47" s="36" t="s">
        <v>148</v>
      </c>
    </row>
    <row r="48" spans="1:3" x14ac:dyDescent="0.35">
      <c r="A48" s="36" t="s">
        <v>149</v>
      </c>
    </row>
    <row r="49" spans="1:1" x14ac:dyDescent="0.35">
      <c r="A49" s="36" t="s">
        <v>150</v>
      </c>
    </row>
    <row r="50" spans="1:1" x14ac:dyDescent="0.35">
      <c r="A50" s="36" t="s">
        <v>151</v>
      </c>
    </row>
    <row r="51" spans="1:1" x14ac:dyDescent="0.35">
      <c r="A51" s="36" t="s">
        <v>152</v>
      </c>
    </row>
    <row r="52" spans="1:1" x14ac:dyDescent="0.35">
      <c r="A52" s="36" t="s">
        <v>153</v>
      </c>
    </row>
    <row r="53" spans="1:1" x14ac:dyDescent="0.35">
      <c r="A53" s="36" t="s">
        <v>537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180</v>
      </c>
    </row>
    <row r="3" spans="1:8" x14ac:dyDescent="0.35">
      <c r="A3" s="11" t="s">
        <v>756</v>
      </c>
      <c r="B3" s="54">
        <f ca="1">TODAY()</f>
        <v>42194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977</v>
      </c>
    </row>
    <row r="11" spans="1:8" ht="13.2" thickTop="1" x14ac:dyDescent="0.35">
      <c r="A11" s="399" t="s">
        <v>42</v>
      </c>
      <c r="B11" s="400"/>
      <c r="C11" s="400"/>
      <c r="D11" s="400"/>
      <c r="E11" s="400"/>
      <c r="F11" s="400"/>
      <c r="G11" s="400"/>
      <c r="H11" s="401"/>
    </row>
    <row r="12" spans="1:8" ht="25.65" x14ac:dyDescent="0.35">
      <c r="A12" s="43" t="s">
        <v>949</v>
      </c>
      <c r="B12" s="402" t="s">
        <v>546</v>
      </c>
      <c r="C12" s="404"/>
      <c r="D12" s="406" t="s">
        <v>547</v>
      </c>
      <c r="E12" s="406" t="s">
        <v>548</v>
      </c>
      <c r="F12" s="406" t="s">
        <v>549</v>
      </c>
      <c r="G12" s="44"/>
      <c r="H12" s="44" t="s">
        <v>550</v>
      </c>
    </row>
    <row r="13" spans="1:8" x14ac:dyDescent="0.35">
      <c r="A13" s="45" t="s">
        <v>551</v>
      </c>
      <c r="B13" s="403"/>
      <c r="C13" s="405"/>
      <c r="D13" s="407"/>
      <c r="E13" s="407"/>
      <c r="F13" s="407"/>
      <c r="G13" s="44" t="s">
        <v>552</v>
      </c>
      <c r="H13" s="46" t="s">
        <v>553</v>
      </c>
    </row>
    <row r="14" spans="1:8" ht="20.100000000000001" customHeight="1" x14ac:dyDescent="0.35">
      <c r="A14" s="413" t="str">
        <f>IF(TPN&lt;&gt;1,ROUND(G21/24,1)&amp;" ml/u","")</f>
        <v/>
      </c>
      <c r="B14" s="121" t="s">
        <v>122</v>
      </c>
      <c r="C14" s="122"/>
      <c r="D14" s="122" t="s">
        <v>554</v>
      </c>
      <c r="E14" s="122" t="s">
        <v>554</v>
      </c>
      <c r="F14" s="123" t="s">
        <v>554</v>
      </c>
      <c r="G14" s="124" t="str">
        <f>IF(AND(TPN&lt;&gt;1,G16&lt;&gt;0,Gewicht/10&lt;=50),ROUND(ber_TPN!F7,0),"")</f>
        <v/>
      </c>
      <c r="H14" s="107"/>
    </row>
    <row r="15" spans="1:8" ht="20.100000000000001" customHeight="1" x14ac:dyDescent="0.35">
      <c r="A15" s="414"/>
      <c r="B15" s="125" t="s">
        <v>1317</v>
      </c>
      <c r="C15" s="126"/>
      <c r="D15" s="126" t="s">
        <v>176</v>
      </c>
      <c r="E15" s="126" t="s">
        <v>289</v>
      </c>
      <c r="F15" s="127" t="s">
        <v>289</v>
      </c>
      <c r="G15" s="124" t="str">
        <f>IF(AND(TPN&lt;&gt;1,G16&lt;&gt;0,Gewicht/10&lt;=50),ROUND(ber_TPN!F8,0),"")</f>
        <v/>
      </c>
      <c r="H15" s="107"/>
    </row>
    <row r="16" spans="1:8" ht="20.100000000000001" customHeight="1" x14ac:dyDescent="0.35">
      <c r="A16" s="43"/>
      <c r="B16" s="125" t="s">
        <v>1318</v>
      </c>
      <c r="C16" s="126"/>
      <c r="D16" s="126" t="s">
        <v>555</v>
      </c>
      <c r="E16" s="126" t="s">
        <v>177</v>
      </c>
      <c r="F16" s="127" t="s">
        <v>178</v>
      </c>
      <c r="G16" s="128" t="str">
        <f>IF(TPN&lt;&gt;1,ber_TPN!F4,"")</f>
        <v/>
      </c>
      <c r="H16" s="107"/>
    </row>
    <row r="17" spans="1:8" ht="20.100000000000001" customHeight="1" x14ac:dyDescent="0.35">
      <c r="A17" s="43"/>
      <c r="B17" s="125" t="s">
        <v>940</v>
      </c>
      <c r="C17" s="126"/>
      <c r="D17" s="126" t="s">
        <v>179</v>
      </c>
      <c r="E17" s="126"/>
      <c r="F17" s="127"/>
      <c r="G17" s="128" t="str">
        <f>IF(AND(SSTglucose=2,TPN&lt;&gt;1,Gewicht/10&lt;=50),ROUND(ber_TPN!F6,0),"")</f>
        <v/>
      </c>
      <c r="H17" s="107"/>
    </row>
    <row r="18" spans="1:8" ht="20.100000000000001" customHeight="1" x14ac:dyDescent="0.35">
      <c r="A18" s="43"/>
      <c r="B18" s="125" t="s">
        <v>1319</v>
      </c>
      <c r="C18" s="126"/>
      <c r="D18" s="126"/>
      <c r="E18" s="126" t="s">
        <v>181</v>
      </c>
      <c r="F18" s="127"/>
      <c r="G18" s="128" t="str">
        <f>IF(AND(SSTglucose=3,TPN&lt;&gt;1,Gewicht/10&lt;=50),ROUND(ber_TPN!F6,0),"")</f>
        <v/>
      </c>
      <c r="H18" s="107"/>
    </row>
    <row r="19" spans="1:8" ht="20.100000000000001" customHeight="1" x14ac:dyDescent="0.35">
      <c r="A19" s="43"/>
      <c r="B19" s="125" t="s">
        <v>293</v>
      </c>
      <c r="C19" s="126"/>
      <c r="D19" s="126"/>
      <c r="E19" s="126"/>
      <c r="F19" s="127" t="s">
        <v>182</v>
      </c>
      <c r="G19" s="128" t="str">
        <f>IF(AND(SSTglucose=5,TPN&lt;&gt;1,Gewicht/10&lt;=50),ROUND(ber_TPN!F6,0),"")</f>
        <v/>
      </c>
      <c r="H19" s="107"/>
    </row>
    <row r="20" spans="1:8" ht="20.100000000000001" customHeight="1" x14ac:dyDescent="0.35">
      <c r="A20" s="43"/>
      <c r="B20" s="125" t="str">
        <f>IF(AND(TPN=2,SSTglucose&lt;&gt;2,SSTglucose&lt;&gt;3,SSTglucose&lt;&gt;5,SSTglucose&lt;11),INDEX(tblSSTGlucose,SSTglucose,1),"Glucose       %")</f>
        <v>Glucose       %</v>
      </c>
      <c r="C20" s="126"/>
      <c r="D20" s="126"/>
      <c r="E20" s="126"/>
      <c r="F20" s="127"/>
      <c r="G20" s="128" t="str">
        <f>IF(AND(TPN&lt;&gt;1,B20&lt;&gt;"",Gewicht/10&lt;=50),IF(AND(SSTglucose&lt;&gt;2,SSTglucose&lt;&gt;3,SSTglucose&lt;&gt;5,SSTglucose&lt;11),ROUND(ber_TPN!F6,0),""),"")</f>
        <v/>
      </c>
      <c r="H20" s="107"/>
    </row>
    <row r="21" spans="1:8" ht="15.95" customHeight="1" x14ac:dyDescent="0.35">
      <c r="A21" s="43"/>
      <c r="B21" s="53"/>
      <c r="C21" s="53"/>
      <c r="D21" s="53"/>
      <c r="E21" s="417" t="s">
        <v>647</v>
      </c>
      <c r="F21" s="417"/>
      <c r="G21" s="108">
        <f>SUM(G14:G20)+IF(AND(Gewicht/10&gt;=16,Gewicht/10&lt;=50),ber_TPN!F5,0)</f>
        <v>0</v>
      </c>
      <c r="H21" s="107"/>
    </row>
    <row r="22" spans="1:8" ht="15.95" customHeight="1" x14ac:dyDescent="0.35">
      <c r="A22" s="43"/>
      <c r="B22" s="48"/>
      <c r="C22" s="48"/>
      <c r="D22" s="48"/>
      <c r="E22" s="48"/>
      <c r="F22" s="48"/>
      <c r="G22" s="48"/>
      <c r="H22" s="44"/>
    </row>
    <row r="23" spans="1:8" ht="20.100000000000001" customHeight="1" x14ac:dyDescent="0.35">
      <c r="A23" s="411" t="str">
        <f>IF(G26&gt;0,ROUND(G26/24,1)&amp;" ml/u","")</f>
        <v/>
      </c>
      <c r="B23" s="121" t="s">
        <v>606</v>
      </c>
      <c r="C23" s="122"/>
      <c r="D23" s="122" t="s">
        <v>1230</v>
      </c>
      <c r="E23" s="122" t="s">
        <v>1231</v>
      </c>
      <c r="F23" s="123" t="s">
        <v>555</v>
      </c>
      <c r="G23" s="124">
        <f>ROUND(ber_TPN!F13,0)</f>
        <v>0</v>
      </c>
      <c r="H23" s="49"/>
    </row>
    <row r="24" spans="1:8" ht="20.100000000000001" customHeight="1" x14ac:dyDescent="0.35">
      <c r="A24" s="412"/>
      <c r="B24" s="125" t="s">
        <v>607</v>
      </c>
      <c r="C24" s="126"/>
      <c r="D24" s="126"/>
      <c r="E24" s="418" t="s">
        <v>905</v>
      </c>
      <c r="F24" s="419"/>
      <c r="G24" s="128">
        <f>ROUND(ber_TPN!F14,0)</f>
        <v>0</v>
      </c>
      <c r="H24" s="44"/>
    </row>
    <row r="25" spans="1:8" ht="20.100000000000001" customHeight="1" x14ac:dyDescent="0.35">
      <c r="A25" s="43"/>
      <c r="B25" s="125"/>
      <c r="C25" s="126"/>
      <c r="D25" s="126"/>
      <c r="E25" s="418"/>
      <c r="F25" s="419"/>
      <c r="G25" s="128"/>
      <c r="H25" s="44"/>
    </row>
    <row r="26" spans="1:8" ht="15.95" customHeight="1" x14ac:dyDescent="0.35">
      <c r="A26" s="43"/>
      <c r="B26" s="105"/>
      <c r="C26" s="105"/>
      <c r="D26" s="105"/>
      <c r="E26" s="420" t="s">
        <v>647</v>
      </c>
      <c r="F26" s="420"/>
      <c r="G26" s="110">
        <f>SUM(G23:G25)</f>
        <v>0</v>
      </c>
      <c r="H26" s="106"/>
    </row>
    <row r="27" spans="1:8" ht="15.95" customHeight="1" thickBot="1" x14ac:dyDescent="0.4">
      <c r="A27" s="43"/>
      <c r="B27" s="105"/>
      <c r="C27" s="105"/>
      <c r="D27" s="105"/>
      <c r="E27" s="105"/>
      <c r="F27" s="105"/>
      <c r="G27" s="48"/>
      <c r="H27" s="44"/>
    </row>
    <row r="28" spans="1:8" ht="15.95" customHeight="1" thickTop="1" x14ac:dyDescent="0.35">
      <c r="A28" s="50"/>
      <c r="B28" s="415" t="s">
        <v>380</v>
      </c>
      <c r="C28" s="416"/>
      <c r="D28" s="416"/>
      <c r="E28" s="416"/>
      <c r="F28" s="416"/>
      <c r="G28" s="98"/>
      <c r="H28" s="51"/>
    </row>
    <row r="29" spans="1:8" ht="20.100000000000001" customHeight="1" x14ac:dyDescent="0.35">
      <c r="A29" s="411" t="str">
        <f>IF(G36&gt;0,ROUND(G36/24,1)&amp;" ml/u","")</f>
        <v/>
      </c>
      <c r="B29" s="132" t="s">
        <v>122</v>
      </c>
      <c r="C29" s="134"/>
      <c r="D29" s="134"/>
      <c r="E29" s="134"/>
      <c r="F29" s="135"/>
      <c r="G29" s="124">
        <f>IF(AND(OR(TPN=1,AND(TPN=2,SSTglucose&gt;10),Gewicht/10&gt;50)),ROUND(ber_TPN!F7,0),0)</f>
        <v>0</v>
      </c>
      <c r="H29" s="44"/>
    </row>
    <row r="30" spans="1:8" ht="20.100000000000001" customHeight="1" x14ac:dyDescent="0.35">
      <c r="A30" s="412"/>
      <c r="B30" s="133" t="s">
        <v>1320</v>
      </c>
      <c r="C30" s="136"/>
      <c r="D30" s="136"/>
      <c r="E30" s="136"/>
      <c r="F30" s="137"/>
      <c r="G30" s="128">
        <f>IF(AND(OR(TPN=1,AND(TPN=2,SSTglucose&gt;10),Gewicht/10&gt;50)),ROUND(ber_TPN!F8,0),0)</f>
        <v>0</v>
      </c>
      <c r="H30" s="44"/>
    </row>
    <row r="31" spans="1:8" ht="20.100000000000001" customHeight="1" x14ac:dyDescent="0.35">
      <c r="A31" s="43"/>
      <c r="B31" s="133" t="s">
        <v>1352</v>
      </c>
      <c r="C31" s="136"/>
      <c r="D31" s="136"/>
      <c r="E31" s="136"/>
      <c r="F31" s="137"/>
      <c r="G31" s="128">
        <f>ber_TPN!F9</f>
        <v>0</v>
      </c>
      <c r="H31" s="44"/>
    </row>
    <row r="32" spans="1:8" ht="20.100000000000001" customHeight="1" x14ac:dyDescent="0.35">
      <c r="A32" s="43"/>
      <c r="B32" s="133" t="s">
        <v>1353</v>
      </c>
      <c r="C32" s="136"/>
      <c r="D32" s="136"/>
      <c r="E32" s="136"/>
      <c r="F32" s="137"/>
      <c r="G32" s="128">
        <f>ber_TPN!F10</f>
        <v>0</v>
      </c>
      <c r="H32" s="44"/>
    </row>
    <row r="33" spans="1:8" ht="20.100000000000001" customHeight="1" x14ac:dyDescent="0.35">
      <c r="A33" s="43"/>
      <c r="B33" s="133" t="s">
        <v>940</v>
      </c>
      <c r="C33" s="136"/>
      <c r="D33" s="136"/>
      <c r="E33" s="136"/>
      <c r="F33" s="137"/>
      <c r="G33" s="128">
        <f>IF(Gewicht/10&lt;=50,ber_TPN!F16,0)+IF(AND(SSTglucose=2,TPN=1,Gewicht/10&lt;=50),ROUND(ber_TPN!F6,0),0)</f>
        <v>0</v>
      </c>
      <c r="H33" s="44"/>
    </row>
    <row r="34" spans="1:8" ht="20.100000000000001" customHeight="1" x14ac:dyDescent="0.35">
      <c r="A34" s="43"/>
      <c r="B34" s="133" t="str">
        <f>IF(AND(OR(TPN=1,AND(TPN=2,SSTglucose&gt;10)),SSTglucose&lt;&gt;11,SSTglucose&lt;&gt;2),INDEX(tblSSTGlucose,SSTglucose,1),"Glucose       %")</f>
        <v>Glucose 5%</v>
      </c>
      <c r="C34" s="136"/>
      <c r="D34" s="136"/>
      <c r="E34" s="136"/>
      <c r="F34" s="137"/>
      <c r="G34" s="128">
        <f>IF(AND(OR(TPN=1,AND(TPN=2,SSTglucose&gt;10),Gewicht/10&gt;50),SSTglucose&lt;&gt;2,SSTglucose&lt;&gt;11),ROUND(ber_TPN!F6,0),"")</f>
        <v>0</v>
      </c>
      <c r="H34" s="44"/>
    </row>
    <row r="35" spans="1:8" ht="20.100000000000001" customHeight="1" x14ac:dyDescent="0.35">
      <c r="A35" s="43"/>
      <c r="B35" s="132" t="s">
        <v>1321</v>
      </c>
      <c r="C35" s="134"/>
      <c r="D35" s="134"/>
      <c r="E35" s="134"/>
      <c r="F35" s="135"/>
      <c r="G35" s="128" t="str">
        <f>IF(AND(SSTglucose=11),ROUND(ber_TPN!F6,0),"")</f>
        <v/>
      </c>
      <c r="H35" s="44"/>
    </row>
    <row r="36" spans="1:8" ht="15.95" customHeight="1" x14ac:dyDescent="0.35">
      <c r="A36" s="43"/>
      <c r="B36" s="105"/>
      <c r="C36" s="105"/>
      <c r="D36" s="105"/>
      <c r="E36" s="420" t="s">
        <v>649</v>
      </c>
      <c r="F36" s="420"/>
      <c r="G36" s="109">
        <f>SUM(G29:G35)</f>
        <v>0</v>
      </c>
      <c r="H36" s="44"/>
    </row>
    <row r="37" spans="1:8" ht="15.95" customHeight="1" thickBot="1" x14ac:dyDescent="0.4">
      <c r="A37" s="43"/>
      <c r="B37" s="105"/>
      <c r="C37" s="105"/>
      <c r="D37" s="105"/>
      <c r="E37" s="105"/>
      <c r="F37" s="105"/>
      <c r="G37" s="48"/>
      <c r="H37" s="44"/>
    </row>
    <row r="38" spans="1:8" ht="15.95" customHeight="1" thickTop="1" x14ac:dyDescent="0.35">
      <c r="A38" s="50"/>
      <c r="B38" s="421" t="s">
        <v>725</v>
      </c>
      <c r="C38" s="422"/>
      <c r="D38" s="422"/>
      <c r="E38" s="422"/>
      <c r="F38" s="423"/>
      <c r="G38" s="51" t="s">
        <v>726</v>
      </c>
      <c r="H38" s="51"/>
    </row>
    <row r="39" spans="1:8" ht="15.95" customHeight="1" x14ac:dyDescent="0.35">
      <c r="A39" s="52"/>
      <c r="B39" s="408" t="s">
        <v>727</v>
      </c>
      <c r="C39" s="409"/>
      <c r="D39" s="409"/>
      <c r="E39" s="409"/>
      <c r="F39" s="410"/>
      <c r="G39" s="46" t="s">
        <v>728</v>
      </c>
      <c r="H39" s="44"/>
    </row>
    <row r="40" spans="1:8" ht="15.95" customHeight="1" x14ac:dyDescent="0.35">
      <c r="A40" s="52"/>
      <c r="B40" s="408" t="s">
        <v>729</v>
      </c>
      <c r="C40" s="409"/>
      <c r="D40" s="409"/>
      <c r="E40" s="409"/>
      <c r="F40" s="410"/>
      <c r="G40" s="46" t="s">
        <v>726</v>
      </c>
      <c r="H40" s="47"/>
    </row>
    <row r="42" spans="1:8" x14ac:dyDescent="0.35">
      <c r="A42" s="11" t="s">
        <v>730</v>
      </c>
    </row>
    <row r="43" spans="1:8" x14ac:dyDescent="0.35">
      <c r="A43" s="11" t="s">
        <v>648</v>
      </c>
    </row>
    <row r="45" spans="1:8" x14ac:dyDescent="0.35">
      <c r="A45" s="11" t="s">
        <v>731</v>
      </c>
    </row>
    <row r="47" spans="1:8" x14ac:dyDescent="0.35">
      <c r="A47" s="11" t="s">
        <v>288</v>
      </c>
    </row>
    <row r="49" spans="6:6" ht="13.2" x14ac:dyDescent="0.4">
      <c r="F49" s="3"/>
    </row>
  </sheetData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354</v>
      </c>
    </row>
    <row r="3" spans="1:8" x14ac:dyDescent="0.35">
      <c r="A3" s="11" t="s">
        <v>756</v>
      </c>
      <c r="B3" s="54">
        <f ca="1">TODAY()</f>
        <v>42194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977</v>
      </c>
    </row>
    <row r="11" spans="1:8" ht="13.2" thickTop="1" x14ac:dyDescent="0.35">
      <c r="A11" s="399" t="s">
        <v>42</v>
      </c>
      <c r="B11" s="400"/>
      <c r="C11" s="400"/>
      <c r="D11" s="400"/>
      <c r="E11" s="400"/>
      <c r="F11" s="400"/>
      <c r="G11" s="400"/>
      <c r="H11" s="401"/>
    </row>
    <row r="12" spans="1:8" ht="25.65" x14ac:dyDescent="0.35">
      <c r="A12" s="43" t="s">
        <v>949</v>
      </c>
      <c r="B12" s="402" t="s">
        <v>546</v>
      </c>
      <c r="C12" s="404"/>
      <c r="D12" s="406" t="s">
        <v>547</v>
      </c>
      <c r="E12" s="406" t="s">
        <v>548</v>
      </c>
      <c r="F12" s="406" t="s">
        <v>549</v>
      </c>
      <c r="G12" s="44"/>
      <c r="H12" s="44" t="s">
        <v>550</v>
      </c>
    </row>
    <row r="13" spans="1:8" ht="15" customHeight="1" x14ac:dyDescent="0.35">
      <c r="A13" s="45" t="s">
        <v>551</v>
      </c>
      <c r="B13" s="403"/>
      <c r="C13" s="405"/>
      <c r="D13" s="407"/>
      <c r="E13" s="407"/>
      <c r="F13" s="407"/>
      <c r="G13" s="44" t="s">
        <v>552</v>
      </c>
      <c r="H13" s="46" t="s">
        <v>553</v>
      </c>
    </row>
    <row r="14" spans="1:8" ht="20.100000000000001" customHeight="1" x14ac:dyDescent="0.35">
      <c r="A14" s="413" t="str">
        <f>IF(TPN&lt;&gt;1,ROUND(G22/24,1)&amp;" ml/u","")</f>
        <v/>
      </c>
      <c r="B14" s="121" t="s">
        <v>122</v>
      </c>
      <c r="C14" s="122"/>
      <c r="D14" s="122" t="s">
        <v>554</v>
      </c>
      <c r="E14" s="122" t="s">
        <v>554</v>
      </c>
      <c r="F14" s="123" t="s">
        <v>554</v>
      </c>
      <c r="G14" s="124" t="str">
        <f>IF(AND(TPN&lt;&gt;1,G16&lt;&gt;0),ROUND(ber_TPN!F7,0),"")</f>
        <v/>
      </c>
      <c r="H14" s="44"/>
    </row>
    <row r="15" spans="1:8" ht="20.100000000000001" customHeight="1" x14ac:dyDescent="0.35">
      <c r="A15" s="414"/>
      <c r="B15" s="125" t="s">
        <v>1317</v>
      </c>
      <c r="C15" s="126"/>
      <c r="D15" s="126" t="s">
        <v>1322</v>
      </c>
      <c r="E15" s="126" t="s">
        <v>176</v>
      </c>
      <c r="F15" s="127" t="s">
        <v>176</v>
      </c>
      <c r="G15" s="124" t="str">
        <f>IF(AND(TPN&lt;&gt;1,G16&lt;&gt;0),ROUND(ber_TPN!F8,0),"")</f>
        <v/>
      </c>
      <c r="H15" s="44"/>
    </row>
    <row r="16" spans="1:8" ht="20.100000000000001" customHeight="1" x14ac:dyDescent="0.35">
      <c r="A16" s="43"/>
      <c r="B16" s="125" t="s">
        <v>1323</v>
      </c>
      <c r="C16" s="126"/>
      <c r="D16" s="126" t="s">
        <v>1231</v>
      </c>
      <c r="E16" s="126" t="s">
        <v>1324</v>
      </c>
      <c r="F16" s="127" t="s">
        <v>177</v>
      </c>
      <c r="G16" s="128" t="str">
        <f>IF(TPN&lt;&gt;1,ber_TPN!F4,"")</f>
        <v/>
      </c>
      <c r="H16" s="44"/>
    </row>
    <row r="17" spans="1:8" ht="20.100000000000001" customHeight="1" x14ac:dyDescent="0.35">
      <c r="A17" s="43"/>
      <c r="B17" s="125" t="s">
        <v>940</v>
      </c>
      <c r="C17" s="126"/>
      <c r="D17" s="126" t="s">
        <v>1325</v>
      </c>
      <c r="E17" s="126"/>
      <c r="F17" s="127"/>
      <c r="G17" s="128" t="str">
        <f>IF(AND(SSTglucose=2,TPN&lt;&gt;1),ROUND(ber_TPN!F6,0),"")</f>
        <v/>
      </c>
      <c r="H17" s="44"/>
    </row>
    <row r="18" spans="1:8" ht="20.100000000000001" customHeight="1" x14ac:dyDescent="0.35">
      <c r="A18" s="43"/>
      <c r="B18" s="125" t="s">
        <v>306</v>
      </c>
      <c r="C18" s="126"/>
      <c r="D18" s="126"/>
      <c r="E18" s="126" t="s">
        <v>1326</v>
      </c>
      <c r="F18" s="127"/>
      <c r="G18" s="128" t="str">
        <f>IF(AND(SSTglucose=6,TPN&lt;&gt;1),ROUND(ber_TPN!F6,0),"")</f>
        <v/>
      </c>
      <c r="H18" s="44"/>
    </row>
    <row r="19" spans="1:8" ht="20.100000000000001" customHeight="1" x14ac:dyDescent="0.35">
      <c r="A19" s="43"/>
      <c r="B19" s="125" t="s">
        <v>1327</v>
      </c>
      <c r="C19" s="126"/>
      <c r="D19" s="126"/>
      <c r="E19" s="126"/>
      <c r="F19" s="127" t="s">
        <v>1328</v>
      </c>
      <c r="G19" s="128" t="str">
        <f>IF(AND(SSTglucose=8,TPN&lt;&gt;1,Gewicht/10&lt;=10),ROUND(ber_TPN!F6,0),"")</f>
        <v/>
      </c>
      <c r="H19" s="44"/>
    </row>
    <row r="20" spans="1:8" ht="20.100000000000001" customHeight="1" x14ac:dyDescent="0.35">
      <c r="A20" s="43"/>
      <c r="B20" s="125" t="s">
        <v>1329</v>
      </c>
      <c r="C20" s="126"/>
      <c r="D20" s="126"/>
      <c r="E20" s="126"/>
      <c r="F20" s="127" t="s">
        <v>1330</v>
      </c>
      <c r="G20" s="128" t="str">
        <f>IF(AND(SSTglucose=8,TPN&lt;&gt;1,Gewicht/10&gt;10),ROUND(ber_TPN!F6,0),"")</f>
        <v/>
      </c>
      <c r="H20" s="44"/>
    </row>
    <row r="21" spans="1:8" ht="20.100000000000001" customHeight="1" x14ac:dyDescent="0.35">
      <c r="A21" s="43"/>
      <c r="B21" s="125" t="str">
        <f>IF(AND(TPN=2,SSTglucose&lt;&gt;2,SSTglucose&lt;&gt;6,SSTglucose&lt;&gt;8,SSTglucose&lt;11),INDEX(tblSSTGlucose,SSTglucose,1),"Glucose       %")</f>
        <v>Glucose       %</v>
      </c>
      <c r="C21" s="126"/>
      <c r="D21" s="126"/>
      <c r="E21" s="126"/>
      <c r="F21" s="127"/>
      <c r="G21" s="128" t="str">
        <f>IF(AND(TPN&lt;&gt;1,B20&lt;&gt;""),IF(AND(SSTglucose&lt;&gt;2,SSTglucose&lt;&gt;6,SSTglucose&lt;&gt;8,SSTglucose&lt;11),ROUND(ber_TPN!F6,0),""),"")</f>
        <v/>
      </c>
      <c r="H21" s="44"/>
    </row>
    <row r="22" spans="1:8" ht="15.95" customHeight="1" x14ac:dyDescent="0.35">
      <c r="A22" s="43"/>
      <c r="B22" s="53"/>
      <c r="C22" s="53"/>
      <c r="D22" s="53"/>
      <c r="E22" s="417" t="s">
        <v>647</v>
      </c>
      <c r="F22" s="417"/>
      <c r="G22" s="108">
        <f>SUM(G14:G21)</f>
        <v>0</v>
      </c>
      <c r="H22" s="106"/>
    </row>
    <row r="23" spans="1:8" ht="10.5" customHeight="1" x14ac:dyDescent="0.35">
      <c r="A23" s="43"/>
      <c r="B23" s="48"/>
      <c r="C23" s="48"/>
      <c r="D23" s="48"/>
      <c r="E23" s="48"/>
      <c r="F23" s="48"/>
      <c r="G23" s="48"/>
      <c r="H23" s="44"/>
    </row>
    <row r="24" spans="1:8" ht="20.100000000000001" customHeight="1" x14ac:dyDescent="0.35">
      <c r="A24" s="411" t="str">
        <f>IF(G27&gt;0,ROUND(G27/24,1)&amp;" ml/u","")</f>
        <v/>
      </c>
      <c r="B24" s="121" t="s">
        <v>606</v>
      </c>
      <c r="C24" s="122"/>
      <c r="D24" s="122" t="s">
        <v>1230</v>
      </c>
      <c r="E24" s="122" t="s">
        <v>1231</v>
      </c>
      <c r="F24" s="123" t="s">
        <v>555</v>
      </c>
      <c r="G24" s="124">
        <f>ROUND(ber_TPN!F13,0)</f>
        <v>0</v>
      </c>
      <c r="H24" s="49"/>
    </row>
    <row r="25" spans="1:8" ht="20.100000000000001" customHeight="1" x14ac:dyDescent="0.35">
      <c r="A25" s="412"/>
      <c r="B25" s="125" t="s">
        <v>607</v>
      </c>
      <c r="C25" s="126"/>
      <c r="D25" s="126"/>
      <c r="E25" s="434" t="s">
        <v>1153</v>
      </c>
      <c r="F25" s="435"/>
      <c r="G25" s="124">
        <f>ROUND(ber_TPN!F14,0)</f>
        <v>0</v>
      </c>
      <c r="H25" s="44"/>
    </row>
    <row r="26" spans="1:8" ht="20.100000000000001" customHeight="1" x14ac:dyDescent="0.35">
      <c r="A26" s="43"/>
      <c r="B26" s="125" t="s">
        <v>640</v>
      </c>
      <c r="C26" s="126"/>
      <c r="D26" s="126"/>
      <c r="E26" s="434" t="s">
        <v>1153</v>
      </c>
      <c r="F26" s="435"/>
      <c r="G26" s="124">
        <f>ROUND(ber_TPN!F15,0)</f>
        <v>0</v>
      </c>
      <c r="H26" s="44"/>
    </row>
    <row r="27" spans="1:8" ht="15.95" customHeight="1" x14ac:dyDescent="0.35">
      <c r="A27" s="43"/>
      <c r="B27" s="48"/>
      <c r="C27" s="48"/>
      <c r="D27" s="48"/>
      <c r="E27" s="417" t="s">
        <v>647</v>
      </c>
      <c r="F27" s="417"/>
      <c r="G27" s="110">
        <f>SUM(G24:G26)</f>
        <v>0</v>
      </c>
      <c r="H27" s="106"/>
    </row>
    <row r="28" spans="1:8" ht="10.5" customHeight="1" thickBot="1" x14ac:dyDescent="0.4">
      <c r="A28" s="43"/>
      <c r="B28" s="48"/>
      <c r="C28" s="48"/>
      <c r="D28" s="48"/>
      <c r="E28" s="48"/>
      <c r="F28" s="48"/>
      <c r="G28" s="48"/>
      <c r="H28" s="44"/>
    </row>
    <row r="29" spans="1:8" ht="15.95" customHeight="1" thickTop="1" x14ac:dyDescent="0.35">
      <c r="A29" s="50"/>
      <c r="B29" s="432" t="s">
        <v>380</v>
      </c>
      <c r="C29" s="433"/>
      <c r="D29" s="433"/>
      <c r="E29" s="433"/>
      <c r="F29" s="433"/>
      <c r="G29" s="98"/>
      <c r="H29" s="51"/>
    </row>
    <row r="30" spans="1:8" ht="20.100000000000001" customHeight="1" x14ac:dyDescent="0.35">
      <c r="A30" s="411" t="str">
        <f>IF(G33&gt;0,ROUND(G39/24,1)&amp;" ml/u","")</f>
        <v/>
      </c>
      <c r="B30" s="132" t="s">
        <v>122</v>
      </c>
      <c r="C30" s="134"/>
      <c r="D30" s="134"/>
      <c r="E30" s="134"/>
      <c r="F30" s="138"/>
      <c r="G30" s="139">
        <f>IF(AND(OR(TPN=1,AND(TPN=2,SSTglucose&gt;10))),ROUND(ber_TPN!F7,0),0)</f>
        <v>0</v>
      </c>
      <c r="H30" s="44"/>
    </row>
    <row r="31" spans="1:8" ht="20.100000000000001" customHeight="1" x14ac:dyDescent="0.35">
      <c r="A31" s="412"/>
      <c r="B31" s="133" t="s">
        <v>1320</v>
      </c>
      <c r="C31" s="136"/>
      <c r="D31" s="136"/>
      <c r="E31" s="136"/>
      <c r="F31" s="140"/>
      <c r="G31" s="141">
        <f>IF(AND(OR(TPN=1,AND(TPN=2,SSTglucose&gt;10))),ROUND(ber_TPN!F8,0),0)</f>
        <v>0</v>
      </c>
      <c r="H31" s="44"/>
    </row>
    <row r="32" spans="1:8" ht="20.100000000000001" customHeight="1" x14ac:dyDescent="0.35">
      <c r="A32" s="103"/>
      <c r="B32" s="133" t="s">
        <v>1352</v>
      </c>
      <c r="C32" s="136"/>
      <c r="D32" s="136"/>
      <c r="E32" s="136"/>
      <c r="F32" s="140"/>
      <c r="G32" s="141">
        <f>ber_TPN!F9</f>
        <v>0</v>
      </c>
      <c r="H32" s="44"/>
    </row>
    <row r="33" spans="1:8" ht="20.100000000000001" customHeight="1" x14ac:dyDescent="0.35">
      <c r="A33" s="103"/>
      <c r="B33" s="133" t="s">
        <v>1353</v>
      </c>
      <c r="C33" s="136"/>
      <c r="D33" s="136"/>
      <c r="E33" s="136"/>
      <c r="F33" s="140"/>
      <c r="G33" s="141">
        <f>ber_TPN!F10</f>
        <v>0</v>
      </c>
      <c r="H33" s="44"/>
    </row>
    <row r="34" spans="1:8" ht="20.100000000000001" customHeight="1" x14ac:dyDescent="0.35">
      <c r="A34" s="103"/>
      <c r="B34" s="133" t="s">
        <v>940</v>
      </c>
      <c r="C34" s="136"/>
      <c r="D34" s="136"/>
      <c r="E34" s="136"/>
      <c r="F34" s="140"/>
      <c r="G34" s="141">
        <f>ber_TPN!F16+IF(AND(SSTglucose=2,TPN=1),ROUND(ber_TPN!F6,0),0)</f>
        <v>0</v>
      </c>
      <c r="H34" s="44"/>
    </row>
    <row r="35" spans="1:8" ht="20.100000000000001" customHeight="1" x14ac:dyDescent="0.35">
      <c r="A35" s="43"/>
      <c r="B35" s="133" t="str">
        <f>IF(AND(OR(TPN=1,AND(TPN=2,SSTglucose&gt;10)),SSTglucose&lt;&gt;2,SSTglucose&lt;&gt;11,SSTglucose&lt;&gt;12,SSTglucose&lt;&gt;13),INDEX(tblSSTGlucose,SSTglucose,1),"Glucose       %")</f>
        <v>Glucose 5%</v>
      </c>
      <c r="C35" s="136"/>
      <c r="D35" s="136"/>
      <c r="E35" s="136"/>
      <c r="F35" s="140"/>
      <c r="G35" s="141">
        <f>IF(AND(OR(TPN=1,AND(TPN=2,SSTglucose&gt;10)),SSTglucose&lt;&gt;2,SSTglucose&lt;&gt;11,SSTglucose&lt;&gt;12,SSTglucose&lt;&gt;13),ROUND(ber_TPN!F6,0),"")</f>
        <v>0</v>
      </c>
      <c r="H35" s="44"/>
    </row>
    <row r="36" spans="1:8" ht="20.100000000000001" customHeight="1" x14ac:dyDescent="0.35">
      <c r="A36" s="43"/>
      <c r="B36" s="430" t="s">
        <v>1321</v>
      </c>
      <c r="C36" s="431"/>
      <c r="D36" s="431"/>
      <c r="E36" s="431"/>
      <c r="F36" s="140"/>
      <c r="G36" s="141" t="str">
        <f>IF(OR(SSTglucose=11),ROUND(ber_TPN!F6,0),"")</f>
        <v/>
      </c>
      <c r="H36" s="44"/>
    </row>
    <row r="37" spans="1:8" ht="20.100000000000001" customHeight="1" x14ac:dyDescent="0.35">
      <c r="A37" s="43"/>
      <c r="B37" s="430" t="s">
        <v>123</v>
      </c>
      <c r="C37" s="431"/>
      <c r="D37" s="431"/>
      <c r="E37" s="431"/>
      <c r="F37" s="140"/>
      <c r="G37" s="141" t="str">
        <f>IF(AND(SSTglucose=12),ROUND(ber_TPN!F6,0),"")</f>
        <v/>
      </c>
      <c r="H37" s="44"/>
    </row>
    <row r="38" spans="1:8" ht="20.100000000000001" customHeight="1" x14ac:dyDescent="0.35">
      <c r="A38" s="43"/>
      <c r="B38" s="430" t="s">
        <v>124</v>
      </c>
      <c r="C38" s="431"/>
      <c r="D38" s="431"/>
      <c r="E38" s="431"/>
      <c r="F38" s="138"/>
      <c r="G38" s="141" t="str">
        <f>IF(AND(SSTglucose=13),ROUND(ber_TPN!F6,0),"")</f>
        <v/>
      </c>
      <c r="H38" s="44"/>
    </row>
    <row r="39" spans="1:8" ht="15.95" customHeight="1" x14ac:dyDescent="0.35">
      <c r="A39" s="43"/>
      <c r="B39" s="48"/>
      <c r="C39" s="48"/>
      <c r="D39" s="48"/>
      <c r="E39" s="417" t="s">
        <v>649</v>
      </c>
      <c r="F39" s="417"/>
      <c r="G39" s="109">
        <f>SUM(G30:G38)</f>
        <v>0</v>
      </c>
      <c r="H39" s="44"/>
    </row>
    <row r="40" spans="1:8" ht="10.5" customHeight="1" thickBot="1" x14ac:dyDescent="0.4">
      <c r="A40" s="43"/>
      <c r="B40" s="48"/>
      <c r="C40" s="48"/>
      <c r="D40" s="48"/>
      <c r="E40" s="48"/>
      <c r="F40" s="48"/>
      <c r="G40" s="48"/>
      <c r="H40" s="44"/>
    </row>
    <row r="41" spans="1:8" ht="15.95" customHeight="1" thickTop="1" x14ac:dyDescent="0.35">
      <c r="A41" s="50"/>
      <c r="B41" s="424" t="s">
        <v>725</v>
      </c>
      <c r="C41" s="425"/>
      <c r="D41" s="425"/>
      <c r="E41" s="425"/>
      <c r="F41" s="426"/>
      <c r="G41" s="51" t="s">
        <v>726</v>
      </c>
      <c r="H41" s="51"/>
    </row>
    <row r="42" spans="1:8" ht="15.95" customHeight="1" x14ac:dyDescent="0.35">
      <c r="A42" s="52"/>
      <c r="B42" s="427" t="s">
        <v>727</v>
      </c>
      <c r="C42" s="428"/>
      <c r="D42" s="428"/>
      <c r="E42" s="428"/>
      <c r="F42" s="429"/>
      <c r="G42" s="46" t="s">
        <v>728</v>
      </c>
      <c r="H42" s="44"/>
    </row>
    <row r="43" spans="1:8" ht="15.95" customHeight="1" x14ac:dyDescent="0.35">
      <c r="A43" s="52"/>
      <c r="B43" s="427" t="s">
        <v>729</v>
      </c>
      <c r="C43" s="428"/>
      <c r="D43" s="428"/>
      <c r="E43" s="428"/>
      <c r="F43" s="429"/>
      <c r="G43" s="46" t="s">
        <v>726</v>
      </c>
      <c r="H43" s="47"/>
    </row>
    <row r="45" spans="1:8" x14ac:dyDescent="0.35">
      <c r="A45" s="11" t="s">
        <v>730</v>
      </c>
    </row>
    <row r="46" spans="1:8" x14ac:dyDescent="0.35">
      <c r="A46" s="11" t="s">
        <v>648</v>
      </c>
    </row>
    <row r="47" spans="1:8" x14ac:dyDescent="0.35">
      <c r="A47" s="11" t="s">
        <v>731</v>
      </c>
    </row>
    <row r="49" spans="1:6" x14ac:dyDescent="0.35">
      <c r="A49" s="11" t="s">
        <v>288</v>
      </c>
    </row>
    <row r="51" spans="1:6" ht="13.2" x14ac:dyDescent="0.4">
      <c r="F51" s="3"/>
    </row>
  </sheetData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355</v>
      </c>
    </row>
    <row r="3" spans="1:8" x14ac:dyDescent="0.35">
      <c r="A3" s="11" t="s">
        <v>756</v>
      </c>
      <c r="B3" s="54">
        <f ca="1">TODAY()</f>
        <v>42194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10" spans="1:8" ht="13.2" thickBot="1" x14ac:dyDescent="0.4">
      <c r="A10" s="11" t="s">
        <v>1099</v>
      </c>
      <c r="C10" s="11">
        <f>ber_TPN!F23</f>
        <v>0</v>
      </c>
      <c r="D10" s="11" t="s">
        <v>977</v>
      </c>
    </row>
    <row r="11" spans="1:8" ht="13.2" thickTop="1" x14ac:dyDescent="0.35">
      <c r="A11" s="399" t="s">
        <v>42</v>
      </c>
      <c r="B11" s="400"/>
      <c r="C11" s="400"/>
      <c r="D11" s="400"/>
      <c r="E11" s="400"/>
      <c r="F11" s="400"/>
      <c r="G11" s="400"/>
      <c r="H11" s="401"/>
    </row>
    <row r="12" spans="1:8" ht="25.65" x14ac:dyDescent="0.35">
      <c r="A12" s="43" t="s">
        <v>949</v>
      </c>
      <c r="B12" s="402" t="s">
        <v>546</v>
      </c>
      <c r="C12" s="404"/>
      <c r="D12" s="406" t="s">
        <v>547</v>
      </c>
      <c r="E12" s="406" t="s">
        <v>548</v>
      </c>
      <c r="F12" s="406" t="s">
        <v>549</v>
      </c>
      <c r="G12" s="44"/>
      <c r="H12" s="44" t="s">
        <v>550</v>
      </c>
    </row>
    <row r="13" spans="1:8" x14ac:dyDescent="0.35">
      <c r="A13" s="45" t="s">
        <v>551</v>
      </c>
      <c r="B13" s="403"/>
      <c r="C13" s="405"/>
      <c r="D13" s="407"/>
      <c r="E13" s="407"/>
      <c r="F13" s="407"/>
      <c r="G13" s="44" t="s">
        <v>552</v>
      </c>
      <c r="H13" s="46" t="s">
        <v>553</v>
      </c>
    </row>
    <row r="14" spans="1:8" ht="20.100000000000001" customHeight="1" x14ac:dyDescent="0.35">
      <c r="A14" s="413" t="str">
        <f>IF(TPN&lt;&gt;1,ROUND(G22/24,1)&amp;" ml/u","")</f>
        <v/>
      </c>
      <c r="B14" s="121" t="s">
        <v>122</v>
      </c>
      <c r="C14" s="122"/>
      <c r="D14" s="122" t="s">
        <v>554</v>
      </c>
      <c r="E14" s="122" t="s">
        <v>554</v>
      </c>
      <c r="F14" s="123" t="s">
        <v>554</v>
      </c>
      <c r="G14" s="124" t="str">
        <f>IF(AND(TPN&lt;&gt;1,G16&lt;&gt;0),ROUND(ber_TPN!F7,0),"")</f>
        <v/>
      </c>
      <c r="H14" s="44"/>
    </row>
    <row r="15" spans="1:8" ht="20.100000000000001" customHeight="1" x14ac:dyDescent="0.35">
      <c r="A15" s="414"/>
      <c r="B15" s="125" t="s">
        <v>1317</v>
      </c>
      <c r="C15" s="126"/>
      <c r="D15" s="126" t="s">
        <v>1322</v>
      </c>
      <c r="E15" s="126" t="s">
        <v>176</v>
      </c>
      <c r="F15" s="127" t="s">
        <v>176</v>
      </c>
      <c r="G15" s="124" t="str">
        <f>IF(AND(TPN&lt;&gt;1,G16&lt;&gt;0),ROUND(ber_TPN!F8,0),"")</f>
        <v/>
      </c>
      <c r="H15" s="44"/>
    </row>
    <row r="16" spans="1:8" ht="20.100000000000001" customHeight="1" x14ac:dyDescent="0.35">
      <c r="A16" s="43"/>
      <c r="B16" s="125" t="s">
        <v>1331</v>
      </c>
      <c r="C16" s="126"/>
      <c r="D16" s="126" t="s">
        <v>1231</v>
      </c>
      <c r="E16" s="126" t="s">
        <v>555</v>
      </c>
      <c r="F16" s="127" t="s">
        <v>1324</v>
      </c>
      <c r="G16" s="128" t="str">
        <f>IF(TPN&lt;&gt;1,ber_TPN!F4,"")</f>
        <v/>
      </c>
      <c r="H16" s="44"/>
    </row>
    <row r="17" spans="1:8" ht="20.100000000000001" customHeight="1" x14ac:dyDescent="0.35">
      <c r="A17" s="43"/>
      <c r="B17" s="125" t="s">
        <v>952</v>
      </c>
      <c r="C17" s="126"/>
      <c r="D17" s="126"/>
      <c r="E17" s="434" t="s">
        <v>410</v>
      </c>
      <c r="F17" s="435"/>
      <c r="G17" s="128">
        <f>ROUND(ber_TPN!F5,0)</f>
        <v>0</v>
      </c>
      <c r="H17" s="44"/>
    </row>
    <row r="18" spans="1:8" ht="20.100000000000001" customHeight="1" x14ac:dyDescent="0.35">
      <c r="A18" s="43"/>
      <c r="B18" s="125" t="s">
        <v>940</v>
      </c>
      <c r="C18" s="126"/>
      <c r="D18" s="126" t="s">
        <v>411</v>
      </c>
      <c r="E18" s="126"/>
      <c r="F18" s="127"/>
      <c r="G18" s="128" t="str">
        <f>IF(AND(SSTglucose=2,TPN&lt;&gt;1),ROUND(ber_TPN!F6,0),"")</f>
        <v/>
      </c>
      <c r="H18" s="44"/>
    </row>
    <row r="19" spans="1:8" ht="20.100000000000001" customHeight="1" x14ac:dyDescent="0.35">
      <c r="A19" s="43"/>
      <c r="B19" s="125" t="s">
        <v>306</v>
      </c>
      <c r="C19" s="126"/>
      <c r="D19" s="126"/>
      <c r="E19" s="126" t="s">
        <v>412</v>
      </c>
      <c r="F19" s="127"/>
      <c r="G19" s="128" t="str">
        <f>IF(AND(SSTglucose=6,TPN&lt;&gt;1),ROUND(ber_TPN!F6,0),"")</f>
        <v/>
      </c>
      <c r="H19" s="44"/>
    </row>
    <row r="20" spans="1:8" ht="20.100000000000001" customHeight="1" x14ac:dyDescent="0.35">
      <c r="A20" s="43"/>
      <c r="B20" s="125" t="s">
        <v>645</v>
      </c>
      <c r="C20" s="126"/>
      <c r="D20" s="126"/>
      <c r="E20" s="126"/>
      <c r="F20" s="127" t="s">
        <v>413</v>
      </c>
      <c r="G20" s="128" t="str">
        <f>IF(AND(SSTglucose=8,TPN&lt;&gt;1),ROUND(ber_TPN!F6,0),"")</f>
        <v/>
      </c>
      <c r="H20" s="44"/>
    </row>
    <row r="21" spans="1:8" ht="20.100000000000001" customHeight="1" x14ac:dyDescent="0.35">
      <c r="A21" s="43"/>
      <c r="B21" s="125" t="str">
        <f>IF(AND(TPN=2,SSTglucose&lt;&gt;2,SSTglucose&lt;&gt;6,SSTglucose&lt;&gt;8,SSTglucose&lt;11),INDEX(tblSSTGlucose,SSTglucose,1),"Glucose       %")</f>
        <v>Glucose       %</v>
      </c>
      <c r="C21" s="126"/>
      <c r="D21" s="126"/>
      <c r="E21" s="126"/>
      <c r="F21" s="127"/>
      <c r="G21" s="128" t="str">
        <f>IF(AND(TPN&lt;&gt;1,B20&lt;&gt;""),IF(AND(SSTglucose&lt;&gt;2,SSTglucose&lt;&gt;6,SSTglucose&lt;&gt;8,SSTglucose&lt;11),ROUND(ber_TPN!F6,0),""),"")</f>
        <v/>
      </c>
      <c r="H21" s="44"/>
    </row>
    <row r="22" spans="1:8" ht="15.95" customHeight="1" x14ac:dyDescent="0.35">
      <c r="A22" s="43"/>
      <c r="B22" s="111"/>
      <c r="C22" s="111"/>
      <c r="D22" s="111"/>
      <c r="E22" s="420" t="s">
        <v>647</v>
      </c>
      <c r="F22" s="420"/>
      <c r="G22" s="108">
        <f>SUM(G14:G21)</f>
        <v>0</v>
      </c>
      <c r="H22" s="106"/>
    </row>
    <row r="23" spans="1:8" ht="10.5" customHeight="1" x14ac:dyDescent="0.35">
      <c r="A23" s="43"/>
      <c r="B23" s="105"/>
      <c r="C23" s="105"/>
      <c r="D23" s="105"/>
      <c r="E23" s="105"/>
      <c r="F23" s="105"/>
      <c r="G23" s="48"/>
      <c r="H23" s="44"/>
    </row>
    <row r="24" spans="1:8" ht="20.100000000000001" customHeight="1" x14ac:dyDescent="0.35">
      <c r="A24" s="413" t="str">
        <f>IF(TPN&lt;&gt;1,ROUND(G27/24,1)&amp;" ml/u","")</f>
        <v/>
      </c>
      <c r="B24" s="121" t="s">
        <v>606</v>
      </c>
      <c r="C24" s="122"/>
      <c r="D24" s="122" t="s">
        <v>1230</v>
      </c>
      <c r="E24" s="122" t="s">
        <v>1231</v>
      </c>
      <c r="F24" s="123" t="s">
        <v>555</v>
      </c>
      <c r="G24" s="124">
        <f>ROUND(ber_TPN!F13,0)</f>
        <v>0</v>
      </c>
      <c r="H24" s="49"/>
    </row>
    <row r="25" spans="1:8" ht="20.100000000000001" customHeight="1" x14ac:dyDescent="0.35">
      <c r="A25" s="414"/>
      <c r="B25" s="125" t="s">
        <v>607</v>
      </c>
      <c r="C25" s="126"/>
      <c r="D25" s="126"/>
      <c r="E25" s="434" t="s">
        <v>1153</v>
      </c>
      <c r="F25" s="435"/>
      <c r="G25" s="128">
        <f>ROUND(ber_TPN!F14,0)</f>
        <v>0</v>
      </c>
      <c r="H25" s="44"/>
    </row>
    <row r="26" spans="1:8" ht="20.100000000000001" customHeight="1" x14ac:dyDescent="0.35">
      <c r="A26" s="43"/>
      <c r="B26" s="125" t="s">
        <v>640</v>
      </c>
      <c r="C26" s="126"/>
      <c r="D26" s="126"/>
      <c r="E26" s="434" t="s">
        <v>1153</v>
      </c>
      <c r="F26" s="435"/>
      <c r="G26" s="128">
        <f>ROUND(ber_TPN!F15,0)</f>
        <v>0</v>
      </c>
      <c r="H26" s="44"/>
    </row>
    <row r="27" spans="1:8" ht="15.95" customHeight="1" x14ac:dyDescent="0.35">
      <c r="A27" s="43"/>
      <c r="B27" s="105"/>
      <c r="C27" s="105"/>
      <c r="D27" s="105"/>
      <c r="E27" s="420" t="s">
        <v>647</v>
      </c>
      <c r="F27" s="420"/>
      <c r="G27" s="110">
        <f>SUM(G24:G26)</f>
        <v>0</v>
      </c>
      <c r="H27" s="106"/>
    </row>
    <row r="28" spans="1:8" ht="10.5" customHeight="1" thickBot="1" x14ac:dyDescent="0.4">
      <c r="A28" s="43"/>
      <c r="B28" s="105"/>
      <c r="C28" s="105"/>
      <c r="D28" s="105"/>
      <c r="E28" s="105"/>
      <c r="F28" s="105"/>
      <c r="G28" s="48"/>
      <c r="H28" s="44"/>
    </row>
    <row r="29" spans="1:8" ht="15.95" customHeight="1" thickTop="1" x14ac:dyDescent="0.35">
      <c r="A29" s="50"/>
      <c r="B29" s="415" t="s">
        <v>380</v>
      </c>
      <c r="C29" s="416"/>
      <c r="D29" s="416"/>
      <c r="E29" s="416"/>
      <c r="F29" s="416"/>
      <c r="G29" s="98"/>
      <c r="H29" s="51"/>
    </row>
    <row r="30" spans="1:8" ht="20.100000000000001" customHeight="1" x14ac:dyDescent="0.35">
      <c r="A30" s="413" t="str">
        <f>ROUND(G38/24,1)&amp;" ml/u"</f>
        <v>0 ml/u</v>
      </c>
      <c r="B30" s="132" t="s">
        <v>122</v>
      </c>
      <c r="C30" s="134"/>
      <c r="D30" s="134"/>
      <c r="E30" s="134"/>
      <c r="F30" s="135"/>
      <c r="G30" s="139">
        <f>IF(AND(OR(TPN=1,AND(TPN=2,SSTglucose&gt;10))),ROUND(ber_TPN!F7,0),"")</f>
        <v>0</v>
      </c>
      <c r="H30" s="44"/>
    </row>
    <row r="31" spans="1:8" ht="20.100000000000001" customHeight="1" x14ac:dyDescent="0.35">
      <c r="A31" s="414"/>
      <c r="B31" s="133" t="s">
        <v>1320</v>
      </c>
      <c r="C31" s="136"/>
      <c r="D31" s="136"/>
      <c r="E31" s="136"/>
      <c r="F31" s="137"/>
      <c r="G31" s="141">
        <f>IF(AND(OR(TPN=1,AND(TPN=2,SSTglucose&gt;10))),ROUND(ber_TPN!F8,0),"")</f>
        <v>0</v>
      </c>
      <c r="H31" s="44"/>
    </row>
    <row r="32" spans="1:8" ht="20.100000000000001" customHeight="1" x14ac:dyDescent="0.35">
      <c r="A32" s="103"/>
      <c r="B32" s="133" t="s">
        <v>1352</v>
      </c>
      <c r="C32" s="136"/>
      <c r="D32" s="136"/>
      <c r="E32" s="136"/>
      <c r="F32" s="137"/>
      <c r="G32" s="141">
        <f>ber_TPN!F9</f>
        <v>0</v>
      </c>
      <c r="H32" s="44"/>
    </row>
    <row r="33" spans="1:8" ht="20.100000000000001" customHeight="1" x14ac:dyDescent="0.35">
      <c r="A33" s="103"/>
      <c r="B33" s="133" t="s">
        <v>1353</v>
      </c>
      <c r="C33" s="136"/>
      <c r="D33" s="136"/>
      <c r="E33" s="136"/>
      <c r="F33" s="137"/>
      <c r="G33" s="141">
        <f>ber_TPN!F10</f>
        <v>0</v>
      </c>
      <c r="H33" s="44"/>
    </row>
    <row r="34" spans="1:8" ht="20.100000000000001" customHeight="1" x14ac:dyDescent="0.35">
      <c r="A34" s="103"/>
      <c r="B34" s="133" t="s">
        <v>940</v>
      </c>
      <c r="C34" s="136"/>
      <c r="D34" s="136"/>
      <c r="E34" s="136"/>
      <c r="F34" s="137"/>
      <c r="G34" s="141">
        <f>ber_TPN!F16+IF(AND(SSTglucose=2,TPN=1),ROUND(ber_TPN!F6,0),0)</f>
        <v>0</v>
      </c>
      <c r="H34" s="44"/>
    </row>
    <row r="35" spans="1:8" ht="20.100000000000001" customHeight="1" x14ac:dyDescent="0.35">
      <c r="A35" s="103"/>
      <c r="B35" s="133" t="str">
        <f>IF(AND(OR(TPN=1,AND(TPN=2,SSTglucose&gt;10)),SSTglucose&lt;&gt;2,SSTglucose&lt;&gt;12,SSTglucose&lt;&gt;13),INDEX(tblSSTGlucose,SSTglucose,1),"Glucose       %")</f>
        <v>Glucose 5%</v>
      </c>
      <c r="C35" s="136"/>
      <c r="D35" s="136"/>
      <c r="E35" s="136"/>
      <c r="F35" s="137"/>
      <c r="G35" s="141">
        <f>IF(AND(OR(TPN=1,AND(TPN=2,SSTglucose&gt;10)),SSTglucose&lt;&gt;2,SSTglucose&lt;&gt;12,SSTglucose&lt;&gt;13),ROUND(ber_TPN!F6,0),"")</f>
        <v>0</v>
      </c>
      <c r="H35" s="44"/>
    </row>
    <row r="36" spans="1:8" ht="20.100000000000001" customHeight="1" x14ac:dyDescent="0.35">
      <c r="A36" s="103"/>
      <c r="B36" s="430" t="s">
        <v>123</v>
      </c>
      <c r="C36" s="431"/>
      <c r="D36" s="431"/>
      <c r="E36" s="431"/>
      <c r="F36" s="137"/>
      <c r="G36" s="141" t="str">
        <f>IF(AND(SSTglucose=12),ROUND(ber_TPN!F6,0),"")</f>
        <v/>
      </c>
      <c r="H36" s="44"/>
    </row>
    <row r="37" spans="1:8" ht="20.100000000000001" customHeight="1" x14ac:dyDescent="0.35">
      <c r="A37" s="43"/>
      <c r="B37" s="430" t="s">
        <v>124</v>
      </c>
      <c r="C37" s="431"/>
      <c r="D37" s="431"/>
      <c r="E37" s="431"/>
      <c r="F37" s="137"/>
      <c r="G37" s="141" t="str">
        <f>IF(AND(SSTglucose=13),ROUND(ber_TPN!F6,0),"")</f>
        <v/>
      </c>
      <c r="H37" s="44"/>
    </row>
    <row r="38" spans="1:8" ht="15.95" customHeight="1" x14ac:dyDescent="0.35">
      <c r="A38" s="43"/>
      <c r="B38" s="105"/>
      <c r="C38" s="105"/>
      <c r="D38" s="105"/>
      <c r="E38" s="420" t="s">
        <v>649</v>
      </c>
      <c r="F38" s="420"/>
      <c r="G38" s="109">
        <f>SUM(G30:G37)</f>
        <v>0</v>
      </c>
      <c r="H38" s="44"/>
    </row>
    <row r="39" spans="1:8" ht="15.95" customHeight="1" thickBot="1" x14ac:dyDescent="0.4">
      <c r="A39" s="43"/>
      <c r="B39" s="105"/>
      <c r="C39" s="105"/>
      <c r="D39" s="105"/>
      <c r="E39" s="105"/>
      <c r="F39" s="105"/>
      <c r="G39" s="48"/>
      <c r="H39" s="44"/>
    </row>
    <row r="40" spans="1:8" ht="15.95" customHeight="1" thickTop="1" x14ac:dyDescent="0.35">
      <c r="A40" s="50"/>
      <c r="B40" s="421" t="s">
        <v>725</v>
      </c>
      <c r="C40" s="422"/>
      <c r="D40" s="422"/>
      <c r="E40" s="422"/>
      <c r="F40" s="423"/>
      <c r="G40" s="51" t="s">
        <v>726</v>
      </c>
      <c r="H40" s="51"/>
    </row>
    <row r="41" spans="1:8" ht="15.95" customHeight="1" x14ac:dyDescent="0.35">
      <c r="A41" s="52"/>
      <c r="B41" s="408" t="s">
        <v>727</v>
      </c>
      <c r="C41" s="409"/>
      <c r="D41" s="409"/>
      <c r="E41" s="409"/>
      <c r="F41" s="410"/>
      <c r="G41" s="46" t="s">
        <v>728</v>
      </c>
      <c r="H41" s="44"/>
    </row>
    <row r="42" spans="1:8" ht="15.95" customHeight="1" x14ac:dyDescent="0.35">
      <c r="A42" s="52"/>
      <c r="B42" s="408" t="s">
        <v>729</v>
      </c>
      <c r="C42" s="409"/>
      <c r="D42" s="409"/>
      <c r="E42" s="409"/>
      <c r="F42" s="410"/>
      <c r="G42" s="46" t="s">
        <v>726</v>
      </c>
      <c r="H42" s="47"/>
    </row>
    <row r="44" spans="1:8" x14ac:dyDescent="0.35">
      <c r="A44" s="11" t="s">
        <v>730</v>
      </c>
    </row>
    <row r="45" spans="1:8" x14ac:dyDescent="0.35">
      <c r="A45" s="11" t="s">
        <v>648</v>
      </c>
    </row>
    <row r="46" spans="1:8" x14ac:dyDescent="0.35">
      <c r="A46" s="11" t="s">
        <v>731</v>
      </c>
    </row>
    <row r="48" spans="1:8" x14ac:dyDescent="0.35">
      <c r="A48" s="11" t="s">
        <v>288</v>
      </c>
    </row>
    <row r="50" spans="6:6" ht="13.2" x14ac:dyDescent="0.4">
      <c r="F50" s="3"/>
    </row>
  </sheetData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356</v>
      </c>
    </row>
    <row r="3" spans="1:8" x14ac:dyDescent="0.35">
      <c r="A3" s="11" t="s">
        <v>756</v>
      </c>
      <c r="B3" s="54">
        <f ca="1">TODAY()</f>
        <v>42194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9" spans="1:8" ht="13.2" thickBot="1" x14ac:dyDescent="0.4">
      <c r="A9" s="11" t="s">
        <v>1098</v>
      </c>
      <c r="C9" s="11">
        <f>ber_TPN!F23</f>
        <v>0</v>
      </c>
      <c r="D9" s="11" t="s">
        <v>977</v>
      </c>
    </row>
    <row r="10" spans="1:8" ht="13.2" thickTop="1" x14ac:dyDescent="0.35">
      <c r="A10" s="399" t="s">
        <v>42</v>
      </c>
      <c r="B10" s="400"/>
      <c r="C10" s="400"/>
      <c r="D10" s="400"/>
      <c r="E10" s="400"/>
      <c r="F10" s="400"/>
      <c r="G10" s="400"/>
      <c r="H10" s="401"/>
    </row>
    <row r="11" spans="1:8" ht="25.65" x14ac:dyDescent="0.35">
      <c r="A11" s="43" t="s">
        <v>949</v>
      </c>
      <c r="B11" s="402" t="s">
        <v>546</v>
      </c>
      <c r="C11" s="404"/>
      <c r="D11" s="406" t="s">
        <v>547</v>
      </c>
      <c r="E11" s="406" t="s">
        <v>548</v>
      </c>
      <c r="F11" s="406" t="s">
        <v>549</v>
      </c>
      <c r="G11" s="44"/>
      <c r="H11" s="44" t="s">
        <v>550</v>
      </c>
    </row>
    <row r="12" spans="1:8" x14ac:dyDescent="0.35">
      <c r="A12" s="45" t="s">
        <v>551</v>
      </c>
      <c r="B12" s="403"/>
      <c r="C12" s="405"/>
      <c r="D12" s="407"/>
      <c r="E12" s="407"/>
      <c r="F12" s="407"/>
      <c r="G12" s="44" t="s">
        <v>552</v>
      </c>
      <c r="H12" s="46" t="s">
        <v>553</v>
      </c>
    </row>
    <row r="13" spans="1:8" ht="20.100000000000001" customHeight="1" x14ac:dyDescent="0.35">
      <c r="A13" s="413" t="str">
        <f>IF(G22&lt;&gt;0,ROUND(G22/24,1)&amp;" ml/u","")</f>
        <v/>
      </c>
      <c r="B13" s="121" t="s">
        <v>122</v>
      </c>
      <c r="C13" s="122"/>
      <c r="D13" s="122" t="s">
        <v>554</v>
      </c>
      <c r="E13" s="122" t="s">
        <v>554</v>
      </c>
      <c r="F13" s="123" t="s">
        <v>554</v>
      </c>
      <c r="G13" s="124" t="str">
        <f>IF(AND(TPN&lt;&gt;1,G15&lt;&gt;0),ROUND(ber_TPN!F7,0),"")</f>
        <v/>
      </c>
      <c r="H13" s="44"/>
    </row>
    <row r="14" spans="1:8" ht="20.100000000000001" customHeight="1" x14ac:dyDescent="0.35">
      <c r="A14" s="414"/>
      <c r="B14" s="125" t="s">
        <v>1317</v>
      </c>
      <c r="C14" s="126"/>
      <c r="D14" s="126" t="s">
        <v>1322</v>
      </c>
      <c r="E14" s="126" t="s">
        <v>176</v>
      </c>
      <c r="F14" s="127" t="s">
        <v>176</v>
      </c>
      <c r="G14" s="124" t="str">
        <f>IF(AND(TPN&lt;&gt;1,G15&lt;&gt;0),ROUND(ber_TPN!F8,0),"")</f>
        <v/>
      </c>
      <c r="H14" s="44"/>
    </row>
    <row r="15" spans="1:8" ht="20.100000000000001" customHeight="1" x14ac:dyDescent="0.35">
      <c r="A15" s="43"/>
      <c r="B15" s="125" t="s">
        <v>414</v>
      </c>
      <c r="C15" s="126"/>
      <c r="D15" s="126" t="s">
        <v>1230</v>
      </c>
      <c r="E15" s="126" t="s">
        <v>415</v>
      </c>
      <c r="F15" s="127" t="s">
        <v>420</v>
      </c>
      <c r="G15" s="128" t="str">
        <f>IF(TPN&lt;&gt;1,ber_TPN!F4,"")</f>
        <v/>
      </c>
      <c r="H15" s="44"/>
    </row>
    <row r="16" spans="1:8" ht="20.100000000000001" customHeight="1" x14ac:dyDescent="0.35">
      <c r="A16" s="43"/>
      <c r="B16" s="125" t="s">
        <v>952</v>
      </c>
      <c r="C16" s="126"/>
      <c r="D16" s="126"/>
      <c r="E16" s="434" t="s">
        <v>410</v>
      </c>
      <c r="F16" s="435"/>
      <c r="G16" s="128" t="str">
        <f>IF(AND(SSTglucose&lt;11,TPN&lt;&gt;1),ROUND(ber_TPN!F5,0),"")</f>
        <v/>
      </c>
      <c r="H16" s="44"/>
    </row>
    <row r="17" spans="1:8" ht="20.100000000000001" customHeight="1" x14ac:dyDescent="0.35">
      <c r="A17" s="43"/>
      <c r="B17" s="125" t="s">
        <v>940</v>
      </c>
      <c r="C17" s="126"/>
      <c r="D17" s="126" t="s">
        <v>416</v>
      </c>
      <c r="E17" s="126"/>
      <c r="F17" s="127"/>
      <c r="G17" s="128" t="str">
        <f>IF(AND(SSTglucose=2,TPN&lt;&gt;1),ROUND(ber_TPN!F6,0),"")</f>
        <v/>
      </c>
      <c r="H17" s="44"/>
    </row>
    <row r="18" spans="1:8" ht="20.100000000000001" customHeight="1" x14ac:dyDescent="0.35">
      <c r="A18" s="43"/>
      <c r="B18" s="125" t="s">
        <v>306</v>
      </c>
      <c r="C18" s="126"/>
      <c r="D18" s="126"/>
      <c r="E18" s="126" t="s">
        <v>417</v>
      </c>
      <c r="F18" s="127"/>
      <c r="G18" s="128" t="str">
        <f>IF(AND(SSTglucose=6,TPN&lt;&gt;1),ROUND(ber_TPN!F6,0),"")</f>
        <v/>
      </c>
      <c r="H18" s="44"/>
    </row>
    <row r="19" spans="1:8" ht="20.100000000000001" customHeight="1" x14ac:dyDescent="0.35">
      <c r="A19" s="43"/>
      <c r="B19" s="125" t="s">
        <v>418</v>
      </c>
      <c r="C19" s="126" t="s">
        <v>669</v>
      </c>
      <c r="D19" s="126"/>
      <c r="E19" s="126"/>
      <c r="F19" s="127" t="s">
        <v>1330</v>
      </c>
      <c r="G19" s="128" t="str">
        <f>IF(AND(SSTglucose=7,TPN&lt;&gt;1),ROUND(ber_TPN!F6,0),"")</f>
        <v/>
      </c>
      <c r="H19" s="44"/>
    </row>
    <row r="20" spans="1:8" ht="20.100000000000001" customHeight="1" x14ac:dyDescent="0.35">
      <c r="A20" s="43"/>
      <c r="B20" s="125" t="s">
        <v>419</v>
      </c>
      <c r="C20" s="126"/>
      <c r="D20" s="126"/>
      <c r="E20" s="126"/>
      <c r="F20" s="127" t="s">
        <v>1324</v>
      </c>
      <c r="G20" s="128" t="str">
        <f>IF(AND(SSTglucose=9,TPN&lt;&gt;1),ROUND(ber_TPN!F6,0),"")</f>
        <v/>
      </c>
      <c r="H20" s="44"/>
    </row>
    <row r="21" spans="1:8" ht="20.100000000000001" customHeight="1" x14ac:dyDescent="0.35">
      <c r="A21" s="43"/>
      <c r="B21" s="129" t="str">
        <f>IF(AND(TPN=2,SSTglucose&lt;&gt;2,SSTglucose&lt;&gt;6,SSTglucose&lt;&gt;7,SSTglucose&lt;&gt;9,SSTglucose&lt;11),INDEX(tblSSTGlucose,SSTglucose,1),"Glucose       %")</f>
        <v>Glucose       %</v>
      </c>
      <c r="C21" s="130"/>
      <c r="D21" s="130"/>
      <c r="E21" s="130"/>
      <c r="F21" s="131"/>
      <c r="G21" s="128" t="str">
        <f>IF(AND(TPN&lt;&gt;1,B19&lt;&gt;""),IF(AND(SSTglucose&lt;&gt;2,SSTglucose&lt;&gt;6,SSTglucose&lt;&gt;7,SSTglucose&lt;&gt;9,SSTglucose&lt;11),ROUND(ber_TPN!F6,0),""),"")</f>
        <v/>
      </c>
      <c r="H21" s="44"/>
    </row>
    <row r="22" spans="1:8" ht="15.95" customHeight="1" x14ac:dyDescent="0.35">
      <c r="A22" s="43"/>
      <c r="B22" s="111"/>
      <c r="C22" s="111"/>
      <c r="D22" s="111"/>
      <c r="E22" s="420" t="s">
        <v>647</v>
      </c>
      <c r="F22" s="420"/>
      <c r="G22" s="108">
        <f>SUM(G13:G21)</f>
        <v>0</v>
      </c>
      <c r="H22" s="106"/>
    </row>
    <row r="23" spans="1:8" ht="10.5" customHeight="1" x14ac:dyDescent="0.35">
      <c r="A23" s="43"/>
      <c r="B23" s="105"/>
      <c r="C23" s="105"/>
      <c r="D23" s="105"/>
      <c r="E23" s="105"/>
      <c r="F23" s="105"/>
      <c r="G23" s="48"/>
      <c r="H23" s="44"/>
    </row>
    <row r="24" spans="1:8" ht="20.100000000000001" customHeight="1" x14ac:dyDescent="0.35">
      <c r="A24" s="413" t="str">
        <f>IF(G27&lt;&gt;0,ROUND(G27/24,1)&amp;" ml/u","")</f>
        <v/>
      </c>
      <c r="B24" s="121" t="s">
        <v>606</v>
      </c>
      <c r="C24" s="122"/>
      <c r="D24" s="122" t="s">
        <v>1097</v>
      </c>
      <c r="E24" s="122" t="s">
        <v>554</v>
      </c>
      <c r="F24" s="123" t="s">
        <v>1231</v>
      </c>
      <c r="G24" s="124">
        <f>ROUND(ber_TPN!F13,0)</f>
        <v>0</v>
      </c>
      <c r="H24" s="49"/>
    </row>
    <row r="25" spans="1:8" ht="20.100000000000001" customHeight="1" x14ac:dyDescent="0.35">
      <c r="A25" s="414"/>
      <c r="B25" s="125" t="s">
        <v>607</v>
      </c>
      <c r="C25" s="126"/>
      <c r="D25" s="126"/>
      <c r="E25" s="434" t="s">
        <v>1153</v>
      </c>
      <c r="F25" s="435"/>
      <c r="G25" s="128">
        <f>ROUND(ber_TPN!F14,0)</f>
        <v>0</v>
      </c>
      <c r="H25" s="44"/>
    </row>
    <row r="26" spans="1:8" ht="20.100000000000001" customHeight="1" x14ac:dyDescent="0.35">
      <c r="A26" s="43"/>
      <c r="B26" s="125" t="s">
        <v>640</v>
      </c>
      <c r="C26" s="126"/>
      <c r="D26" s="126"/>
      <c r="E26" s="434" t="s">
        <v>1153</v>
      </c>
      <c r="F26" s="435"/>
      <c r="G26" s="128">
        <f>ROUND(ber_TPN!F15,0)</f>
        <v>0</v>
      </c>
      <c r="H26" s="44"/>
    </row>
    <row r="27" spans="1:8" ht="15.95" customHeight="1" x14ac:dyDescent="0.35">
      <c r="A27" s="43"/>
      <c r="B27" s="105"/>
      <c r="C27" s="105"/>
      <c r="D27" s="105"/>
      <c r="E27" s="420" t="s">
        <v>647</v>
      </c>
      <c r="F27" s="420"/>
      <c r="G27" s="110">
        <f>SUM(G24:G26)</f>
        <v>0</v>
      </c>
      <c r="H27" s="106"/>
    </row>
    <row r="28" spans="1:8" ht="10.5" customHeight="1" thickBot="1" x14ac:dyDescent="0.4">
      <c r="A28" s="43"/>
      <c r="B28" s="105"/>
      <c r="C28" s="105"/>
      <c r="D28" s="105"/>
      <c r="E28" s="105"/>
      <c r="F28" s="105"/>
      <c r="G28" s="48"/>
      <c r="H28" s="44"/>
    </row>
    <row r="29" spans="1:8" ht="15.95" customHeight="1" thickTop="1" x14ac:dyDescent="0.35">
      <c r="A29" s="50"/>
      <c r="B29" s="432" t="s">
        <v>380</v>
      </c>
      <c r="C29" s="433"/>
      <c r="D29" s="433"/>
      <c r="E29" s="433"/>
      <c r="F29" s="433"/>
      <c r="G29" s="98"/>
      <c r="H29" s="51"/>
    </row>
    <row r="30" spans="1:8" ht="20.100000000000001" customHeight="1" x14ac:dyDescent="0.35">
      <c r="A30" s="413" t="str">
        <f>IF(G38&lt;&gt;0,ROUND(G38/24,1)&amp;" ml/u","")</f>
        <v/>
      </c>
      <c r="B30" s="132" t="s">
        <v>122</v>
      </c>
      <c r="C30" s="134"/>
      <c r="D30" s="134"/>
      <c r="E30" s="134"/>
      <c r="F30" s="138"/>
      <c r="G30" s="139">
        <f>IF(AND(OR(TPN=1,AND(TPN=2,SSTglucose&gt;10))),ROUND(ber_TPN!F7,0),"")</f>
        <v>0</v>
      </c>
      <c r="H30" s="44"/>
    </row>
    <row r="31" spans="1:8" ht="20.100000000000001" customHeight="1" x14ac:dyDescent="0.35">
      <c r="A31" s="414"/>
      <c r="B31" s="133" t="s">
        <v>1320</v>
      </c>
      <c r="C31" s="136"/>
      <c r="D31" s="136"/>
      <c r="E31" s="136"/>
      <c r="F31" s="140"/>
      <c r="G31" s="141">
        <f>IF(AND(OR(TPN=1,AND(TPN=2,SSTglucose&gt;10))),ROUND(ber_TPN!F8,0),"")</f>
        <v>0</v>
      </c>
      <c r="H31" s="44"/>
    </row>
    <row r="32" spans="1:8" ht="20.100000000000001" customHeight="1" x14ac:dyDescent="0.35">
      <c r="A32" s="103"/>
      <c r="B32" s="133" t="s">
        <v>1352</v>
      </c>
      <c r="C32" s="136"/>
      <c r="D32" s="136"/>
      <c r="E32" s="136"/>
      <c r="F32" s="140"/>
      <c r="G32" s="141">
        <f>ber_TPN!F9</f>
        <v>0</v>
      </c>
      <c r="H32" s="44"/>
    </row>
    <row r="33" spans="1:8" ht="20.100000000000001" customHeight="1" x14ac:dyDescent="0.35">
      <c r="A33" s="103"/>
      <c r="B33" s="133" t="s">
        <v>1353</v>
      </c>
      <c r="C33" s="136"/>
      <c r="D33" s="136"/>
      <c r="E33" s="136"/>
      <c r="F33" s="140"/>
      <c r="G33" s="141">
        <f>ber_TPN!F10</f>
        <v>0</v>
      </c>
      <c r="H33" s="44"/>
    </row>
    <row r="34" spans="1:8" ht="20.100000000000001" customHeight="1" x14ac:dyDescent="0.35">
      <c r="A34" s="103"/>
      <c r="B34" s="133" t="s">
        <v>940</v>
      </c>
      <c r="C34" s="136"/>
      <c r="D34" s="136"/>
      <c r="E34" s="136"/>
      <c r="F34" s="140"/>
      <c r="G34" s="141">
        <f>ber_TPN!F16+IF(AND(SSTglucose=2,TPN=1),ROUND(ber_TPN!F6,0),0)</f>
        <v>0</v>
      </c>
      <c r="H34" s="44"/>
    </row>
    <row r="35" spans="1:8" ht="20.100000000000001" customHeight="1" x14ac:dyDescent="0.35">
      <c r="A35" s="103"/>
      <c r="B35" s="133" t="str">
        <f>IF(AND(OR(TPN=1,AND(TPN=2,SSTglucose&gt;10)),SSTglucose&lt;&gt;2,SSTglucose&lt;&gt;12,SSTglucose&lt;&gt;13),INDEX(tblSSTGlucose,SSTglucose,1),"Glucose       %")</f>
        <v>Glucose 5%</v>
      </c>
      <c r="C35" s="136"/>
      <c r="D35" s="136"/>
      <c r="E35" s="136"/>
      <c r="F35" s="140"/>
      <c r="G35" s="141">
        <f>IF(AND(OR(TPN=1,AND(TPN=2,SSTglucose&gt;10)),SSTglucose&lt;&gt;2,SSTglucose&lt;&gt;12,SSTglucose&lt;&gt;13),ber_TPN!F6,"")</f>
        <v>0</v>
      </c>
      <c r="H35" s="44"/>
    </row>
    <row r="36" spans="1:8" ht="20.100000000000001" customHeight="1" x14ac:dyDescent="0.35">
      <c r="A36" s="103"/>
      <c r="B36" s="430" t="s">
        <v>123</v>
      </c>
      <c r="C36" s="431"/>
      <c r="D36" s="431"/>
      <c r="E36" s="431"/>
      <c r="F36" s="140"/>
      <c r="G36" s="141" t="str">
        <f>IF(AND(SSTglucose=12),ROUND(ber_TPN!F6,0),"")</f>
        <v/>
      </c>
      <c r="H36" s="44"/>
    </row>
    <row r="37" spans="1:8" ht="20.100000000000001" customHeight="1" x14ac:dyDescent="0.35">
      <c r="A37" s="43"/>
      <c r="B37" s="430" t="s">
        <v>124</v>
      </c>
      <c r="C37" s="431"/>
      <c r="D37" s="431"/>
      <c r="E37" s="431"/>
      <c r="F37" s="140"/>
      <c r="G37" s="141" t="str">
        <f>IF(AND(SSTglucose=13),ROUND(ber_TPN!F6,0),"")</f>
        <v/>
      </c>
      <c r="H37" s="44"/>
    </row>
    <row r="38" spans="1:8" ht="15.95" customHeight="1" x14ac:dyDescent="0.35">
      <c r="A38" s="43"/>
      <c r="B38" s="48"/>
      <c r="C38" s="48"/>
      <c r="D38" s="48"/>
      <c r="E38" s="417" t="s">
        <v>649</v>
      </c>
      <c r="F38" s="417"/>
      <c r="G38" s="109">
        <f>SUM(G30:G37)</f>
        <v>0</v>
      </c>
      <c r="H38" s="44"/>
    </row>
    <row r="39" spans="1:8" ht="10.5" customHeight="1" thickBot="1" x14ac:dyDescent="0.4">
      <c r="A39" s="43"/>
      <c r="B39" s="48"/>
      <c r="C39" s="48"/>
      <c r="D39" s="48"/>
      <c r="E39" s="48"/>
      <c r="F39" s="48"/>
      <c r="G39" s="48"/>
      <c r="H39" s="44"/>
    </row>
    <row r="40" spans="1:8" ht="15.95" customHeight="1" thickTop="1" x14ac:dyDescent="0.35">
      <c r="A40" s="50"/>
      <c r="B40" s="421" t="s">
        <v>725</v>
      </c>
      <c r="C40" s="422"/>
      <c r="D40" s="422"/>
      <c r="E40" s="422"/>
      <c r="F40" s="423"/>
      <c r="G40" s="51" t="s">
        <v>726</v>
      </c>
      <c r="H40" s="51"/>
    </row>
    <row r="41" spans="1:8" ht="15.95" customHeight="1" x14ac:dyDescent="0.35">
      <c r="A41" s="52"/>
      <c r="B41" s="408" t="s">
        <v>727</v>
      </c>
      <c r="C41" s="409"/>
      <c r="D41" s="409"/>
      <c r="E41" s="409"/>
      <c r="F41" s="410"/>
      <c r="G41" s="46" t="s">
        <v>728</v>
      </c>
      <c r="H41" s="44"/>
    </row>
    <row r="42" spans="1:8" ht="15.95" customHeight="1" x14ac:dyDescent="0.35">
      <c r="A42" s="52"/>
      <c r="B42" s="408" t="s">
        <v>729</v>
      </c>
      <c r="C42" s="409"/>
      <c r="D42" s="409"/>
      <c r="E42" s="409"/>
      <c r="F42" s="410"/>
      <c r="G42" s="46" t="s">
        <v>726</v>
      </c>
      <c r="H42" s="47"/>
    </row>
    <row r="44" spans="1:8" x14ac:dyDescent="0.35">
      <c r="A44" s="11" t="s">
        <v>730</v>
      </c>
    </row>
    <row r="45" spans="1:8" x14ac:dyDescent="0.35">
      <c r="A45" s="11" t="s">
        <v>648</v>
      </c>
    </row>
    <row r="47" spans="1:8" x14ac:dyDescent="0.35">
      <c r="A47" s="11" t="s">
        <v>731</v>
      </c>
    </row>
    <row r="49" spans="1:6" x14ac:dyDescent="0.35">
      <c r="A49" s="11" t="s">
        <v>288</v>
      </c>
    </row>
    <row r="51" spans="1:6" ht="13.2" x14ac:dyDescent="0.4">
      <c r="F51" s="3"/>
    </row>
  </sheetData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755</v>
      </c>
      <c r="F1" s="3" t="s">
        <v>1224</v>
      </c>
    </row>
    <row r="3" spans="1:8" x14ac:dyDescent="0.35">
      <c r="A3" s="11" t="s">
        <v>756</v>
      </c>
      <c r="B3" s="54">
        <f ca="1">TODAY()</f>
        <v>42194</v>
      </c>
      <c r="F3" s="89">
        <f>PatNummer</f>
        <v>0</v>
      </c>
      <c r="G3" s="90"/>
      <c r="H3" s="91"/>
    </row>
    <row r="4" spans="1:8" x14ac:dyDescent="0.35">
      <c r="F4" s="92" t="str">
        <f>AchterNaam&amp;",  "&amp;VoorNaam</f>
        <v>Achternaam,  Voornaam</v>
      </c>
      <c r="G4" s="93"/>
      <c r="H4" s="94"/>
    </row>
    <row r="5" spans="1:8" x14ac:dyDescent="0.35">
      <c r="A5" s="11" t="s">
        <v>757</v>
      </c>
      <c r="B5" s="11" t="s">
        <v>1177</v>
      </c>
      <c r="F5" s="95">
        <f>GebDatum</f>
        <v>40909</v>
      </c>
      <c r="G5" s="93"/>
      <c r="H5" s="94"/>
    </row>
    <row r="6" spans="1:8" x14ac:dyDescent="0.35">
      <c r="F6" s="92" t="s">
        <v>873</v>
      </c>
      <c r="G6" s="93" t="str">
        <f>Gewicht/10&amp;" kg"</f>
        <v>10 kg</v>
      </c>
      <c r="H6" s="94"/>
    </row>
    <row r="7" spans="1:8" x14ac:dyDescent="0.35">
      <c r="A7" s="11" t="s">
        <v>976</v>
      </c>
      <c r="B7" s="11" t="s">
        <v>758</v>
      </c>
      <c r="F7" s="96"/>
      <c r="G7" s="80"/>
      <c r="H7" s="97"/>
    </row>
    <row r="8" spans="1:8" x14ac:dyDescent="0.35">
      <c r="A8" s="11" t="s">
        <v>904</v>
      </c>
      <c r="B8" s="11" t="s">
        <v>758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977</v>
      </c>
    </row>
    <row r="10" spans="1:8" ht="13.2" thickTop="1" x14ac:dyDescent="0.35">
      <c r="A10" s="399" t="s">
        <v>42</v>
      </c>
      <c r="B10" s="400"/>
      <c r="C10" s="400"/>
      <c r="D10" s="400"/>
      <c r="E10" s="400"/>
      <c r="F10" s="400"/>
      <c r="G10" s="400"/>
      <c r="H10" s="401"/>
    </row>
    <row r="11" spans="1:8" ht="25.65" x14ac:dyDescent="0.35">
      <c r="A11" s="43" t="s">
        <v>949</v>
      </c>
      <c r="B11" s="402" t="s">
        <v>546</v>
      </c>
      <c r="C11" s="404"/>
      <c r="D11" s="406" t="s">
        <v>547</v>
      </c>
      <c r="E11" s="406" t="s">
        <v>548</v>
      </c>
      <c r="F11" s="406" t="s">
        <v>549</v>
      </c>
      <c r="G11" s="44"/>
      <c r="H11" s="44" t="s">
        <v>550</v>
      </c>
    </row>
    <row r="12" spans="1:8" x14ac:dyDescent="0.35">
      <c r="A12" s="45" t="s">
        <v>551</v>
      </c>
      <c r="B12" s="403"/>
      <c r="C12" s="405"/>
      <c r="D12" s="407"/>
      <c r="E12" s="407"/>
      <c r="F12" s="407"/>
      <c r="G12" s="44" t="s">
        <v>552</v>
      </c>
      <c r="H12" s="46" t="s">
        <v>553</v>
      </c>
    </row>
    <row r="13" spans="1:8" ht="20.100000000000001" customHeight="1" x14ac:dyDescent="0.35">
      <c r="A13" s="149" t="str">
        <f>IF(G15&lt;&gt;0,ROUND(G15/24,1)&amp;" ml/u","")</f>
        <v/>
      </c>
      <c r="B13" s="125" t="s">
        <v>279</v>
      </c>
      <c r="C13" s="126"/>
      <c r="D13" s="126" t="s">
        <v>280</v>
      </c>
      <c r="E13" s="126" t="s">
        <v>281</v>
      </c>
      <c r="F13" s="127" t="s">
        <v>282</v>
      </c>
      <c r="G13" s="154" t="str">
        <f>IF(TPN&lt;&gt;1,ber_TPN!F4,"")</f>
        <v/>
      </c>
      <c r="H13" s="44"/>
    </row>
    <row r="14" spans="1:8" ht="20.100000000000001" customHeight="1" x14ac:dyDescent="0.35">
      <c r="A14" s="150"/>
      <c r="B14" s="125"/>
      <c r="C14" s="126"/>
      <c r="D14" s="126"/>
      <c r="E14" s="126"/>
      <c r="F14" s="127"/>
      <c r="G14" s="128"/>
      <c r="H14" s="44"/>
    </row>
    <row r="15" spans="1:8" ht="20.100000000000001" customHeight="1" x14ac:dyDescent="0.35">
      <c r="A15" s="43"/>
      <c r="B15" s="152"/>
      <c r="C15" s="152"/>
      <c r="D15" s="152"/>
      <c r="E15" s="152"/>
      <c r="F15" s="152" t="s">
        <v>649</v>
      </c>
      <c r="G15" s="153">
        <f>SUM(G13:G14)</f>
        <v>0</v>
      </c>
      <c r="H15" s="44"/>
    </row>
    <row r="16" spans="1:8" ht="20.100000000000001" customHeight="1" x14ac:dyDescent="0.35">
      <c r="A16" s="43"/>
      <c r="B16" s="126"/>
      <c r="C16" s="126"/>
      <c r="D16" s="126"/>
      <c r="E16" s="126"/>
      <c r="F16" s="126"/>
      <c r="G16" s="151"/>
      <c r="H16" s="44"/>
    </row>
    <row r="17" spans="1:8" ht="20.100000000000001" customHeight="1" x14ac:dyDescent="0.35">
      <c r="A17" s="150" t="str">
        <f>IF(G19&lt;&gt;0,ROUND(G19/24,1)&amp;" ml/u","")</f>
        <v/>
      </c>
      <c r="B17" s="125" t="s">
        <v>952</v>
      </c>
      <c r="C17" s="126"/>
      <c r="D17" s="126"/>
      <c r="E17" s="122"/>
      <c r="F17" s="123" t="s">
        <v>555</v>
      </c>
      <c r="G17" s="128">
        <f>IF(AND(OR(SSTglucose&lt;11,Gewicht/10&gt;50),TPN&lt;&gt;1),ROUND(ber_TPN!F5,0),0)</f>
        <v>0</v>
      </c>
      <c r="H17" s="44"/>
    </row>
    <row r="18" spans="1:8" ht="20.100000000000001" customHeight="1" x14ac:dyDescent="0.35">
      <c r="A18" s="43"/>
      <c r="B18" s="125" t="s">
        <v>940</v>
      </c>
      <c r="C18" s="126"/>
      <c r="D18" s="126"/>
      <c r="E18" s="126"/>
      <c r="F18" s="127" t="s">
        <v>278</v>
      </c>
      <c r="G18" s="128">
        <f>IF(G17&gt;0,100,0)</f>
        <v>0</v>
      </c>
      <c r="H18" s="44"/>
    </row>
    <row r="19" spans="1:8" ht="20.100000000000001" customHeight="1" x14ac:dyDescent="0.35">
      <c r="A19" s="43"/>
      <c r="B19" s="111"/>
      <c r="C19" s="111"/>
      <c r="D19" s="111"/>
      <c r="E19" s="420" t="s">
        <v>647</v>
      </c>
      <c r="F19" s="420"/>
      <c r="G19" s="108">
        <f>SUM(G17:G18)</f>
        <v>0</v>
      </c>
      <c r="H19" s="44"/>
    </row>
    <row r="20" spans="1:8" ht="20.100000000000001" customHeight="1" x14ac:dyDescent="0.35">
      <c r="A20" s="43"/>
      <c r="B20" s="105"/>
      <c r="C20" s="105"/>
      <c r="D20" s="105"/>
      <c r="E20" s="105"/>
      <c r="F20" s="105"/>
      <c r="G20" s="48"/>
      <c r="H20" s="44"/>
    </row>
    <row r="21" spans="1:8" ht="20.100000000000001" customHeight="1" x14ac:dyDescent="0.35">
      <c r="A21" s="43" t="str">
        <f>IF(G24&lt;&gt;0,ROUND(G24/24,1)&amp;" ml/u","")</f>
        <v/>
      </c>
      <c r="B21" s="121" t="s">
        <v>606</v>
      </c>
      <c r="C21" s="122"/>
      <c r="D21" s="122" t="s">
        <v>283</v>
      </c>
      <c r="E21" s="122" t="s">
        <v>284</v>
      </c>
      <c r="F21" s="123" t="s">
        <v>285</v>
      </c>
      <c r="G21" s="124">
        <f>ROUND(ber_TPN!F13,0)</f>
        <v>0</v>
      </c>
      <c r="H21" s="44"/>
    </row>
    <row r="22" spans="1:8" ht="20.100000000000001" customHeight="1" x14ac:dyDescent="0.35">
      <c r="A22" s="43"/>
      <c r="B22" s="125" t="s">
        <v>607</v>
      </c>
      <c r="C22" s="126"/>
      <c r="D22" s="126"/>
      <c r="E22" s="122"/>
      <c r="F22" s="123" t="s">
        <v>286</v>
      </c>
      <c r="G22" s="128">
        <f>ROUND(ber_TPN!F14,0)</f>
        <v>0</v>
      </c>
      <c r="H22" s="44"/>
    </row>
    <row r="23" spans="1:8" ht="20.100000000000001" customHeight="1" x14ac:dyDescent="0.35">
      <c r="A23" s="43"/>
      <c r="B23" s="125" t="s">
        <v>640</v>
      </c>
      <c r="C23" s="126"/>
      <c r="D23" s="126"/>
      <c r="E23" s="122"/>
      <c r="F23" s="123" t="s">
        <v>286</v>
      </c>
      <c r="G23" s="128">
        <f>ROUND(ber_TPN!F15,0)</f>
        <v>0</v>
      </c>
      <c r="H23" s="44"/>
    </row>
    <row r="24" spans="1:8" ht="20.100000000000001" customHeight="1" x14ac:dyDescent="0.35">
      <c r="A24" s="43"/>
      <c r="B24" s="105"/>
      <c r="C24" s="105"/>
      <c r="D24" s="105"/>
      <c r="E24" s="420" t="s">
        <v>647</v>
      </c>
      <c r="F24" s="420"/>
      <c r="G24" s="110">
        <f>SUM(G21:G23)</f>
        <v>0</v>
      </c>
      <c r="H24" s="106"/>
    </row>
    <row r="25" spans="1:8" ht="15.95" customHeight="1" thickBot="1" x14ac:dyDescent="0.4">
      <c r="A25" s="43"/>
      <c r="B25" s="105"/>
      <c r="C25" s="105"/>
      <c r="D25" s="105"/>
      <c r="E25" s="105"/>
      <c r="F25" s="105"/>
      <c r="G25" s="48"/>
      <c r="H25" s="44"/>
    </row>
    <row r="26" spans="1:8" ht="15.95" customHeight="1" thickTop="1" x14ac:dyDescent="0.35">
      <c r="A26" s="50"/>
      <c r="B26" s="432" t="s">
        <v>380</v>
      </c>
      <c r="C26" s="433"/>
      <c r="D26" s="433"/>
      <c r="E26" s="433"/>
      <c r="F26" s="433"/>
      <c r="G26" s="98"/>
      <c r="H26" s="51"/>
    </row>
    <row r="27" spans="1:8" ht="20.100000000000001" customHeight="1" x14ac:dyDescent="0.35">
      <c r="A27" s="413" t="str">
        <f>IF(G35&lt;&gt;0,ROUND(G35/24,1)&amp;" ml/u","")</f>
        <v/>
      </c>
      <c r="B27" s="132" t="s">
        <v>122</v>
      </c>
      <c r="C27" s="134"/>
      <c r="D27" s="134"/>
      <c r="E27" s="134"/>
      <c r="F27" s="138"/>
      <c r="G27" s="139">
        <f>IF(AND(OR(TPN=1,Gewicht/10&gt;50,AND(TPN=2,SSTglucose&gt;10))),ROUND(ber_TPN!F7,0),"")</f>
        <v>0</v>
      </c>
      <c r="H27" s="44"/>
    </row>
    <row r="28" spans="1:8" ht="20.100000000000001" customHeight="1" x14ac:dyDescent="0.35">
      <c r="A28" s="414"/>
      <c r="B28" s="133" t="s">
        <v>1320</v>
      </c>
      <c r="C28" s="136"/>
      <c r="D28" s="136"/>
      <c r="E28" s="136"/>
      <c r="F28" s="140"/>
      <c r="G28" s="141">
        <f>IF(AND(OR(TPN=1,Gewicht/10&gt;50,AND(TPN=2,SSTglucose&gt;10))),ROUND(ber_TPN!F8,0),"")</f>
        <v>0</v>
      </c>
      <c r="H28" s="44"/>
    </row>
    <row r="29" spans="1:8" ht="15.95" customHeight="1" x14ac:dyDescent="0.35">
      <c r="A29" s="103"/>
      <c r="B29" s="133" t="s">
        <v>1352</v>
      </c>
      <c r="C29" s="136"/>
      <c r="D29" s="136"/>
      <c r="E29" s="136"/>
      <c r="F29" s="140"/>
      <c r="G29" s="141">
        <f>ber_TPN!F9</f>
        <v>0</v>
      </c>
      <c r="H29" s="44"/>
    </row>
    <row r="30" spans="1:8" ht="15.95" customHeight="1" x14ac:dyDescent="0.35">
      <c r="A30" s="103"/>
      <c r="B30" s="133" t="s">
        <v>1353</v>
      </c>
      <c r="C30" s="136"/>
      <c r="D30" s="136"/>
      <c r="E30" s="136"/>
      <c r="F30" s="140"/>
      <c r="G30" s="141">
        <f>ber_TPN!F10</f>
        <v>0</v>
      </c>
      <c r="H30" s="44"/>
    </row>
    <row r="31" spans="1:8" ht="15.95" customHeight="1" x14ac:dyDescent="0.35">
      <c r="A31" s="103"/>
      <c r="B31" s="133" t="s">
        <v>940</v>
      </c>
      <c r="C31" s="136"/>
      <c r="D31" s="136"/>
      <c r="E31" s="136"/>
      <c r="F31" s="140"/>
      <c r="G31" s="141">
        <f>IF(Gewicht/10&lt;=50,ber_TPN!F16,0)+IF(OR(AND(SSTglucose=2,TPN=1),AND(SSTglucose=2,Gewicht/10&gt;50)),ROUND(ber_TPN!F6,0),0)</f>
        <v>0</v>
      </c>
      <c r="H31" s="44"/>
    </row>
    <row r="32" spans="1:8" ht="15.95" customHeight="1" x14ac:dyDescent="0.35">
      <c r="A32" s="103"/>
      <c r="B32" s="133" t="str">
        <f>IF(AND(OR(TPN=1,AND(TPN=2,SSTglucose&gt;10)),SSTglucose&lt;&gt;2,SSTglucose&lt;&gt;12,SSTglucose&lt;&gt;13),INDEX(tblSSTGlucose,SSTglucose,1),"Glucose       %")</f>
        <v>Glucose 5%</v>
      </c>
      <c r="C32" s="136"/>
      <c r="D32" s="136"/>
      <c r="E32" s="136"/>
      <c r="F32" s="140"/>
      <c r="G32" s="141">
        <f>IF(AND(SSTglucose&lt;&gt;2,SSTglucose&lt;&gt;12,SSTglucose&lt;&gt;13),ber_TPN!F6,"")</f>
        <v>0</v>
      </c>
      <c r="H32" s="44"/>
    </row>
    <row r="33" spans="1:8" ht="15.95" customHeight="1" x14ac:dyDescent="0.35">
      <c r="A33" s="103"/>
      <c r="B33" s="430" t="s">
        <v>123</v>
      </c>
      <c r="C33" s="431"/>
      <c r="D33" s="431"/>
      <c r="E33" s="431"/>
      <c r="F33" s="140"/>
      <c r="G33" s="141" t="str">
        <f>IF(AND(SSTglucose=12),ROUND(ber_TPN!F6,0),"")</f>
        <v/>
      </c>
      <c r="H33" s="44"/>
    </row>
    <row r="34" spans="1:8" ht="20.100000000000001" customHeight="1" x14ac:dyDescent="0.35">
      <c r="A34" s="43"/>
      <c r="B34" s="430" t="s">
        <v>124</v>
      </c>
      <c r="C34" s="431"/>
      <c r="D34" s="431"/>
      <c r="E34" s="431"/>
      <c r="F34" s="140"/>
      <c r="G34" s="141" t="str">
        <f>IF(AND(SSTglucose=13),ROUND(ber_TPN!F6,0),"")</f>
        <v/>
      </c>
      <c r="H34" s="44"/>
    </row>
    <row r="35" spans="1:8" ht="20.100000000000001" customHeight="1" x14ac:dyDescent="0.35">
      <c r="A35" s="43"/>
      <c r="B35" s="48"/>
      <c r="C35" s="48"/>
      <c r="D35" s="48"/>
      <c r="E35" s="417" t="s">
        <v>649</v>
      </c>
      <c r="F35" s="417"/>
      <c r="G35" s="109">
        <f>SUM(G27:G34)</f>
        <v>0</v>
      </c>
      <c r="H35" s="44"/>
    </row>
    <row r="36" spans="1:8" ht="20.100000000000001" customHeight="1" thickBot="1" x14ac:dyDescent="0.4">
      <c r="A36" s="43"/>
      <c r="B36" s="48"/>
      <c r="C36" s="48"/>
      <c r="D36" s="48"/>
      <c r="E36" s="48"/>
      <c r="F36" s="48"/>
      <c r="G36" s="48"/>
      <c r="H36" s="44"/>
    </row>
    <row r="37" spans="1:8" ht="20.100000000000001" customHeight="1" thickTop="1" x14ac:dyDescent="0.35">
      <c r="A37" s="50"/>
      <c r="B37" s="421" t="s">
        <v>725</v>
      </c>
      <c r="C37" s="422"/>
      <c r="D37" s="422"/>
      <c r="E37" s="422"/>
      <c r="F37" s="423"/>
      <c r="G37" s="51" t="s">
        <v>726</v>
      </c>
      <c r="H37" s="51"/>
    </row>
    <row r="38" spans="1:8" ht="20.100000000000001" customHeight="1" x14ac:dyDescent="0.35">
      <c r="A38" s="52"/>
      <c r="B38" s="408" t="s">
        <v>727</v>
      </c>
      <c r="C38" s="409"/>
      <c r="D38" s="409"/>
      <c r="E38" s="409"/>
      <c r="F38" s="410"/>
      <c r="G38" s="46" t="s">
        <v>728</v>
      </c>
      <c r="H38" s="44"/>
    </row>
    <row r="39" spans="1:8" ht="20.100000000000001" customHeight="1" x14ac:dyDescent="0.35">
      <c r="A39" s="52"/>
      <c r="B39" s="408" t="s">
        <v>729</v>
      </c>
      <c r="C39" s="409"/>
      <c r="D39" s="409"/>
      <c r="E39" s="409"/>
      <c r="F39" s="410"/>
      <c r="G39" s="46" t="s">
        <v>726</v>
      </c>
      <c r="H39" s="47"/>
    </row>
    <row r="40" spans="1:8" ht="20.100000000000001" customHeight="1" x14ac:dyDescent="0.35"/>
    <row r="41" spans="1:8" ht="15.95" customHeight="1" x14ac:dyDescent="0.35">
      <c r="A41" s="11" t="s">
        <v>730</v>
      </c>
    </row>
    <row r="42" spans="1:8" ht="10.5" customHeight="1" x14ac:dyDescent="0.35">
      <c r="A42" s="11" t="s">
        <v>648</v>
      </c>
    </row>
    <row r="43" spans="1:8" ht="15.95" customHeight="1" x14ac:dyDescent="0.35"/>
    <row r="44" spans="1:8" ht="15.95" customHeight="1" x14ac:dyDescent="0.35">
      <c r="A44" s="11" t="s">
        <v>731</v>
      </c>
    </row>
    <row r="45" spans="1:8" ht="15.95" customHeight="1" x14ac:dyDescent="0.35"/>
    <row r="46" spans="1:8" x14ac:dyDescent="0.35">
      <c r="A46" s="11" t="s">
        <v>288</v>
      </c>
    </row>
    <row r="48" spans="1:8" ht="13.2" x14ac:dyDescent="0.4">
      <c r="F48" s="3"/>
    </row>
  </sheetData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837</vt:i4>
      </vt:variant>
    </vt:vector>
  </HeadingPairs>
  <TitlesOfParts>
    <vt:vector size="870" baseType="lpstr">
      <vt:lpstr>HEIGHTNL.CRF</vt:lpstr>
      <vt:lpstr>WEIGHTNL.CRF</vt:lpstr>
      <vt:lpstr>AcuteOpvang</vt:lpstr>
      <vt:lpstr>ber_Opm</vt:lpstr>
      <vt:lpstr>AfsprakenCMV</vt:lpstr>
      <vt:lpstr>dbBead</vt:lpstr>
      <vt:lpstr>Temp</vt:lpstr>
      <vt:lpstr>Patienten</vt:lpstr>
      <vt:lpstr>AfsprakenTekst</vt:lpstr>
      <vt:lpstr>MedicatieIV</vt:lpstr>
      <vt:lpstr>tblMedicatieIV</vt:lpstr>
      <vt:lpstr>ber_IVmed</vt:lpstr>
      <vt:lpstr>Instellen</vt:lpstr>
      <vt:lpstr>Med_disc</vt:lpstr>
      <vt:lpstr>ber_Med_disc</vt:lpstr>
      <vt:lpstr>ber_tijden</vt:lpstr>
      <vt:lpstr>Medicatie</vt:lpstr>
      <vt:lpstr>Infusen</vt:lpstr>
      <vt:lpstr>ber_Infusen</vt:lpstr>
      <vt:lpstr>ber_normaal</vt:lpstr>
      <vt:lpstr>Intake</vt:lpstr>
      <vt:lpstr>ber_TPN</vt:lpstr>
      <vt:lpstr>Ber_Lab</vt:lpstr>
      <vt:lpstr>Lab</vt:lpstr>
      <vt:lpstr>ber_totalen</vt:lpstr>
      <vt:lpstr>ber_bead</vt:lpstr>
      <vt:lpstr>conversie</vt:lpstr>
      <vt:lpstr>ber_PO</vt:lpstr>
      <vt:lpstr>TPN2tot6kg</vt:lpstr>
      <vt:lpstr>TPN7tot15kg</vt:lpstr>
      <vt:lpstr>TPN16tot30kg</vt:lpstr>
      <vt:lpstr>TPN31tot50kg</vt:lpstr>
      <vt:lpstr>TPNboven50kg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tblMedicationContIV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2015-07-09T09:46:27Z</dcterms:modified>
</cp:coreProperties>
</file>