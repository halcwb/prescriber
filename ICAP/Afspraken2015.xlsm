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1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L11" i="71" s="1"/>
  <c r="F12" i="71"/>
  <c r="F11" i="71"/>
  <c r="S11" i="71"/>
  <c r="O11" i="71"/>
  <c r="N11" i="71"/>
  <c r="M11" i="71"/>
  <c r="Q11" i="71" l="1"/>
  <c r="P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<sst xmlns="http://schemas.openxmlformats.org/spreadsheetml/2006/main" count="2683" uniqueCount="1270">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</sst>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" fillId="0" borderId="0" xfId="0" applyFont="1" applyFill="1" applyProtection="1">
      <protection locked="0" hidden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9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8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50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5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0,2 mg iv</v>
      </c>
      <c r="E16" s="340" t="str">
        <f>"= "&amp;IF(ROUND(0.02*(E5),1)&lt;0.1,0.1,IF(ROUND(0.02*(E5),1)&gt;0.5,0.5,ROUND(0.02*(E5),1)))*2&amp;" ml van 0,5 mg/ml (min 0,1 mg)"</f>
        <v>= 0,4 ml van 0,5 mg/ml (min 0,1 mg)</v>
      </c>
      <c r="F16" s="340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0,1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40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751</v>
      </c>
      <c r="C27" s="224" t="s">
        <v>1159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835</v>
      </c>
      <c r="D28" s="228" t="str">
        <f>IF(E5/10&gt;10,"10 ml iv",E5/10 &amp;" ml iv")</f>
        <v>1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246</v>
      </c>
      <c r="C30" s="224" t="s">
        <v>295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755</v>
      </c>
      <c r="D31" s="65" t="str">
        <f>IF((20*E5)&gt;1500,"1500 mg iv",20*E5&amp;" mg iv")</f>
        <v>200 mg iv</v>
      </c>
      <c r="E31" s="340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40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10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fcmsTmMP2cIOzoAvsDdVgdyCVwXzzsIo6BdXAIw8soTtq0MvdQxuUTqakrgHbIJk8H85DUO57t9v95QAODOxvA==" saltValue="UmS4qvqRLjiYPaqXPWFWYA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42248</v>
      </c>
      <c r="E2" s="70" t="s">
        <v>1195</v>
      </c>
      <c r="F2" s="344" t="str">
        <f>_AchterNaam&amp;", "&amp;_VoorNaam</f>
        <v>Achternaam, Voornaam</v>
      </c>
      <c r="G2" s="344"/>
      <c r="H2" s="71" t="s">
        <v>759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886</v>
      </c>
      <c r="E3" s="70" t="s">
        <v>1193</v>
      </c>
      <c r="F3" s="50">
        <f>GebDatum</f>
        <v>40909</v>
      </c>
      <c r="G3" s="47"/>
      <c r="H3" s="71" t="s">
        <v>351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45">
        <f>ber_Opm!C15</f>
        <v>0</v>
      </c>
      <c r="E11" s="346"/>
      <c r="F11" s="346"/>
      <c r="G11" s="346"/>
      <c r="H11" s="346"/>
      <c r="I11" s="346"/>
      <c r="J11" s="346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7"/>
      <c r="F14" s="357"/>
      <c r="G14" s="357"/>
      <c r="H14" s="357"/>
      <c r="I14" s="357"/>
      <c r="J14" s="357"/>
      <c r="L14" s="87"/>
    </row>
    <row r="15" spans="1:12" ht="12.65" customHeight="1" x14ac:dyDescent="0.35">
      <c r="B15" s="71"/>
      <c r="C15" s="71" t="s">
        <v>1183</v>
      </c>
      <c r="D15" s="352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53"/>
      <c r="F15" s="353"/>
      <c r="G15" s="353"/>
      <c r="H15" s="353"/>
      <c r="I15" s="353"/>
      <c r="J15" s="353"/>
      <c r="L15" s="87"/>
    </row>
    <row r="16" spans="1:12" ht="12.65" customHeight="1" x14ac:dyDescent="0.35">
      <c r="B16" s="71"/>
      <c r="C16" s="71" t="s">
        <v>1184</v>
      </c>
      <c r="D16" s="352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8"/>
      <c r="F16" s="358"/>
      <c r="G16" s="358"/>
      <c r="H16" s="358"/>
      <c r="I16" s="358"/>
      <c r="J16" s="358"/>
      <c r="L16" s="87"/>
    </row>
    <row r="17" spans="1:12" ht="12.65" customHeight="1" x14ac:dyDescent="0.35">
      <c r="B17" s="71"/>
      <c r="C17" s="71" t="s">
        <v>387</v>
      </c>
      <c r="D17" s="352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8"/>
      <c r="F17" s="358"/>
      <c r="G17" s="358"/>
      <c r="H17" s="358"/>
      <c r="I17" s="358"/>
      <c r="J17" s="358"/>
      <c r="L17" s="87"/>
    </row>
    <row r="18" spans="1:12" ht="12.65" customHeight="1" x14ac:dyDescent="0.35">
      <c r="B18" s="71"/>
      <c r="C18" s="76" t="s">
        <v>46</v>
      </c>
      <c r="D18" s="352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9"/>
      <c r="F18" s="359"/>
      <c r="G18" s="359"/>
      <c r="H18" s="359"/>
      <c r="I18" s="359"/>
      <c r="J18" s="359"/>
      <c r="L18" s="87"/>
    </row>
    <row r="19" spans="1:12" ht="12.65" customHeight="1" x14ac:dyDescent="0.35">
      <c r="B19" s="71"/>
      <c r="C19" s="76" t="s">
        <v>791</v>
      </c>
      <c r="D19" s="347">
        <f>ber_Opm!C10</f>
        <v>0</v>
      </c>
      <c r="E19" s="348"/>
      <c r="F19" s="348"/>
      <c r="G19" s="348"/>
      <c r="H19" s="348"/>
      <c r="I19" s="348"/>
      <c r="J19" s="348"/>
      <c r="L19" s="87"/>
    </row>
    <row r="20" spans="1:12" ht="12.65" customHeight="1" x14ac:dyDescent="0.35">
      <c r="A20" s="55"/>
      <c r="B20" s="73"/>
      <c r="C20" s="75"/>
      <c r="D20" s="349"/>
      <c r="E20" s="349"/>
      <c r="F20" s="349"/>
      <c r="G20" s="349"/>
      <c r="H20" s="349"/>
      <c r="I20" s="349"/>
      <c r="J20" s="349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178</v>
      </c>
      <c r="C28" s="35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51"/>
      <c r="E28" s="351"/>
      <c r="F28" s="351"/>
      <c r="G28" s="351"/>
      <c r="H28" s="351"/>
      <c r="I28" s="351"/>
      <c r="J28" s="351"/>
      <c r="L28" s="87"/>
    </row>
    <row r="29" spans="1:12" ht="12.65" customHeight="1" x14ac:dyDescent="0.35">
      <c r="C29" s="351"/>
      <c r="D29" s="351"/>
      <c r="E29" s="351"/>
      <c r="F29" s="351"/>
      <c r="G29" s="351"/>
      <c r="H29" s="351"/>
      <c r="I29" s="351"/>
      <c r="J29" s="351"/>
      <c r="L29" s="87"/>
    </row>
    <row r="30" spans="1:12" ht="12.65" customHeight="1" x14ac:dyDescent="0.35">
      <c r="B30" s="51" t="s">
        <v>179</v>
      </c>
      <c r="C30" s="354">
        <f>ber_Opm!C11</f>
        <v>0</v>
      </c>
      <c r="D30" s="354"/>
      <c r="E30" s="354"/>
      <c r="F30" s="354"/>
      <c r="G30" s="354"/>
      <c r="H30" s="354"/>
      <c r="I30" s="354"/>
      <c r="J30" s="354"/>
      <c r="L30" s="87"/>
    </row>
    <row r="31" spans="1:12" ht="7" customHeight="1" x14ac:dyDescent="0.35">
      <c r="C31" s="355"/>
      <c r="D31" s="355"/>
      <c r="E31" s="355"/>
      <c r="F31" s="355"/>
      <c r="G31" s="355"/>
      <c r="H31" s="355"/>
      <c r="I31" s="355"/>
      <c r="J31" s="355"/>
      <c r="L31" s="87"/>
    </row>
    <row r="32" spans="1:12" ht="7" customHeight="1" x14ac:dyDescent="0.35">
      <c r="C32" s="355"/>
      <c r="D32" s="355"/>
      <c r="E32" s="355"/>
      <c r="F32" s="355"/>
      <c r="G32" s="355"/>
      <c r="H32" s="355"/>
      <c r="I32" s="355"/>
      <c r="J32" s="355"/>
      <c r="L32" s="87"/>
    </row>
    <row r="33" spans="1:12" ht="7" customHeight="1" x14ac:dyDescent="0.35">
      <c r="C33" s="355"/>
      <c r="D33" s="355"/>
      <c r="E33" s="355"/>
      <c r="F33" s="355"/>
      <c r="G33" s="355"/>
      <c r="H33" s="355"/>
      <c r="I33" s="355"/>
      <c r="J33" s="355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42248</v>
      </c>
      <c r="E41" s="70" t="s">
        <v>1195</v>
      </c>
      <c r="F41" s="344" t="str">
        <f>_AchterNaam&amp;", "&amp;_VoorNaam</f>
        <v>Achternaam, Voornaam</v>
      </c>
      <c r="G41" s="344"/>
      <c r="H41" s="71" t="s">
        <v>759</v>
      </c>
      <c r="I41" s="48" t="str">
        <f>Gewicht/10&amp;" kg"</f>
        <v>10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886</v>
      </c>
      <c r="E42" s="70" t="s">
        <v>1193</v>
      </c>
      <c r="F42" s="50">
        <f>GebDatum</f>
        <v>40909</v>
      </c>
      <c r="G42" s="315"/>
      <c r="H42" s="71" t="s">
        <v>351</v>
      </c>
      <c r="I42" s="48" t="str">
        <f>Lengte&amp;" cm"</f>
        <v>80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45">
        <f>ber_Opm!C3</f>
        <v>0</v>
      </c>
      <c r="E53" s="346"/>
      <c r="F53" s="346"/>
      <c r="G53" s="346"/>
      <c r="H53" s="346"/>
      <c r="I53" s="346"/>
      <c r="J53" s="346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7">
        <f>ber_Opm!C4</f>
        <v>0</v>
      </c>
      <c r="E74" s="347"/>
      <c r="F74" s="347"/>
      <c r="G74" s="347"/>
      <c r="H74" s="347"/>
      <c r="I74" s="347"/>
      <c r="J74" s="347"/>
      <c r="L74" s="87"/>
    </row>
    <row r="75" spans="1:12" ht="12.65" customHeight="1" x14ac:dyDescent="0.35">
      <c r="D75" s="350"/>
      <c r="E75" s="350"/>
      <c r="F75" s="350"/>
      <c r="G75" s="350"/>
      <c r="H75" s="350"/>
      <c r="I75" s="350"/>
      <c r="J75" s="350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45">
        <f>ber_Opm!C9</f>
        <v>0</v>
      </c>
      <c r="E99" s="346"/>
      <c r="F99" s="346"/>
      <c r="G99" s="346"/>
      <c r="H99" s="346"/>
      <c r="I99" s="346"/>
      <c r="J99" s="346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42248</v>
      </c>
      <c r="E106" s="70" t="s">
        <v>1195</v>
      </c>
      <c r="F106" s="344" t="str">
        <f>_AchterNaam&amp;", "&amp;_VoorNaam</f>
        <v>Achternaam, Voornaam</v>
      </c>
      <c r="G106" s="344"/>
      <c r="H106" s="71" t="s">
        <v>759</v>
      </c>
      <c r="I106" s="48" t="str">
        <f>Gewicht/10&amp;" kg"</f>
        <v>10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886</v>
      </c>
      <c r="E107" s="70" t="s">
        <v>1193</v>
      </c>
      <c r="F107" s="50">
        <f>GebDatum</f>
        <v>40909</v>
      </c>
      <c r="G107" s="315"/>
      <c r="H107" s="71" t="s">
        <v>351</v>
      </c>
      <c r="I107" s="48" t="str">
        <f>Lengte&amp;" cm"</f>
        <v>80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42" t="s">
        <v>344</v>
      </c>
      <c r="B115" s="343"/>
      <c r="C115" s="129" t="s">
        <v>345</v>
      </c>
      <c r="D115" s="129" t="s">
        <v>347</v>
      </c>
      <c r="E115" s="342" t="s">
        <v>349</v>
      </c>
      <c r="F115" s="343"/>
      <c r="G115" s="134" t="s">
        <v>347</v>
      </c>
      <c r="H115" s="342" t="s">
        <v>348</v>
      </c>
      <c r="I115" s="343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y1YcbcWGF+M/84RJggloBvd7puRR82j2cI+pEp0ZfjxBqtoO2YisL2zFgrdaHFP3Zpp3U1MoC0gErJEh6jbdCg==" saltValue="KavP/2HSxfEiTO1GtO95ow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42248</v>
      </c>
      <c r="C2" s="32">
        <v>41363</v>
      </c>
      <c r="D2" t="s">
        <v>746</v>
      </c>
      <c r="E2" t="s">
        <v>747</v>
      </c>
      <c r="F2" s="32">
        <v>40909</v>
      </c>
      <c r="G2">
        <v>100</v>
      </c>
      <c r="H2">
        <v>80</v>
      </c>
      <c r="I2" s="304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topLeftCell="A525"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1229</v>
      </c>
      <c r="B2" t="s">
        <v>746</v>
      </c>
      <c r="FIO2">
        <v>30</v>
      </c>
    </row>
    <row r="3" spans="1:2 4305:4305" x14ac:dyDescent="0.35">
      <c r="A3" t="s">
        <v>1230</v>
      </c>
      <c r="B3" t="s">
        <v>747</v>
      </c>
    </row>
    <row r="4" spans="1:2 4305:4305" x14ac:dyDescent="0.35">
      <c r="A4" t="s">
        <v>980</v>
      </c>
      <c r="B4" t="b">
        <v>0</v>
      </c>
    </row>
    <row r="5" spans="1:2 4305:4305" x14ac:dyDescent="0.35">
      <c r="A5" t="s">
        <v>981</v>
      </c>
    </row>
    <row r="6" spans="1:2 4305:4305" x14ac:dyDescent="0.35">
      <c r="A6" t="s">
        <v>753</v>
      </c>
      <c r="B6" t="b">
        <v>1</v>
      </c>
    </row>
    <row r="7" spans="1:2 4305:4305" x14ac:dyDescent="0.35">
      <c r="A7" t="s">
        <v>1032</v>
      </c>
    </row>
    <row r="8" spans="1:2 4305:4305" x14ac:dyDescent="0.35">
      <c r="A8" t="s">
        <v>938</v>
      </c>
    </row>
    <row r="9" spans="1:2 4305:4305" x14ac:dyDescent="0.35">
      <c r="A9" t="s">
        <v>939</v>
      </c>
    </row>
    <row r="10" spans="1:2 4305:4305" x14ac:dyDescent="0.35">
      <c r="A10" t="s">
        <v>940</v>
      </c>
    </row>
    <row r="11" spans="1:2 4305:4305" x14ac:dyDescent="0.35">
      <c r="A11" t="s">
        <v>941</v>
      </c>
    </row>
    <row r="12" spans="1:2 4305:4305" x14ac:dyDescent="0.35">
      <c r="A12" t="s">
        <v>961</v>
      </c>
    </row>
    <row r="13" spans="1:2 4305:4305" x14ac:dyDescent="0.35">
      <c r="A13" t="s">
        <v>962</v>
      </c>
    </row>
    <row r="14" spans="1:2 4305:4305" x14ac:dyDescent="0.35">
      <c r="A14" t="s">
        <v>977</v>
      </c>
    </row>
    <row r="15" spans="1:2 4305:4305" x14ac:dyDescent="0.35">
      <c r="A15" t="s">
        <v>978</v>
      </c>
    </row>
    <row r="16" spans="1:2 4305:4305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2" x14ac:dyDescent="0.35">
      <c r="A49" t="s">
        <v>195</v>
      </c>
    </row>
    <row r="50" spans="1:2" x14ac:dyDescent="0.35">
      <c r="A50" t="s">
        <v>196</v>
      </c>
    </row>
    <row r="51" spans="1:2" x14ac:dyDescent="0.35">
      <c r="A51" t="s">
        <v>197</v>
      </c>
    </row>
    <row r="52" spans="1:2" x14ac:dyDescent="0.35">
      <c r="A52" t="s">
        <v>198</v>
      </c>
    </row>
    <row r="53" spans="1:2" x14ac:dyDescent="0.35">
      <c r="A53" t="s">
        <v>199</v>
      </c>
    </row>
    <row r="54" spans="1:2" x14ac:dyDescent="0.35">
      <c r="A54" t="s">
        <v>590</v>
      </c>
    </row>
    <row r="55" spans="1:2" x14ac:dyDescent="0.35">
      <c r="A55" t="s">
        <v>591</v>
      </c>
    </row>
    <row r="56" spans="1:2" x14ac:dyDescent="0.35">
      <c r="A56" t="s">
        <v>612</v>
      </c>
    </row>
    <row r="57" spans="1:2" x14ac:dyDescent="0.35">
      <c r="A57" t="s">
        <v>402</v>
      </c>
      <c r="B57">
        <v>1</v>
      </c>
    </row>
    <row r="58" spans="1:2" x14ac:dyDescent="0.35">
      <c r="A58" t="s">
        <v>403</v>
      </c>
    </row>
    <row r="59" spans="1:2" x14ac:dyDescent="0.35">
      <c r="A59" t="s">
        <v>404</v>
      </c>
    </row>
    <row r="60" spans="1:2" x14ac:dyDescent="0.35">
      <c r="A60" t="s">
        <v>405</v>
      </c>
    </row>
    <row r="61" spans="1:2" x14ac:dyDescent="0.35">
      <c r="A61" t="s">
        <v>554</v>
      </c>
      <c r="B61">
        <v>40909</v>
      </c>
    </row>
    <row r="62" spans="1:2" x14ac:dyDescent="0.35">
      <c r="A62" t="s">
        <v>759</v>
      </c>
      <c r="B62">
        <v>100</v>
      </c>
    </row>
    <row r="63" spans="1:2" x14ac:dyDescent="0.35">
      <c r="A63" t="s">
        <v>392</v>
      </c>
      <c r="B63">
        <v>1</v>
      </c>
    </row>
    <row r="64" spans="1:2" x14ac:dyDescent="0.35">
      <c r="A64" t="s">
        <v>393</v>
      </c>
      <c r="B64">
        <v>1</v>
      </c>
    </row>
    <row r="65" spans="1:2" x14ac:dyDescent="0.35">
      <c r="A65" t="s">
        <v>394</v>
      </c>
      <c r="B65">
        <v>1</v>
      </c>
    </row>
    <row r="66" spans="1:2" x14ac:dyDescent="0.35">
      <c r="A66" t="s">
        <v>395</v>
      </c>
      <c r="B66">
        <v>1</v>
      </c>
    </row>
    <row r="67" spans="1:2" x14ac:dyDescent="0.35">
      <c r="A67" t="s">
        <v>396</v>
      </c>
      <c r="B67">
        <v>1</v>
      </c>
    </row>
    <row r="68" spans="1:2" x14ac:dyDescent="0.35">
      <c r="A68" t="s">
        <v>986</v>
      </c>
      <c r="B68">
        <v>1</v>
      </c>
    </row>
    <row r="69" spans="1:2" x14ac:dyDescent="0.35">
      <c r="A69" t="s">
        <v>365</v>
      </c>
      <c r="B69" t="b">
        <v>0</v>
      </c>
    </row>
    <row r="70" spans="1:2" x14ac:dyDescent="0.35">
      <c r="A70" t="s">
        <v>955</v>
      </c>
    </row>
    <row r="71" spans="1:2" x14ac:dyDescent="0.35">
      <c r="A71" t="s">
        <v>366</v>
      </c>
    </row>
    <row r="72" spans="1:2" x14ac:dyDescent="0.35">
      <c r="A72" t="s">
        <v>956</v>
      </c>
    </row>
    <row r="73" spans="1:2" x14ac:dyDescent="0.35">
      <c r="A73" t="s">
        <v>406</v>
      </c>
      <c r="B73">
        <v>1</v>
      </c>
    </row>
    <row r="74" spans="1:2" x14ac:dyDescent="0.35">
      <c r="A74" t="s">
        <v>407</v>
      </c>
    </row>
    <row r="75" spans="1:2" x14ac:dyDescent="0.35">
      <c r="A75" t="s">
        <v>408</v>
      </c>
    </row>
    <row r="76" spans="1:2" x14ac:dyDescent="0.35">
      <c r="A76" t="s">
        <v>409</v>
      </c>
    </row>
    <row r="77" spans="1:2" x14ac:dyDescent="0.35">
      <c r="A77" t="s">
        <v>838</v>
      </c>
      <c r="B77" t="b">
        <v>0</v>
      </c>
    </row>
    <row r="78" spans="1:2" x14ac:dyDescent="0.35">
      <c r="A78" t="s">
        <v>87</v>
      </c>
    </row>
    <row r="79" spans="1:2" x14ac:dyDescent="0.35">
      <c r="A79" t="s">
        <v>287</v>
      </c>
    </row>
    <row r="80" spans="1:2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2" x14ac:dyDescent="0.35">
      <c r="A257" t="s">
        <v>283</v>
      </c>
    </row>
    <row r="258" spans="1:2" x14ac:dyDescent="0.35">
      <c r="A258" t="s">
        <v>284</v>
      </c>
    </row>
    <row r="259" spans="1:2" x14ac:dyDescent="0.35">
      <c r="A259" t="s">
        <v>285</v>
      </c>
    </row>
    <row r="260" spans="1:2" x14ac:dyDescent="0.35">
      <c r="A260" t="s">
        <v>286</v>
      </c>
    </row>
    <row r="261" spans="1:2" x14ac:dyDescent="0.35">
      <c r="A261" t="s">
        <v>1008</v>
      </c>
    </row>
    <row r="262" spans="1:2" x14ac:dyDescent="0.35">
      <c r="A262" t="s">
        <v>388</v>
      </c>
    </row>
    <row r="263" spans="1:2" x14ac:dyDescent="0.35">
      <c r="A263" t="s">
        <v>389</v>
      </c>
    </row>
    <row r="264" spans="1:2" x14ac:dyDescent="0.35">
      <c r="A264" t="s">
        <v>390</v>
      </c>
    </row>
    <row r="265" spans="1:2" x14ac:dyDescent="0.35">
      <c r="A265" t="s">
        <v>391</v>
      </c>
    </row>
    <row r="266" spans="1:2" x14ac:dyDescent="0.35">
      <c r="A266" t="s">
        <v>799</v>
      </c>
    </row>
    <row r="267" spans="1:2" x14ac:dyDescent="0.35">
      <c r="A267" t="s">
        <v>800</v>
      </c>
    </row>
    <row r="268" spans="1:2" x14ac:dyDescent="0.35">
      <c r="A268" t="s">
        <v>351</v>
      </c>
      <c r="B268">
        <v>80</v>
      </c>
    </row>
    <row r="269" spans="1:2" x14ac:dyDescent="0.35">
      <c r="A269" t="s">
        <v>900</v>
      </c>
      <c r="B269">
        <v>0</v>
      </c>
    </row>
    <row r="270" spans="1:2" x14ac:dyDescent="0.35">
      <c r="A270" t="s">
        <v>102</v>
      </c>
    </row>
    <row r="271" spans="1:2" x14ac:dyDescent="0.35">
      <c r="A271" t="s">
        <v>103</v>
      </c>
    </row>
    <row r="272" spans="1:2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2" x14ac:dyDescent="0.35">
      <c r="A305" t="s">
        <v>443</v>
      </c>
    </row>
    <row r="306" spans="1:2" x14ac:dyDescent="0.35">
      <c r="A306" t="s">
        <v>444</v>
      </c>
    </row>
    <row r="307" spans="1:2" x14ac:dyDescent="0.35">
      <c r="A307" t="s">
        <v>1009</v>
      </c>
    </row>
    <row r="308" spans="1:2" x14ac:dyDescent="0.35">
      <c r="A308" t="s">
        <v>1010</v>
      </c>
    </row>
    <row r="309" spans="1:2" x14ac:dyDescent="0.35">
      <c r="A309" t="s">
        <v>1011</v>
      </c>
    </row>
    <row r="310" spans="1:2" x14ac:dyDescent="0.35">
      <c r="A310" t="s">
        <v>1012</v>
      </c>
      <c r="B310">
        <v>1</v>
      </c>
    </row>
    <row r="311" spans="1:2" x14ac:dyDescent="0.35">
      <c r="A311" t="s">
        <v>1013</v>
      </c>
      <c r="B311">
        <v>1</v>
      </c>
    </row>
    <row r="312" spans="1:2" x14ac:dyDescent="0.35">
      <c r="A312" t="s">
        <v>1014</v>
      </c>
    </row>
    <row r="313" spans="1:2" x14ac:dyDescent="0.35">
      <c r="A313" t="s">
        <v>1015</v>
      </c>
    </row>
    <row r="314" spans="1:2" x14ac:dyDescent="0.35">
      <c r="A314" t="s">
        <v>1016</v>
      </c>
    </row>
    <row r="315" spans="1:2" x14ac:dyDescent="0.35">
      <c r="A315" t="s">
        <v>1070</v>
      </c>
    </row>
    <row r="316" spans="1:2" x14ac:dyDescent="0.35">
      <c r="A316" t="s">
        <v>1071</v>
      </c>
    </row>
    <row r="317" spans="1:2" x14ac:dyDescent="0.35">
      <c r="A317" t="s">
        <v>1072</v>
      </c>
      <c r="B317">
        <v>1</v>
      </c>
    </row>
    <row r="318" spans="1:2" x14ac:dyDescent="0.35">
      <c r="A318" t="s">
        <v>1073</v>
      </c>
      <c r="B318">
        <v>1</v>
      </c>
    </row>
    <row r="319" spans="1:2" x14ac:dyDescent="0.35">
      <c r="A319" t="s">
        <v>1074</v>
      </c>
      <c r="B319">
        <v>1</v>
      </c>
    </row>
    <row r="320" spans="1:2" x14ac:dyDescent="0.35">
      <c r="A320" t="s">
        <v>1075</v>
      </c>
      <c r="B320">
        <v>1</v>
      </c>
    </row>
    <row r="321" spans="1:2" x14ac:dyDescent="0.35">
      <c r="A321" t="s">
        <v>1076</v>
      </c>
      <c r="B321">
        <v>1</v>
      </c>
    </row>
    <row r="322" spans="1:2" x14ac:dyDescent="0.35">
      <c r="A322" t="s">
        <v>604</v>
      </c>
      <c r="B322">
        <v>1</v>
      </c>
    </row>
    <row r="323" spans="1:2" x14ac:dyDescent="0.35">
      <c r="A323" t="s">
        <v>605</v>
      </c>
      <c r="B323">
        <v>1</v>
      </c>
    </row>
    <row r="324" spans="1:2" x14ac:dyDescent="0.35">
      <c r="A324" t="s">
        <v>606</v>
      </c>
      <c r="B324">
        <v>1</v>
      </c>
    </row>
    <row r="325" spans="1:2" x14ac:dyDescent="0.35">
      <c r="A325" t="s">
        <v>607</v>
      </c>
    </row>
    <row r="326" spans="1:2" x14ac:dyDescent="0.35">
      <c r="A326" t="s">
        <v>608</v>
      </c>
    </row>
    <row r="327" spans="1:2" x14ac:dyDescent="0.35">
      <c r="A327" t="s">
        <v>609</v>
      </c>
    </row>
    <row r="328" spans="1:2" x14ac:dyDescent="0.35">
      <c r="A328" t="s">
        <v>610</v>
      </c>
    </row>
    <row r="329" spans="1:2" x14ac:dyDescent="0.35">
      <c r="A329" t="s">
        <v>611</v>
      </c>
    </row>
    <row r="330" spans="1:2" x14ac:dyDescent="0.35">
      <c r="A330" t="s">
        <v>982</v>
      </c>
      <c r="B330">
        <v>1</v>
      </c>
    </row>
    <row r="331" spans="1:2" x14ac:dyDescent="0.35">
      <c r="A331" t="s">
        <v>983</v>
      </c>
      <c r="B331">
        <v>1</v>
      </c>
    </row>
    <row r="332" spans="1:2" x14ac:dyDescent="0.35">
      <c r="A332" t="s">
        <v>984</v>
      </c>
      <c r="B332">
        <v>1</v>
      </c>
    </row>
    <row r="333" spans="1:2" x14ac:dyDescent="0.35">
      <c r="A333" t="s">
        <v>869</v>
      </c>
      <c r="B333">
        <v>1</v>
      </c>
    </row>
    <row r="334" spans="1:2" x14ac:dyDescent="0.35">
      <c r="A334" t="s">
        <v>957</v>
      </c>
      <c r="B334">
        <v>1</v>
      </c>
    </row>
    <row r="335" spans="1:2" x14ac:dyDescent="0.35">
      <c r="A335" t="s">
        <v>958</v>
      </c>
      <c r="B335">
        <v>1</v>
      </c>
    </row>
    <row r="336" spans="1:2" x14ac:dyDescent="0.35">
      <c r="A336" t="s">
        <v>959</v>
      </c>
      <c r="B336">
        <v>1</v>
      </c>
    </row>
    <row r="337" spans="1:2" x14ac:dyDescent="0.35">
      <c r="A337" t="s">
        <v>960</v>
      </c>
      <c r="B337">
        <v>1</v>
      </c>
    </row>
    <row r="338" spans="1:2" x14ac:dyDescent="0.35">
      <c r="A338" t="s">
        <v>867</v>
      </c>
      <c r="B338">
        <v>1</v>
      </c>
    </row>
    <row r="339" spans="1:2" x14ac:dyDescent="0.35">
      <c r="A339" t="s">
        <v>868</v>
      </c>
      <c r="B339">
        <v>1</v>
      </c>
    </row>
    <row r="340" spans="1:2" x14ac:dyDescent="0.35">
      <c r="A340" t="s">
        <v>863</v>
      </c>
      <c r="B340">
        <v>1</v>
      </c>
    </row>
    <row r="341" spans="1:2" x14ac:dyDescent="0.35">
      <c r="A341" t="s">
        <v>864</v>
      </c>
      <c r="B341">
        <v>1</v>
      </c>
    </row>
    <row r="342" spans="1:2" x14ac:dyDescent="0.35">
      <c r="A342" t="s">
        <v>865</v>
      </c>
      <c r="B342">
        <v>1</v>
      </c>
    </row>
    <row r="343" spans="1:2" x14ac:dyDescent="0.35">
      <c r="A343" t="s">
        <v>856</v>
      </c>
      <c r="B343">
        <v>1</v>
      </c>
    </row>
    <row r="344" spans="1:2" x14ac:dyDescent="0.35">
      <c r="A344" t="s">
        <v>857</v>
      </c>
      <c r="B344">
        <v>1</v>
      </c>
    </row>
    <row r="345" spans="1:2" x14ac:dyDescent="0.35">
      <c r="A345" t="s">
        <v>858</v>
      </c>
      <c r="B345">
        <v>1</v>
      </c>
    </row>
    <row r="346" spans="1:2" x14ac:dyDescent="0.35">
      <c r="A346" t="s">
        <v>859</v>
      </c>
    </row>
    <row r="347" spans="1:2" x14ac:dyDescent="0.35">
      <c r="A347" t="s">
        <v>860</v>
      </c>
    </row>
    <row r="348" spans="1:2" x14ac:dyDescent="0.35">
      <c r="A348" t="s">
        <v>1043</v>
      </c>
    </row>
    <row r="349" spans="1:2" x14ac:dyDescent="0.35">
      <c r="A349" t="s">
        <v>1044</v>
      </c>
    </row>
    <row r="350" spans="1:2" x14ac:dyDescent="0.35">
      <c r="A350" t="s">
        <v>1045</v>
      </c>
    </row>
    <row r="351" spans="1:2" x14ac:dyDescent="0.35">
      <c r="A351" t="s">
        <v>1046</v>
      </c>
    </row>
    <row r="352" spans="1:2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1" x14ac:dyDescent="0.35">
      <c r="A369" t="s">
        <v>310</v>
      </c>
    </row>
    <row r="370" spans="1:1" x14ac:dyDescent="0.35">
      <c r="A370" t="s">
        <v>786</v>
      </c>
    </row>
    <row r="371" spans="1:1" x14ac:dyDescent="0.35">
      <c r="A371" t="s">
        <v>787</v>
      </c>
    </row>
    <row r="372" spans="1:1" x14ac:dyDescent="0.35">
      <c r="A372" t="s">
        <v>788</v>
      </c>
    </row>
    <row r="373" spans="1:1" x14ac:dyDescent="0.35">
      <c r="A373" t="s">
        <v>499</v>
      </c>
    </row>
    <row r="374" spans="1:1" x14ac:dyDescent="0.35">
      <c r="A374" t="s">
        <v>500</v>
      </c>
    </row>
    <row r="375" spans="1:1" x14ac:dyDescent="0.35">
      <c r="A375" t="s">
        <v>501</v>
      </c>
    </row>
    <row r="376" spans="1:1" x14ac:dyDescent="0.35">
      <c r="A376" t="s">
        <v>502</v>
      </c>
    </row>
    <row r="377" spans="1:1" x14ac:dyDescent="0.35">
      <c r="A377" t="s">
        <v>503</v>
      </c>
    </row>
    <row r="378" spans="1:1" x14ac:dyDescent="0.35">
      <c r="A378" t="s">
        <v>504</v>
      </c>
    </row>
    <row r="379" spans="1:1" x14ac:dyDescent="0.35">
      <c r="A379" t="s">
        <v>505</v>
      </c>
    </row>
    <row r="380" spans="1:1" x14ac:dyDescent="0.35">
      <c r="A380" t="s">
        <v>506</v>
      </c>
    </row>
    <row r="381" spans="1:1" x14ac:dyDescent="0.35">
      <c r="A381" t="s">
        <v>507</v>
      </c>
    </row>
    <row r="382" spans="1:1" x14ac:dyDescent="0.35">
      <c r="A382" t="s">
        <v>508</v>
      </c>
    </row>
    <row r="383" spans="1:1" x14ac:dyDescent="0.35">
      <c r="A383" t="s">
        <v>509</v>
      </c>
    </row>
    <row r="384" spans="1:1" x14ac:dyDescent="0.35">
      <c r="A384" t="s">
        <v>510</v>
      </c>
    </row>
    <row r="385" spans="1:1" x14ac:dyDescent="0.35">
      <c r="A385" t="s">
        <v>511</v>
      </c>
    </row>
    <row r="386" spans="1:1" x14ac:dyDescent="0.35">
      <c r="A386" t="s">
        <v>512</v>
      </c>
    </row>
    <row r="387" spans="1:1" x14ac:dyDescent="0.35">
      <c r="A387" t="s">
        <v>513</v>
      </c>
    </row>
    <row r="388" spans="1:1" x14ac:dyDescent="0.35">
      <c r="A388" t="s">
        <v>514</v>
      </c>
    </row>
    <row r="389" spans="1:1" x14ac:dyDescent="0.35">
      <c r="A389" t="s">
        <v>515</v>
      </c>
    </row>
    <row r="390" spans="1:1" x14ac:dyDescent="0.35">
      <c r="A390" t="s">
        <v>516</v>
      </c>
    </row>
    <row r="391" spans="1:1" x14ac:dyDescent="0.35">
      <c r="A391" t="s">
        <v>517</v>
      </c>
    </row>
    <row r="392" spans="1:1" x14ac:dyDescent="0.35">
      <c r="A392" t="s">
        <v>805</v>
      </c>
    </row>
    <row r="393" spans="1:1" x14ac:dyDescent="0.35">
      <c r="A393" t="s">
        <v>806</v>
      </c>
    </row>
    <row r="394" spans="1:1" x14ac:dyDescent="0.35">
      <c r="A394" t="s">
        <v>1021</v>
      </c>
    </row>
    <row r="395" spans="1:1" x14ac:dyDescent="0.35">
      <c r="A395" t="s">
        <v>644</v>
      </c>
    </row>
    <row r="396" spans="1:1" x14ac:dyDescent="0.35">
      <c r="A396" t="s">
        <v>645</v>
      </c>
    </row>
    <row r="397" spans="1:1" x14ac:dyDescent="0.35">
      <c r="A397" t="s">
        <v>458</v>
      </c>
    </row>
    <row r="398" spans="1:1" x14ac:dyDescent="0.35">
      <c r="A398" t="s">
        <v>459</v>
      </c>
    </row>
    <row r="399" spans="1:1" x14ac:dyDescent="0.35">
      <c r="A399" t="s">
        <v>460</v>
      </c>
    </row>
    <row r="400" spans="1:1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2" x14ac:dyDescent="0.35">
      <c r="A417" t="s">
        <v>181</v>
      </c>
    </row>
    <row r="418" spans="1:2" x14ac:dyDescent="0.35">
      <c r="A418" t="s">
        <v>73</v>
      </c>
    </row>
    <row r="419" spans="1:2" x14ac:dyDescent="0.35">
      <c r="A419" t="s">
        <v>74</v>
      </c>
    </row>
    <row r="420" spans="1:2" x14ac:dyDescent="0.35">
      <c r="A420" t="s">
        <v>848</v>
      </c>
    </row>
    <row r="421" spans="1:2" x14ac:dyDescent="0.35">
      <c r="A421" t="s">
        <v>849</v>
      </c>
    </row>
    <row r="422" spans="1:2" x14ac:dyDescent="0.35">
      <c r="A422" t="s">
        <v>850</v>
      </c>
    </row>
    <row r="423" spans="1:2" x14ac:dyDescent="0.35">
      <c r="A423" t="s">
        <v>798</v>
      </c>
    </row>
    <row r="424" spans="1:2" x14ac:dyDescent="0.35">
      <c r="A424" t="s">
        <v>834</v>
      </c>
    </row>
    <row r="425" spans="1:2" x14ac:dyDescent="0.35">
      <c r="A425" t="s">
        <v>640</v>
      </c>
      <c r="B425">
        <v>1</v>
      </c>
    </row>
    <row r="426" spans="1:2" x14ac:dyDescent="0.35">
      <c r="A426" t="s">
        <v>641</v>
      </c>
      <c r="B426">
        <v>1</v>
      </c>
    </row>
    <row r="427" spans="1:2" x14ac:dyDescent="0.35">
      <c r="A427" t="s">
        <v>642</v>
      </c>
      <c r="B427">
        <v>1</v>
      </c>
    </row>
    <row r="428" spans="1:2" x14ac:dyDescent="0.35">
      <c r="A428" t="s">
        <v>643</v>
      </c>
      <c r="B428">
        <v>1</v>
      </c>
    </row>
    <row r="429" spans="1:2" x14ac:dyDescent="0.35">
      <c r="A429" t="s">
        <v>1034</v>
      </c>
      <c r="B429">
        <v>1</v>
      </c>
    </row>
    <row r="430" spans="1:2" x14ac:dyDescent="0.35">
      <c r="A430" t="s">
        <v>1035</v>
      </c>
      <c r="B430">
        <v>1</v>
      </c>
    </row>
    <row r="431" spans="1:2" x14ac:dyDescent="0.35">
      <c r="A431" t="s">
        <v>1036</v>
      </c>
      <c r="B431">
        <v>1</v>
      </c>
    </row>
    <row r="432" spans="1:2" x14ac:dyDescent="0.35">
      <c r="A432" t="s">
        <v>1037</v>
      </c>
      <c r="B432">
        <v>1</v>
      </c>
    </row>
    <row r="433" spans="1:2" x14ac:dyDescent="0.35">
      <c r="A433" t="s">
        <v>1038</v>
      </c>
      <c r="B433">
        <v>1</v>
      </c>
    </row>
    <row r="434" spans="1:2" x14ac:dyDescent="0.35">
      <c r="A434" t="s">
        <v>1056</v>
      </c>
      <c r="B434">
        <v>1</v>
      </c>
    </row>
    <row r="435" spans="1:2" x14ac:dyDescent="0.35">
      <c r="A435" t="s">
        <v>1057</v>
      </c>
      <c r="B435">
        <v>1</v>
      </c>
    </row>
    <row r="436" spans="1:2" x14ac:dyDescent="0.35">
      <c r="A436" t="s">
        <v>1058</v>
      </c>
      <c r="B436">
        <v>1</v>
      </c>
    </row>
    <row r="437" spans="1:2" x14ac:dyDescent="0.35">
      <c r="A437" t="s">
        <v>1059</v>
      </c>
      <c r="B437">
        <v>1</v>
      </c>
    </row>
    <row r="438" spans="1:2" x14ac:dyDescent="0.35">
      <c r="A438" t="s">
        <v>1060</v>
      </c>
      <c r="B438">
        <v>1</v>
      </c>
    </row>
    <row r="439" spans="1:2" x14ac:dyDescent="0.35">
      <c r="A439" t="s">
        <v>1061</v>
      </c>
      <c r="B439">
        <v>1</v>
      </c>
    </row>
    <row r="440" spans="1:2" x14ac:dyDescent="0.35">
      <c r="A440" t="s">
        <v>1062</v>
      </c>
      <c r="B440">
        <v>1</v>
      </c>
    </row>
    <row r="441" spans="1:2" x14ac:dyDescent="0.35">
      <c r="A441" t="s">
        <v>881</v>
      </c>
      <c r="B441">
        <v>1</v>
      </c>
    </row>
    <row r="442" spans="1:2" x14ac:dyDescent="0.35">
      <c r="A442" t="s">
        <v>964</v>
      </c>
      <c r="B442">
        <v>1</v>
      </c>
    </row>
    <row r="443" spans="1:2" x14ac:dyDescent="0.35">
      <c r="A443" t="s">
        <v>965</v>
      </c>
      <c r="B443">
        <v>1</v>
      </c>
    </row>
    <row r="444" spans="1:2" x14ac:dyDescent="0.35">
      <c r="A444" t="s">
        <v>966</v>
      </c>
      <c r="B444">
        <v>1</v>
      </c>
    </row>
    <row r="445" spans="1:2" x14ac:dyDescent="0.35">
      <c r="A445" t="s">
        <v>967</v>
      </c>
    </row>
    <row r="446" spans="1:2" x14ac:dyDescent="0.35">
      <c r="A446" t="s">
        <v>968</v>
      </c>
    </row>
    <row r="447" spans="1:2" x14ac:dyDescent="0.35">
      <c r="A447" t="s">
        <v>520</v>
      </c>
    </row>
    <row r="448" spans="1:2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2" x14ac:dyDescent="0.35">
      <c r="A465" t="s">
        <v>447</v>
      </c>
      <c r="B465" t="b">
        <v>0</v>
      </c>
    </row>
    <row r="466" spans="1:2" x14ac:dyDescent="0.35">
      <c r="A466" t="s">
        <v>448</v>
      </c>
    </row>
    <row r="467" spans="1:2" x14ac:dyDescent="0.35">
      <c r="A467" t="s">
        <v>449</v>
      </c>
      <c r="B467" t="b">
        <v>0</v>
      </c>
    </row>
    <row r="468" spans="1:2" x14ac:dyDescent="0.35">
      <c r="A468" t="s">
        <v>69</v>
      </c>
    </row>
    <row r="469" spans="1:2" x14ac:dyDescent="0.35">
      <c r="A469" t="s">
        <v>1025</v>
      </c>
    </row>
    <row r="470" spans="1:2" x14ac:dyDescent="0.35">
      <c r="A470" t="s">
        <v>70</v>
      </c>
    </row>
    <row r="471" spans="1:2" x14ac:dyDescent="0.35">
      <c r="A471" t="s">
        <v>314</v>
      </c>
    </row>
    <row r="472" spans="1:2" x14ac:dyDescent="0.35">
      <c r="A472" t="s">
        <v>315</v>
      </c>
    </row>
    <row r="473" spans="1:2" x14ac:dyDescent="0.35">
      <c r="A473" t="s">
        <v>807</v>
      </c>
    </row>
    <row r="474" spans="1:2" x14ac:dyDescent="0.35">
      <c r="A474" t="s">
        <v>808</v>
      </c>
    </row>
    <row r="475" spans="1:2" x14ac:dyDescent="0.35">
      <c r="A475" t="s">
        <v>809</v>
      </c>
    </row>
    <row r="476" spans="1:2" x14ac:dyDescent="0.35">
      <c r="A476" t="s">
        <v>421</v>
      </c>
    </row>
    <row r="477" spans="1:2" x14ac:dyDescent="0.35">
      <c r="A477" t="s">
        <v>422</v>
      </c>
    </row>
    <row r="478" spans="1:2" x14ac:dyDescent="0.35">
      <c r="A478" t="s">
        <v>423</v>
      </c>
    </row>
    <row r="479" spans="1:2" x14ac:dyDescent="0.35">
      <c r="A479" t="s">
        <v>424</v>
      </c>
    </row>
    <row r="480" spans="1:2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2" x14ac:dyDescent="0.35">
      <c r="A497" t="s">
        <v>472</v>
      </c>
    </row>
    <row r="498" spans="1:2" x14ac:dyDescent="0.35">
      <c r="A498" t="s">
        <v>467</v>
      </c>
    </row>
    <row r="499" spans="1:2" x14ac:dyDescent="0.35">
      <c r="A499" t="s">
        <v>468</v>
      </c>
    </row>
    <row r="500" spans="1:2" x14ac:dyDescent="0.35">
      <c r="A500" t="s">
        <v>469</v>
      </c>
    </row>
    <row r="501" spans="1:2" x14ac:dyDescent="0.35">
      <c r="A501" t="s">
        <v>470</v>
      </c>
    </row>
    <row r="502" spans="1:2" x14ac:dyDescent="0.35">
      <c r="A502" t="s">
        <v>471</v>
      </c>
    </row>
    <row r="503" spans="1:2" x14ac:dyDescent="0.35">
      <c r="A503" t="s">
        <v>817</v>
      </c>
    </row>
    <row r="504" spans="1:2" x14ac:dyDescent="0.35">
      <c r="A504" t="s">
        <v>943</v>
      </c>
    </row>
    <row r="505" spans="1:2" x14ac:dyDescent="0.35">
      <c r="A505" t="s">
        <v>551</v>
      </c>
      <c r="B505">
        <v>41363</v>
      </c>
    </row>
    <row r="506" spans="1:2" x14ac:dyDescent="0.35">
      <c r="A506" t="s">
        <v>254</v>
      </c>
      <c r="B506">
        <v>1</v>
      </c>
    </row>
    <row r="507" spans="1:2" x14ac:dyDescent="0.35">
      <c r="A507" t="s">
        <v>901</v>
      </c>
      <c r="B507">
        <v>1</v>
      </c>
    </row>
    <row r="508" spans="1:2" x14ac:dyDescent="0.35">
      <c r="A508" t="s">
        <v>902</v>
      </c>
      <c r="B508">
        <v>1</v>
      </c>
    </row>
    <row r="509" spans="1:2" x14ac:dyDescent="0.35">
      <c r="A509" t="s">
        <v>903</v>
      </c>
      <c r="B509">
        <v>1</v>
      </c>
    </row>
    <row r="510" spans="1:2" x14ac:dyDescent="0.35">
      <c r="A510" t="s">
        <v>904</v>
      </c>
      <c r="B510">
        <v>1</v>
      </c>
    </row>
    <row r="511" spans="1:2" x14ac:dyDescent="0.35">
      <c r="A511" t="s">
        <v>905</v>
      </c>
      <c r="B511">
        <v>1</v>
      </c>
    </row>
    <row r="512" spans="1:2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2" x14ac:dyDescent="0.35">
      <c r="A529" t="s">
        <v>1116</v>
      </c>
    </row>
    <row r="530" spans="1:2" x14ac:dyDescent="0.35">
      <c r="A530" t="s">
        <v>617</v>
      </c>
    </row>
    <row r="531" spans="1:2" x14ac:dyDescent="0.35">
      <c r="A531" t="s">
        <v>1018</v>
      </c>
    </row>
    <row r="532" spans="1:2" x14ac:dyDescent="0.35">
      <c r="A532" t="s">
        <v>1019</v>
      </c>
    </row>
    <row r="533" spans="1:2" x14ac:dyDescent="0.35">
      <c r="A533" t="s">
        <v>1020</v>
      </c>
    </row>
    <row r="534" spans="1:2" x14ac:dyDescent="0.35">
      <c r="A534" t="s">
        <v>595</v>
      </c>
    </row>
    <row r="535" spans="1:2" x14ac:dyDescent="0.35">
      <c r="A535" t="s">
        <v>596</v>
      </c>
    </row>
    <row r="536" spans="1:2" x14ac:dyDescent="0.35">
      <c r="A536" t="s">
        <v>597</v>
      </c>
    </row>
    <row r="537" spans="1:2" x14ac:dyDescent="0.35">
      <c r="A537" t="s">
        <v>598</v>
      </c>
    </row>
    <row r="538" spans="1:2" x14ac:dyDescent="0.35">
      <c r="A538" t="s">
        <v>599</v>
      </c>
    </row>
    <row r="539" spans="1:2" x14ac:dyDescent="0.35">
      <c r="A539" t="s">
        <v>600</v>
      </c>
    </row>
    <row r="540" spans="1:2" x14ac:dyDescent="0.35">
      <c r="A540" t="s">
        <v>601</v>
      </c>
    </row>
    <row r="541" spans="1:2" x14ac:dyDescent="0.35">
      <c r="A541" t="s">
        <v>602</v>
      </c>
    </row>
    <row r="542" spans="1:2" x14ac:dyDescent="0.35">
      <c r="A542" t="s">
        <v>539</v>
      </c>
      <c r="B542" t="b">
        <v>0</v>
      </c>
    </row>
    <row r="543" spans="1:2" x14ac:dyDescent="0.35">
      <c r="A543" t="s">
        <v>1026</v>
      </c>
      <c r="B543">
        <v>1</v>
      </c>
    </row>
    <row r="544" spans="1:2" x14ac:dyDescent="0.35">
      <c r="A544" t="s">
        <v>549</v>
      </c>
      <c r="B544">
        <v>1</v>
      </c>
    </row>
    <row r="545" spans="1:2" x14ac:dyDescent="0.35">
      <c r="A545" t="s">
        <v>827</v>
      </c>
    </row>
    <row r="546" spans="1:2" x14ac:dyDescent="0.35">
      <c r="A546" t="s">
        <v>828</v>
      </c>
    </row>
    <row r="547" spans="1:2" x14ac:dyDescent="0.35">
      <c r="A547" t="s">
        <v>829</v>
      </c>
    </row>
    <row r="548" spans="1:2" x14ac:dyDescent="0.35">
      <c r="A548" t="s">
        <v>830</v>
      </c>
    </row>
    <row r="549" spans="1:2" x14ac:dyDescent="0.35">
      <c r="A549" t="s">
        <v>831</v>
      </c>
    </row>
    <row r="550" spans="1:2" x14ac:dyDescent="0.35">
      <c r="A550" t="s">
        <v>832</v>
      </c>
    </row>
    <row r="551" spans="1:2" x14ac:dyDescent="0.35">
      <c r="A551" t="s">
        <v>518</v>
      </c>
    </row>
    <row r="552" spans="1:2" x14ac:dyDescent="0.35">
      <c r="A552" t="s">
        <v>1041</v>
      </c>
    </row>
    <row r="553" spans="1:2" x14ac:dyDescent="0.35">
      <c r="A553" t="s">
        <v>1042</v>
      </c>
    </row>
    <row r="554" spans="1:2" x14ac:dyDescent="0.35">
      <c r="A554" t="s">
        <v>823</v>
      </c>
      <c r="B554">
        <v>0</v>
      </c>
    </row>
    <row r="555" spans="1:2" x14ac:dyDescent="0.35">
      <c r="A555" t="s">
        <v>794</v>
      </c>
      <c r="B555">
        <v>1</v>
      </c>
    </row>
    <row r="556" spans="1:2" x14ac:dyDescent="0.35">
      <c r="A556" t="s">
        <v>1112</v>
      </c>
      <c r="B556">
        <v>1</v>
      </c>
    </row>
    <row r="557" spans="1:2" x14ac:dyDescent="0.35">
      <c r="A557" t="s">
        <v>1027</v>
      </c>
    </row>
    <row r="558" spans="1:2" x14ac:dyDescent="0.35">
      <c r="A558" t="s">
        <v>433</v>
      </c>
    </row>
    <row r="559" spans="1:2" x14ac:dyDescent="0.35">
      <c r="A559" t="s">
        <v>434</v>
      </c>
    </row>
    <row r="560" spans="1:2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2" x14ac:dyDescent="0.35">
      <c r="A577" t="s">
        <v>59</v>
      </c>
    </row>
    <row r="578" spans="1:2" x14ac:dyDescent="0.35">
      <c r="A578" t="s">
        <v>1153</v>
      </c>
      <c r="B578">
        <v>1500</v>
      </c>
    </row>
    <row r="579" spans="1:2" x14ac:dyDescent="0.35">
      <c r="A579" t="s">
        <v>1154</v>
      </c>
      <c r="B579">
        <v>1500</v>
      </c>
    </row>
    <row r="580" spans="1:2" x14ac:dyDescent="0.35">
      <c r="A580" t="s">
        <v>1155</v>
      </c>
      <c r="B580">
        <v>1500</v>
      </c>
    </row>
    <row r="581" spans="1:2" x14ac:dyDescent="0.35">
      <c r="A581" t="s">
        <v>1156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480</v>
      </c>
      <c r="B587">
        <v>1500</v>
      </c>
    </row>
    <row r="588" spans="1:2" x14ac:dyDescent="0.35">
      <c r="A588" t="s">
        <v>481</v>
      </c>
      <c r="B588">
        <v>1500</v>
      </c>
    </row>
    <row r="589" spans="1:2" x14ac:dyDescent="0.35">
      <c r="A589" t="s">
        <v>482</v>
      </c>
      <c r="B589">
        <v>1500</v>
      </c>
    </row>
    <row r="590" spans="1:2" x14ac:dyDescent="0.35">
      <c r="A590" t="s">
        <v>64</v>
      </c>
      <c r="B590">
        <v>1500</v>
      </c>
    </row>
    <row r="591" spans="1:2" x14ac:dyDescent="0.35">
      <c r="A591" t="s">
        <v>65</v>
      </c>
      <c r="B591">
        <v>1500</v>
      </c>
    </row>
    <row r="592" spans="1:2" x14ac:dyDescent="0.35">
      <c r="A592" t="s">
        <v>66</v>
      </c>
      <c r="B592">
        <v>1500</v>
      </c>
    </row>
    <row r="593" spans="1:2" x14ac:dyDescent="0.35">
      <c r="A593" t="s">
        <v>67</v>
      </c>
      <c r="B593">
        <v>1500</v>
      </c>
    </row>
    <row r="594" spans="1:2" x14ac:dyDescent="0.35">
      <c r="A594" t="s">
        <v>742</v>
      </c>
      <c r="B594">
        <v>1500</v>
      </c>
    </row>
    <row r="595" spans="1:2" x14ac:dyDescent="0.35">
      <c r="A595" t="s">
        <v>743</v>
      </c>
      <c r="B595">
        <v>1500</v>
      </c>
    </row>
    <row r="596" spans="1:2" x14ac:dyDescent="0.35">
      <c r="A596" t="s">
        <v>744</v>
      </c>
      <c r="B596">
        <v>1500</v>
      </c>
    </row>
    <row r="597" spans="1:2" x14ac:dyDescent="0.35">
      <c r="A597" t="s">
        <v>745</v>
      </c>
      <c r="B597">
        <v>1500</v>
      </c>
    </row>
    <row r="598" spans="1:2" x14ac:dyDescent="0.35">
      <c r="A598" t="s">
        <v>585</v>
      </c>
      <c r="B598">
        <v>1</v>
      </c>
    </row>
    <row r="599" spans="1:2" x14ac:dyDescent="0.35">
      <c r="A599" t="s">
        <v>1028</v>
      </c>
    </row>
    <row r="600" spans="1:2" x14ac:dyDescent="0.35">
      <c r="A600" t="s">
        <v>1029</v>
      </c>
      <c r="B600" t="b">
        <v>0</v>
      </c>
    </row>
    <row r="601" spans="1:2" x14ac:dyDescent="0.35">
      <c r="A601" t="s">
        <v>1030</v>
      </c>
      <c r="B601">
        <v>1</v>
      </c>
    </row>
    <row r="602" spans="1:2" x14ac:dyDescent="0.35">
      <c r="A602" t="s">
        <v>410</v>
      </c>
      <c r="B602">
        <v>0</v>
      </c>
    </row>
    <row r="603" spans="1:2" x14ac:dyDescent="0.35">
      <c r="A603" t="s">
        <v>906</v>
      </c>
    </row>
    <row r="604" spans="1:2" x14ac:dyDescent="0.35">
      <c r="A604" t="s">
        <v>907</v>
      </c>
    </row>
    <row r="605" spans="1:2" x14ac:dyDescent="0.35">
      <c r="A605" t="s">
        <v>556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0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</row>
    <row r="52" spans="1:3" x14ac:dyDescent="0.35">
      <c r="A52" t="s">
        <v>198</v>
      </c>
    </row>
    <row r="53" spans="1:3" x14ac:dyDescent="0.35">
      <c r="A53" t="s">
        <v>199</v>
      </c>
    </row>
    <row r="54" spans="1:3" x14ac:dyDescent="0.35">
      <c r="A54" t="s">
        <v>590</v>
      </c>
    </row>
    <row r="55" spans="1:3" x14ac:dyDescent="0.35">
      <c r="A55" t="s">
        <v>591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1</v>
      </c>
      <c r="C57">
        <v>1</v>
      </c>
    </row>
    <row r="58" spans="1:3" x14ac:dyDescent="0.35">
      <c r="A58" t="s">
        <v>403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40909</v>
      </c>
      <c r="C61">
        <v>40909</v>
      </c>
    </row>
    <row r="62" spans="1:3" x14ac:dyDescent="0.35">
      <c r="A62" t="s">
        <v>759</v>
      </c>
      <c r="B62">
        <v>100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</v>
      </c>
      <c r="C64">
        <v>1</v>
      </c>
    </row>
    <row r="65" spans="1:3" x14ac:dyDescent="0.35">
      <c r="A65" t="s">
        <v>394</v>
      </c>
      <c r="B65">
        <v>1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1</v>
      </c>
      <c r="C73">
        <v>1</v>
      </c>
    </row>
    <row r="74" spans="1:3" x14ac:dyDescent="0.35">
      <c r="A74" t="s">
        <v>407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</row>
    <row r="80" spans="1:3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80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</row>
    <row r="271" spans="1:3" x14ac:dyDescent="0.35">
      <c r="A271" t="s">
        <v>103</v>
      </c>
    </row>
    <row r="272" spans="1:3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3" x14ac:dyDescent="0.35">
      <c r="A305" t="s">
        <v>443</v>
      </c>
    </row>
    <row r="306" spans="1:3" x14ac:dyDescent="0.35">
      <c r="A306" t="s">
        <v>444</v>
      </c>
    </row>
    <row r="307" spans="1:3" x14ac:dyDescent="0.35">
      <c r="A307" t="s">
        <v>1009</v>
      </c>
    </row>
    <row r="308" spans="1:3" x14ac:dyDescent="0.35">
      <c r="A308" t="s">
        <v>1010</v>
      </c>
    </row>
    <row r="309" spans="1:3" x14ac:dyDescent="0.35">
      <c r="A309" t="s">
        <v>1011</v>
      </c>
    </row>
    <row r="310" spans="1:3" x14ac:dyDescent="0.35">
      <c r="A310" t="s">
        <v>1012</v>
      </c>
      <c r="B310">
        <v>1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</v>
      </c>
      <c r="C317">
        <v>1</v>
      </c>
    </row>
    <row r="318" spans="1:3" x14ac:dyDescent="0.35">
      <c r="A318" t="s">
        <v>1073</v>
      </c>
      <c r="B318">
        <v>1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1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1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</row>
    <row r="347" spans="1:3" x14ac:dyDescent="0.35">
      <c r="A347" t="s">
        <v>860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01-jan-12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1185</v>
      </c>
      <c r="B7" s="303" t="s">
        <v>1162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1185</v>
      </c>
      <c r="B8" s="303" t="s">
        <v>1163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/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/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/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0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0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42248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886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40909</v>
      </c>
      <c r="I3" s="327" t="str">
        <f>"Gewicht: "&amp;Gewicht/10&amp;" kg"</f>
        <v>Gewicht: 10 kg</v>
      </c>
      <c r="J3" s="321"/>
      <c r="K3" s="327" t="str">
        <f>"Lengte: "&amp;Lengte&amp;" cm"</f>
        <v>Lengte: 80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3 jaar en 8 maand(-en)</v>
      </c>
      <c r="I4" s="321"/>
      <c r="J4" s="321" t="str">
        <f>"Lichamelijk oppervlak: "&amp;ROUND(POWER(Gewicht/10,0.425)*POWER(((Lengte/100)*100),0.725)*0.007184,2)&amp;" m2"</f>
        <v>Lichamelijk oppervlak: 0,46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89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5eRn+aw05f6KpfmDYZKUausz4tYr6+0jy2cIkjxkpy24RHy/4j4UDk6yjvpAQmw/cO1SXIEse/SNzDJfSNQFzw==" saltValue="X+NPXztTmSafv6PfwwxSt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3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3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42248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886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3 jaar en 8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oy738lUFcHMiG9Njbnk3v4WjvXowHQg3Vaay5j2m8H+m2luBUZAcBmpgnuE1SVCL4ljEYKbrxiqDDDkKNV9j4A==" saltValue="Sp9F8AnZ9dFP08mLTfEjrA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40909</v>
      </c>
      <c r="G1" s="365"/>
      <c r="I1" s="11" t="str">
        <f>"Gewicht: "&amp;ROUND(Gewicht/10,1)&amp;"kg"</f>
        <v>Gewicht: 10kg</v>
      </c>
      <c r="P1" s="11" t="s">
        <v>498</v>
      </c>
      <c r="R1" s="363"/>
      <c r="S1" s="363"/>
      <c r="T1" s="363"/>
      <c r="U1" s="363"/>
      <c r="V1" s="363"/>
      <c r="W1" s="363"/>
      <c r="Y1" t="s">
        <v>818</v>
      </c>
      <c r="AB1" s="364">
        <f ca="1">TODAY()</f>
        <v>42248</v>
      </c>
      <c r="AC1" s="364"/>
      <c r="AD1" s="364"/>
      <c r="AE1" s="364"/>
      <c r="AF1" s="364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JjBVZmap6HU11cKJklmjOfK6pt700EHsOzV7VKE4vjWTB49RwY+rWIAfRsCW3FMxeEGPVynILH3+A14wEraMBg==" saltValue="Dv/mvouht+UA39ZRfG1GQ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42248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886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3 jaar en 8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0</v>
      </c>
      <c r="J15" s="281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/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iTEDGxAOZVVTGgsUIsyQuLDjVJa6fI+Q8TX/VR+mOYGkqkApte7Btj10IZFUjNRdL5AGR7JKRaafbvzTF621sA==" saltValue="JzCh0IaIxI89yUQCisxtuw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J14" sqref="J14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1340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933</v>
      </c>
      <c r="F18">
        <f>Gewicht/10</f>
        <v>10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42248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886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3 jaar en 8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str">
        <f>INDEX(tblSonde,ber_PO!O2,1)</f>
        <v>Enteraal voeding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/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0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IR3Fmgo0IIQGnmnNzuf5wtkEN26F6TkdtcO90i/+p1WUfcHMjm+kqo7ikyIkhXDhNV5MTEv59TLmP9recanbag==" saltValue="ttf+Coljw1xSRS9cBUZAL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887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cXPGdgk/qhNpmlMbRu2QAz1Pn6xlsOIX8PVHk4hu3iotaiJVFg5A7mak2H2yyPF3gGQ4bXoHEjwhLt5BABZjQg==" saltValue="spPYEzS0dQQEWfb/V8FFUg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0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0</v>
      </c>
      <c r="C19">
        <f>B19/(Gewicht/10)</f>
        <v>0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 t="shared" ref="H2:H10" si="0">SUM(C2:G2)</f>
        <v>0</v>
      </c>
      <c r="J2" s="336" t="s">
        <v>1264</v>
      </c>
      <c r="K2" s="28">
        <v>1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1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 t="shared" si="0"/>
        <v>0</v>
      </c>
      <c r="J3" s="336" t="s">
        <v>1265</v>
      </c>
      <c r="M3">
        <f>IF(L3&lt;51,L3/10,IF(L3&lt;66,(L3-49)+4,IF(L3&lt;82,(L3-61)*5,IF(L3&lt;122,(L3-71)*10,(L3-111)*50))))</f>
        <v>0</v>
      </c>
      <c r="N3" s="28">
        <f>IF(O3&gt;1,K3*M3,0)</f>
        <v>0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 t="shared" si="0"/>
        <v>0</v>
      </c>
      <c r="J4" s="336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 t="shared" si="0"/>
        <v>0</v>
      </c>
      <c r="J5" s="336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 t="shared" si="0"/>
        <v>0</v>
      </c>
      <c r="J6" s="336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 t="shared" si="0"/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 t="shared" si="0"/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 t="shared" si="0"/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 t="shared" si="0"/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outlinePr showOutlineSymbols="0"/>
  </sheetPr>
  <dimension ref="A1:H49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83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86" t="s">
        <v>568</v>
      </c>
      <c r="F21" s="38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80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81"/>
      <c r="B24" s="112" t="s">
        <v>538</v>
      </c>
      <c r="C24" s="113"/>
      <c r="D24" s="113"/>
      <c r="E24" s="387" t="s">
        <v>790</v>
      </c>
      <c r="F24" s="38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87"/>
      <c r="F25" s="388"/>
      <c r="G25" s="115"/>
      <c r="H25" s="35"/>
    </row>
    <row r="26" spans="1:8" ht="15.95" customHeight="1" x14ac:dyDescent="0.35">
      <c r="A26" s="34"/>
      <c r="B26" s="92"/>
      <c r="C26" s="92"/>
      <c r="D26" s="92"/>
      <c r="E26" s="389" t="s">
        <v>568</v>
      </c>
      <c r="F26" s="38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84" t="s">
        <v>326</v>
      </c>
      <c r="C28" s="385"/>
      <c r="D28" s="385"/>
      <c r="E28" s="385"/>
      <c r="F28" s="385"/>
      <c r="G28" s="86"/>
      <c r="H28" s="42"/>
    </row>
    <row r="29" spans="1:8" ht="20.100000000000001" customHeight="1" x14ac:dyDescent="0.35">
      <c r="A29" s="380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81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9" t="s">
        <v>570</v>
      </c>
      <c r="F36" s="38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90" t="s">
        <v>633</v>
      </c>
      <c r="C38" s="391"/>
      <c r="D38" s="391"/>
      <c r="E38" s="391"/>
      <c r="F38" s="392"/>
      <c r="G38" s="42" t="s">
        <v>634</v>
      </c>
      <c r="H38" s="42"/>
    </row>
    <row r="39" spans="1:8" ht="15.95" customHeight="1" x14ac:dyDescent="0.35">
      <c r="A39" s="43"/>
      <c r="B39" s="377" t="s">
        <v>635</v>
      </c>
      <c r="C39" s="378"/>
      <c r="D39" s="378"/>
      <c r="E39" s="378"/>
      <c r="F39" s="379"/>
      <c r="G39" s="37" t="s">
        <v>636</v>
      </c>
      <c r="H39" s="35"/>
    </row>
    <row r="40" spans="1:8" ht="15.95" customHeight="1" x14ac:dyDescent="0.35">
      <c r="A40" s="43"/>
      <c r="B40" s="377" t="s">
        <v>637</v>
      </c>
      <c r="C40" s="378"/>
      <c r="D40" s="378"/>
      <c r="E40" s="378"/>
      <c r="F40" s="379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TJT5TQVljRz6qklpm/oAKx2pXiZPR1I3PE+wr4UpublENyyiKco0/8rG2RX3eFKGOjRouuOc6tbSKi6RK5VlsA==" saltValue="fQyjfgQZ/hQucS31oN/lj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86" t="s">
        <v>568</v>
      </c>
      <c r="F22" s="38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80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538</v>
      </c>
      <c r="C25" s="113"/>
      <c r="D25" s="113"/>
      <c r="E25" s="403" t="s">
        <v>985</v>
      </c>
      <c r="F25" s="404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86" t="s">
        <v>568</v>
      </c>
      <c r="F27" s="38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0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81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399" t="s">
        <v>1123</v>
      </c>
      <c r="C36" s="400"/>
      <c r="D36" s="400"/>
      <c r="E36" s="400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399" t="s">
        <v>90</v>
      </c>
      <c r="C37" s="400"/>
      <c r="D37" s="400"/>
      <c r="E37" s="400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399" t="s">
        <v>91</v>
      </c>
      <c r="C38" s="400"/>
      <c r="D38" s="400"/>
      <c r="E38" s="400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86" t="s">
        <v>570</v>
      </c>
      <c r="F39" s="38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3" t="s">
        <v>633</v>
      </c>
      <c r="C41" s="394"/>
      <c r="D41" s="394"/>
      <c r="E41" s="394"/>
      <c r="F41" s="395"/>
      <c r="G41" s="42" t="s">
        <v>634</v>
      </c>
      <c r="H41" s="42"/>
    </row>
    <row r="42" spans="1:8" ht="15.95" customHeight="1" x14ac:dyDescent="0.35">
      <c r="A42" s="43"/>
      <c r="B42" s="396" t="s">
        <v>635</v>
      </c>
      <c r="C42" s="397"/>
      <c r="D42" s="397"/>
      <c r="E42" s="397"/>
      <c r="F42" s="398"/>
      <c r="G42" s="37" t="s">
        <v>636</v>
      </c>
      <c r="H42" s="35"/>
    </row>
    <row r="43" spans="1:8" ht="15.95" customHeight="1" x14ac:dyDescent="0.35">
      <c r="A43" s="43"/>
      <c r="B43" s="396" t="s">
        <v>637</v>
      </c>
      <c r="C43" s="397"/>
      <c r="D43" s="397"/>
      <c r="E43" s="397"/>
      <c r="F43" s="398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dV9efJ8I0sMeIEtGhhEcyqygpeAHKL0chf/sJ+XVa+Hsl/A+r85sMGgvCJtGnqTGr94U2Eiy7tsIKIFl13mwuA==" saltValue="8/Fe4mLvglSXSD4WpUGWUQ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403" t="s">
        <v>353</v>
      </c>
      <c r="F17" s="404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84" t="s">
        <v>326</v>
      </c>
      <c r="C29" s="385"/>
      <c r="D29" s="385"/>
      <c r="E29" s="385"/>
      <c r="F29" s="385"/>
      <c r="G29" s="86"/>
      <c r="H29" s="42"/>
    </row>
    <row r="30" spans="1:8" ht="20.100000000000001" customHeight="1" x14ac:dyDescent="0.35">
      <c r="A30" s="382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9" t="s">
        <v>570</v>
      </c>
      <c r="F38" s="38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u+/VYzLxzbuegPO4OXefV19dQbIKhisXtPQQtT4fVLriYautXFeHcGkYVrRg+BDVYmBFNPMSXKw7nDd9J1gWtQ==" saltValue="ZZJREzHAgRFNx1tP48FqB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382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83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403" t="s">
        <v>353</v>
      </c>
      <c r="F16" s="404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2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86" t="s">
        <v>570</v>
      </c>
      <c r="F38" s="38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Z28W5uCDyE6DtuHzo7dfa/hSTO31vQLvPg9nMG5bqo81xSaIIXtEbkRRoBpbQydVEUPgY618aq+OuTs6TwHDNA==" saltValue="LIMXZoRd4UiAXV6dwVwFn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9" t="s">
        <v>568</v>
      </c>
      <c r="F19" s="38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9" t="s">
        <v>568</v>
      </c>
      <c r="F24" s="38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401" t="s">
        <v>326</v>
      </c>
      <c r="C26" s="402"/>
      <c r="D26" s="402"/>
      <c r="E26" s="402"/>
      <c r="F26" s="402"/>
      <c r="G26" s="86"/>
      <c r="H26" s="42"/>
    </row>
    <row r="27" spans="1:8" ht="20.100000000000001" customHeight="1" x14ac:dyDescent="0.35">
      <c r="A27" s="382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83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399" t="s">
        <v>90</v>
      </c>
      <c r="C33" s="400"/>
      <c r="D33" s="400"/>
      <c r="E33" s="400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399" t="s">
        <v>91</v>
      </c>
      <c r="C34" s="400"/>
      <c r="D34" s="400"/>
      <c r="E34" s="400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86" t="s">
        <v>570</v>
      </c>
      <c r="F35" s="38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90" t="s">
        <v>633</v>
      </c>
      <c r="C37" s="391"/>
      <c r="D37" s="391"/>
      <c r="E37" s="391"/>
      <c r="F37" s="392"/>
      <c r="G37" s="42" t="s">
        <v>634</v>
      </c>
      <c r="H37" s="42"/>
    </row>
    <row r="38" spans="1:8" ht="20.100000000000001" customHeight="1" x14ac:dyDescent="0.35">
      <c r="A38" s="43"/>
      <c r="B38" s="377" t="s">
        <v>635</v>
      </c>
      <c r="C38" s="378"/>
      <c r="D38" s="378"/>
      <c r="E38" s="378"/>
      <c r="F38" s="379"/>
      <c r="G38" s="37" t="s">
        <v>636</v>
      </c>
      <c r="H38" s="35"/>
    </row>
    <row r="39" spans="1:8" ht="20.100000000000001" customHeight="1" x14ac:dyDescent="0.35">
      <c r="A39" s="43"/>
      <c r="B39" s="377" t="s">
        <v>637</v>
      </c>
      <c r="C39" s="378"/>
      <c r="D39" s="378"/>
      <c r="E39" s="378"/>
      <c r="F39" s="379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L3OuvmRCUsVHELFFPLzQGkjJE1fQxfkKVElMejISwsoyFsJsW+dpY5nzFIsR9dkfrWsXF8VP3ayRxyW34fD2kA==" saltValue="OrToaOe841Tsj2QcPfqu5g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2015-09-01T10:19:46Z</dcterms:modified>
</cp:coreProperties>
</file>