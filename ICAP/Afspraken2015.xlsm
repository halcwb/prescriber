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12" activeTab="2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L11" i="71" s="1"/>
  <c r="F12" i="71"/>
  <c r="F11" i="71"/>
  <c r="S11" i="71"/>
  <c r="O11" i="71"/>
  <c r="N11" i="71"/>
  <c r="M11" i="71"/>
  <c r="Q11" i="71" l="1"/>
  <c r="P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H11" i="2" s="1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D10" i="2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H13" i="2" s="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S30" i="71"/>
  <c r="H9" i="2" l="1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<sst xmlns="http://schemas.openxmlformats.org/spreadsheetml/2006/main" count="2683" uniqueCount="1270">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</sst>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 applyFill="1" applyProtection="1">
      <protection locked="0" hidden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1"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" val="9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1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16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1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1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0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0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 val="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100"/>
</file>

<file path=xl/ctrlProps/ctrlProp48.xml><?xml version="1.0" encoding="utf-8"?>
<formControlPr xmlns="http://schemas.microsoft.com/office/spreadsheetml/2009/9/main" objectType="Spin" dx="15" fmlaLink="dbBead!$H$2" max="200" min="40" page="10" val="80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4" max="1000" page="10" val="0"/>
</file>

<file path=xl/ctrlProps/ctrlProp59.xml><?xml version="1.0" encoding="utf-8"?>
<formControlPr xmlns="http://schemas.microsoft.com/office/spreadsheetml/2009/9/main" objectType="Spin" dx="15" fmlaLink="ber_IVmed!$D$5" max="1000" page="10" val="0"/>
</file>

<file path=xl/ctrlProps/ctrlProp60.xml><?xml version="1.0" encoding="utf-8"?>
<formControlPr xmlns="http://schemas.microsoft.com/office/spreadsheetml/2009/9/main" objectType="Spin" dx="15" fmlaLink="ber_IVmed!$D$6" max="1000" page="10"/>
</file>

<file path=xl/ctrlProps/ctrlProp61.xml><?xml version="1.0" encoding="utf-8"?>
<formControlPr xmlns="http://schemas.microsoft.com/office/spreadsheetml/2009/9/main" objectType="Spin" dx="15" fmlaLink="ber_IVmed!$D$7" max="1000" page="10" val="0"/>
</file>

<file path=xl/ctrlProps/ctrlProp62.xml><?xml version="1.0" encoding="utf-8"?>
<formControlPr xmlns="http://schemas.microsoft.com/office/spreadsheetml/2009/9/main" objectType="Spin" dx="15" fmlaLink="ber_IVmed!$D$8" max="1000" page="10"/>
</file>

<file path=xl/ctrlProps/ctrlProp63.xml><?xml version="1.0" encoding="utf-8"?>
<formControlPr xmlns="http://schemas.microsoft.com/office/spreadsheetml/2009/9/main" objectType="Spin" dx="15" fmlaLink="ber_IVmed!$D$9" max="1000" page="10" val="0"/>
</file>

<file path=xl/ctrlProps/ctrlProp64.xml><?xml version="1.0" encoding="utf-8"?>
<formControlPr xmlns="http://schemas.microsoft.com/office/spreadsheetml/2009/9/main" objectType="Spin" dx="15" fmlaLink="ber_IVmed!$D$10" max="1000" page="10" val="0"/>
</file>

<file path=xl/ctrlProps/ctrlProp65.xml><?xml version="1.0" encoding="utf-8"?>
<formControlPr xmlns="http://schemas.microsoft.com/office/spreadsheetml/2009/9/main" objectType="Spin" dx="15" fmlaLink="ber_IVmed!$D$11" max="1000" page="10" val="0"/>
</file>

<file path=xl/ctrlProps/ctrlProp66.xml><?xml version="1.0" encoding="utf-8"?>
<formControlPr xmlns="http://schemas.microsoft.com/office/spreadsheetml/2009/9/main" objectType="Spin" dx="15" fmlaLink="ber_IVmed!$D$12" max="1000" page="10" val="0"/>
</file>

<file path=xl/ctrlProps/ctrlProp67.xml><?xml version="1.0" encoding="utf-8"?>
<formControlPr xmlns="http://schemas.microsoft.com/office/spreadsheetml/2009/9/main" objectType="Spin" dx="15" fmlaLink="ber_IVmed!$E$3" max="1000" page="10" val="0"/>
</file>

<file path=xl/ctrlProps/ctrlProp68.xml><?xml version="1.0" encoding="utf-8"?>
<formControlPr xmlns="http://schemas.microsoft.com/office/spreadsheetml/2009/9/main" objectType="Spin" dx="15" fmlaLink="ber_IVmed!$D$3" max="1000" page="10" val="0"/>
</file>

<file path=xl/ctrlProps/ctrlProp69.xml><?xml version="1.0" encoding="utf-8"?>
<formControlPr xmlns="http://schemas.microsoft.com/office/spreadsheetml/2009/9/main" objectType="Spin" dx="15" fmlaLink="ber_IVmed!$G$3" max="1000" page="1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 val="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 val="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0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 val="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 val="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0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 val="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 val="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100"/>
</file>

<file path=xl/ctrlProps/ctrlProp172.xml><?xml version="1.0" encoding="utf-8"?>
<formControlPr xmlns="http://schemas.microsoft.com/office/spreadsheetml/2009/9/main" objectType="Spin" dx="15" fmlaLink="dbBead!$H$2" max="200" min="40" page="10" val="80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100"/>
</file>

<file path=xl/ctrlProps/ctrlProp184.xml><?xml version="1.0" encoding="utf-8"?>
<formControlPr xmlns="http://schemas.microsoft.com/office/spreadsheetml/2009/9/main" objectType="Spin" dx="15" fmlaLink="dbBead!$H$2" max="200" min="40" page="10" val="80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0"/>
</file>

<file path=xl/ctrlProps/ctrlProp196.xml><?xml version="1.0" encoding="utf-8"?>
<formControlPr xmlns="http://schemas.microsoft.com/office/spreadsheetml/2009/9/main" objectType="Spin" dx="15" fmlaLink="ber_Infusen!$H$2" max="24" page="10" val="0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1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0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100"/>
</file>

<file path=xl/ctrlProps/ctrlProp239.xml><?xml version="1.0" encoding="utf-8"?>
<formControlPr xmlns="http://schemas.microsoft.com/office/spreadsheetml/2009/9/main" objectType="Spin" dx="15" fmlaLink="dbBead!$H$2" max="200" min="40" page="10" val="80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tabSelected="1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101,55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40909</v>
      </c>
      <c r="D3" s="177"/>
      <c r="E3" s="223" t="str">
        <f ca="1">"Geschat gewicht: "&amp;VLOOKUP(C5+D5/12,WEIGHTNL.CRF!A2:T49,20)&amp;" kg"</f>
        <v>Geschat gewicht: 16,3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3</v>
      </c>
      <c r="D5" s="218">
        <f ca="1">TRUNC(((AfspraakDatum-GebDatum)-365*TRUNC((AfspraakDatum-GebDatum)/365,0))/30,0)</f>
        <v>7</v>
      </c>
      <c r="E5" s="218">
        <f>Gewicht/10</f>
        <v>10</v>
      </c>
      <c r="F5" s="218">
        <f>Lengte</f>
        <v>80</v>
      </c>
      <c r="G5" s="218">
        <f>ROUND(POWER(E5,0.425)*POWER(((F5/100)*100),0.725)*0.007184,2)</f>
        <v>0.46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50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0,1 mg iv</v>
      </c>
      <c r="E9" s="64" t="str">
        <f>"= "&amp;IF(ROUND(0.01*(E5),2)&gt;1,"1 ml van 1mg = 10 ml (1:10.000)",ROUND(0.1*(E5),1)&amp;" ml van 1mg = 10 ml (1:10.000)")</f>
        <v>= 1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5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2 gram iv</v>
      </c>
      <c r="E11" s="64" t="str">
        <f>"="&amp;" "&amp;IF(2*E5&lt;=250,ROUND(2*E5,0)&amp;" ml glucose 10%","250 ml glucose 10%")</f>
        <v>= 20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200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5 mg iv</v>
      </c>
      <c r="E14" s="226" t="str">
        <f>"= "&amp;IF(0.5*E5&gt;20,"10 ml van een 2 mg/ml oplossing",ROUND(0.5*E5*0.5,1)&amp;" ml van een 2 mg/ml oplossing")</f>
        <v>= 2,5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10 mg iv</v>
      </c>
      <c r="E15" s="64" t="str">
        <f>"= "&amp;IF(ROUND(1*(E5),1)&gt;100,"10 ml"&amp;" van een 1mg/ml oplossing",ROUND(0.1*(E5),1)&amp;" ml"&amp;" van een 10 mg/ml oplossing")</f>
        <v>= 1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0,2 mg iv</v>
      </c>
      <c r="E16" s="339" t="str">
        <f>"= "&amp;IF(ROUND(0.02*(E5),1)&lt;0.1,0.1,IF(ROUND(0.02*(E5),1)&gt;0.5,0.5,ROUND(0.02*(E5),1)))*2&amp;" ml van 0,5 mg/ml (min 0,1 mg)"</f>
        <v>= 0,4 ml van 0,5 mg/ml (min 0,1 mg)</v>
      </c>
      <c r="F16" s="339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0"/>
      <c r="F17" s="340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0,2 mg iv</v>
      </c>
      <c r="E19" s="226" t="str">
        <f>"= "&amp;IF(0.02*E5&gt;1,"10 ml van anexate 0,1 mg/ml",ROUND((0.02*E5)/0.1,1)&amp;" ml van anexate 0,1 mg/ml")</f>
        <v>= 2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0,1 mg iv</v>
      </c>
      <c r="E20" s="339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39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0"/>
      <c r="F21" s="340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200 mg in 50 ml FZ</v>
      </c>
      <c r="E24" s="64" t="str">
        <f>"1 ml/uur = "&amp;IF(E5&gt;5,ROUND((200/50/E5/60)*1000,1),ROUND(24*ROUND(((E5)*24*60*(10/1000)/(24/50))/50,0)*50/50/1.44/E5,1))&amp;" mcg/kg/min"</f>
        <v>1 ml/uur = 6,7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10 mg in 50 ml FZ</v>
      </c>
      <c r="E25" s="229" t="str">
        <f>"1 ml/uur = "&amp;IF(E5&gt;5,ROUND((10/50/E5/60)*1000,2),ROUND(24*ROUND((E5)*24*60*(0.1/1000)/(24/50)/5,1)*5/50/1.44/E5,2))&amp;" mcg/kg/min"</f>
        <v>1 ml/uur = 0,33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7" t="s">
        <v>751</v>
      </c>
      <c r="C27" s="224" t="s">
        <v>1159</v>
      </c>
      <c r="D27" s="225" t="str">
        <f>IF(ROUND(E5/2,0)*2&gt;50,"300 mg iv",ROUND(E5*5,0)&amp;" mg iv")</f>
        <v>50 mg iv</v>
      </c>
      <c r="E27" s="226" t="str">
        <f>IF(ROUND(E5/2,0)*2&gt;50,"6 ml van amiodarone 50 mg/ml iv",ROUND(E5*0.1,1)&amp;" ml van amiodarone 50 mg/ml iv")</f>
        <v>1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8"/>
      <c r="C28" s="227" t="s">
        <v>835</v>
      </c>
      <c r="D28" s="228" t="str">
        <f>IF(E5/10&gt;10,"10 ml iv",E5/10 &amp;" ml iv")</f>
        <v>1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6" t="s">
        <v>246</v>
      </c>
      <c r="C30" s="224" t="s">
        <v>295</v>
      </c>
      <c r="D30" s="225" t="str">
        <f>IF((0.5*E5)&gt;10,"10 mg rect",(0.5*E5)&amp;" mg rect")</f>
        <v>5 mg rect</v>
      </c>
      <c r="E30" s="226" t="str">
        <f>"= "&amp;IF((0.5*E5)&gt;10,"5 ml van diazepam 2 mg/ml",ROUND((0.5*E5)/2,1)&amp;" ml van diazepam 2 mg/ml")</f>
        <v>= 2,5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6"/>
      <c r="C31" s="208" t="s">
        <v>755</v>
      </c>
      <c r="D31" s="65" t="str">
        <f>IF((20*E5)&gt;1500,"1500 mg iv",20*E5&amp;" mg iv")</f>
        <v>200 mg iv</v>
      </c>
      <c r="E31" s="33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39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39"/>
      <c r="F32" s="339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1 mg iv</v>
      </c>
      <c r="E33" s="229" t="str">
        <f>"= "&amp;IF((0.1*E5)&gt;15,10,ROUND((0.1*E5),1))&amp;" ml van dormicum 1 mg/ml iv"</f>
        <v>= 1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10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5 gram iv</v>
      </c>
      <c r="E36" s="229" t="str">
        <f>"= "&amp;IF(ROUND((0.5*E5),1)&gt;50,ROUND(50/0.15,0),ROUND((0.5*E5)/0.15,0))&amp;" ml van mannitol 15% in 30 min iv"</f>
        <v>= 33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25/min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Beq58J7FpfQ8yCxA8XRocVvu0syOhuX4b/dQhOWOhR4AR0MPCWQFFLgNg6ZXOlturuDSma/FD1/ow+my3fCRrg==" saltValue="VZG7w+8frIQIT1abJpwG5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42221</v>
      </c>
      <c r="E2" s="70" t="s">
        <v>1195</v>
      </c>
      <c r="F2" s="346" t="str">
        <f>_AchterNaam&amp;", "&amp;_VoorNaam</f>
        <v>Achternaam, Voornaam</v>
      </c>
      <c r="G2" s="346"/>
      <c r="H2" s="71" t="s">
        <v>759</v>
      </c>
      <c r="I2" s="48" t="str">
        <f>Gewicht/10&amp;" kg"</f>
        <v>10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859</v>
      </c>
      <c r="E3" s="70" t="s">
        <v>1193</v>
      </c>
      <c r="F3" s="50">
        <f>GebDatum</f>
        <v>40909</v>
      </c>
      <c r="G3" s="47"/>
      <c r="H3" s="71" t="s">
        <v>351</v>
      </c>
      <c r="I3" s="48" t="str">
        <f>Lengte&amp;" cm"</f>
        <v>80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0,46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>
        <f>IF(E7&lt;&gt;"",INDEX(tblVoedingPO,KeuzePO_1,1),)</f>
        <v>0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49">
        <f>ber_Opm!C15</f>
        <v>0</v>
      </c>
      <c r="E11" s="350"/>
      <c r="F11" s="350"/>
      <c r="G11" s="350"/>
      <c r="H11" s="350"/>
      <c r="I11" s="350"/>
      <c r="J11" s="350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3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4"/>
      <c r="F14" s="354"/>
      <c r="G14" s="354"/>
      <c r="H14" s="354"/>
      <c r="I14" s="354"/>
      <c r="J14" s="354"/>
      <c r="L14" s="87"/>
    </row>
    <row r="15" spans="1:12" ht="12.65" customHeight="1" x14ac:dyDescent="0.35">
      <c r="B15" s="71"/>
      <c r="C15" s="71" t="s">
        <v>1183</v>
      </c>
      <c r="D15" s="347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8"/>
      <c r="F15" s="348"/>
      <c r="G15" s="348"/>
      <c r="H15" s="348"/>
      <c r="I15" s="348"/>
      <c r="J15" s="348"/>
      <c r="L15" s="87"/>
    </row>
    <row r="16" spans="1:12" ht="12.65" customHeight="1" x14ac:dyDescent="0.35">
      <c r="B16" s="71"/>
      <c r="C16" s="71" t="s">
        <v>1184</v>
      </c>
      <c r="D16" s="347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5"/>
      <c r="F16" s="355"/>
      <c r="G16" s="355"/>
      <c r="H16" s="355"/>
      <c r="I16" s="355"/>
      <c r="J16" s="355"/>
      <c r="L16" s="87"/>
    </row>
    <row r="17" spans="1:12" ht="12.65" customHeight="1" x14ac:dyDescent="0.35">
      <c r="B17" s="71"/>
      <c r="C17" s="71" t="s">
        <v>387</v>
      </c>
      <c r="D17" s="347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5"/>
      <c r="F17" s="355"/>
      <c r="G17" s="355"/>
      <c r="H17" s="355"/>
      <c r="I17" s="355"/>
      <c r="J17" s="355"/>
      <c r="L17" s="87"/>
    </row>
    <row r="18" spans="1:12" ht="12.65" customHeight="1" x14ac:dyDescent="0.35">
      <c r="B18" s="71"/>
      <c r="C18" s="76" t="s">
        <v>46</v>
      </c>
      <c r="D18" s="347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6"/>
      <c r="F18" s="356"/>
      <c r="G18" s="356"/>
      <c r="H18" s="356"/>
      <c r="I18" s="356"/>
      <c r="J18" s="356"/>
      <c r="L18" s="87"/>
    </row>
    <row r="19" spans="1:12" ht="12.65" customHeight="1" x14ac:dyDescent="0.35">
      <c r="B19" s="71"/>
      <c r="C19" s="76" t="s">
        <v>791</v>
      </c>
      <c r="D19" s="341">
        <f>ber_Opm!C10</f>
        <v>0</v>
      </c>
      <c r="E19" s="342"/>
      <c r="F19" s="342"/>
      <c r="G19" s="342"/>
      <c r="H19" s="342"/>
      <c r="I19" s="342"/>
      <c r="J19" s="342"/>
      <c r="L19" s="87"/>
    </row>
    <row r="20" spans="1:12" ht="12.65" customHeight="1" x14ac:dyDescent="0.35">
      <c r="A20" s="55"/>
      <c r="B20" s="73"/>
      <c r="C20" s="75"/>
      <c r="D20" s="343"/>
      <c r="E20" s="343"/>
      <c r="F20" s="343"/>
      <c r="G20" s="343"/>
      <c r="H20" s="343"/>
      <c r="I20" s="343"/>
      <c r="J20" s="343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87"/>
    </row>
    <row r="28" spans="1:12" ht="12.65" customHeight="1" x14ac:dyDescent="0.35">
      <c r="B28" s="51" t="s">
        <v>178</v>
      </c>
      <c r="C28" s="345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5"/>
      <c r="E28" s="345"/>
      <c r="F28" s="345"/>
      <c r="G28" s="345"/>
      <c r="H28" s="345"/>
      <c r="I28" s="345"/>
      <c r="J28" s="345"/>
      <c r="L28" s="87"/>
    </row>
    <row r="29" spans="1:12" ht="12.65" customHeight="1" x14ac:dyDescent="0.35">
      <c r="C29" s="345"/>
      <c r="D29" s="345"/>
      <c r="E29" s="345"/>
      <c r="F29" s="345"/>
      <c r="G29" s="345"/>
      <c r="H29" s="345"/>
      <c r="I29" s="345"/>
      <c r="J29" s="345"/>
      <c r="L29" s="87"/>
    </row>
    <row r="30" spans="1:12" ht="12.65" customHeight="1" x14ac:dyDescent="0.35">
      <c r="B30" s="51" t="s">
        <v>179</v>
      </c>
      <c r="C30" s="351">
        <f>ber_Opm!C11</f>
        <v>0</v>
      </c>
      <c r="D30" s="351"/>
      <c r="E30" s="351"/>
      <c r="F30" s="351"/>
      <c r="G30" s="351"/>
      <c r="H30" s="351"/>
      <c r="I30" s="351"/>
      <c r="J30" s="351"/>
      <c r="L30" s="87"/>
    </row>
    <row r="31" spans="1:12" ht="7" customHeight="1" x14ac:dyDescent="0.35">
      <c r="C31" s="352"/>
      <c r="D31" s="352"/>
      <c r="E31" s="352"/>
      <c r="F31" s="352"/>
      <c r="G31" s="352"/>
      <c r="H31" s="352"/>
      <c r="I31" s="352"/>
      <c r="J31" s="352"/>
      <c r="L31" s="87"/>
    </row>
    <row r="32" spans="1:12" ht="7" customHeight="1" x14ac:dyDescent="0.35">
      <c r="C32" s="352"/>
      <c r="D32" s="352"/>
      <c r="E32" s="352"/>
      <c r="F32" s="352"/>
      <c r="G32" s="352"/>
      <c r="H32" s="352"/>
      <c r="I32" s="352"/>
      <c r="J32" s="352"/>
      <c r="L32" s="87"/>
    </row>
    <row r="33" spans="1:12" ht="7" customHeight="1" x14ac:dyDescent="0.35">
      <c r="C33" s="352"/>
      <c r="D33" s="352"/>
      <c r="E33" s="352"/>
      <c r="F33" s="352"/>
      <c r="G33" s="352"/>
      <c r="H33" s="352"/>
      <c r="I33" s="352"/>
      <c r="J33" s="352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42221</v>
      </c>
      <c r="E41" s="70" t="s">
        <v>1195</v>
      </c>
      <c r="F41" s="346" t="str">
        <f>_AchterNaam&amp;", "&amp;_VoorNaam</f>
        <v>Achternaam, Voornaam</v>
      </c>
      <c r="G41" s="346"/>
      <c r="H41" s="71" t="s">
        <v>759</v>
      </c>
      <c r="I41" s="48" t="str">
        <f>Gewicht/10&amp;" kg"</f>
        <v>10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859</v>
      </c>
      <c r="E42" s="70" t="s">
        <v>1193</v>
      </c>
      <c r="F42" s="50">
        <f>GebDatum</f>
        <v>40909</v>
      </c>
      <c r="G42" s="315"/>
      <c r="H42" s="71" t="s">
        <v>351</v>
      </c>
      <c r="I42" s="48" t="str">
        <f>Lengte&amp;" cm"</f>
        <v>80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0,46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>
        <f>INDEX(tblInfusen,ber_Infusen!E3,1)</f>
        <v>0</v>
      </c>
      <c r="H47" s="52"/>
      <c r="I47" s="52"/>
      <c r="J47" s="52"/>
      <c r="L47" s="87" t="str">
        <f t="shared" si="0"/>
        <v>D</v>
      </c>
    </row>
    <row r="48" spans="1:12" ht="12.65" customHeight="1" x14ac:dyDescent="0.35">
      <c r="B48" s="51">
        <v>3</v>
      </c>
      <c r="C48" s="48">
        <f>INDEX(tblInfusen,ber_Infusen!E4,1)</f>
        <v>0</v>
      </c>
      <c r="H48" s="52"/>
      <c r="I48" s="52"/>
      <c r="J48" s="52"/>
      <c r="L48" s="87" t="str">
        <f t="shared" si="0"/>
        <v>D</v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49">
        <f>ber_Opm!C3</f>
        <v>0</v>
      </c>
      <c r="E53" s="350"/>
      <c r="F53" s="350"/>
      <c r="G53" s="350"/>
      <c r="H53" s="350"/>
      <c r="I53" s="350"/>
      <c r="J53" s="350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>
        <f>MedicatieIV!C8</f>
        <v>0</v>
      </c>
      <c r="E58" s="48" t="str">
        <f>IF(C58&lt;&gt;0,MedicatieIV!D8&amp;" in "&amp;MedicatieIV!E8&amp;IF(AND(ber_IVmed!#REF!&lt;&gt;4,MedicatieIV!F8&lt;&gt;0)," "&amp;MedicatieIV!F8,""),"")</f>
        <v/>
      </c>
      <c r="G58" s="48" t="str">
        <f>IF(C58&lt;&gt;0,MedicatieIV!G8&amp;" (="&amp;MedicatieIV!H8&amp;")","")</f>
        <v/>
      </c>
      <c r="J58" s="48" t="str">
        <f>MedicatieIV!I8</f>
        <v/>
      </c>
      <c r="L58" s="87" t="str">
        <f t="shared" ref="L58:L72" si="1">IF(C58=0,"D","")</f>
        <v>D</v>
      </c>
    </row>
    <row r="59" spans="1:12" ht="12.65" customHeight="1" x14ac:dyDescent="0.35">
      <c r="B59" s="51">
        <v>2</v>
      </c>
      <c r="C59" s="48">
        <f>MedicatieIV!C9</f>
        <v>0</v>
      </c>
      <c r="E59" s="48" t="str">
        <f>IF(C59&lt;&gt;0,MedicatieIV!D9&amp;" in "&amp;MedicatieIV!E9&amp;IF(AND(ber_IVmed!#REF!&lt;&gt;4,MedicatieIV!F9&lt;&gt;0)," "&amp;MedicatieIV!F9,""),"")</f>
        <v/>
      </c>
      <c r="G59" s="48" t="str">
        <f>IF(C59&lt;&gt;0,MedicatieIV!G9&amp;" (="&amp;MedicatieIV!H9&amp;")","")</f>
        <v/>
      </c>
      <c r="J59" s="48" t="str">
        <f>MedicatieIV!I9</f>
        <v/>
      </c>
      <c r="L59" s="87" t="str">
        <f t="shared" si="1"/>
        <v>D</v>
      </c>
    </row>
    <row r="60" spans="1:12" ht="12.65" customHeight="1" x14ac:dyDescent="0.35">
      <c r="B60" s="51">
        <v>3</v>
      </c>
      <c r="C60" s="48">
        <f>MedicatieIV!C10</f>
        <v>0</v>
      </c>
      <c r="E60" s="48" t="str">
        <f>IF(C60&lt;&gt;0,MedicatieIV!D10&amp;" in "&amp;MedicatieIV!E10&amp;IF(AND(ber_IVmed!#REF!&lt;&gt;4,MedicatieIV!F10&lt;&gt;0)," "&amp;MedicatieIV!F10,""),"")</f>
        <v/>
      </c>
      <c r="G60" s="48" t="str">
        <f>IF(C60&lt;&gt;0,MedicatieIV!G10&amp;" (="&amp;MedicatieIV!H10&amp;")","")</f>
        <v/>
      </c>
      <c r="J60" s="48" t="str">
        <f>MedicatieIV!I10</f>
        <v/>
      </c>
      <c r="L60" s="87" t="str">
        <f t="shared" si="1"/>
        <v>D</v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>
        <f>MedicatieIV!G19</f>
        <v>0</v>
      </c>
      <c r="J68" s="48" t="str">
        <f>MedicatieIV!I19</f>
        <v/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1">
        <f>ber_Opm!C4</f>
        <v>0</v>
      </c>
      <c r="E74" s="341"/>
      <c r="F74" s="341"/>
      <c r="G74" s="341"/>
      <c r="H74" s="341"/>
      <c r="I74" s="341"/>
      <c r="J74" s="341"/>
      <c r="L74" s="87"/>
    </row>
    <row r="75" spans="1:12" ht="12.65" customHeight="1" x14ac:dyDescent="0.35">
      <c r="D75" s="344"/>
      <c r="E75" s="344"/>
      <c r="F75" s="344"/>
      <c r="G75" s="344"/>
      <c r="H75" s="344"/>
      <c r="I75" s="344"/>
      <c r="J75" s="344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49">
        <f>ber_Opm!C9</f>
        <v>0</v>
      </c>
      <c r="E99" s="350"/>
      <c r="F99" s="350"/>
      <c r="G99" s="350"/>
      <c r="H99" s="350"/>
      <c r="I99" s="350"/>
      <c r="J99" s="350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0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0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42221</v>
      </c>
      <c r="E106" s="70" t="s">
        <v>1195</v>
      </c>
      <c r="F106" s="346" t="str">
        <f>_AchterNaam&amp;", "&amp;_VoorNaam</f>
        <v>Achternaam, Voornaam</v>
      </c>
      <c r="G106" s="346"/>
      <c r="H106" s="71" t="s">
        <v>759</v>
      </c>
      <c r="I106" s="48" t="str">
        <f>Gewicht/10&amp;" kg"</f>
        <v>10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859</v>
      </c>
      <c r="E107" s="70" t="s">
        <v>1193</v>
      </c>
      <c r="F107" s="50">
        <f>GebDatum</f>
        <v>40909</v>
      </c>
      <c r="G107" s="315"/>
      <c r="H107" s="71" t="s">
        <v>351</v>
      </c>
      <c r="I107" s="48" t="str">
        <f>Lengte&amp;" cm"</f>
        <v>80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0,46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57" t="s">
        <v>344</v>
      </c>
      <c r="B115" s="358"/>
      <c r="C115" s="129" t="s">
        <v>345</v>
      </c>
      <c r="D115" s="129" t="s">
        <v>347</v>
      </c>
      <c r="E115" s="357" t="s">
        <v>349</v>
      </c>
      <c r="F115" s="358"/>
      <c r="G115" s="134" t="s">
        <v>347</v>
      </c>
      <c r="H115" s="357" t="s">
        <v>348</v>
      </c>
      <c r="I115" s="358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y1YcbcWGF+M/84RJggloBvd7puRR82j2cI+pEp0ZfjxBqtoO2YisL2zFgrdaHFP3Zpp3U1MoC0gErJEh6jbdCg==" saltValue="KavP/2HSxfEiTO1GtO95ow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42221</v>
      </c>
      <c r="C2" s="32">
        <v>41363</v>
      </c>
      <c r="D2" t="s">
        <v>746</v>
      </c>
      <c r="E2" t="s">
        <v>747</v>
      </c>
      <c r="F2" s="32">
        <v>40909</v>
      </c>
      <c r="G2">
        <v>100</v>
      </c>
      <c r="H2">
        <v>80</v>
      </c>
      <c r="I2" s="304"/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05"/>
  <sheetViews>
    <sheetView topLeftCell="A525" workbookViewId="0">
      <selection sqref="A1:B60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1229</v>
      </c>
      <c r="B2" t="s">
        <v>746</v>
      </c>
      <c r="FIO2">
        <v>30</v>
      </c>
    </row>
    <row r="3" spans="1:2 4305:4305" x14ac:dyDescent="0.35">
      <c r="A3" t="s">
        <v>1230</v>
      </c>
      <c r="B3" t="s">
        <v>747</v>
      </c>
    </row>
    <row r="4" spans="1:2 4305:4305" x14ac:dyDescent="0.35">
      <c r="A4" t="s">
        <v>980</v>
      </c>
      <c r="B4" t="b">
        <v>0</v>
      </c>
    </row>
    <row r="5" spans="1:2 4305:4305" x14ac:dyDescent="0.35">
      <c r="A5" t="s">
        <v>981</v>
      </c>
    </row>
    <row r="6" spans="1:2 4305:4305" x14ac:dyDescent="0.35">
      <c r="A6" t="s">
        <v>753</v>
      </c>
      <c r="B6" t="b">
        <v>1</v>
      </c>
    </row>
    <row r="7" spans="1:2 4305:4305" x14ac:dyDescent="0.35">
      <c r="A7" t="s">
        <v>1032</v>
      </c>
    </row>
    <row r="8" spans="1:2 4305:4305" x14ac:dyDescent="0.35">
      <c r="A8" t="s">
        <v>938</v>
      </c>
    </row>
    <row r="9" spans="1:2 4305:4305" x14ac:dyDescent="0.35">
      <c r="A9" t="s">
        <v>939</v>
      </c>
    </row>
    <row r="10" spans="1:2 4305:4305" x14ac:dyDescent="0.35">
      <c r="A10" t="s">
        <v>940</v>
      </c>
    </row>
    <row r="11" spans="1:2 4305:4305" x14ac:dyDescent="0.35">
      <c r="A11" t="s">
        <v>941</v>
      </c>
    </row>
    <row r="12" spans="1:2 4305:4305" x14ac:dyDescent="0.35">
      <c r="A12" t="s">
        <v>961</v>
      </c>
    </row>
    <row r="13" spans="1:2 4305:4305" x14ac:dyDescent="0.35">
      <c r="A13" t="s">
        <v>962</v>
      </c>
    </row>
    <row r="14" spans="1:2 4305:4305" x14ac:dyDescent="0.35">
      <c r="A14" t="s">
        <v>977</v>
      </c>
    </row>
    <row r="15" spans="1:2 4305:4305" x14ac:dyDescent="0.35">
      <c r="A15" t="s">
        <v>978</v>
      </c>
    </row>
    <row r="16" spans="1:2 4305:4305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2" x14ac:dyDescent="0.35">
      <c r="A49" t="s">
        <v>195</v>
      </c>
    </row>
    <row r="50" spans="1:2" x14ac:dyDescent="0.35">
      <c r="A50" t="s">
        <v>196</v>
      </c>
    </row>
    <row r="51" spans="1:2" x14ac:dyDescent="0.35">
      <c r="A51" t="s">
        <v>197</v>
      </c>
    </row>
    <row r="52" spans="1:2" x14ac:dyDescent="0.35">
      <c r="A52" t="s">
        <v>198</v>
      </c>
    </row>
    <row r="53" spans="1:2" x14ac:dyDescent="0.35">
      <c r="A53" t="s">
        <v>199</v>
      </c>
    </row>
    <row r="54" spans="1:2" x14ac:dyDescent="0.35">
      <c r="A54" t="s">
        <v>590</v>
      </c>
    </row>
    <row r="55" spans="1:2" x14ac:dyDescent="0.35">
      <c r="A55" t="s">
        <v>591</v>
      </c>
    </row>
    <row r="56" spans="1:2" x14ac:dyDescent="0.35">
      <c r="A56" t="s">
        <v>612</v>
      </c>
    </row>
    <row r="57" spans="1:2" x14ac:dyDescent="0.35">
      <c r="A57" t="s">
        <v>402</v>
      </c>
      <c r="B57">
        <v>1</v>
      </c>
    </row>
    <row r="58" spans="1:2" x14ac:dyDescent="0.35">
      <c r="A58" t="s">
        <v>403</v>
      </c>
    </row>
    <row r="59" spans="1:2" x14ac:dyDescent="0.35">
      <c r="A59" t="s">
        <v>404</v>
      </c>
    </row>
    <row r="60" spans="1:2" x14ac:dyDescent="0.35">
      <c r="A60" t="s">
        <v>405</v>
      </c>
    </row>
    <row r="61" spans="1:2" x14ac:dyDescent="0.35">
      <c r="A61" t="s">
        <v>554</v>
      </c>
      <c r="B61">
        <v>40909</v>
      </c>
    </row>
    <row r="62" spans="1:2" x14ac:dyDescent="0.35">
      <c r="A62" t="s">
        <v>759</v>
      </c>
      <c r="B62">
        <v>100</v>
      </c>
    </row>
    <row r="63" spans="1:2" x14ac:dyDescent="0.35">
      <c r="A63" t="s">
        <v>392</v>
      </c>
      <c r="B63">
        <v>1</v>
      </c>
    </row>
    <row r="64" spans="1:2" x14ac:dyDescent="0.35">
      <c r="A64" t="s">
        <v>393</v>
      </c>
      <c r="B64">
        <v>1</v>
      </c>
    </row>
    <row r="65" spans="1:2" x14ac:dyDescent="0.35">
      <c r="A65" t="s">
        <v>394</v>
      </c>
      <c r="B65">
        <v>1</v>
      </c>
    </row>
    <row r="66" spans="1:2" x14ac:dyDescent="0.35">
      <c r="A66" t="s">
        <v>395</v>
      </c>
      <c r="B66">
        <v>1</v>
      </c>
    </row>
    <row r="67" spans="1:2" x14ac:dyDescent="0.35">
      <c r="A67" t="s">
        <v>396</v>
      </c>
      <c r="B67">
        <v>1</v>
      </c>
    </row>
    <row r="68" spans="1:2" x14ac:dyDescent="0.35">
      <c r="A68" t="s">
        <v>986</v>
      </c>
      <c r="B68">
        <v>1</v>
      </c>
    </row>
    <row r="69" spans="1:2" x14ac:dyDescent="0.35">
      <c r="A69" t="s">
        <v>365</v>
      </c>
      <c r="B69" t="b">
        <v>0</v>
      </c>
    </row>
    <row r="70" spans="1:2" x14ac:dyDescent="0.35">
      <c r="A70" t="s">
        <v>955</v>
      </c>
    </row>
    <row r="71" spans="1:2" x14ac:dyDescent="0.35">
      <c r="A71" t="s">
        <v>366</v>
      </c>
    </row>
    <row r="72" spans="1:2" x14ac:dyDescent="0.35">
      <c r="A72" t="s">
        <v>956</v>
      </c>
    </row>
    <row r="73" spans="1:2" x14ac:dyDescent="0.35">
      <c r="A73" t="s">
        <v>406</v>
      </c>
      <c r="B73">
        <v>1</v>
      </c>
    </row>
    <row r="74" spans="1:2" x14ac:dyDescent="0.35">
      <c r="A74" t="s">
        <v>407</v>
      </c>
    </row>
    <row r="75" spans="1:2" x14ac:dyDescent="0.35">
      <c r="A75" t="s">
        <v>408</v>
      </c>
    </row>
    <row r="76" spans="1:2" x14ac:dyDescent="0.35">
      <c r="A76" t="s">
        <v>409</v>
      </c>
    </row>
    <row r="77" spans="1:2" x14ac:dyDescent="0.35">
      <c r="A77" t="s">
        <v>838</v>
      </c>
      <c r="B77" t="b">
        <v>0</v>
      </c>
    </row>
    <row r="78" spans="1:2" x14ac:dyDescent="0.35">
      <c r="A78" t="s">
        <v>87</v>
      </c>
    </row>
    <row r="79" spans="1:2" x14ac:dyDescent="0.35">
      <c r="A79" t="s">
        <v>287</v>
      </c>
    </row>
    <row r="80" spans="1:2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2" x14ac:dyDescent="0.35">
      <c r="A257" t="s">
        <v>283</v>
      </c>
    </row>
    <row r="258" spans="1:2" x14ac:dyDescent="0.35">
      <c r="A258" t="s">
        <v>284</v>
      </c>
    </row>
    <row r="259" spans="1:2" x14ac:dyDescent="0.35">
      <c r="A259" t="s">
        <v>285</v>
      </c>
    </row>
    <row r="260" spans="1:2" x14ac:dyDescent="0.35">
      <c r="A260" t="s">
        <v>286</v>
      </c>
    </row>
    <row r="261" spans="1:2" x14ac:dyDescent="0.35">
      <c r="A261" t="s">
        <v>1008</v>
      </c>
    </row>
    <row r="262" spans="1:2" x14ac:dyDescent="0.35">
      <c r="A262" t="s">
        <v>388</v>
      </c>
    </row>
    <row r="263" spans="1:2" x14ac:dyDescent="0.35">
      <c r="A263" t="s">
        <v>389</v>
      </c>
    </row>
    <row r="264" spans="1:2" x14ac:dyDescent="0.35">
      <c r="A264" t="s">
        <v>390</v>
      </c>
    </row>
    <row r="265" spans="1:2" x14ac:dyDescent="0.35">
      <c r="A265" t="s">
        <v>391</v>
      </c>
    </row>
    <row r="266" spans="1:2" x14ac:dyDescent="0.35">
      <c r="A266" t="s">
        <v>799</v>
      </c>
    </row>
    <row r="267" spans="1:2" x14ac:dyDescent="0.35">
      <c r="A267" t="s">
        <v>800</v>
      </c>
    </row>
    <row r="268" spans="1:2" x14ac:dyDescent="0.35">
      <c r="A268" t="s">
        <v>351</v>
      </c>
      <c r="B268">
        <v>80</v>
      </c>
    </row>
    <row r="269" spans="1:2" x14ac:dyDescent="0.35">
      <c r="A269" t="s">
        <v>900</v>
      </c>
      <c r="B269">
        <v>0</v>
      </c>
    </row>
    <row r="270" spans="1:2" x14ac:dyDescent="0.35">
      <c r="A270" t="s">
        <v>102</v>
      </c>
    </row>
    <row r="271" spans="1:2" x14ac:dyDescent="0.35">
      <c r="A271" t="s">
        <v>103</v>
      </c>
    </row>
    <row r="272" spans="1:2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2" x14ac:dyDescent="0.35">
      <c r="A305" t="s">
        <v>443</v>
      </c>
    </row>
    <row r="306" spans="1:2" x14ac:dyDescent="0.35">
      <c r="A306" t="s">
        <v>444</v>
      </c>
    </row>
    <row r="307" spans="1:2" x14ac:dyDescent="0.35">
      <c r="A307" t="s">
        <v>1009</v>
      </c>
    </row>
    <row r="308" spans="1:2" x14ac:dyDescent="0.35">
      <c r="A308" t="s">
        <v>1010</v>
      </c>
    </row>
    <row r="309" spans="1:2" x14ac:dyDescent="0.35">
      <c r="A309" t="s">
        <v>1011</v>
      </c>
    </row>
    <row r="310" spans="1:2" x14ac:dyDescent="0.35">
      <c r="A310" t="s">
        <v>1012</v>
      </c>
      <c r="B310">
        <v>1</v>
      </c>
    </row>
    <row r="311" spans="1:2" x14ac:dyDescent="0.35">
      <c r="A311" t="s">
        <v>1013</v>
      </c>
      <c r="B311">
        <v>1</v>
      </c>
    </row>
    <row r="312" spans="1:2" x14ac:dyDescent="0.35">
      <c r="A312" t="s">
        <v>1014</v>
      </c>
    </row>
    <row r="313" spans="1:2" x14ac:dyDescent="0.35">
      <c r="A313" t="s">
        <v>1015</v>
      </c>
    </row>
    <row r="314" spans="1:2" x14ac:dyDescent="0.35">
      <c r="A314" t="s">
        <v>1016</v>
      </c>
    </row>
    <row r="315" spans="1:2" x14ac:dyDescent="0.35">
      <c r="A315" t="s">
        <v>1070</v>
      </c>
    </row>
    <row r="316" spans="1:2" x14ac:dyDescent="0.35">
      <c r="A316" t="s">
        <v>1071</v>
      </c>
    </row>
    <row r="317" spans="1:2" x14ac:dyDescent="0.35">
      <c r="A317" t="s">
        <v>1072</v>
      </c>
      <c r="B317">
        <v>1</v>
      </c>
    </row>
    <row r="318" spans="1:2" x14ac:dyDescent="0.35">
      <c r="A318" t="s">
        <v>1073</v>
      </c>
      <c r="B318">
        <v>1</v>
      </c>
    </row>
    <row r="319" spans="1:2" x14ac:dyDescent="0.35">
      <c r="A319" t="s">
        <v>1074</v>
      </c>
      <c r="B319">
        <v>1</v>
      </c>
    </row>
    <row r="320" spans="1:2" x14ac:dyDescent="0.35">
      <c r="A320" t="s">
        <v>1075</v>
      </c>
      <c r="B320">
        <v>1</v>
      </c>
    </row>
    <row r="321" spans="1:2" x14ac:dyDescent="0.35">
      <c r="A321" t="s">
        <v>1076</v>
      </c>
      <c r="B321">
        <v>1</v>
      </c>
    </row>
    <row r="322" spans="1:2" x14ac:dyDescent="0.35">
      <c r="A322" t="s">
        <v>604</v>
      </c>
      <c r="B322">
        <v>1</v>
      </c>
    </row>
    <row r="323" spans="1:2" x14ac:dyDescent="0.35">
      <c r="A323" t="s">
        <v>605</v>
      </c>
      <c r="B323">
        <v>1</v>
      </c>
    </row>
    <row r="324" spans="1:2" x14ac:dyDescent="0.35">
      <c r="A324" t="s">
        <v>606</v>
      </c>
      <c r="B324">
        <v>1</v>
      </c>
    </row>
    <row r="325" spans="1:2" x14ac:dyDescent="0.35">
      <c r="A325" t="s">
        <v>607</v>
      </c>
    </row>
    <row r="326" spans="1:2" x14ac:dyDescent="0.35">
      <c r="A326" t="s">
        <v>608</v>
      </c>
    </row>
    <row r="327" spans="1:2" x14ac:dyDescent="0.35">
      <c r="A327" t="s">
        <v>609</v>
      </c>
    </row>
    <row r="328" spans="1:2" x14ac:dyDescent="0.35">
      <c r="A328" t="s">
        <v>610</v>
      </c>
    </row>
    <row r="329" spans="1:2" x14ac:dyDescent="0.35">
      <c r="A329" t="s">
        <v>611</v>
      </c>
    </row>
    <row r="330" spans="1:2" x14ac:dyDescent="0.35">
      <c r="A330" t="s">
        <v>982</v>
      </c>
      <c r="B330">
        <v>1</v>
      </c>
    </row>
    <row r="331" spans="1:2" x14ac:dyDescent="0.35">
      <c r="A331" t="s">
        <v>983</v>
      </c>
      <c r="B331">
        <v>1</v>
      </c>
    </row>
    <row r="332" spans="1:2" x14ac:dyDescent="0.35">
      <c r="A332" t="s">
        <v>984</v>
      </c>
      <c r="B332">
        <v>1</v>
      </c>
    </row>
    <row r="333" spans="1:2" x14ac:dyDescent="0.35">
      <c r="A333" t="s">
        <v>869</v>
      </c>
      <c r="B333">
        <v>1</v>
      </c>
    </row>
    <row r="334" spans="1:2" x14ac:dyDescent="0.35">
      <c r="A334" t="s">
        <v>957</v>
      </c>
      <c r="B334">
        <v>1</v>
      </c>
    </row>
    <row r="335" spans="1:2" x14ac:dyDescent="0.35">
      <c r="A335" t="s">
        <v>958</v>
      </c>
      <c r="B335">
        <v>1</v>
      </c>
    </row>
    <row r="336" spans="1:2" x14ac:dyDescent="0.35">
      <c r="A336" t="s">
        <v>959</v>
      </c>
      <c r="B336">
        <v>1</v>
      </c>
    </row>
    <row r="337" spans="1:2" x14ac:dyDescent="0.35">
      <c r="A337" t="s">
        <v>960</v>
      </c>
      <c r="B337">
        <v>1</v>
      </c>
    </row>
    <row r="338" spans="1:2" x14ac:dyDescent="0.35">
      <c r="A338" t="s">
        <v>867</v>
      </c>
      <c r="B338">
        <v>1</v>
      </c>
    </row>
    <row r="339" spans="1:2" x14ac:dyDescent="0.35">
      <c r="A339" t="s">
        <v>868</v>
      </c>
      <c r="B339">
        <v>1</v>
      </c>
    </row>
    <row r="340" spans="1:2" x14ac:dyDescent="0.35">
      <c r="A340" t="s">
        <v>863</v>
      </c>
      <c r="B340">
        <v>1</v>
      </c>
    </row>
    <row r="341" spans="1:2" x14ac:dyDescent="0.35">
      <c r="A341" t="s">
        <v>864</v>
      </c>
      <c r="B341">
        <v>1</v>
      </c>
    </row>
    <row r="342" spans="1:2" x14ac:dyDescent="0.35">
      <c r="A342" t="s">
        <v>865</v>
      </c>
      <c r="B342">
        <v>1</v>
      </c>
    </row>
    <row r="343" spans="1:2" x14ac:dyDescent="0.35">
      <c r="A343" t="s">
        <v>856</v>
      </c>
      <c r="B343">
        <v>1</v>
      </c>
    </row>
    <row r="344" spans="1:2" x14ac:dyDescent="0.35">
      <c r="A344" t="s">
        <v>857</v>
      </c>
      <c r="B344">
        <v>1</v>
      </c>
    </row>
    <row r="345" spans="1:2" x14ac:dyDescent="0.35">
      <c r="A345" t="s">
        <v>858</v>
      </c>
      <c r="B345">
        <v>1</v>
      </c>
    </row>
    <row r="346" spans="1:2" x14ac:dyDescent="0.35">
      <c r="A346" t="s">
        <v>859</v>
      </c>
    </row>
    <row r="347" spans="1:2" x14ac:dyDescent="0.35">
      <c r="A347" t="s">
        <v>860</v>
      </c>
    </row>
    <row r="348" spans="1:2" x14ac:dyDescent="0.35">
      <c r="A348" t="s">
        <v>1043</v>
      </c>
    </row>
    <row r="349" spans="1:2" x14ac:dyDescent="0.35">
      <c r="A349" t="s">
        <v>1044</v>
      </c>
    </row>
    <row r="350" spans="1:2" x14ac:dyDescent="0.35">
      <c r="A350" t="s">
        <v>1045</v>
      </c>
    </row>
    <row r="351" spans="1:2" x14ac:dyDescent="0.35">
      <c r="A351" t="s">
        <v>1046</v>
      </c>
    </row>
    <row r="352" spans="1:2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1" x14ac:dyDescent="0.35">
      <c r="A369" t="s">
        <v>310</v>
      </c>
    </row>
    <row r="370" spans="1:1" x14ac:dyDescent="0.35">
      <c r="A370" t="s">
        <v>786</v>
      </c>
    </row>
    <row r="371" spans="1:1" x14ac:dyDescent="0.35">
      <c r="A371" t="s">
        <v>787</v>
      </c>
    </row>
    <row r="372" spans="1:1" x14ac:dyDescent="0.35">
      <c r="A372" t="s">
        <v>788</v>
      </c>
    </row>
    <row r="373" spans="1:1" x14ac:dyDescent="0.35">
      <c r="A373" t="s">
        <v>499</v>
      </c>
    </row>
    <row r="374" spans="1:1" x14ac:dyDescent="0.35">
      <c r="A374" t="s">
        <v>500</v>
      </c>
    </row>
    <row r="375" spans="1:1" x14ac:dyDescent="0.35">
      <c r="A375" t="s">
        <v>501</v>
      </c>
    </row>
    <row r="376" spans="1:1" x14ac:dyDescent="0.35">
      <c r="A376" t="s">
        <v>502</v>
      </c>
    </row>
    <row r="377" spans="1:1" x14ac:dyDescent="0.35">
      <c r="A377" t="s">
        <v>503</v>
      </c>
    </row>
    <row r="378" spans="1:1" x14ac:dyDescent="0.35">
      <c r="A378" t="s">
        <v>504</v>
      </c>
    </row>
    <row r="379" spans="1:1" x14ac:dyDescent="0.35">
      <c r="A379" t="s">
        <v>505</v>
      </c>
    </row>
    <row r="380" spans="1:1" x14ac:dyDescent="0.35">
      <c r="A380" t="s">
        <v>506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510</v>
      </c>
    </row>
    <row r="385" spans="1:1" x14ac:dyDescent="0.35">
      <c r="A385" t="s">
        <v>511</v>
      </c>
    </row>
    <row r="386" spans="1:1" x14ac:dyDescent="0.35">
      <c r="A386" t="s">
        <v>512</v>
      </c>
    </row>
    <row r="387" spans="1:1" x14ac:dyDescent="0.35">
      <c r="A387" t="s">
        <v>513</v>
      </c>
    </row>
    <row r="388" spans="1:1" x14ac:dyDescent="0.35">
      <c r="A388" t="s">
        <v>514</v>
      </c>
    </row>
    <row r="389" spans="1:1" x14ac:dyDescent="0.35">
      <c r="A389" t="s">
        <v>515</v>
      </c>
    </row>
    <row r="390" spans="1:1" x14ac:dyDescent="0.35">
      <c r="A390" t="s">
        <v>516</v>
      </c>
    </row>
    <row r="391" spans="1:1" x14ac:dyDescent="0.35">
      <c r="A391" t="s">
        <v>517</v>
      </c>
    </row>
    <row r="392" spans="1:1" x14ac:dyDescent="0.35">
      <c r="A392" t="s">
        <v>805</v>
      </c>
    </row>
    <row r="393" spans="1:1" x14ac:dyDescent="0.35">
      <c r="A393" t="s">
        <v>806</v>
      </c>
    </row>
    <row r="394" spans="1:1" x14ac:dyDescent="0.35">
      <c r="A394" t="s">
        <v>1021</v>
      </c>
    </row>
    <row r="395" spans="1:1" x14ac:dyDescent="0.35">
      <c r="A395" t="s">
        <v>644</v>
      </c>
    </row>
    <row r="396" spans="1:1" x14ac:dyDescent="0.35">
      <c r="A396" t="s">
        <v>645</v>
      </c>
    </row>
    <row r="397" spans="1:1" x14ac:dyDescent="0.35">
      <c r="A397" t="s">
        <v>458</v>
      </c>
    </row>
    <row r="398" spans="1:1" x14ac:dyDescent="0.35">
      <c r="A398" t="s">
        <v>459</v>
      </c>
    </row>
    <row r="399" spans="1:1" x14ac:dyDescent="0.35">
      <c r="A399" t="s">
        <v>460</v>
      </c>
    </row>
    <row r="400" spans="1:1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2" x14ac:dyDescent="0.35">
      <c r="A417" t="s">
        <v>181</v>
      </c>
    </row>
    <row r="418" spans="1:2" x14ac:dyDescent="0.35">
      <c r="A418" t="s">
        <v>73</v>
      </c>
    </row>
    <row r="419" spans="1:2" x14ac:dyDescent="0.35">
      <c r="A419" t="s">
        <v>74</v>
      </c>
    </row>
    <row r="420" spans="1:2" x14ac:dyDescent="0.35">
      <c r="A420" t="s">
        <v>848</v>
      </c>
    </row>
    <row r="421" spans="1:2" x14ac:dyDescent="0.35">
      <c r="A421" t="s">
        <v>849</v>
      </c>
    </row>
    <row r="422" spans="1:2" x14ac:dyDescent="0.35">
      <c r="A422" t="s">
        <v>850</v>
      </c>
    </row>
    <row r="423" spans="1:2" x14ac:dyDescent="0.35">
      <c r="A423" t="s">
        <v>798</v>
      </c>
    </row>
    <row r="424" spans="1:2" x14ac:dyDescent="0.35">
      <c r="A424" t="s">
        <v>834</v>
      </c>
    </row>
    <row r="425" spans="1:2" x14ac:dyDescent="0.35">
      <c r="A425" t="s">
        <v>640</v>
      </c>
      <c r="B425">
        <v>1</v>
      </c>
    </row>
    <row r="426" spans="1:2" x14ac:dyDescent="0.35">
      <c r="A426" t="s">
        <v>641</v>
      </c>
      <c r="B426">
        <v>1</v>
      </c>
    </row>
    <row r="427" spans="1:2" x14ac:dyDescent="0.35">
      <c r="A427" t="s">
        <v>642</v>
      </c>
      <c r="B427">
        <v>1</v>
      </c>
    </row>
    <row r="428" spans="1:2" x14ac:dyDescent="0.35">
      <c r="A428" t="s">
        <v>643</v>
      </c>
      <c r="B428">
        <v>1</v>
      </c>
    </row>
    <row r="429" spans="1:2" x14ac:dyDescent="0.35">
      <c r="A429" t="s">
        <v>1034</v>
      </c>
      <c r="B429">
        <v>1</v>
      </c>
    </row>
    <row r="430" spans="1:2" x14ac:dyDescent="0.35">
      <c r="A430" t="s">
        <v>1035</v>
      </c>
      <c r="B430">
        <v>1</v>
      </c>
    </row>
    <row r="431" spans="1:2" x14ac:dyDescent="0.35">
      <c r="A431" t="s">
        <v>1036</v>
      </c>
      <c r="B431">
        <v>1</v>
      </c>
    </row>
    <row r="432" spans="1:2" x14ac:dyDescent="0.35">
      <c r="A432" t="s">
        <v>1037</v>
      </c>
      <c r="B432">
        <v>1</v>
      </c>
    </row>
    <row r="433" spans="1:2" x14ac:dyDescent="0.35">
      <c r="A433" t="s">
        <v>1038</v>
      </c>
      <c r="B433">
        <v>1</v>
      </c>
    </row>
    <row r="434" spans="1:2" x14ac:dyDescent="0.35">
      <c r="A434" t="s">
        <v>1056</v>
      </c>
      <c r="B434">
        <v>1</v>
      </c>
    </row>
    <row r="435" spans="1:2" x14ac:dyDescent="0.35">
      <c r="A435" t="s">
        <v>1057</v>
      </c>
      <c r="B435">
        <v>1</v>
      </c>
    </row>
    <row r="436" spans="1:2" x14ac:dyDescent="0.35">
      <c r="A436" t="s">
        <v>1058</v>
      </c>
      <c r="B436">
        <v>1</v>
      </c>
    </row>
    <row r="437" spans="1:2" x14ac:dyDescent="0.35">
      <c r="A437" t="s">
        <v>1059</v>
      </c>
      <c r="B437">
        <v>1</v>
      </c>
    </row>
    <row r="438" spans="1:2" x14ac:dyDescent="0.35">
      <c r="A438" t="s">
        <v>1060</v>
      </c>
      <c r="B438">
        <v>1</v>
      </c>
    </row>
    <row r="439" spans="1:2" x14ac:dyDescent="0.35">
      <c r="A439" t="s">
        <v>1061</v>
      </c>
      <c r="B439">
        <v>1</v>
      </c>
    </row>
    <row r="440" spans="1:2" x14ac:dyDescent="0.35">
      <c r="A440" t="s">
        <v>1062</v>
      </c>
      <c r="B440">
        <v>1</v>
      </c>
    </row>
    <row r="441" spans="1:2" x14ac:dyDescent="0.35">
      <c r="A441" t="s">
        <v>881</v>
      </c>
      <c r="B441">
        <v>1</v>
      </c>
    </row>
    <row r="442" spans="1:2" x14ac:dyDescent="0.35">
      <c r="A442" t="s">
        <v>964</v>
      </c>
      <c r="B442">
        <v>1</v>
      </c>
    </row>
    <row r="443" spans="1:2" x14ac:dyDescent="0.35">
      <c r="A443" t="s">
        <v>965</v>
      </c>
      <c r="B443">
        <v>1</v>
      </c>
    </row>
    <row r="444" spans="1:2" x14ac:dyDescent="0.35">
      <c r="A444" t="s">
        <v>966</v>
      </c>
      <c r="B444">
        <v>1</v>
      </c>
    </row>
    <row r="445" spans="1:2" x14ac:dyDescent="0.35">
      <c r="A445" t="s">
        <v>967</v>
      </c>
    </row>
    <row r="446" spans="1:2" x14ac:dyDescent="0.35">
      <c r="A446" t="s">
        <v>968</v>
      </c>
    </row>
    <row r="447" spans="1:2" x14ac:dyDescent="0.35">
      <c r="A447" t="s">
        <v>520</v>
      </c>
    </row>
    <row r="448" spans="1:2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2" x14ac:dyDescent="0.35">
      <c r="A465" t="s">
        <v>447</v>
      </c>
      <c r="B465" t="b">
        <v>0</v>
      </c>
    </row>
    <row r="466" spans="1:2" x14ac:dyDescent="0.35">
      <c r="A466" t="s">
        <v>448</v>
      </c>
    </row>
    <row r="467" spans="1:2" x14ac:dyDescent="0.35">
      <c r="A467" t="s">
        <v>449</v>
      </c>
      <c r="B467" t="b">
        <v>0</v>
      </c>
    </row>
    <row r="468" spans="1:2" x14ac:dyDescent="0.35">
      <c r="A468" t="s">
        <v>69</v>
      </c>
    </row>
    <row r="469" spans="1:2" x14ac:dyDescent="0.35">
      <c r="A469" t="s">
        <v>1025</v>
      </c>
    </row>
    <row r="470" spans="1:2" x14ac:dyDescent="0.35">
      <c r="A470" t="s">
        <v>70</v>
      </c>
    </row>
    <row r="471" spans="1:2" x14ac:dyDescent="0.35">
      <c r="A471" t="s">
        <v>314</v>
      </c>
    </row>
    <row r="472" spans="1:2" x14ac:dyDescent="0.35">
      <c r="A472" t="s">
        <v>315</v>
      </c>
    </row>
    <row r="473" spans="1:2" x14ac:dyDescent="0.35">
      <c r="A473" t="s">
        <v>807</v>
      </c>
    </row>
    <row r="474" spans="1:2" x14ac:dyDescent="0.35">
      <c r="A474" t="s">
        <v>808</v>
      </c>
    </row>
    <row r="475" spans="1:2" x14ac:dyDescent="0.35">
      <c r="A475" t="s">
        <v>809</v>
      </c>
    </row>
    <row r="476" spans="1:2" x14ac:dyDescent="0.35">
      <c r="A476" t="s">
        <v>421</v>
      </c>
    </row>
    <row r="477" spans="1:2" x14ac:dyDescent="0.35">
      <c r="A477" t="s">
        <v>422</v>
      </c>
    </row>
    <row r="478" spans="1:2" x14ac:dyDescent="0.35">
      <c r="A478" t="s">
        <v>423</v>
      </c>
    </row>
    <row r="479" spans="1:2" x14ac:dyDescent="0.35">
      <c r="A479" t="s">
        <v>424</v>
      </c>
    </row>
    <row r="480" spans="1:2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2" x14ac:dyDescent="0.35">
      <c r="A497" t="s">
        <v>472</v>
      </c>
    </row>
    <row r="498" spans="1:2" x14ac:dyDescent="0.35">
      <c r="A498" t="s">
        <v>467</v>
      </c>
    </row>
    <row r="499" spans="1:2" x14ac:dyDescent="0.35">
      <c r="A499" t="s">
        <v>468</v>
      </c>
    </row>
    <row r="500" spans="1:2" x14ac:dyDescent="0.35">
      <c r="A500" t="s">
        <v>469</v>
      </c>
    </row>
    <row r="501" spans="1:2" x14ac:dyDescent="0.35">
      <c r="A501" t="s">
        <v>470</v>
      </c>
    </row>
    <row r="502" spans="1:2" x14ac:dyDescent="0.35">
      <c r="A502" t="s">
        <v>471</v>
      </c>
    </row>
    <row r="503" spans="1:2" x14ac:dyDescent="0.35">
      <c r="A503" t="s">
        <v>817</v>
      </c>
    </row>
    <row r="504" spans="1:2" x14ac:dyDescent="0.35">
      <c r="A504" t="s">
        <v>943</v>
      </c>
    </row>
    <row r="505" spans="1:2" x14ac:dyDescent="0.35">
      <c r="A505" t="s">
        <v>551</v>
      </c>
      <c r="B505">
        <v>41363</v>
      </c>
    </row>
    <row r="506" spans="1:2" x14ac:dyDescent="0.35">
      <c r="A506" t="s">
        <v>254</v>
      </c>
      <c r="B506">
        <v>1</v>
      </c>
    </row>
    <row r="507" spans="1:2" x14ac:dyDescent="0.35">
      <c r="A507" t="s">
        <v>901</v>
      </c>
      <c r="B507">
        <v>1</v>
      </c>
    </row>
    <row r="508" spans="1:2" x14ac:dyDescent="0.35">
      <c r="A508" t="s">
        <v>902</v>
      </c>
      <c r="B508">
        <v>1</v>
      </c>
    </row>
    <row r="509" spans="1:2" x14ac:dyDescent="0.35">
      <c r="A509" t="s">
        <v>903</v>
      </c>
      <c r="B509">
        <v>1</v>
      </c>
    </row>
    <row r="510" spans="1:2" x14ac:dyDescent="0.35">
      <c r="A510" t="s">
        <v>904</v>
      </c>
      <c r="B510">
        <v>1</v>
      </c>
    </row>
    <row r="511" spans="1:2" x14ac:dyDescent="0.35">
      <c r="A511" t="s">
        <v>905</v>
      </c>
      <c r="B511">
        <v>1</v>
      </c>
    </row>
    <row r="512" spans="1:2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2" x14ac:dyDescent="0.35">
      <c r="A529" t="s">
        <v>1116</v>
      </c>
    </row>
    <row r="530" spans="1:2" x14ac:dyDescent="0.35">
      <c r="A530" t="s">
        <v>617</v>
      </c>
    </row>
    <row r="531" spans="1:2" x14ac:dyDescent="0.35">
      <c r="A531" t="s">
        <v>1018</v>
      </c>
    </row>
    <row r="532" spans="1:2" x14ac:dyDescent="0.35">
      <c r="A532" t="s">
        <v>1019</v>
      </c>
    </row>
    <row r="533" spans="1:2" x14ac:dyDescent="0.35">
      <c r="A533" t="s">
        <v>1020</v>
      </c>
    </row>
    <row r="534" spans="1:2" x14ac:dyDescent="0.35">
      <c r="A534" t="s">
        <v>595</v>
      </c>
    </row>
    <row r="535" spans="1:2" x14ac:dyDescent="0.35">
      <c r="A535" t="s">
        <v>596</v>
      </c>
    </row>
    <row r="536" spans="1:2" x14ac:dyDescent="0.35">
      <c r="A536" t="s">
        <v>597</v>
      </c>
    </row>
    <row r="537" spans="1:2" x14ac:dyDescent="0.35">
      <c r="A537" t="s">
        <v>598</v>
      </c>
    </row>
    <row r="538" spans="1:2" x14ac:dyDescent="0.35">
      <c r="A538" t="s">
        <v>599</v>
      </c>
    </row>
    <row r="539" spans="1:2" x14ac:dyDescent="0.35">
      <c r="A539" t="s">
        <v>600</v>
      </c>
    </row>
    <row r="540" spans="1:2" x14ac:dyDescent="0.35">
      <c r="A540" t="s">
        <v>601</v>
      </c>
    </row>
    <row r="541" spans="1:2" x14ac:dyDescent="0.35">
      <c r="A541" t="s">
        <v>602</v>
      </c>
    </row>
    <row r="542" spans="1:2" x14ac:dyDescent="0.35">
      <c r="A542" t="s">
        <v>539</v>
      </c>
      <c r="B542" t="b">
        <v>0</v>
      </c>
    </row>
    <row r="543" spans="1:2" x14ac:dyDescent="0.35">
      <c r="A543" t="s">
        <v>1026</v>
      </c>
      <c r="B543">
        <v>1</v>
      </c>
    </row>
    <row r="544" spans="1:2" x14ac:dyDescent="0.35">
      <c r="A544" t="s">
        <v>549</v>
      </c>
      <c r="B544">
        <v>1</v>
      </c>
    </row>
    <row r="545" spans="1:2" x14ac:dyDescent="0.35">
      <c r="A545" t="s">
        <v>827</v>
      </c>
    </row>
    <row r="546" spans="1:2" x14ac:dyDescent="0.35">
      <c r="A546" t="s">
        <v>828</v>
      </c>
    </row>
    <row r="547" spans="1:2" x14ac:dyDescent="0.35">
      <c r="A547" t="s">
        <v>829</v>
      </c>
    </row>
    <row r="548" spans="1:2" x14ac:dyDescent="0.35">
      <c r="A548" t="s">
        <v>830</v>
      </c>
    </row>
    <row r="549" spans="1:2" x14ac:dyDescent="0.35">
      <c r="A549" t="s">
        <v>831</v>
      </c>
    </row>
    <row r="550" spans="1:2" x14ac:dyDescent="0.35">
      <c r="A550" t="s">
        <v>832</v>
      </c>
    </row>
    <row r="551" spans="1:2" x14ac:dyDescent="0.35">
      <c r="A551" t="s">
        <v>518</v>
      </c>
    </row>
    <row r="552" spans="1:2" x14ac:dyDescent="0.35">
      <c r="A552" t="s">
        <v>1041</v>
      </c>
    </row>
    <row r="553" spans="1:2" x14ac:dyDescent="0.35">
      <c r="A553" t="s">
        <v>1042</v>
      </c>
    </row>
    <row r="554" spans="1:2" x14ac:dyDescent="0.35">
      <c r="A554" t="s">
        <v>823</v>
      </c>
      <c r="B554">
        <v>0</v>
      </c>
    </row>
    <row r="555" spans="1:2" x14ac:dyDescent="0.35">
      <c r="A555" t="s">
        <v>794</v>
      </c>
      <c r="B555">
        <v>1</v>
      </c>
    </row>
    <row r="556" spans="1:2" x14ac:dyDescent="0.35">
      <c r="A556" t="s">
        <v>1112</v>
      </c>
      <c r="B556">
        <v>1</v>
      </c>
    </row>
    <row r="557" spans="1:2" x14ac:dyDescent="0.35">
      <c r="A557" t="s">
        <v>1027</v>
      </c>
    </row>
    <row r="558" spans="1:2" x14ac:dyDescent="0.35">
      <c r="A558" t="s">
        <v>433</v>
      </c>
    </row>
    <row r="559" spans="1:2" x14ac:dyDescent="0.35">
      <c r="A559" t="s">
        <v>434</v>
      </c>
    </row>
    <row r="560" spans="1:2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2" x14ac:dyDescent="0.35">
      <c r="A577" t="s">
        <v>59</v>
      </c>
    </row>
    <row r="578" spans="1:2" x14ac:dyDescent="0.35">
      <c r="A578" t="s">
        <v>1153</v>
      </c>
      <c r="B578">
        <v>1500</v>
      </c>
    </row>
    <row r="579" spans="1:2" x14ac:dyDescent="0.35">
      <c r="A579" t="s">
        <v>1154</v>
      </c>
      <c r="B579">
        <v>1500</v>
      </c>
    </row>
    <row r="580" spans="1:2" x14ac:dyDescent="0.35">
      <c r="A580" t="s">
        <v>1155</v>
      </c>
      <c r="B580">
        <v>1500</v>
      </c>
    </row>
    <row r="581" spans="1:2" x14ac:dyDescent="0.35">
      <c r="A581" t="s">
        <v>1156</v>
      </c>
      <c r="B581">
        <v>1500</v>
      </c>
    </row>
    <row r="582" spans="1:2" x14ac:dyDescent="0.35">
      <c r="A582" t="s">
        <v>34</v>
      </c>
      <c r="B582">
        <v>1500</v>
      </c>
    </row>
    <row r="583" spans="1:2" x14ac:dyDescent="0.35">
      <c r="A583" t="s">
        <v>35</v>
      </c>
      <c r="B583">
        <v>1500</v>
      </c>
    </row>
    <row r="584" spans="1:2" x14ac:dyDescent="0.35">
      <c r="A584" t="s">
        <v>36</v>
      </c>
      <c r="B584">
        <v>1500</v>
      </c>
    </row>
    <row r="585" spans="1:2" x14ac:dyDescent="0.35">
      <c r="A585" t="s">
        <v>37</v>
      </c>
      <c r="B585">
        <v>1500</v>
      </c>
    </row>
    <row r="586" spans="1:2" x14ac:dyDescent="0.35">
      <c r="A586" t="s">
        <v>38</v>
      </c>
      <c r="B586">
        <v>1500</v>
      </c>
    </row>
    <row r="587" spans="1:2" x14ac:dyDescent="0.35">
      <c r="A587" t="s">
        <v>480</v>
      </c>
      <c r="B587">
        <v>1500</v>
      </c>
    </row>
    <row r="588" spans="1:2" x14ac:dyDescent="0.35">
      <c r="A588" t="s">
        <v>481</v>
      </c>
      <c r="B588">
        <v>1500</v>
      </c>
    </row>
    <row r="589" spans="1:2" x14ac:dyDescent="0.35">
      <c r="A589" t="s">
        <v>482</v>
      </c>
      <c r="B589">
        <v>1500</v>
      </c>
    </row>
    <row r="590" spans="1:2" x14ac:dyDescent="0.35">
      <c r="A590" t="s">
        <v>64</v>
      </c>
      <c r="B590">
        <v>1500</v>
      </c>
    </row>
    <row r="591" spans="1:2" x14ac:dyDescent="0.35">
      <c r="A591" t="s">
        <v>65</v>
      </c>
      <c r="B591">
        <v>1500</v>
      </c>
    </row>
    <row r="592" spans="1:2" x14ac:dyDescent="0.35">
      <c r="A592" t="s">
        <v>66</v>
      </c>
      <c r="B592">
        <v>1500</v>
      </c>
    </row>
    <row r="593" spans="1:2" x14ac:dyDescent="0.35">
      <c r="A593" t="s">
        <v>67</v>
      </c>
      <c r="B593">
        <v>1500</v>
      </c>
    </row>
    <row r="594" spans="1:2" x14ac:dyDescent="0.35">
      <c r="A594" t="s">
        <v>742</v>
      </c>
      <c r="B594">
        <v>1500</v>
      </c>
    </row>
    <row r="595" spans="1:2" x14ac:dyDescent="0.35">
      <c r="A595" t="s">
        <v>743</v>
      </c>
      <c r="B595">
        <v>1500</v>
      </c>
    </row>
    <row r="596" spans="1:2" x14ac:dyDescent="0.35">
      <c r="A596" t="s">
        <v>744</v>
      </c>
      <c r="B596">
        <v>1500</v>
      </c>
    </row>
    <row r="597" spans="1:2" x14ac:dyDescent="0.35">
      <c r="A597" t="s">
        <v>745</v>
      </c>
      <c r="B597">
        <v>1500</v>
      </c>
    </row>
    <row r="598" spans="1:2" x14ac:dyDescent="0.35">
      <c r="A598" t="s">
        <v>585</v>
      </c>
      <c r="B598">
        <v>1</v>
      </c>
    </row>
    <row r="599" spans="1:2" x14ac:dyDescent="0.35">
      <c r="A599" t="s">
        <v>1028</v>
      </c>
    </row>
    <row r="600" spans="1:2" x14ac:dyDescent="0.35">
      <c r="A600" t="s">
        <v>1029</v>
      </c>
      <c r="B600" t="b">
        <v>0</v>
      </c>
    </row>
    <row r="601" spans="1:2" x14ac:dyDescent="0.35">
      <c r="A601" t="s">
        <v>1030</v>
      </c>
      <c r="B601">
        <v>1</v>
      </c>
    </row>
    <row r="602" spans="1:2" x14ac:dyDescent="0.35">
      <c r="A602" t="s">
        <v>410</v>
      </c>
      <c r="B602">
        <v>0</v>
      </c>
    </row>
    <row r="603" spans="1:2" x14ac:dyDescent="0.35">
      <c r="A603" t="s">
        <v>906</v>
      </c>
    </row>
    <row r="604" spans="1:2" x14ac:dyDescent="0.35">
      <c r="A604" t="s">
        <v>907</v>
      </c>
    </row>
    <row r="605" spans="1:2" x14ac:dyDescent="0.35">
      <c r="A605" t="s">
        <v>556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0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1" x14ac:dyDescent="0.35">
      <c r="A17" t="s">
        <v>105</v>
      </c>
    </row>
    <row r="18" spans="1:1" x14ac:dyDescent="0.35">
      <c r="A18" t="s">
        <v>106</v>
      </c>
    </row>
    <row r="19" spans="1:1" x14ac:dyDescent="0.35">
      <c r="A19" t="s">
        <v>107</v>
      </c>
    </row>
    <row r="20" spans="1:1" x14ac:dyDescent="0.35">
      <c r="A20" t="s">
        <v>108</v>
      </c>
    </row>
    <row r="21" spans="1:1" x14ac:dyDescent="0.35">
      <c r="A21" t="s">
        <v>39</v>
      </c>
    </row>
    <row r="22" spans="1:1" x14ac:dyDescent="0.35">
      <c r="A22" t="s">
        <v>40</v>
      </c>
    </row>
    <row r="23" spans="1:1" x14ac:dyDescent="0.35">
      <c r="A23" t="s">
        <v>908</v>
      </c>
    </row>
    <row r="24" spans="1:1" x14ac:dyDescent="0.35">
      <c r="A24" t="s">
        <v>909</v>
      </c>
    </row>
    <row r="25" spans="1:1" x14ac:dyDescent="0.35">
      <c r="A25" t="s">
        <v>910</v>
      </c>
    </row>
    <row r="26" spans="1:1" x14ac:dyDescent="0.35">
      <c r="A26" t="s">
        <v>911</v>
      </c>
    </row>
    <row r="27" spans="1:1" x14ac:dyDescent="0.35">
      <c r="A27" t="s">
        <v>562</v>
      </c>
    </row>
    <row r="28" spans="1:1" x14ac:dyDescent="0.35">
      <c r="A28" t="s">
        <v>563</v>
      </c>
    </row>
    <row r="29" spans="1:1" x14ac:dyDescent="0.35">
      <c r="A29" t="s">
        <v>564</v>
      </c>
    </row>
    <row r="30" spans="1:1" x14ac:dyDescent="0.35">
      <c r="A30" t="s">
        <v>565</v>
      </c>
    </row>
    <row r="31" spans="1:1" x14ac:dyDescent="0.35">
      <c r="A31" t="s">
        <v>79</v>
      </c>
    </row>
    <row r="32" spans="1:1" x14ac:dyDescent="0.35">
      <c r="A32" t="s">
        <v>80</v>
      </c>
    </row>
    <row r="33" spans="1:1" x14ac:dyDescent="0.35">
      <c r="A33" t="s">
        <v>81</v>
      </c>
    </row>
    <row r="34" spans="1:1" x14ac:dyDescent="0.35">
      <c r="A34" t="s">
        <v>82</v>
      </c>
    </row>
    <row r="35" spans="1:1" x14ac:dyDescent="0.35">
      <c r="A35" t="s">
        <v>83</v>
      </c>
    </row>
    <row r="36" spans="1:1" x14ac:dyDescent="0.35">
      <c r="A36" t="s">
        <v>182</v>
      </c>
    </row>
    <row r="37" spans="1:1" x14ac:dyDescent="0.35">
      <c r="A37" t="s">
        <v>183</v>
      </c>
    </row>
    <row r="38" spans="1:1" x14ac:dyDescent="0.35">
      <c r="A38" t="s">
        <v>184</v>
      </c>
    </row>
    <row r="39" spans="1:1" x14ac:dyDescent="0.35">
      <c r="A39" t="s">
        <v>185</v>
      </c>
    </row>
    <row r="40" spans="1:1" x14ac:dyDescent="0.35">
      <c r="A40" t="s">
        <v>186</v>
      </c>
    </row>
    <row r="41" spans="1:1" x14ac:dyDescent="0.35">
      <c r="A41" t="s">
        <v>187</v>
      </c>
    </row>
    <row r="42" spans="1:1" x14ac:dyDescent="0.35">
      <c r="A42" t="s">
        <v>188</v>
      </c>
    </row>
    <row r="43" spans="1:1" x14ac:dyDescent="0.35">
      <c r="A43" t="s">
        <v>189</v>
      </c>
    </row>
    <row r="44" spans="1:1" x14ac:dyDescent="0.35">
      <c r="A44" t="s">
        <v>190</v>
      </c>
    </row>
    <row r="45" spans="1:1" x14ac:dyDescent="0.35">
      <c r="A45" t="s">
        <v>191</v>
      </c>
    </row>
    <row r="46" spans="1:1" x14ac:dyDescent="0.35">
      <c r="A46" t="s">
        <v>192</v>
      </c>
    </row>
    <row r="47" spans="1:1" x14ac:dyDescent="0.35">
      <c r="A47" t="s">
        <v>193</v>
      </c>
    </row>
    <row r="48" spans="1:1" x14ac:dyDescent="0.35">
      <c r="A48" t="s">
        <v>194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</row>
    <row r="52" spans="1:3" x14ac:dyDescent="0.35">
      <c r="A52" t="s">
        <v>198</v>
      </c>
    </row>
    <row r="53" spans="1:3" x14ac:dyDescent="0.35">
      <c r="A53" t="s">
        <v>199</v>
      </c>
    </row>
    <row r="54" spans="1:3" x14ac:dyDescent="0.35">
      <c r="A54" t="s">
        <v>590</v>
      </c>
    </row>
    <row r="55" spans="1:3" x14ac:dyDescent="0.35">
      <c r="A55" t="s">
        <v>591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1</v>
      </c>
      <c r="C57">
        <v>1</v>
      </c>
    </row>
    <row r="58" spans="1:3" x14ac:dyDescent="0.35">
      <c r="A58" t="s">
        <v>403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40909</v>
      </c>
      <c r="C61">
        <v>40909</v>
      </c>
    </row>
    <row r="62" spans="1:3" x14ac:dyDescent="0.35">
      <c r="A62" t="s">
        <v>759</v>
      </c>
      <c r="B62">
        <v>100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</v>
      </c>
      <c r="C64">
        <v>1</v>
      </c>
    </row>
    <row r="65" spans="1:3" x14ac:dyDescent="0.35">
      <c r="A65" t="s">
        <v>394</v>
      </c>
      <c r="B65">
        <v>1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1</v>
      </c>
      <c r="C73">
        <v>1</v>
      </c>
    </row>
    <row r="74" spans="1:3" x14ac:dyDescent="0.35">
      <c r="A74" t="s">
        <v>407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</row>
    <row r="80" spans="1:3" x14ac:dyDescent="0.35">
      <c r="A80" t="s">
        <v>679</v>
      </c>
    </row>
    <row r="81" spans="1:1" x14ac:dyDescent="0.35">
      <c r="A81" t="s">
        <v>680</v>
      </c>
    </row>
    <row r="82" spans="1:1" x14ac:dyDescent="0.35">
      <c r="A82" t="s">
        <v>681</v>
      </c>
    </row>
    <row r="83" spans="1:1" x14ac:dyDescent="0.35">
      <c r="A83" t="s">
        <v>682</v>
      </c>
    </row>
    <row r="84" spans="1:1" x14ac:dyDescent="0.35">
      <c r="A84" t="s">
        <v>683</v>
      </c>
    </row>
    <row r="85" spans="1:1" x14ac:dyDescent="0.35">
      <c r="A85" t="s">
        <v>684</v>
      </c>
    </row>
    <row r="86" spans="1:1" x14ac:dyDescent="0.35">
      <c r="A86" t="s">
        <v>685</v>
      </c>
    </row>
    <row r="87" spans="1:1" x14ac:dyDescent="0.35">
      <c r="A87" t="s">
        <v>686</v>
      </c>
    </row>
    <row r="88" spans="1:1" x14ac:dyDescent="0.35">
      <c r="A88" t="s">
        <v>687</v>
      </c>
    </row>
    <row r="89" spans="1:1" x14ac:dyDescent="0.35">
      <c r="A89" t="s">
        <v>688</v>
      </c>
    </row>
    <row r="90" spans="1:1" x14ac:dyDescent="0.35">
      <c r="A90" t="s">
        <v>288</v>
      </c>
    </row>
    <row r="91" spans="1:1" x14ac:dyDescent="0.35">
      <c r="A91" t="s">
        <v>689</v>
      </c>
    </row>
    <row r="92" spans="1:1" x14ac:dyDescent="0.35">
      <c r="A92" t="s">
        <v>690</v>
      </c>
    </row>
    <row r="93" spans="1:1" x14ac:dyDescent="0.35">
      <c r="A93" t="s">
        <v>691</v>
      </c>
    </row>
    <row r="94" spans="1:1" x14ac:dyDescent="0.35">
      <c r="A94" t="s">
        <v>692</v>
      </c>
    </row>
    <row r="95" spans="1:1" x14ac:dyDescent="0.35">
      <c r="A95" t="s">
        <v>693</v>
      </c>
    </row>
    <row r="96" spans="1:1" x14ac:dyDescent="0.35">
      <c r="A96" t="s">
        <v>694</v>
      </c>
    </row>
    <row r="97" spans="1:1" x14ac:dyDescent="0.35">
      <c r="A97" t="s">
        <v>695</v>
      </c>
    </row>
    <row r="98" spans="1:1" x14ac:dyDescent="0.35">
      <c r="A98" t="s">
        <v>696</v>
      </c>
    </row>
    <row r="99" spans="1:1" x14ac:dyDescent="0.35">
      <c r="A99" t="s">
        <v>289</v>
      </c>
    </row>
    <row r="100" spans="1:1" x14ac:dyDescent="0.35">
      <c r="A100" t="s">
        <v>290</v>
      </c>
    </row>
    <row r="101" spans="1:1" x14ac:dyDescent="0.35">
      <c r="A101" t="s">
        <v>291</v>
      </c>
    </row>
    <row r="102" spans="1:1" x14ac:dyDescent="0.35">
      <c r="A102" t="s">
        <v>675</v>
      </c>
    </row>
    <row r="103" spans="1:1" x14ac:dyDescent="0.35">
      <c r="A103" t="s">
        <v>676</v>
      </c>
    </row>
    <row r="104" spans="1:1" x14ac:dyDescent="0.35">
      <c r="A104" t="s">
        <v>677</v>
      </c>
    </row>
    <row r="105" spans="1:1" x14ac:dyDescent="0.35">
      <c r="A105" t="s">
        <v>678</v>
      </c>
    </row>
    <row r="106" spans="1:1" x14ac:dyDescent="0.35">
      <c r="A106" t="s">
        <v>697</v>
      </c>
    </row>
    <row r="107" spans="1:1" x14ac:dyDescent="0.35">
      <c r="A107" t="s">
        <v>706</v>
      </c>
    </row>
    <row r="108" spans="1:1" x14ac:dyDescent="0.35">
      <c r="A108" t="s">
        <v>707</v>
      </c>
    </row>
    <row r="109" spans="1:1" x14ac:dyDescent="0.35">
      <c r="A109" t="s">
        <v>708</v>
      </c>
    </row>
    <row r="110" spans="1:1" x14ac:dyDescent="0.35">
      <c r="A110" t="s">
        <v>709</v>
      </c>
    </row>
    <row r="111" spans="1:1" x14ac:dyDescent="0.35">
      <c r="A111" t="s">
        <v>710</v>
      </c>
    </row>
    <row r="112" spans="1:1" x14ac:dyDescent="0.35">
      <c r="A112" t="s">
        <v>711</v>
      </c>
    </row>
    <row r="113" spans="1:1" x14ac:dyDescent="0.35">
      <c r="A113" t="s">
        <v>712</v>
      </c>
    </row>
    <row r="114" spans="1:1" x14ac:dyDescent="0.35">
      <c r="A114" t="s">
        <v>713</v>
      </c>
    </row>
    <row r="115" spans="1:1" x14ac:dyDescent="0.35">
      <c r="A115" t="s">
        <v>714</v>
      </c>
    </row>
    <row r="116" spans="1:1" x14ac:dyDescent="0.35">
      <c r="A116" t="s">
        <v>715</v>
      </c>
    </row>
    <row r="117" spans="1:1" x14ac:dyDescent="0.35">
      <c r="A117" t="s">
        <v>698</v>
      </c>
    </row>
    <row r="118" spans="1:1" x14ac:dyDescent="0.35">
      <c r="A118" t="s">
        <v>716</v>
      </c>
    </row>
    <row r="119" spans="1:1" x14ac:dyDescent="0.35">
      <c r="A119" t="s">
        <v>717</v>
      </c>
    </row>
    <row r="120" spans="1:1" x14ac:dyDescent="0.35">
      <c r="A120" t="s">
        <v>718</v>
      </c>
    </row>
    <row r="121" spans="1:1" x14ac:dyDescent="0.35">
      <c r="A121" t="s">
        <v>719</v>
      </c>
    </row>
    <row r="122" spans="1:1" x14ac:dyDescent="0.35">
      <c r="A122" t="s">
        <v>720</v>
      </c>
    </row>
    <row r="123" spans="1:1" x14ac:dyDescent="0.35">
      <c r="A123" t="s">
        <v>721</v>
      </c>
    </row>
    <row r="124" spans="1:1" x14ac:dyDescent="0.35">
      <c r="A124" t="s">
        <v>722</v>
      </c>
    </row>
    <row r="125" spans="1:1" x14ac:dyDescent="0.35">
      <c r="A125" t="s">
        <v>723</v>
      </c>
    </row>
    <row r="126" spans="1:1" x14ac:dyDescent="0.35">
      <c r="A126" t="s">
        <v>699</v>
      </c>
    </row>
    <row r="127" spans="1:1" x14ac:dyDescent="0.35">
      <c r="A127" t="s">
        <v>700</v>
      </c>
    </row>
    <row r="128" spans="1:1" x14ac:dyDescent="0.35">
      <c r="A128" t="s">
        <v>701</v>
      </c>
    </row>
    <row r="129" spans="1:1" x14ac:dyDescent="0.35">
      <c r="A129" t="s">
        <v>702</v>
      </c>
    </row>
    <row r="130" spans="1:1" x14ac:dyDescent="0.35">
      <c r="A130" t="s">
        <v>703</v>
      </c>
    </row>
    <row r="131" spans="1:1" x14ac:dyDescent="0.35">
      <c r="A131" t="s">
        <v>704</v>
      </c>
    </row>
    <row r="132" spans="1:1" x14ac:dyDescent="0.35">
      <c r="A132" t="s">
        <v>705</v>
      </c>
    </row>
    <row r="133" spans="1:1" x14ac:dyDescent="0.35">
      <c r="A133" t="s">
        <v>724</v>
      </c>
    </row>
    <row r="134" spans="1:1" x14ac:dyDescent="0.35">
      <c r="A134" t="s">
        <v>733</v>
      </c>
    </row>
    <row r="135" spans="1:1" x14ac:dyDescent="0.35">
      <c r="A135" t="s">
        <v>734</v>
      </c>
    </row>
    <row r="136" spans="1:1" x14ac:dyDescent="0.35">
      <c r="A136" t="s">
        <v>735</v>
      </c>
    </row>
    <row r="137" spans="1:1" x14ac:dyDescent="0.35">
      <c r="A137" t="s">
        <v>736</v>
      </c>
    </row>
    <row r="138" spans="1:1" x14ac:dyDescent="0.35">
      <c r="A138" t="s">
        <v>737</v>
      </c>
    </row>
    <row r="139" spans="1:1" x14ac:dyDescent="0.35">
      <c r="A139" t="s">
        <v>738</v>
      </c>
    </row>
    <row r="140" spans="1:1" x14ac:dyDescent="0.35">
      <c r="A140" t="s">
        <v>739</v>
      </c>
    </row>
    <row r="141" spans="1:1" x14ac:dyDescent="0.35">
      <c r="A141" t="s">
        <v>740</v>
      </c>
    </row>
    <row r="142" spans="1:1" x14ac:dyDescent="0.35">
      <c r="A142" t="s">
        <v>741</v>
      </c>
    </row>
    <row r="143" spans="1:1" x14ac:dyDescent="0.35">
      <c r="A143" t="s">
        <v>367</v>
      </c>
    </row>
    <row r="144" spans="1:1" x14ac:dyDescent="0.35">
      <c r="A144" t="s">
        <v>725</v>
      </c>
    </row>
    <row r="145" spans="1:1" x14ac:dyDescent="0.35">
      <c r="A145" t="s">
        <v>368</v>
      </c>
    </row>
    <row r="146" spans="1:1" x14ac:dyDescent="0.35">
      <c r="A146" t="s">
        <v>369</v>
      </c>
    </row>
    <row r="147" spans="1:1" x14ac:dyDescent="0.35">
      <c r="A147" t="s">
        <v>370</v>
      </c>
    </row>
    <row r="148" spans="1:1" x14ac:dyDescent="0.35">
      <c r="A148" t="s">
        <v>371</v>
      </c>
    </row>
    <row r="149" spans="1:1" x14ac:dyDescent="0.35">
      <c r="A149" t="s">
        <v>372</v>
      </c>
    </row>
    <row r="150" spans="1:1" x14ac:dyDescent="0.35">
      <c r="A150" t="s">
        <v>373</v>
      </c>
    </row>
    <row r="151" spans="1:1" x14ac:dyDescent="0.35">
      <c r="A151" t="s">
        <v>374</v>
      </c>
    </row>
    <row r="152" spans="1:1" x14ac:dyDescent="0.35">
      <c r="A152" t="s">
        <v>375</v>
      </c>
    </row>
    <row r="153" spans="1:1" x14ac:dyDescent="0.35">
      <c r="A153" t="s">
        <v>726</v>
      </c>
    </row>
    <row r="154" spans="1:1" x14ac:dyDescent="0.35">
      <c r="A154" t="s">
        <v>727</v>
      </c>
    </row>
    <row r="155" spans="1:1" x14ac:dyDescent="0.35">
      <c r="A155" t="s">
        <v>728</v>
      </c>
    </row>
    <row r="156" spans="1:1" x14ac:dyDescent="0.35">
      <c r="A156" t="s">
        <v>729</v>
      </c>
    </row>
    <row r="157" spans="1:1" x14ac:dyDescent="0.35">
      <c r="A157" t="s">
        <v>730</v>
      </c>
    </row>
    <row r="158" spans="1:1" x14ac:dyDescent="0.35">
      <c r="A158" t="s">
        <v>731</v>
      </c>
    </row>
    <row r="159" spans="1:1" x14ac:dyDescent="0.35">
      <c r="A159" t="s">
        <v>732</v>
      </c>
    </row>
    <row r="160" spans="1:1" x14ac:dyDescent="0.35">
      <c r="A160" t="s">
        <v>917</v>
      </c>
    </row>
    <row r="161" spans="1:1" x14ac:dyDescent="0.35">
      <c r="A161" t="s">
        <v>918</v>
      </c>
    </row>
    <row r="162" spans="1:1" x14ac:dyDescent="0.35">
      <c r="A162" t="s">
        <v>919</v>
      </c>
    </row>
    <row r="163" spans="1:1" x14ac:dyDescent="0.35">
      <c r="A163" t="s">
        <v>920</v>
      </c>
    </row>
    <row r="164" spans="1:1" x14ac:dyDescent="0.35">
      <c r="A164" t="s">
        <v>921</v>
      </c>
    </row>
    <row r="165" spans="1:1" x14ac:dyDescent="0.35">
      <c r="A165" t="s">
        <v>922</v>
      </c>
    </row>
    <row r="166" spans="1:1" x14ac:dyDescent="0.35">
      <c r="A166" t="s">
        <v>923</v>
      </c>
    </row>
    <row r="167" spans="1:1" x14ac:dyDescent="0.35">
      <c r="A167" t="s">
        <v>200</v>
      </c>
    </row>
    <row r="168" spans="1:1" x14ac:dyDescent="0.35">
      <c r="A168" t="s">
        <v>201</v>
      </c>
    </row>
    <row r="169" spans="1:1" x14ac:dyDescent="0.35">
      <c r="A169" t="s">
        <v>202</v>
      </c>
    </row>
    <row r="170" spans="1:1" x14ac:dyDescent="0.35">
      <c r="A170" t="s">
        <v>203</v>
      </c>
    </row>
    <row r="171" spans="1:1" x14ac:dyDescent="0.35">
      <c r="A171" t="s">
        <v>204</v>
      </c>
    </row>
    <row r="172" spans="1:1" x14ac:dyDescent="0.35">
      <c r="A172" t="s">
        <v>205</v>
      </c>
    </row>
    <row r="173" spans="1:1" x14ac:dyDescent="0.35">
      <c r="A173" t="s">
        <v>206</v>
      </c>
    </row>
    <row r="174" spans="1:1" x14ac:dyDescent="0.35">
      <c r="A174" t="s">
        <v>207</v>
      </c>
    </row>
    <row r="175" spans="1:1" x14ac:dyDescent="0.35">
      <c r="A175" t="s">
        <v>208</v>
      </c>
    </row>
    <row r="176" spans="1:1" x14ac:dyDescent="0.35">
      <c r="A176" t="s">
        <v>209</v>
      </c>
    </row>
    <row r="177" spans="1:1" x14ac:dyDescent="0.35">
      <c r="A177" t="s">
        <v>210</v>
      </c>
    </row>
    <row r="178" spans="1:1" x14ac:dyDescent="0.35">
      <c r="A178" t="s">
        <v>211</v>
      </c>
    </row>
    <row r="179" spans="1:1" x14ac:dyDescent="0.35">
      <c r="A179" t="s">
        <v>212</v>
      </c>
    </row>
    <row r="180" spans="1:1" x14ac:dyDescent="0.35">
      <c r="A180" t="s">
        <v>213</v>
      </c>
    </row>
    <row r="181" spans="1:1" x14ac:dyDescent="0.35">
      <c r="A181" t="s">
        <v>214</v>
      </c>
    </row>
    <row r="182" spans="1:1" x14ac:dyDescent="0.35">
      <c r="A182" t="s">
        <v>215</v>
      </c>
    </row>
    <row r="183" spans="1:1" x14ac:dyDescent="0.35">
      <c r="A183" t="s">
        <v>216</v>
      </c>
    </row>
    <row r="184" spans="1:1" x14ac:dyDescent="0.35">
      <c r="A184" t="s">
        <v>217</v>
      </c>
    </row>
    <row r="185" spans="1:1" x14ac:dyDescent="0.35">
      <c r="A185" t="s">
        <v>218</v>
      </c>
    </row>
    <row r="186" spans="1:1" x14ac:dyDescent="0.35">
      <c r="A186" t="s">
        <v>219</v>
      </c>
    </row>
    <row r="187" spans="1:1" x14ac:dyDescent="0.35">
      <c r="A187" t="s">
        <v>258</v>
      </c>
    </row>
    <row r="188" spans="1:1" x14ac:dyDescent="0.35">
      <c r="A188" t="s">
        <v>259</v>
      </c>
    </row>
    <row r="189" spans="1:1" x14ac:dyDescent="0.35">
      <c r="A189" t="s">
        <v>260</v>
      </c>
    </row>
    <row r="190" spans="1:1" x14ac:dyDescent="0.35">
      <c r="A190" t="s">
        <v>261</v>
      </c>
    </row>
    <row r="191" spans="1:1" x14ac:dyDescent="0.35">
      <c r="A191" t="s">
        <v>262</v>
      </c>
    </row>
    <row r="192" spans="1:1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80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</row>
    <row r="271" spans="1:3" x14ac:dyDescent="0.35">
      <c r="A271" t="s">
        <v>103</v>
      </c>
    </row>
    <row r="272" spans="1:3" x14ac:dyDescent="0.35">
      <c r="A272" t="s">
        <v>432</v>
      </c>
    </row>
    <row r="273" spans="1:1" x14ac:dyDescent="0.35">
      <c r="A273" t="s">
        <v>411</v>
      </c>
    </row>
    <row r="274" spans="1:1" x14ac:dyDescent="0.35">
      <c r="A274" t="s">
        <v>412</v>
      </c>
    </row>
    <row r="275" spans="1:1" x14ac:dyDescent="0.35">
      <c r="A275" t="s">
        <v>413</v>
      </c>
    </row>
    <row r="276" spans="1:1" x14ac:dyDescent="0.35">
      <c r="A276" t="s">
        <v>170</v>
      </c>
    </row>
    <row r="277" spans="1:1" x14ac:dyDescent="0.35">
      <c r="A277" t="s">
        <v>171</v>
      </c>
    </row>
    <row r="278" spans="1:1" x14ac:dyDescent="0.35">
      <c r="A278" t="s">
        <v>172</v>
      </c>
    </row>
    <row r="279" spans="1:1" x14ac:dyDescent="0.35">
      <c r="A279" t="s">
        <v>872</v>
      </c>
    </row>
    <row r="280" spans="1:1" x14ac:dyDescent="0.35">
      <c r="A280" t="s">
        <v>873</v>
      </c>
    </row>
    <row r="281" spans="1:1" x14ac:dyDescent="0.35">
      <c r="A281" t="s">
        <v>874</v>
      </c>
    </row>
    <row r="282" spans="1:1" x14ac:dyDescent="0.35">
      <c r="A282" t="s">
        <v>875</v>
      </c>
    </row>
    <row r="283" spans="1:1" x14ac:dyDescent="0.35">
      <c r="A283" t="s">
        <v>876</v>
      </c>
    </row>
    <row r="284" spans="1:1" x14ac:dyDescent="0.35">
      <c r="A284" t="s">
        <v>667</v>
      </c>
    </row>
    <row r="285" spans="1:1" x14ac:dyDescent="0.35">
      <c r="A285" t="s">
        <v>668</v>
      </c>
    </row>
    <row r="286" spans="1:1" x14ac:dyDescent="0.35">
      <c r="A286" t="s">
        <v>669</v>
      </c>
    </row>
    <row r="287" spans="1:1" x14ac:dyDescent="0.35">
      <c r="A287" t="s">
        <v>670</v>
      </c>
    </row>
    <row r="288" spans="1:1" x14ac:dyDescent="0.35">
      <c r="A288" t="s">
        <v>795</v>
      </c>
    </row>
    <row r="289" spans="1:1" x14ac:dyDescent="0.35">
      <c r="A289" t="s">
        <v>796</v>
      </c>
    </row>
    <row r="290" spans="1:1" x14ac:dyDescent="0.35">
      <c r="A290" t="s">
        <v>414</v>
      </c>
    </row>
    <row r="291" spans="1:1" x14ac:dyDescent="0.35">
      <c r="A291" t="s">
        <v>415</v>
      </c>
    </row>
    <row r="292" spans="1:1" x14ac:dyDescent="0.35">
      <c r="A292" t="s">
        <v>416</v>
      </c>
    </row>
    <row r="293" spans="1:1" x14ac:dyDescent="0.35">
      <c r="A293" t="s">
        <v>417</v>
      </c>
    </row>
    <row r="294" spans="1:1" x14ac:dyDescent="0.35">
      <c r="A294" t="s">
        <v>418</v>
      </c>
    </row>
    <row r="295" spans="1:1" x14ac:dyDescent="0.35">
      <c r="A295" t="s">
        <v>419</v>
      </c>
    </row>
    <row r="296" spans="1:1" x14ac:dyDescent="0.35">
      <c r="A296" t="s">
        <v>877</v>
      </c>
    </row>
    <row r="297" spans="1:1" x14ac:dyDescent="0.35">
      <c r="A297" t="s">
        <v>878</v>
      </c>
    </row>
    <row r="298" spans="1:1" x14ac:dyDescent="0.35">
      <c r="A298" t="s">
        <v>879</v>
      </c>
    </row>
    <row r="299" spans="1:1" x14ac:dyDescent="0.35">
      <c r="A299" t="s">
        <v>880</v>
      </c>
    </row>
    <row r="300" spans="1:1" x14ac:dyDescent="0.35">
      <c r="A300" t="s">
        <v>592</v>
      </c>
    </row>
    <row r="301" spans="1:1" x14ac:dyDescent="0.35">
      <c r="A301" t="s">
        <v>593</v>
      </c>
    </row>
    <row r="302" spans="1:1" x14ac:dyDescent="0.35">
      <c r="A302" t="s">
        <v>594</v>
      </c>
    </row>
    <row r="303" spans="1:1" x14ac:dyDescent="0.35">
      <c r="A303" t="s">
        <v>1147</v>
      </c>
    </row>
    <row r="304" spans="1:1" x14ac:dyDescent="0.35">
      <c r="A304" t="s">
        <v>442</v>
      </c>
    </row>
    <row r="305" spans="1:3" x14ac:dyDescent="0.35">
      <c r="A305" t="s">
        <v>443</v>
      </c>
    </row>
    <row r="306" spans="1:3" x14ac:dyDescent="0.35">
      <c r="A306" t="s">
        <v>444</v>
      </c>
    </row>
    <row r="307" spans="1:3" x14ac:dyDescent="0.35">
      <c r="A307" t="s">
        <v>1009</v>
      </c>
    </row>
    <row r="308" spans="1:3" x14ac:dyDescent="0.35">
      <c r="A308" t="s">
        <v>1010</v>
      </c>
    </row>
    <row r="309" spans="1:3" x14ac:dyDescent="0.35">
      <c r="A309" t="s">
        <v>1011</v>
      </c>
    </row>
    <row r="310" spans="1:3" x14ac:dyDescent="0.35">
      <c r="A310" t="s">
        <v>1012</v>
      </c>
      <c r="B310">
        <v>1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</v>
      </c>
      <c r="C317">
        <v>1</v>
      </c>
    </row>
    <row r="318" spans="1:3" x14ac:dyDescent="0.35">
      <c r="A318" t="s">
        <v>1073</v>
      </c>
      <c r="B318">
        <v>1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1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1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</row>
    <row r="347" spans="1:3" x14ac:dyDescent="0.35">
      <c r="A347" t="s">
        <v>860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</row>
    <row r="353" spans="1:1" x14ac:dyDescent="0.35">
      <c r="A353" t="s">
        <v>1048</v>
      </c>
    </row>
    <row r="354" spans="1:1" x14ac:dyDescent="0.35">
      <c r="A354" t="s">
        <v>1049</v>
      </c>
    </row>
    <row r="355" spans="1:1" x14ac:dyDescent="0.35">
      <c r="A355" t="s">
        <v>1050</v>
      </c>
    </row>
    <row r="356" spans="1:1" x14ac:dyDescent="0.35">
      <c r="A356" t="s">
        <v>1051</v>
      </c>
    </row>
    <row r="357" spans="1:1" x14ac:dyDescent="0.35">
      <c r="A357" t="s">
        <v>1052</v>
      </c>
    </row>
    <row r="358" spans="1:1" x14ac:dyDescent="0.35">
      <c r="A358" t="s">
        <v>1053</v>
      </c>
    </row>
    <row r="359" spans="1:1" x14ac:dyDescent="0.35">
      <c r="A359" t="s">
        <v>1054</v>
      </c>
    </row>
    <row r="360" spans="1:1" x14ac:dyDescent="0.35">
      <c r="A360" t="s">
        <v>1055</v>
      </c>
    </row>
    <row r="361" spans="1:1" x14ac:dyDescent="0.35">
      <c r="A361" t="s">
        <v>783</v>
      </c>
    </row>
    <row r="362" spans="1:1" x14ac:dyDescent="0.35">
      <c r="A362" t="s">
        <v>784</v>
      </c>
    </row>
    <row r="363" spans="1:1" x14ac:dyDescent="0.35">
      <c r="A363" t="s">
        <v>785</v>
      </c>
    </row>
    <row r="364" spans="1:1" x14ac:dyDescent="0.35">
      <c r="A364" t="s">
        <v>305</v>
      </c>
    </row>
    <row r="365" spans="1:1" x14ac:dyDescent="0.35">
      <c r="A365" t="s">
        <v>306</v>
      </c>
    </row>
    <row r="366" spans="1:1" x14ac:dyDescent="0.35">
      <c r="A366" t="s">
        <v>307</v>
      </c>
    </row>
    <row r="367" spans="1:1" x14ac:dyDescent="0.35">
      <c r="A367" t="s">
        <v>308</v>
      </c>
    </row>
    <row r="368" spans="1:1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01-jan-12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1185</v>
      </c>
      <c r="B7" s="303" t="s">
        <v>1162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1185</v>
      </c>
      <c r="B8" s="303" t="s">
        <v>1163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/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/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/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0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0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C8" sqref="C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42221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859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40909</v>
      </c>
      <c r="I3" s="327" t="str">
        <f>"Gewicht: "&amp;Gewicht/10&amp;" kg"</f>
        <v>Gewicht: 10 kg</v>
      </c>
      <c r="J3" s="321"/>
      <c r="K3" s="327" t="str">
        <f>"Lengte: "&amp;Lengte&amp;" cm"</f>
        <v>Lengte: 80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3 jaar en 7 maand(-en)</v>
      </c>
      <c r="I4" s="321"/>
      <c r="J4" s="321" t="str">
        <f>"Lichamelijk oppervlak: "&amp;ROUND(POWER(Gewicht/10,0.425)*POWER(((Lengte/100)*100),0.725)*0.007184,2)&amp;" m2"</f>
        <v>Lichamelijk oppervlak: 0,46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>
        <f>INDEX(tblMedicationContIV,ber_IVmed!$B3,1)</f>
        <v>0</v>
      </c>
      <c r="D8" s="206" t="str">
        <f>INDEX(tblMedicationContIV,ber_IVmed!$B3,15)&amp;" "&amp;INDEX(tblMedicationContIV,ber_IVmed!$B3,4)</f>
        <v xml:space="preserve"> </v>
      </c>
      <c r="E8" s="194" t="str">
        <f>IF(AND(C8&lt;&gt;0,INDEX(tblMedicationContIV,ber_IVmed!$B3,16)&lt;&gt;""),INDEX(tblMedicationContIV,ber_IVmed!$B3,16)&amp;" ml","")</f>
        <v/>
      </c>
      <c r="F8" s="187">
        <f>INDEX(tblOplossing,ber_IVmed!F3,1)</f>
        <v>0</v>
      </c>
      <c r="G8" s="194" t="str">
        <f>IF(C8&lt;&gt;0,ber_IVmed!G3/10&amp;" ml/uur","")</f>
        <v/>
      </c>
      <c r="H8" s="194" t="str">
        <f>IF(C8&lt;&gt;0,(ber_IVmed!G3/10)*INDEX(tblMedicationContIV,ber_IVmed!$B3,18)&amp;" "&amp;INDEX(tblMedicationContIV,ber_IVmed!$B3,2),"")</f>
        <v/>
      </c>
      <c r="I8" s="195" t="str">
        <f>IF(C8&lt;&gt;0,24*ber_IVmed!G3/10&amp;" ml","")</f>
        <v/>
      </c>
      <c r="J8" s="213">
        <f>INDEX(tblMedicationContIV,ber_IVmed!$B3,3)</f>
        <v>0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 t="b">
        <f>IF(C8&lt;&gt;0,INDEX(tblMedicationContIV,ber_IVmed!$B3,6)*(ber_IVmed!G3/10))</f>
        <v>0</v>
      </c>
      <c r="AB8" s="176">
        <f>IF(AA8&gt;=10,0,IF(AA8&gt;=1,1,IF(AA8&gt;=0,2,IF(AA8&gt;=0.1,3,IF(AA8&gt;=0.01,4,5)))))</f>
        <v>0</v>
      </c>
      <c r="AC8" s="176">
        <f>ROUND(AA8,AB8)</f>
        <v>0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>
        <f>INDEX(tblMedicationContIV,ber_IVmed!$B4,1)</f>
        <v>0</v>
      </c>
      <c r="D9" s="206" t="str">
        <f>INDEX(tblMedicationContIV,ber_IVmed!$B4,15)&amp;" "&amp;INDEX(tblMedicationContIV,ber_IVmed!$B4,4)</f>
        <v xml:space="preserve"> </v>
      </c>
      <c r="E9" s="196" t="str">
        <f>IF(AND(C9&lt;&gt;0,INDEX(tblMedicationContIV,ber_IVmed!$B4,16)&lt;&gt;""),INDEX(tblMedicationContIV,ber_IVmed!$B4,16)&amp;" ml","")</f>
        <v/>
      </c>
      <c r="F9" s="187">
        <f>INDEX(tblOplossing,ber_IVmed!F4,1)</f>
        <v>0</v>
      </c>
      <c r="G9" s="196" t="str">
        <f>IF(C9&lt;&gt;0,ber_IVmed!G4/10&amp;" ml/uur","")</f>
        <v/>
      </c>
      <c r="H9" s="194" t="str">
        <f>IF(C9&lt;&gt;0,(ber_IVmed!G4/10)*INDEX(tblMedicationContIV,ber_IVmed!$B4,18)&amp;" "&amp;INDEX(tblMedicationContIV,ber_IVmed!$B4,2),"")</f>
        <v/>
      </c>
      <c r="I9" s="197" t="str">
        <f>IF(C9&lt;&gt;0,24*ber_IVmed!G4/10&amp;" ml","")</f>
        <v/>
      </c>
      <c r="J9" s="214">
        <f>INDEX(tblMedicationContIV,ber_IVmed!$B4,3)</f>
        <v>0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 t="b">
        <f>IF(C9&lt;&gt;0,INDEX(tblMedicationContIV,ber_IVmed!$B4,6)*(ber_IVmed!G4/10))</f>
        <v>0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0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>
        <f>INDEX(tblMedicationContIV,ber_IVmed!$B5,1)</f>
        <v>0</v>
      </c>
      <c r="D10" s="206" t="str">
        <f>INDEX(tblMedicationContIV,ber_IVmed!$B5,15)&amp;" "&amp;INDEX(tblMedicationContIV,ber_IVmed!$B5,4)</f>
        <v xml:space="preserve"> </v>
      </c>
      <c r="E10" s="196" t="str">
        <f>IF(AND(C10&lt;&gt;0,INDEX(tblMedicationContIV,ber_IVmed!$B5,16)&lt;&gt;""),INDEX(tblMedicationContIV,ber_IVmed!$B5,16)&amp;" ml","")</f>
        <v/>
      </c>
      <c r="F10" s="187">
        <f>INDEX(tblOplossing,ber_IVmed!F5,1)</f>
        <v>0</v>
      </c>
      <c r="G10" s="196" t="str">
        <f>IF(C10&lt;&gt;0,ber_IVmed!G5/10&amp;" ml/uur","")</f>
        <v/>
      </c>
      <c r="H10" s="194" t="str">
        <f>IF(C10&lt;&gt;0,(ber_IVmed!G5/10)*INDEX(tblMedicationContIV,ber_IVmed!$B5,18)&amp;" "&amp;INDEX(tblMedicationContIV,ber_IVmed!$B5,2),"")</f>
        <v/>
      </c>
      <c r="I10" s="197" t="str">
        <f>IF(C10&lt;&gt;0,24*ber_IVmed!G5/10&amp;" ml","")</f>
        <v/>
      </c>
      <c r="J10" s="214">
        <f>INDEX(tblMedicationContIV,ber_IVmed!$B5,3)</f>
        <v>0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 t="b">
        <f>IF(C10&lt;&gt;0,INDEX(tblMedicationContIV,ber_IVmed!$B5,6)*(ber_IVmed!G5/10))</f>
        <v>0</v>
      </c>
      <c r="AB10" s="176">
        <f t="shared" si="0"/>
        <v>0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>
        <f>MedIVSterkte_11</f>
        <v>0</v>
      </c>
      <c r="E19" s="200" t="str">
        <f>IF(C19&lt;&gt;0,ber_IVmed!E13&amp;" ml","")</f>
        <v/>
      </c>
      <c r="F19" s="289">
        <f>INDEX(tblOplossing,ber_IVmed!F13,1)</f>
        <v>0</v>
      </c>
      <c r="G19" s="200">
        <f>IF(C19&lt;&gt;"",IF(ber_IVmed!G13&lt;&gt;0,ber_IVmed!G13/10&amp;" ml/uur",0),"")</f>
        <v>0</v>
      </c>
      <c r="H19" s="200"/>
      <c r="I19" s="201" t="str">
        <f>IF(ber_IVmed!H13&lt;&gt;0,ber_IVmed!H13&amp;" ml","")</f>
        <v/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0 ml/kg</v>
      </c>
      <c r="E25" s="210" t="str">
        <f ca="1">Intake!E32</f>
        <v>100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85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0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59">
        <f>ber_Opm!C4</f>
        <v>0</v>
      </c>
      <c r="E31" s="360"/>
      <c r="F31" s="360"/>
      <c r="G31" s="360"/>
      <c r="H31" s="360"/>
      <c r="I31" s="360"/>
      <c r="J31" s="360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0"/>
      <c r="E32" s="360"/>
      <c r="F32" s="360"/>
      <c r="G32" s="360"/>
      <c r="H32" s="360"/>
      <c r="I32" s="360"/>
      <c r="J32" s="360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0"/>
      <c r="E33" s="360"/>
      <c r="F33" s="360"/>
      <c r="G33" s="360"/>
      <c r="H33" s="360"/>
      <c r="I33" s="360"/>
      <c r="J33" s="360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0"/>
      <c r="E34" s="360"/>
      <c r="F34" s="360"/>
      <c r="G34" s="360"/>
      <c r="H34" s="360"/>
      <c r="I34" s="360"/>
      <c r="J34" s="360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0"/>
      <c r="E35" s="360"/>
      <c r="F35" s="360"/>
      <c r="G35" s="360"/>
      <c r="H35" s="360"/>
      <c r="I35" s="360"/>
      <c r="J35" s="360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5eRn+aw05f6KpfmDYZKUausz4tYr6+0jy2cIkjxkpy24RHy/4j4UDk6yjvpAQmw/cO1SXIEse/SNzDJfSNQFzw==" saltValue="X+NPXztTmSafv6PfwwxStA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3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4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5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6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7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8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9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70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1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2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1" sqref="D11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2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2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0.48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>
        <v>10</v>
      </c>
      <c r="S6">
        <f>IF(Q6&gt;0,ROUND(1000*1000*R6/10*(P6/Q6)/(Gewicht/10)/60,3),0)</f>
        <v>0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150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150</v>
      </c>
      <c r="Q7">
        <f t="shared" si="5"/>
        <v>50</v>
      </c>
      <c r="R7">
        <v>10</v>
      </c>
      <c r="S7">
        <f>IF(Q7&gt;0,ROUND(1000*R7/10*(P7/Q7)/(Gewicht/10)/60,3),0)</f>
        <v>5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0.3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0.3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200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200</v>
      </c>
      <c r="Q9">
        <f t="shared" si="5"/>
        <v>50</v>
      </c>
      <c r="R9">
        <v>10</v>
      </c>
      <c r="S9">
        <f>IF(Q9&gt;0,ROUND(1000*R9/10*(P9/Q9)/(Gewicht/10)/60,3),0)</f>
        <v>6.6669999999999998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200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200</v>
      </c>
      <c r="Q10">
        <f t="shared" si="5"/>
        <v>50</v>
      </c>
      <c r="R10">
        <v>10</v>
      </c>
      <c r="S10">
        <f>IF(Q10&gt;0,ROUND(1000*R10/10*(P10/Q10)/(Gewicht/10)/60,3),0)</f>
        <v>6.6669999999999998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10</v>
      </c>
      <c r="G11">
        <v>24</v>
      </c>
      <c r="H11">
        <f>IF(Gewicht/10&gt;48,48,Gewicht/10)</f>
        <v>10</v>
      </c>
      <c r="I11">
        <v>48</v>
      </c>
      <c r="J11">
        <f>IF(Gewicht/10&gt;48,48,Gewicht/10)</f>
        <v>10</v>
      </c>
      <c r="K11" s="333">
        <v>48</v>
      </c>
      <c r="L11">
        <f>IF(Gewicht/10&lt;6,F11,IF(Gewicht/10&lt;11,H11,J11))</f>
        <v>10</v>
      </c>
      <c r="M11">
        <f>IF(Gewicht/10&lt;6,G11,IF(Gewicht/10&lt;11,I11,K11))</f>
        <v>48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10</v>
      </c>
      <c r="Q11">
        <f>IF(O11&gt;0,O11,M11)</f>
        <v>48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10</v>
      </c>
      <c r="G12">
        <v>24</v>
      </c>
      <c r="H12">
        <f>IF(Gewicht/10&gt;48,48,Gewicht/10)</f>
        <v>10</v>
      </c>
      <c r="I12">
        <v>48</v>
      </c>
      <c r="J12">
        <f>IF(Gewicht/10&gt;48,48,Gewicht/10)</f>
        <v>10</v>
      </c>
      <c r="K12" s="333">
        <v>48</v>
      </c>
      <c r="L12">
        <f t="shared" si="0"/>
        <v>10</v>
      </c>
      <c r="M12">
        <f t="shared" si="1"/>
        <v>48</v>
      </c>
      <c r="N12">
        <f t="shared" si="2"/>
        <v>0</v>
      </c>
      <c r="O12">
        <f t="shared" si="3"/>
        <v>0</v>
      </c>
      <c r="P12">
        <f t="shared" si="4"/>
        <v>10</v>
      </c>
      <c r="Q12">
        <f t="shared" si="5"/>
        <v>48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0.4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0.4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250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250</v>
      </c>
      <c r="Q14">
        <f t="shared" si="5"/>
        <v>50</v>
      </c>
      <c r="R14">
        <v>10</v>
      </c>
      <c r="S14">
        <f>IF(Q14&gt;0,ROUND(R14/10*(P14/Q14)/(Gewicht/10),3),0)</f>
        <v>0.5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1.7000000000000001E-2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1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1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0.4</v>
      </c>
      <c r="M17">
        <f t="shared" si="1"/>
        <v>50</v>
      </c>
      <c r="N17">
        <f t="shared" si="2"/>
        <v>0</v>
      </c>
      <c r="O17">
        <f t="shared" si="3"/>
        <v>0</v>
      </c>
      <c r="P17">
        <f t="shared" si="4"/>
        <v>0.4</v>
      </c>
      <c r="Q17">
        <f t="shared" si="5"/>
        <v>50</v>
      </c>
      <c r="R17">
        <v>10</v>
      </c>
      <c r="S17">
        <f>IF(Q17&gt;0,ROUND(1000*R17/10*(P17/Q17)/(Gewicht/10)/60,3),0)</f>
        <v>1.2999999999999999E-2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20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20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10000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10000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0.02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6.7000000000000004E-2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0.5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16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0.1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10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10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5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5</v>
      </c>
      <c r="Q26">
        <f t="shared" si="5"/>
        <v>50</v>
      </c>
      <c r="R26">
        <v>10</v>
      </c>
      <c r="S26">
        <f>IF(Q26&gt;0,ROUND(24*(R26/10)*(P26/Q26)/(Gewicht/10),3),0)</f>
        <v>0.24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1.2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20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20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2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2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1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2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100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100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10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10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2000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2000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L4" sqref="L4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0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</v>
      </c>
      <c r="C4">
        <v>3</v>
      </c>
      <c r="D4">
        <v>0</v>
      </c>
      <c r="E4">
        <v>0</v>
      </c>
      <c r="F4">
        <v>1</v>
      </c>
      <c r="H4">
        <f>IF(MedicatieIV!C9&lt;&gt;0,24*G4/10,0)</f>
        <v>0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0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1</v>
      </c>
      <c r="C5">
        <v>4</v>
      </c>
      <c r="F5">
        <v>1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1</v>
      </c>
      <c r="E6">
        <v>2</v>
      </c>
      <c r="F6">
        <v>1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1</v>
      </c>
      <c r="E8">
        <v>1</v>
      </c>
      <c r="F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F13">
        <v>1</v>
      </c>
      <c r="H13">
        <f>IF(MedicatieIV!C19&lt;&gt;"",G13/10*24,0)</f>
        <v>0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0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0</v>
      </c>
      <c r="I18">
        <f>SUM(I3:I17)</f>
        <v>0</v>
      </c>
      <c r="J18">
        <f>SUM(J3:J17)</f>
        <v>0</v>
      </c>
      <c r="L18">
        <f>SUM(L3:L17)+SUM(K3:K17)</f>
        <v>0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42221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859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40909</v>
      </c>
      <c r="K3" s="159" t="str">
        <f>"Gewicht: "&amp;Gewicht/10&amp;" kg"</f>
        <v>Gewicht: 10 kg</v>
      </c>
      <c r="L3" s="154"/>
      <c r="M3" s="153"/>
      <c r="N3" s="159" t="str">
        <f>"Lengte: "&amp;Lengte&amp;" cm"</f>
        <v>Lengte: 80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3 jaar en 7 maand(-en)</v>
      </c>
      <c r="K4" s="154"/>
      <c r="L4" s="160"/>
      <c r="M4" s="154" t="str">
        <f>"Lichamelijk oppervlak: "&amp;ROUND(POWER(Gewicht/10,0.425)*POWER(((Lengte/100)*100),0.725)*0.007184,2)&amp;" m2"</f>
        <v>Lichamelijk oppervlak: 0,46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1">
        <f>ber_Med_disc!C3</f>
        <v>0</v>
      </c>
      <c r="E8" s="361"/>
      <c r="F8" s="361"/>
      <c r="G8" s="361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1">
        <f>ber_Med_disc!C4</f>
        <v>0</v>
      </c>
      <c r="E10" s="361"/>
      <c r="F10" s="361"/>
      <c r="G10" s="361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1">
        <f>ber_Med_disc!C5</f>
        <v>0</v>
      </c>
      <c r="E12" s="361"/>
      <c r="F12" s="361"/>
      <c r="G12" s="361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1">
        <f>ber_Med_disc!C6</f>
        <v>0</v>
      </c>
      <c r="E14" s="361"/>
      <c r="F14" s="361"/>
      <c r="G14" s="361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1">
        <f>ber_Med_disc!C7</f>
        <v>0</v>
      </c>
      <c r="E16" s="361"/>
      <c r="F16" s="361"/>
      <c r="G16" s="361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1">
        <f>ber_Med_disc!C8</f>
        <v>0</v>
      </c>
      <c r="E18" s="361"/>
      <c r="F18" s="361"/>
      <c r="G18" s="361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1">
        <f>ber_Med_disc!C9</f>
        <v>0</v>
      </c>
      <c r="E20" s="361"/>
      <c r="F20" s="361"/>
      <c r="G20" s="361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1">
        <f>ber_Med_disc!C10</f>
        <v>0</v>
      </c>
      <c r="E22" s="361"/>
      <c r="F22" s="361"/>
      <c r="G22" s="361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1">
        <f>ber_Med_disc!C11</f>
        <v>0</v>
      </c>
      <c r="E24" s="361"/>
      <c r="F24" s="361"/>
      <c r="G24" s="361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1">
        <f>ber_Med_disc!C12</f>
        <v>0</v>
      </c>
      <c r="E26" s="361"/>
      <c r="F26" s="361"/>
      <c r="G26" s="361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1">
        <f>ber_Med_disc!C13</f>
        <v>0</v>
      </c>
      <c r="E28" s="361"/>
      <c r="F28" s="361"/>
      <c r="G28" s="361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1">
        <f>ber_Med_disc!C14</f>
        <v>0</v>
      </c>
      <c r="E30" s="361"/>
      <c r="F30" s="361"/>
      <c r="G30" s="361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1">
        <f>ber_Med_disc!C15</f>
        <v>0</v>
      </c>
      <c r="E32" s="361"/>
      <c r="F32" s="361"/>
      <c r="G32" s="361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1">
        <f>ber_Med_disc!C16</f>
        <v>0</v>
      </c>
      <c r="E34" s="361"/>
      <c r="F34" s="361"/>
      <c r="G34" s="361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1">
        <f>ber_Med_disc!C17</f>
        <v>0</v>
      </c>
      <c r="E36" s="361"/>
      <c r="F36" s="361"/>
      <c r="G36" s="361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1">
        <f>ber_Med_disc!C18</f>
        <v>0</v>
      </c>
      <c r="E38" s="361"/>
      <c r="F38" s="361"/>
      <c r="G38" s="361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1">
        <f>ber_Med_disc!C19</f>
        <v>0</v>
      </c>
      <c r="E40" s="361"/>
      <c r="F40" s="361"/>
      <c r="G40" s="361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1">
        <f>ber_Med_disc!C20</f>
        <v>0</v>
      </c>
      <c r="E42" s="361"/>
      <c r="F42" s="361"/>
      <c r="G42" s="361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1">
        <f>ber_Med_disc!C21</f>
        <v>0</v>
      </c>
      <c r="E44" s="361"/>
      <c r="F44" s="361"/>
      <c r="G44" s="361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oy738lUFcHMiG9Njbnk3v4WjvXowHQg3Vaay5j2m8H+m2luBUZAcBmpgnuE1SVCL4ljEYKbrxiqDDDkKNV9j4A==" saltValue="Sp9F8AnZ9dFP08mLTfEjrA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4">
        <f>GebDatum</f>
        <v>40909</v>
      </c>
      <c r="G1" s="364"/>
      <c r="I1" s="11" t="str">
        <f>"Gewicht: "&amp;ROUND(Gewicht/10,1)&amp;"kg"</f>
        <v>Gewicht: 10kg</v>
      </c>
      <c r="P1" s="11" t="s">
        <v>498</v>
      </c>
      <c r="R1" s="362"/>
      <c r="S1" s="362"/>
      <c r="T1" s="362"/>
      <c r="U1" s="362"/>
      <c r="V1" s="362"/>
      <c r="W1" s="362"/>
      <c r="Y1" t="s">
        <v>818</v>
      </c>
      <c r="AB1" s="363">
        <f ca="1">TODAY()</f>
        <v>42221</v>
      </c>
      <c r="AC1" s="363"/>
      <c r="AD1" s="363"/>
      <c r="AE1" s="363"/>
      <c r="AF1" s="363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JjBVZmap6HU11cKJklmjOfK6pt700EHsOzV7VKE4vjWTB49RwY+rWIAfRsCW3FMxeEGPVynILH3+A14wEraMBg==" saltValue="Dv/mvouht+UA39ZRfG1GQ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42221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859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40909</v>
      </c>
      <c r="G3" s="184" t="str">
        <f>"Gewicht: "&amp;Gewicht/10&amp;" kg"</f>
        <v>Gewicht: 10 kg</v>
      </c>
      <c r="H3" s="179"/>
      <c r="I3" s="184" t="str">
        <f>"Lengte: "&amp;Lengte&amp;" cm"</f>
        <v>Lengte: 80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3 jaar en 7 maand(-en)</v>
      </c>
      <c r="G4" s="179"/>
      <c r="H4" s="179" t="str">
        <f>"Lichamelijk oppervlak: "&amp;ROUND(POWER(Gewicht/10,0.425)*POWER(((Lengte/100)*100),0.725)*0.007184,2)&amp;" m2"</f>
        <v>Lichamelijk oppervlak: 0,46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/>
      </c>
      <c r="I9" s="105" t="b">
        <f>IF(INDEX(ber_Infusen!$A$1:$C$34,ber_Infusen!E3,2)&lt;&gt;0,INDEX(ber_Infusen!$A$1:$C$34,ber_Infusen!E3,3))</f>
        <v>0</v>
      </c>
      <c r="J9" s="105">
        <f>IF(INDEX(ber_Infusen!$A$1:$C$34,ber_Infusen!E3,2)&lt;&gt;0,INDEX(ber_Infusen!$A$1:$C$34,ber_Infusen!E3,2),0)</f>
        <v>0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0</v>
      </c>
      <c r="J15" s="281">
        <f>SUM(J8:J14)</f>
        <v>0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/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/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5">
        <f>ber_Opm!C11</f>
        <v>0</v>
      </c>
      <c r="C25" s="360"/>
      <c r="D25" s="360"/>
      <c r="E25" s="360"/>
      <c r="F25" s="360"/>
      <c r="G25" s="241"/>
      <c r="H25" s="26"/>
    </row>
    <row r="26" spans="1:10" ht="17.25" customHeight="1" x14ac:dyDescent="0.35">
      <c r="B26" s="360"/>
      <c r="C26" s="360"/>
      <c r="D26" s="360"/>
      <c r="E26" s="360"/>
      <c r="F26" s="360"/>
      <c r="G26" s="241"/>
      <c r="H26" s="241"/>
      <c r="I26" s="241"/>
      <c r="J26" s="245"/>
    </row>
    <row r="27" spans="1:10" ht="17.25" customHeight="1" x14ac:dyDescent="0.35">
      <c r="B27" s="360"/>
      <c r="C27" s="360"/>
      <c r="D27" s="360"/>
      <c r="E27" s="360"/>
      <c r="F27" s="360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iTEDGxAOZVVTGgsUIsyQuLDjVJa6fI+Q8TX/VR+mOYGkqkApte7Btj10IZFUjNRdL5AGR7JKRaafbvzTF621sA==" saltValue="JzCh0IaIxI89yUQCisxtu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J14" sqref="J14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1313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100</v>
      </c>
      <c r="E18" t="s">
        <v>933</v>
      </c>
      <c r="F18">
        <f>Gewicht/10</f>
        <v>10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85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42221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859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40909</v>
      </c>
      <c r="H3" s="184" t="str">
        <f>"Gewicht: "&amp;Gewicht/10&amp;" kg"</f>
        <v>Gewicht: 10 kg</v>
      </c>
      <c r="I3" s="179"/>
      <c r="J3" s="184" t="str">
        <f>"Lengte: "&amp;Lengte&amp;" cm"</f>
        <v>Lengte: 80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3 jaar en 7 maand(-en)</v>
      </c>
      <c r="H4" s="179"/>
      <c r="I4" s="179" t="str">
        <f>"Lichamelijk oppervlak: "&amp;ROUND(POWER(Gewicht/10,0.425)*POWER(((Lengte/100)*100),0.725)*0.007184,2)&amp;" m2"</f>
        <v>Lichamelijk oppervlak: 0,46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str">
        <f>INDEX(tblSonde,ber_PO!O2,1)</f>
        <v>Enteraal voeding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/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6" t="str">
        <f>IF(AND(Gewicht/10&gt;50,TPN=2),"in 100 ml glucose 10%, "&amp;ROUND((ber_TPN!F5+ber_TPN!F16)/24,1)&amp;" ml/uur","")</f>
        <v/>
      </c>
      <c r="G17" s="366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0 ml/kg</v>
      </c>
      <c r="E32" s="269" t="str">
        <f ca="1">ROUND(ber_normaal!$A$18,0)&amp;" ml/kg"</f>
        <v>100 ml/kg</v>
      </c>
      <c r="F32" s="269" t="str">
        <f>"= "&amp;ROUND(ber_totalen!C2*Gewicht/10,0)&amp;" ml/dag"</f>
        <v>= 0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85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0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IR3Fmgo0IIQGnmnNzuf5wtkEN26F6TkdtcO90i/+p1WUfcHMjm+kqo7ikyIkhXDhNV5MTEv59TLmP9recanbag==" saltValue="ttf+Coljw1xSRS9cBUZA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887</v>
      </c>
      <c r="B27" s="89">
        <v>0.08</v>
      </c>
      <c r="C27" s="89">
        <v>0</v>
      </c>
      <c r="D27" s="89">
        <v>8.0000000000000002E-3</v>
      </c>
      <c r="E27" s="89">
        <v>0.02</v>
      </c>
      <c r="F27" s="89">
        <v>2.8000000000000001E-2</v>
      </c>
      <c r="G27" s="89">
        <v>8.0000000000000002E-3</v>
      </c>
      <c r="H27" s="89">
        <v>2.4E-2</v>
      </c>
      <c r="I27" s="89">
        <v>0.32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o/sxlM6Hjpkecpmk7Y6rarwEv5OEFc31ozTH44/pXzd7Pli9Lln0K0UvvSlRD75gGn/48O7kDp8jUmSyenO5DA==" saltValue="6Kf1yDx7Y2ZEuzPQOyYoKw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0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0</v>
      </c>
      <c r="C19">
        <f>B19/(Gewicht/10)</f>
        <v>0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0</v>
      </c>
      <c r="C21">
        <f>B21/(Gewicht/10)</f>
        <v>0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>SUM(C2:G2)</f>
        <v>0</v>
      </c>
      <c r="J2" s="404" t="s">
        <v>1264</v>
      </c>
      <c r="K2" s="28">
        <v>1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1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>SUM(C3:G3)</f>
        <v>0</v>
      </c>
      <c r="J3" s="404" t="s">
        <v>1265</v>
      </c>
      <c r="M3">
        <f>IF(L3&lt;51,L3/10,IF(L3&lt;66,(L3-49)+4,IF(L3&lt;82,(L3-61)*5,IF(L3&lt;122,(L3-71)*10,(L3-111)*50))))</f>
        <v>0</v>
      </c>
      <c r="N3" s="28">
        <f>IF(O3&gt;1,K3*M3,0)</f>
        <v>0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>SUM(C4:G4)</f>
        <v>0</v>
      </c>
      <c r="J4" s="404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>SUM(C5:G5)</f>
        <v>0</v>
      </c>
      <c r="J5" s="404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>SUM(C6:G6)</f>
        <v>0</v>
      </c>
      <c r="J6" s="404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>SUM(C7:G7)</f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>SUM(C8:G8)</f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>SUM(C9:G9)</f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>SUM(C10:G10)</f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>
    <outlinePr showOutlineSymbols="0"/>
  </sheetPr>
  <dimension ref="A1:H49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822</v>
      </c>
      <c r="B12" s="386" t="s">
        <v>484</v>
      </c>
      <c r="C12" s="388"/>
      <c r="D12" s="390" t="s">
        <v>485</v>
      </c>
      <c r="E12" s="390" t="s">
        <v>486</v>
      </c>
      <c r="F12" s="390" t="s">
        <v>487</v>
      </c>
      <c r="G12" s="35"/>
      <c r="H12" s="35" t="s">
        <v>488</v>
      </c>
    </row>
    <row r="13" spans="1:8" x14ac:dyDescent="0.35">
      <c r="A13" s="36" t="s">
        <v>489</v>
      </c>
      <c r="B13" s="387"/>
      <c r="C13" s="389"/>
      <c r="D13" s="391"/>
      <c r="E13" s="391"/>
      <c r="F13" s="391"/>
      <c r="G13" s="35" t="s">
        <v>490</v>
      </c>
      <c r="H13" s="37" t="s">
        <v>491</v>
      </c>
    </row>
    <row r="14" spans="1:8" ht="20.100000000000001" customHeight="1" x14ac:dyDescent="0.35">
      <c r="A14" s="372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3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6" t="s">
        <v>568</v>
      </c>
      <c r="F21" s="376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0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71"/>
      <c r="B24" s="112" t="s">
        <v>538</v>
      </c>
      <c r="C24" s="113"/>
      <c r="D24" s="113"/>
      <c r="E24" s="377" t="s">
        <v>790</v>
      </c>
      <c r="F24" s="378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7"/>
      <c r="F25" s="378"/>
      <c r="G25" s="115"/>
      <c r="H25" s="35"/>
    </row>
    <row r="26" spans="1:8" ht="15.95" customHeight="1" x14ac:dyDescent="0.35">
      <c r="A26" s="34"/>
      <c r="B26" s="92"/>
      <c r="C26" s="92"/>
      <c r="D26" s="92"/>
      <c r="E26" s="379" t="s">
        <v>568</v>
      </c>
      <c r="F26" s="379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4" t="s">
        <v>326</v>
      </c>
      <c r="C28" s="375"/>
      <c r="D28" s="375"/>
      <c r="E28" s="375"/>
      <c r="F28" s="375"/>
      <c r="G28" s="86"/>
      <c r="H28" s="42"/>
    </row>
    <row r="29" spans="1:8" ht="20.100000000000001" customHeight="1" x14ac:dyDescent="0.35">
      <c r="A29" s="370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1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79" t="s">
        <v>570</v>
      </c>
      <c r="F36" s="379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0" t="s">
        <v>633</v>
      </c>
      <c r="C38" s="381"/>
      <c r="D38" s="381"/>
      <c r="E38" s="381"/>
      <c r="F38" s="382"/>
      <c r="G38" s="42" t="s">
        <v>634</v>
      </c>
      <c r="H38" s="42"/>
    </row>
    <row r="39" spans="1:8" ht="15.95" customHeight="1" x14ac:dyDescent="0.35">
      <c r="A39" s="43"/>
      <c r="B39" s="367" t="s">
        <v>635</v>
      </c>
      <c r="C39" s="368"/>
      <c r="D39" s="368"/>
      <c r="E39" s="368"/>
      <c r="F39" s="369"/>
      <c r="G39" s="37" t="s">
        <v>636</v>
      </c>
      <c r="H39" s="35"/>
    </row>
    <row r="40" spans="1:8" ht="15.95" customHeight="1" x14ac:dyDescent="0.35">
      <c r="A40" s="43"/>
      <c r="B40" s="367" t="s">
        <v>637</v>
      </c>
      <c r="C40" s="368"/>
      <c r="D40" s="368"/>
      <c r="E40" s="368"/>
      <c r="F40" s="369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TJT5TQVljRz6qklpm/oAKx2pXiZPR1I3PE+wr4UpublENyyiKco0/8rG2RX3eFKGOjRouuOc6tbSKi6RK5VlsA==" saltValue="fQyjfgQZ/hQucS31oN/ljA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822</v>
      </c>
      <c r="B12" s="386" t="s">
        <v>484</v>
      </c>
      <c r="C12" s="388"/>
      <c r="D12" s="390" t="s">
        <v>485</v>
      </c>
      <c r="E12" s="390" t="s">
        <v>486</v>
      </c>
      <c r="F12" s="390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87"/>
      <c r="C13" s="389"/>
      <c r="D13" s="391"/>
      <c r="E13" s="391"/>
      <c r="F13" s="391"/>
      <c r="G13" s="35" t="s">
        <v>490</v>
      </c>
      <c r="H13" s="37" t="s">
        <v>491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6" t="s">
        <v>568</v>
      </c>
      <c r="F22" s="376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0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1"/>
      <c r="B25" s="112" t="s">
        <v>538</v>
      </c>
      <c r="C25" s="113"/>
      <c r="D25" s="113"/>
      <c r="E25" s="394" t="s">
        <v>985</v>
      </c>
      <c r="F25" s="395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4" t="s">
        <v>985</v>
      </c>
      <c r="F26" s="395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6" t="s">
        <v>568</v>
      </c>
      <c r="F27" s="376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2" t="s">
        <v>326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0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1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2" t="s">
        <v>1123</v>
      </c>
      <c r="C36" s="403"/>
      <c r="D36" s="403"/>
      <c r="E36" s="403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2" t="s">
        <v>90</v>
      </c>
      <c r="C37" s="403"/>
      <c r="D37" s="403"/>
      <c r="E37" s="403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2" t="s">
        <v>91</v>
      </c>
      <c r="C38" s="403"/>
      <c r="D38" s="403"/>
      <c r="E38" s="403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6" t="s">
        <v>570</v>
      </c>
      <c r="F39" s="376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6" t="s">
        <v>633</v>
      </c>
      <c r="C41" s="397"/>
      <c r="D41" s="397"/>
      <c r="E41" s="397"/>
      <c r="F41" s="398"/>
      <c r="G41" s="42" t="s">
        <v>634</v>
      </c>
      <c r="H41" s="42"/>
    </row>
    <row r="42" spans="1:8" ht="15.95" customHeight="1" x14ac:dyDescent="0.35">
      <c r="A42" s="43"/>
      <c r="B42" s="399" t="s">
        <v>635</v>
      </c>
      <c r="C42" s="400"/>
      <c r="D42" s="400"/>
      <c r="E42" s="400"/>
      <c r="F42" s="401"/>
      <c r="G42" s="37" t="s">
        <v>636</v>
      </c>
      <c r="H42" s="35"/>
    </row>
    <row r="43" spans="1:8" ht="15.95" customHeight="1" x14ac:dyDescent="0.35">
      <c r="A43" s="43"/>
      <c r="B43" s="399" t="s">
        <v>637</v>
      </c>
      <c r="C43" s="400"/>
      <c r="D43" s="400"/>
      <c r="E43" s="400"/>
      <c r="F43" s="401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dV9efJ8I0sMeIEtGhhEcyqygpeAHKL0chf/sJ+XVa+Hsl/A+r85sMGgvCJtGnqTGr94U2Eiy7tsIKIFl13mwuA==" saltValue="8/Fe4mLvglSXSD4WpUGWUQ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83" t="s">
        <v>41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34" t="s">
        <v>822</v>
      </c>
      <c r="B12" s="386" t="s">
        <v>484</v>
      </c>
      <c r="C12" s="388"/>
      <c r="D12" s="390" t="s">
        <v>485</v>
      </c>
      <c r="E12" s="390" t="s">
        <v>486</v>
      </c>
      <c r="F12" s="390" t="s">
        <v>487</v>
      </c>
      <c r="G12" s="35"/>
      <c r="H12" s="35" t="s">
        <v>488</v>
      </c>
    </row>
    <row r="13" spans="1:8" x14ac:dyDescent="0.35">
      <c r="A13" s="36" t="s">
        <v>489</v>
      </c>
      <c r="B13" s="387"/>
      <c r="C13" s="389"/>
      <c r="D13" s="391"/>
      <c r="E13" s="391"/>
      <c r="F13" s="391"/>
      <c r="G13" s="35" t="s">
        <v>490</v>
      </c>
      <c r="H13" s="37" t="s">
        <v>491</v>
      </c>
    </row>
    <row r="14" spans="1:8" ht="20.100000000000001" customHeight="1" x14ac:dyDescent="0.35">
      <c r="A14" s="372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3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394" t="s">
        <v>353</v>
      </c>
      <c r="F17" s="395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568</v>
      </c>
      <c r="F22" s="379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538</v>
      </c>
      <c r="C25" s="113"/>
      <c r="D25" s="113"/>
      <c r="E25" s="394" t="s">
        <v>985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4" t="s">
        <v>985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568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4" t="s">
        <v>326</v>
      </c>
      <c r="C29" s="375"/>
      <c r="D29" s="375"/>
      <c r="E29" s="375"/>
      <c r="F29" s="375"/>
      <c r="G29" s="86"/>
      <c r="H29" s="42"/>
    </row>
    <row r="30" spans="1:8" ht="20.100000000000001" customHeight="1" x14ac:dyDescent="0.35">
      <c r="A30" s="372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2" t="s">
        <v>90</v>
      </c>
      <c r="C36" s="403"/>
      <c r="D36" s="403"/>
      <c r="E36" s="403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91</v>
      </c>
      <c r="C37" s="403"/>
      <c r="D37" s="403"/>
      <c r="E37" s="403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79" t="s">
        <v>570</v>
      </c>
      <c r="F38" s="379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0" t="s">
        <v>633</v>
      </c>
      <c r="C40" s="381"/>
      <c r="D40" s="381"/>
      <c r="E40" s="381"/>
      <c r="F40" s="382"/>
      <c r="G40" s="42" t="s">
        <v>634</v>
      </c>
      <c r="H40" s="42"/>
    </row>
    <row r="41" spans="1:8" ht="15.95" customHeight="1" x14ac:dyDescent="0.35">
      <c r="A41" s="43"/>
      <c r="B41" s="367" t="s">
        <v>635</v>
      </c>
      <c r="C41" s="368"/>
      <c r="D41" s="368"/>
      <c r="E41" s="368"/>
      <c r="F41" s="369"/>
      <c r="G41" s="37" t="s">
        <v>636</v>
      </c>
      <c r="H41" s="35"/>
    </row>
    <row r="42" spans="1:8" ht="15.95" customHeight="1" x14ac:dyDescent="0.35">
      <c r="A42" s="43"/>
      <c r="B42" s="367" t="s">
        <v>637</v>
      </c>
      <c r="C42" s="368"/>
      <c r="D42" s="368"/>
      <c r="E42" s="368"/>
      <c r="F42" s="36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u+/VYzLxzbuegPO4OXefV19dQbIKhisXtPQQtT4fVLriYautXFeHcGkYVrRg+BDVYmBFNPMSXKw7nDd9J1gWtQ==" saltValue="ZZJREzHAgRFNx1tP48FqBQ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822</v>
      </c>
      <c r="B11" s="386" t="s">
        <v>484</v>
      </c>
      <c r="C11" s="388"/>
      <c r="D11" s="390" t="s">
        <v>485</v>
      </c>
      <c r="E11" s="390" t="s">
        <v>486</v>
      </c>
      <c r="F11" s="390" t="s">
        <v>487</v>
      </c>
      <c r="G11" s="35"/>
      <c r="H11" s="35" t="s">
        <v>488</v>
      </c>
    </row>
    <row r="12" spans="1:8" x14ac:dyDescent="0.35">
      <c r="A12" s="36" t="s">
        <v>489</v>
      </c>
      <c r="B12" s="387"/>
      <c r="C12" s="389"/>
      <c r="D12" s="391"/>
      <c r="E12" s="391"/>
      <c r="F12" s="391"/>
      <c r="G12" s="35" t="s">
        <v>490</v>
      </c>
      <c r="H12" s="37" t="s">
        <v>491</v>
      </c>
    </row>
    <row r="13" spans="1:8" ht="20.100000000000001" customHeight="1" x14ac:dyDescent="0.35">
      <c r="A13" s="372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3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394" t="s">
        <v>353</v>
      </c>
      <c r="F16" s="395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79" t="s">
        <v>568</v>
      </c>
      <c r="F22" s="379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2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73"/>
      <c r="B25" s="112" t="s">
        <v>538</v>
      </c>
      <c r="C25" s="113"/>
      <c r="D25" s="113"/>
      <c r="E25" s="394" t="s">
        <v>985</v>
      </c>
      <c r="F25" s="395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4" t="s">
        <v>985</v>
      </c>
      <c r="F26" s="395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79" t="s">
        <v>568</v>
      </c>
      <c r="F27" s="379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2" t="s">
        <v>326</v>
      </c>
      <c r="C29" s="393"/>
      <c r="D29" s="393"/>
      <c r="E29" s="393"/>
      <c r="F29" s="393"/>
      <c r="G29" s="86"/>
      <c r="H29" s="42"/>
    </row>
    <row r="30" spans="1:8" ht="20.100000000000001" customHeight="1" x14ac:dyDescent="0.35">
      <c r="A30" s="372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3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2" t="s">
        <v>90</v>
      </c>
      <c r="C36" s="403"/>
      <c r="D36" s="403"/>
      <c r="E36" s="403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2" t="s">
        <v>91</v>
      </c>
      <c r="C37" s="403"/>
      <c r="D37" s="403"/>
      <c r="E37" s="403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6" t="s">
        <v>570</v>
      </c>
      <c r="F38" s="376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0" t="s">
        <v>633</v>
      </c>
      <c r="C40" s="381"/>
      <c r="D40" s="381"/>
      <c r="E40" s="381"/>
      <c r="F40" s="382"/>
      <c r="G40" s="42" t="s">
        <v>634</v>
      </c>
      <c r="H40" s="42"/>
    </row>
    <row r="41" spans="1:8" ht="15.95" customHeight="1" x14ac:dyDescent="0.35">
      <c r="A41" s="43"/>
      <c r="B41" s="367" t="s">
        <v>635</v>
      </c>
      <c r="C41" s="368"/>
      <c r="D41" s="368"/>
      <c r="E41" s="368"/>
      <c r="F41" s="369"/>
      <c r="G41" s="37" t="s">
        <v>636</v>
      </c>
      <c r="H41" s="35"/>
    </row>
    <row r="42" spans="1:8" ht="15.95" customHeight="1" x14ac:dyDescent="0.35">
      <c r="A42" s="43"/>
      <c r="B42" s="367" t="s">
        <v>637</v>
      </c>
      <c r="C42" s="368"/>
      <c r="D42" s="368"/>
      <c r="E42" s="368"/>
      <c r="F42" s="369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Z28W5uCDyE6DtuHzo7dfa/hSTO31vQLvPg9nMG5bqo81xSaIIXtEbkRRoBpbQydVEUPgY618aq+OuTs6TwHDNA==" saltValue="LIMXZoRd4UiAXV6dwVwFn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42221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40909</v>
      </c>
      <c r="G5" s="81"/>
      <c r="H5" s="82"/>
    </row>
    <row r="6" spans="1:8" x14ac:dyDescent="0.35">
      <c r="F6" s="80" t="s">
        <v>759</v>
      </c>
      <c r="G6" s="81" t="str">
        <f>Gewicht/10&amp;" kg"</f>
        <v>10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845</v>
      </c>
    </row>
    <row r="10" spans="1:8" ht="13.2" thickTop="1" x14ac:dyDescent="0.35">
      <c r="A10" s="383" t="s">
        <v>41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34" t="s">
        <v>822</v>
      </c>
      <c r="B11" s="386" t="s">
        <v>484</v>
      </c>
      <c r="C11" s="388"/>
      <c r="D11" s="390" t="s">
        <v>485</v>
      </c>
      <c r="E11" s="390" t="s">
        <v>486</v>
      </c>
      <c r="F11" s="390" t="s">
        <v>487</v>
      </c>
      <c r="G11" s="35"/>
      <c r="H11" s="35" t="s">
        <v>488</v>
      </c>
    </row>
    <row r="12" spans="1:8" x14ac:dyDescent="0.35">
      <c r="A12" s="36" t="s">
        <v>489</v>
      </c>
      <c r="B12" s="387"/>
      <c r="C12" s="389"/>
      <c r="D12" s="391"/>
      <c r="E12" s="391"/>
      <c r="F12" s="391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79" t="s">
        <v>568</v>
      </c>
      <c r="F19" s="379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79" t="s">
        <v>568</v>
      </c>
      <c r="F24" s="379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2" t="s">
        <v>326</v>
      </c>
      <c r="C26" s="393"/>
      <c r="D26" s="393"/>
      <c r="E26" s="393"/>
      <c r="F26" s="393"/>
      <c r="G26" s="86"/>
      <c r="H26" s="42"/>
    </row>
    <row r="27" spans="1:8" ht="20.100000000000001" customHeight="1" x14ac:dyDescent="0.35">
      <c r="A27" s="372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3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2" t="s">
        <v>90</v>
      </c>
      <c r="C33" s="403"/>
      <c r="D33" s="403"/>
      <c r="E33" s="403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2" t="s">
        <v>91</v>
      </c>
      <c r="C34" s="403"/>
      <c r="D34" s="403"/>
      <c r="E34" s="403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6" t="s">
        <v>570</v>
      </c>
      <c r="F35" s="376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0" t="s">
        <v>633</v>
      </c>
      <c r="C37" s="381"/>
      <c r="D37" s="381"/>
      <c r="E37" s="381"/>
      <c r="F37" s="382"/>
      <c r="G37" s="42" t="s">
        <v>634</v>
      </c>
      <c r="H37" s="42"/>
    </row>
    <row r="38" spans="1:8" ht="20.100000000000001" customHeight="1" x14ac:dyDescent="0.35">
      <c r="A38" s="43"/>
      <c r="B38" s="367" t="s">
        <v>635</v>
      </c>
      <c r="C38" s="368"/>
      <c r="D38" s="368"/>
      <c r="E38" s="368"/>
      <c r="F38" s="369"/>
      <c r="G38" s="37" t="s">
        <v>636</v>
      </c>
      <c r="H38" s="35"/>
    </row>
    <row r="39" spans="1:8" ht="20.100000000000001" customHeight="1" x14ac:dyDescent="0.35">
      <c r="A39" s="43"/>
      <c r="B39" s="367" t="s">
        <v>637</v>
      </c>
      <c r="C39" s="368"/>
      <c r="D39" s="368"/>
      <c r="E39" s="368"/>
      <c r="F39" s="369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L3OuvmRCUsVHELFFPLzQGkjJE1fQxfkKVElMejISwsoyFsJsW+dpY5nzFIsR9dkfrWsXF8VP3ayRxyW34fD2kA==" saltValue="OrToaOe841Tsj2QcPfqu5g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2015-08-05T08:21:37Z</dcterms:modified>
</cp:coreProperties>
</file>