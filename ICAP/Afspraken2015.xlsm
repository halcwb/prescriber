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9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ber_PO" sheetId="12" state="veryHidden" r:id="rId26"/>
    <sheet name="TPN2tot6kg" sheetId="46" r:id="rId27"/>
    <sheet name="TPN7tot15kg" sheetId="54" r:id="rId28"/>
    <sheet name="TPN16tot30kg" sheetId="55" r:id="rId29"/>
    <sheet name="TPN31tot50kg" sheetId="56" r:id="rId30"/>
    <sheet name="TPNboven50kg" sheetId="60" r:id="rId31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8">TPN16tot30kg!$A$1:$H$48</definedName>
    <definedName name="_xlnm.Print_Area" localSheetId="26">TPN2tot6kg!$A$1:$H$48</definedName>
    <definedName name="_xlnm.Print_Area" localSheetId="29">TPN31tot50kg!$A$1:$H$49</definedName>
    <definedName name="_xlnm.Print_Area" localSheetId="27">TPN7tot15kg!$A$1:$H$50</definedName>
    <definedName name="_xlnm.Print_Area" localSheetId="30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BerPO">ber_PO!$B$2:$AF$10</definedName>
    <definedName name="tblBerPoeder">ber_PO!$AH$2:$AX$10</definedName>
    <definedName name="tblInfusen">ber_Infusen!$A$1:$A$34</definedName>
    <definedName name="tblMedicationContIV">tblMedicatieIV!$B$3:$S$33</definedName>
    <definedName name="tblOplossing">ber_IVmed!$Q$3:$Q$6</definedName>
    <definedName name="tblSSTGlucose">ber_TPN!$K$26:$K$39</definedName>
    <definedName name="tblTijden">ber_Med_disc!$C$28:$D$38</definedName>
    <definedName name="tblTPN">ber_TPN!$A$26:$I$27</definedName>
    <definedName name="tblVoedingPO">ber_PO!$A$22:$A$53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</definedNames>
  <calcPr calcId="152511"/>
</workbook>
</file>

<file path=xl/calcChain.xml><?xml version="1.0" encoding="utf-8"?>
<calcChain xmlns="http://schemas.openxmlformats.org/spreadsheetml/2006/main">
  <c r="B2" i="14" l="1"/>
  <c r="L4" i="7" l="1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1" i="71"/>
  <c r="L15" i="71"/>
  <c r="M15" i="71"/>
  <c r="N15" i="71"/>
  <c r="O15" i="71"/>
  <c r="J11" i="71"/>
  <c r="H11" i="71"/>
  <c r="F11" i="71"/>
  <c r="P15" i="71" l="1"/>
  <c r="Q15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1" i="71"/>
  <c r="O12" i="71"/>
  <c r="O13" i="71"/>
  <c r="O14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4" i="71"/>
  <c r="N5" i="71"/>
  <c r="N6" i="71"/>
  <c r="N7" i="71"/>
  <c r="N8" i="71"/>
  <c r="N9" i="71"/>
  <c r="N10" i="71"/>
  <c r="N11" i="71"/>
  <c r="N12" i="71"/>
  <c r="N13" i="71"/>
  <c r="N14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5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1" i="71"/>
  <c r="P11" i="71" s="1"/>
  <c r="D11" i="2" s="1"/>
  <c r="M11" i="71"/>
  <c r="Q11" i="71" s="1"/>
  <c r="E11" i="2" s="1"/>
  <c r="L12" i="71"/>
  <c r="P12" i="71" s="1"/>
  <c r="D12" i="2" s="1"/>
  <c r="M12" i="71"/>
  <c r="Q12" i="71" s="1"/>
  <c r="L13" i="71"/>
  <c r="P13" i="71" s="1"/>
  <c r="D13" i="2" s="1"/>
  <c r="M13" i="71"/>
  <c r="Q13" i="71" s="1"/>
  <c r="E13" i="2" s="1"/>
  <c r="L14" i="71"/>
  <c r="P14" i="71" s="1"/>
  <c r="D14" i="2" s="1"/>
  <c r="M14" i="71"/>
  <c r="Q14" i="71" s="1"/>
  <c r="E14" i="2" s="1"/>
  <c r="L16" i="71"/>
  <c r="P16" i="71" s="1"/>
  <c r="D15" i="2" s="1"/>
  <c r="M16" i="71"/>
  <c r="Q16" i="71" s="1"/>
  <c r="E15" i="2" s="1"/>
  <c r="L17" i="71"/>
  <c r="P17" i="71" s="1"/>
  <c r="D16" i="2" s="1"/>
  <c r="M17" i="71"/>
  <c r="Q17" i="71" s="1"/>
  <c r="E16" i="2" s="1"/>
  <c r="L18" i="71"/>
  <c r="P18" i="71" s="1"/>
  <c r="D17" i="2" s="1"/>
  <c r="M18" i="71"/>
  <c r="Q18" i="71" s="1"/>
  <c r="E17" i="2" s="1"/>
  <c r="L19" i="71"/>
  <c r="P19" i="71" s="1"/>
  <c r="M19" i="71"/>
  <c r="Q19" i="71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M4" i="71"/>
  <c r="Q4" i="71" s="1"/>
  <c r="L4" i="71"/>
  <c r="P4" i="71" s="1"/>
  <c r="J5" i="7" l="1"/>
  <c r="L5" i="7"/>
  <c r="D10" i="2"/>
  <c r="S22" i="71"/>
  <c r="E12" i="2"/>
  <c r="S12" i="71"/>
  <c r="S25" i="71"/>
  <c r="S21" i="71"/>
  <c r="S26" i="71"/>
  <c r="J3" i="7"/>
  <c r="K3" i="7"/>
  <c r="K4" i="7"/>
  <c r="J4" i="7"/>
  <c r="S6" i="71"/>
  <c r="E10" i="2"/>
  <c r="D8" i="2"/>
  <c r="E9" i="2"/>
  <c r="D9" i="2"/>
  <c r="S32" i="71"/>
  <c r="S4" i="71"/>
  <c r="E8" i="2"/>
  <c r="S28" i="71"/>
  <c r="S24" i="71"/>
  <c r="S20" i="71"/>
  <c r="S18" i="71"/>
  <c r="H17" i="2" s="1"/>
  <c r="S16" i="71"/>
  <c r="H15" i="2" s="1"/>
  <c r="S13" i="71"/>
  <c r="H13" i="2" s="1"/>
  <c r="S9" i="71"/>
  <c r="S7" i="71"/>
  <c r="S33" i="71"/>
  <c r="S31" i="71"/>
  <c r="S27" i="71"/>
  <c r="S23" i="71"/>
  <c r="S19" i="71"/>
  <c r="S17" i="71"/>
  <c r="H16" i="2" s="1"/>
  <c r="S14" i="71"/>
  <c r="H14" i="2" s="1"/>
  <c r="S10" i="71"/>
  <c r="S8" i="71"/>
  <c r="S30" i="71"/>
  <c r="S5" i="71"/>
  <c r="S29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4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H13" i="7" l="1"/>
  <c r="E19" i="2"/>
  <c r="H15" i="7"/>
  <c r="H14" i="7"/>
  <c r="J14" i="7" s="1"/>
  <c r="I10" i="25"/>
  <c r="AB13" i="2"/>
  <c r="H30" i="1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AB10" i="2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J24" i="12"/>
  <c r="J22" i="12"/>
  <c r="J28" i="12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F3" i="28"/>
  <c r="E3" i="28"/>
  <c r="AC21" i="34"/>
  <c r="C41" i="70" s="1"/>
  <c r="F20" i="11"/>
  <c r="I20" i="11" s="1"/>
  <c r="I21" i="2" l="1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4" i="9" s="1"/>
  <c r="D28" i="2" s="1"/>
  <c r="H104" i="15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D31" i="9"/>
  <c r="F31" i="9"/>
  <c r="D95" i="15"/>
  <c r="L95" i="15" s="1"/>
  <c r="C61" i="70"/>
  <c r="C15" i="10"/>
  <c r="C13" i="10" s="1"/>
  <c r="I32" i="9" s="1"/>
  <c r="B13" i="10"/>
  <c r="J103" i="15" l="1"/>
  <c r="C78" i="70" s="1"/>
  <c r="C59" i="70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<sst xmlns="http://schemas.openxmlformats.org/spreadsheetml/2006/main" count="2698" uniqueCount="1267">
  <si>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</si>
  <si>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</si>
  <si>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</si>
  <si>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</si>
  <si>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</si>
  <si>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</si>
  <si>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</si>
  <si>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</si>
  <si>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</si>
  <si>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</si>
  <si>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</si>
  <si>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</si>
  <si>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</si>
  <si>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</si>
  <si>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</si>
  <si>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</si>
  <si>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</si>
  <si>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</si>
  <si>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</si>
  <si>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</si>
  <si>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</si>
  <si>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</si>
  <si>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</si>
  <si>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</si>
  <si>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</si>
  <si>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</si>
  <si>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</si>
  <si>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</si>
  <si>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</si>
  <si>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</si>
  <si>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</si>
  <si>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</si>
  <si>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</si>
  <si>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</si>
  <si>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</si>
  <si>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</si>
  <si>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</si>
  <si>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</si>
  <si>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</si>
  <si>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</si>
  <si>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</si>
  <si>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</si>
  <si>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</si>
  <si>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</si>
  <si>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</si>
  <si>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</si>
  <si>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</si>
  <si>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</si>
  <si>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</si>
  <si>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</si>
  <si>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</si>
  <si>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</si>
  <si>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</si>
  <si>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</si>
  <si>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</si>
  <si>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</si>
  <si>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</si>
  <si>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</si>
  <si>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</si>
  <si>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</si>
  <si>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</si>
  <si>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</si>
  <si>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</si>
  <si>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</si>
  <si>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</si>
  <si>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</si>
  <si>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</si>
  <si>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</si>
  <si>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</si>
  <si>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</si>
  <si>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</si>
  <si>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</si>
  <si>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</si>
  <si>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</si>
  <si>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</si>
  <si>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</si>
  <si>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</si>
  <si>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</si>
  <si>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</si>
  <si>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</si>
  <si>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</si>
  <si>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</si>
  <si>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</si>
  <si>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</si>
  <si>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</si>
  <si>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</si>
  <si>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</si>
  <si>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</si>
  <si>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</si>
  <si>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</si>
  <si>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</si>
  <si>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</si>
  <si>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</si>
  <si>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</si>
  <si>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</si>
  <si>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</si>
  <si>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</si>
  <si>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</si>
  <si>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</si>
  <si>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</si>
  <si>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</si>
  <si>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</si>
  <si>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</si>
  <si>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</si>
  <si>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</si>
  <si>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</si>
  <si>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</si>
  <si>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</si>
  <si>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</si>
  <si>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</si>
  <si>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</si>
  <si>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</si>
  <si>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</si>
  <si>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</si>
  <si>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</si>
  <si>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</si>
  <si>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</si>
  <si>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</si>
  <si>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</si>
  <si>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</si>
  <si>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</si>
  <si>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</si>
  <si>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</si>
  <si>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</si>
  <si>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</si>
  <si>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</si>
  <si>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</si>
  <si>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</si>
  <si>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</si>
  <si>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</si>
  <si>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</si>
  <si>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</si>
  <si>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</si>
  <si>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</si>
  <si>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</si>
  <si>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</si>
  <si>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</si>
  <si>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</si>
  <si>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</si>
  <si>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</si>
  <si>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</si>
  <si>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</si>
  <si>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</si>
  <si>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</si>
  <si>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</si>
  <si>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</si>
  <si>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</si>
  <si>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</si>
  <si>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</si>
  <si>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</si>
  <si>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</si>
  <si>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</si>
  <si>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</si>
  <si>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</si>
  <si>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</si>
  <si>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</si>
  <si>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</si>
  <si>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</si>
  <si>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</si>
  <si>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</si>
  <si>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</si>
  <si>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</si>
  <si>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</si>
  <si>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</si>
  <si>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</si>
  <si>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</si>
  <si>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</si>
  <si>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</si>
  <si>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</si>
  <si>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</si>
  <si>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</si>
  <si>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</si>
  <si>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</si>
  <si>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</si>
  <si>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</si>
  <si>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</si>
  <si>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</si>
  <si>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</si>
  <si>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</si>
  <si>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</si>
  <si>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</si>
  <si>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</si>
  <si>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</si>
  <si>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</si>
  <si>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</si>
  <si>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</si>
  <si>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</si>
  <si>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</si>
  <si>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</si>
  <si>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</si>
  <si>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</si>
  <si>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</si>
  <si>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</si>
  <si>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</si>
  <si>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</si>
  <si>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</si>
  <si>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</si>
  <si>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</si>
  <si>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</si>
  <si>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</si>
  <si>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</si>
  <si>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</si>
  <si>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</si>
  <si>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</si>
  <si>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</si>
  <si>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</si>
  <si>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</si>
  <si>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</si>
  <si>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</si>
  <si>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</si>
  <si>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</si>
  <si>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</si>
  <si>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</si>
  <si>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</si>
  <si>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</si>
  <si>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</si>
  <si>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</si>
  <si>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</si>
  <si>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</si>
  <si>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</si>
  <si>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</si>
  <si>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</si>
  <si>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</si>
  <si>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</si>
  <si>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</si>
  <si>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</si>
  <si>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</si>
  <si>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</si>
  <si>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</si>
  <si>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</si>
  <si>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</si>
  <si>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</si>
  <si>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</si>
  <si>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</si>
  <si>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</si>
  <si>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</si>
  <si>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</si>
  <si>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</si>
  <si>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</si>
  <si>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</si>
  <si>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</si>
  <si>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</si>
  <si>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</si>
  <si>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</si>
  <si>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</si>
  <si>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</si>
  <si>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</si>
  <si>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</si>
  <si>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</si>
  <si>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</si>
  <si>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</si>
  <si>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</si>
  <si>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</si>
  <si>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</si>
  <si>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</si>
  <si>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</si>
  <si>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</si>
  <si>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</si>
  <si>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</si>
  <si>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</si>
  <si>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</si>
  <si>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</si>
  <si>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</si>
  <si>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</si>
  <si>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</si>
  <si>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</si>
  <si>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</si>
  <si>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</si>
  <si>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</si>
  <si>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</si>
  <si>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</si>
  <si>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</si>
  <si>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</si>
  <si>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</si>
  <si>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</si>
  <si>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</si>
  <si>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</si>
  <si>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</si>
  <si>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</si>
  <si>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</si>
  <si>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</si>
  <si>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</si>
  <si>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</si>
  <si>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</si>
  <si>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</si>
  <si>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</si>
  <si>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</si>
  <si>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</si>
  <si>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</si>
  <si>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</si>
  <si>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</si>
  <si>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</si>
  <si>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</si>
  <si>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</si>
  <si>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</si>
  <si>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</si>
  <si>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</si>
  <si>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</si>
  <si>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</si>
  <si>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</si>
  <si>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</si>
  <si>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</si>
  <si>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</si>
  <si>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</si>
  <si>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</si>
  <si>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</si>
  <si>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</si>
  <si>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</si>
  <si>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</si>
  <si>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</si>
  <si>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</si>
  <si>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</si>
  <si>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</si>
  <si>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</si>
  <si>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</si>
  <si>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</si>
  <si>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</si>
  <si>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</si>
  <si>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</si>
  <si>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</si>
  <si>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</si>
  <si>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</si>
  <si>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</si>
  <si>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</si>
  <si>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</si>
  <si>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</si>
  <si>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</si>
  <si>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</si>
  <si>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</si>
  <si>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</si>
  <si>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</si>
  <si>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</si>
  <si>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</si>
  <si>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</si>
  <si>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</si>
  <si>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</si>
  <si>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</si>
  <si>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</si>
  <si>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</si>
  <si>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</si>
  <si>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</si>
  <si>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</si>
  <si>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</si>
  <si>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</si>
  <si>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</si>
  <si>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</si>
  <si>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</si>
  <si>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</si>
  <si>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</si>
  <si>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</si>
  <si>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</si>
  <si>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</si>
  <si>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</si>
  <si>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</si>
  <si>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</si>
  <si>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</si>
  <si>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</si>
  <si>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</si>
  <si>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</si>
  <si>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</si>
  <si>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</si>
  <si>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</si>
  <si>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</si>
  <si>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</si>
  <si>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</si>
  <si>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</si>
  <si>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</si>
  <si>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</si>
  <si>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</si>
  <si>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</si>
  <si>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</si>
  <si>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</si>
  <si>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</si>
  <si>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</si>
  <si>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</si>
  <si>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</si>
  <si>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</si>
  <si>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</si>
  <si>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</si>
  <si>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</si>
  <si>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</si>
  <si>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</si>
  <si>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</si>
  <si>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</si>
  <si>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</si>
  <si>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</si>
  <si>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</si>
  <si>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</si>
  <si>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</si>
  <si>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</si>
  <si>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</si>
  <si>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</si>
  <si>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</si>
  <si>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</si>
  <si>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</si>
  <si>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</si>
  <si>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</si>
  <si>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</si>
  <si>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</si>
  <si>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</si>
  <si>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</si>
  <si>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</si>
  <si>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</si>
  <si>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</si>
  <si>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</si>
  <si>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</si>
  <si>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</si>
  <si>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</si>
  <si>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</si>
  <si>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</si>
  <si>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</si>
  <si>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</si>
  <si>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</si>
  <si>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</si>
  <si>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</si>
  <si>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</si>
  <si>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</si>
  <si>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</si>
  <si>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</si>
  <si>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</si>
  <si>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</si>
  <si>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</si>
  <si>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</si>
  <si>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</si>
  <si>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</si>
  <si>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</si>
  <si>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</si>
  <si>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</si>
  <si>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</si>
  <si>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</si>
  <si>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</si>
  <si>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</si>
  <si>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</si>
  <si>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</si>
  <si>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</si>
  <si>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</si>
  <si>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</si>
  <si>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</si>
  <si>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</si>
  <si>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</si>
  <si>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</si>
  <si>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</si>
  <si>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</si>
  <si>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</si>
  <si>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</si>
  <si>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</si>
  <si>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</si>
  <si>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</si>
  <si>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</si>
  <si>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</si>
  <si>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</si>
  <si>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</si>
  <si>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</si>
  <si>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</si>
  <si>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</si>
  <si>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</si>
  <si>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</si>
  <si>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</si>
  <si>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</si>
  <si>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</si>
  <si>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</si>
  <si>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</si>
  <si>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</si>
  <si>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</si>
  <si>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</si>
  <si>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</si>
  <si>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</si>
  <si>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</si>
  <si>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</si>
  <si>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</si>
  <si>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</si>
  <si>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</si>
  <si>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</si>
  <si>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</si>
  <si>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</si>
  <si>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</si>
  <si>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</si>
  <si>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</si>
  <si>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</si>
  <si>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</si>
  <si>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</si>
  <si>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</si>
  <si>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</si>
  <si>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</si>
  <si>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</si>
  <si>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</si>
  <si>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</si>
  <si>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</si>
  <si>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</si>
  <si>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</si>
  <si>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</si>
  <si>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</si>
  <si>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</si>
  <si>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</si>
  <si>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</si>
  <si>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</si>
  <si>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</si>
  <si>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</si>
  <si>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</si>
  <si>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</si>
  <si>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</si>
  <si>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</si>
  <si>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</si>
  <si>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</si>
  <si>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</si>
  <si>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</si>
  <si>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</si>
  <si>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</si>
  <si>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</si>
  <si>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</si>
  <si>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</si>
  <si>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</si>
  <si>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</si>
  <si>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</si>
  <si>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</si>
  <si>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</si>
  <si>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</si>
  <si>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</si>
  <si>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</si>
  <si>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</si>
  <si>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</si>
  <si>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</si>
  <si>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</si>
  <si>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</si>
  <si>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</si>
  <si>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</si>
  <si>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</si>
  <si>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</si>
  <si>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</si>
  <si>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</si>
  <si>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</si>
  <si>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</si>
  <si>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</si>
  <si>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</si>
  <si>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</si>
  <si>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</si>
  <si>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</si>
  <si>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</si>
  <si>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</si>
  <si>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</si>
  <si>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</si>
  <si>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</si>
  <si>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</si>
  <si>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</si>
  <si>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</si>
  <si>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</si>
  <si>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</si>
  <si>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</si>
  <si>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</si>
  <si>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</si>
  <si>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</si>
  <si>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</si>
  <si>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</si>
  <si>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</si>
  <si>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</si>
  <si>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</si>
  <si>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</si>
  <si>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</si>
  <si>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</si>
  <si>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</si>
  <si>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</si>
  <si>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</si>
  <si>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</si>
  <si>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</si>
  <si>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</si>
  <si>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</si>
  <si>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</si>
  <si>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</si>
  <si>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</si>
  <si>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</si>
  <si>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</si>
  <si>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</si>
  <si>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</si>
  <si>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</si>
  <si>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</si>
  <si>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</si>
  <si>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</si>
  <si>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</si>
  <si>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</si>
  <si>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</si>
  <si>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</si>
  <si>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</si>
  <si>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</si>
  <si>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</si>
  <si>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</si>
  <si>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</si>
  <si>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</si>
  <si>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</si>
  <si>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</si>
  <si>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</si>
  <si>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</si>
  <si>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</si>
  <si>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</si>
  <si>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</si>
  <si>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</si>
  <si>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</si>
  <si>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</si>
  <si>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</si>
  <si>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</si>
  <si>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</si>
  <si>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</si>
  <si>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</si>
  <si>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</si>
  <si>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</si>
  <si>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</si>
  <si>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</si>
  <si>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</si>
  <si>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</si>
  <si>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</si>
  <si>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</si>
  <si>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</si>
  <si>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</si>
  <si>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</si>
  <si>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</si>
  <si>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</si>
  <si>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</si>
  <si>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</si>
  <si>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</si>
  <si>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</si>
  <si>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</si>
  <si>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</si>
  <si>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</si>
  <si>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</si>
  <si>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</si>
  <si>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</si>
  <si>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</si>
  <si>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</si>
  <si>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</si>
  <si>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</si>
  <si>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</si>
  <si>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</si>
  <si>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</si>
  <si>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</si>
  <si>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</si>
  <si>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</si>
  <si>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</si>
  <si>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</si>
  <si>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</si>
  <si>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</si>
  <si>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</si>
  <si>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</si>
  <si>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</si>
  <si>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</si>
  <si>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</si>
  <si>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</si>
  <si>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</si>
  <si>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</si>
  <si>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</si>
  <si>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</si>
  <si>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</si>
  <si>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</si>
  <si>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</si>
  <si>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</si>
  <si>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</si>
  <si>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</si>
  <si>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</si>
  <si>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</si>
  <si>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</si>
  <si>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</si>
  <si>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</si>
  <si>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</si>
  <si>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</si>
  <si>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</si>
  <si>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</si>
  <si>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</si>
  <si>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</si>
  <si>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</si>
  <si>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</si>
  <si>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</si>
  <si>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</si>
  <si>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</si>
  <si>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</si>
  <si>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</si>
  <si>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</si>
  <si>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</si>
  <si>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</si>
  <si>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</si>
  <si>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</si>
  <si>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</si>
  <si>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</si>
  <si>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</si>
  <si>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</si>
  <si>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</si>
  <si>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</si>
  <si>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</si>
  <si>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</si>
  <si>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</si>
  <si>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</si>
  <si>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</si>
  <si>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</si>
  <si>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</si>
  <si>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</si>
  <si>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</si>
  <si>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</si>
  <si>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</si>
  <si>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</si>
  <si>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</si>
  <si>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</si>
  <si>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</si>
  <si>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</si>
  <si>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</si>
  <si>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</si>
  <si>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</si>
  <si>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</si>
  <si>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</si>
  <si>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</si>
  <si>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</si>
  <si>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</si>
  <si>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</si>
  <si>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</si>
  <si>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</si>
  <si>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</si>
  <si>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</si>
  <si>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</si>
  <si>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</si>
  <si>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</si>
  <si>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</si>
  <si>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</si>
  <si>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</si>
  <si>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</si>
  <si>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</si>
  <si>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</si>
  <si>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</si>
  <si>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</si>
  <si>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</si>
  <si>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</si>
  <si>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</si>
  <si>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</si>
  <si>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</si>
  <si>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</si>
  <si>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</si>
  <si>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</si>
  <si>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</si>
  <si>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</si>
  <si>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</si>
  <si>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</si>
  <si>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</si>
  <si>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</si>
  <si>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</si>
  <si>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</si>
  <si>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</si>
  <si>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</si>
  <si>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</si>
  <si>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</si>
  <si>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</si>
  <si>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</si>
  <si>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</si>
  <si>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</si>
  <si>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</si>
  <si>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</si>
  <si>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</si>
  <si>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</si>
  <si>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</si>
  <si>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</si>
  <si>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</si>
  <si>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</si>
  <si>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</si>
  <si>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</si>
  <si>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</si>
  <si>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</si>
  <si>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</si>
  <si>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</si>
  <si>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</si>
  <si>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</si>
  <si>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</si>
  <si>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</si>
  <si>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</si>
  <si>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</si>
  <si>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</si>
  <si>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</si>
  <si>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</si>
  <si>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</si>
  <si>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</si>
  <si>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</si>
  <si>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</si>
  <si>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</si>
  <si>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</si>
  <si>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</si>
  <si>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</si>
  <si>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</si>
  <si>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</si>
  <si>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</si>
  <si>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</si>
  <si>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</si>
  <si>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</si>
  <si>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</si>
  <si>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</si>
  <si>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</si>
  <si>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</si>
  <si>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</si>
  <si>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</si>
  <si>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</si>
  <si>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</si>
  <si>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</si>
  <si>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</si>
  <si>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</si>
  <si>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</si>
  <si>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</si>
  <si>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</si>
  <si>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</si>
  <si>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</si>
  <si>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</si>
  <si>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</si>
  <si>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</si>
  <si>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</si>
  <si>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</si>
  <si>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</si>
  <si>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</si>
  <si>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</si>
  <si>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</si>
  <si>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</si>
  <si>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</si>
  <si>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</si>
  <si>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</si>
  <si>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</si>
  <si>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</si>
  <si>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</si>
  <si>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</si>
  <si>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</si>
  <si>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</si>
  <si>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</si>
  <si>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</si>
  <si>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</si>
  <si>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</si>
  <si>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</si>
  <si>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</si>
  <si>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</si>
  <si>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</si>
  <si>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</si>
  <si>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</si>
  <si>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</si>
  <si>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</si>
  <si>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</si>
  <si>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</si>
  <si>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</si>
  <si>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</si>
  <si>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</si>
  <si>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</si>
  <si>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</si>
  <si>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</si>
  <si>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</si>
  <si>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</si>
  <si>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</si>
  <si>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</si>
  <si>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</si>
  <si>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</si>
  <si>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</si>
  <si>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</si>
  <si>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</si>
  <si>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</si>
  <si>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</si>
  <si>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</si>
  <si>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</si>
  <si>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</si>
  <si>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</si>
  <si>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</si>
  <si>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</si>
  <si>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</si>
  <si>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</si>
  <si>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</si>
  <si>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</si>
  <si>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</si>
  <si>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</si>
  <si>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</si>
  <si>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</si>
  <si>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</si>
  <si>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</si>
  <si>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</si>
  <si>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</si>
  <si>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</si>
  <si>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</si>
  <si>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</si>
  <si>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</si>
  <si>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</si>
  <si>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</si>
  <si>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</si>
  <si>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</si>
  <si>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</si>
  <si>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</si>
  <si>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</si>
  <si>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</si>
  <si>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</si>
  <si>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</si>
  <si>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</si>
  <si>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</si>
  <si>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</si>
  <si>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</si>
  <si>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</si>
  <si>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</si>
  <si>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</si>
  <si>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</si>
  <si>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</si>
  <si>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</si>
  <si>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</si>
  <si>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</si>
  <si>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</si>
  <si>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</si>
  <si>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</si>
  <si>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</si>
  <si>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</si>
  <si>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</si>
  <si>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</si>
  <si>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</si>
  <si>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</si>
  <si>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</si>
  <si>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</si>
  <si>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</si>
  <si>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</si>
  <si>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</si>
  <si>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</si>
  <si>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</si>
  <si>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</si>
  <si>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</si>
  <si>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</si>
  <si>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</si>
  <si>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</si>
  <si>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</si>
  <si>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</si>
  <si>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</si>
  <si>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</si>
  <si>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</si>
  <si>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</si>
  <si>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</si>
  <si>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</si>
  <si>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</si>
  <si>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</si>
  <si>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</si>
  <si>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</si>
  <si>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</si>
  <si>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</si>
  <si>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</si>
  <si>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</si>
  <si>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</si>
  <si>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</si>
  <si>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</si>
  <si>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</si>
  <si>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</si>
  <si>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</si>
  <si>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</si>
  <si>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</si>
  <si>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</si>
  <si>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</si>
  <si>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</si>
  <si>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</si>
  <si>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</si>
  <si>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</si>
  <si>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</si>
  <si>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</si>
  <si>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</si>
  <si>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</si>
  <si>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</si>
  <si>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</si>
  <si>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</si>
  <si>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</si>
  <si>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</si>
  <si>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</si>
  <si>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</si>
  <si>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</si>
  <si>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</si>
  <si>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</si>
  <si>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</si>
  <si>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</si>
  <si>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</si>
  <si>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</si>
  <si>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</si>
  <si>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</si>
  <si>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</si>
  <si>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</si>
  <si>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</si>
  <si>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</si>
  <si>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</si>
  <si>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</si>
  <si>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</si>
  <si>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</si>
  <si>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</si>
  <si>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</si>
  <si>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</si>
  <si>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</si>
  <si>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</si>
  <si>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</si>
  <si>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</si>
  <si>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</si>
  <si>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</si>
  <si>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</si>
  <si>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</si>
  <si>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</si>
  <si>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</si>
  <si>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</si>
  <si>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</si>
  <si>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</si>
  <si>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</si>
  <si>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</si>
  <si>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</si>
  <si>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</si>
  <si>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</si>
  <si>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</si>
  <si>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</si>
  <si>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</si>
  <si>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</si>
  <si>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</si>
  <si>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</si>
  <si>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</si>
  <si>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</si>
  <si>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</si>
  <si>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</si>
  <si>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</si>
  <si>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</si>
  <si>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</si>
  <si>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</si>
  <si>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</si>
  <si>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</si>
  <si>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</si>
  <si>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</si>
  <si>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</si>
  <si>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</si>
  <si>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</si>
  <si>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</si>
  <si>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</si>
  <si>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</si>
  <si>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</si>
  <si>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</si>
  <si>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</si>
  <si>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</si>
  <si>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</si>
  <si>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</si>
  <si>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</si>
  <si>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</si>
  <si>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</si>
  <si>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</si>
  <si>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</si>
  <si>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</si>
  <si>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</si>
  <si>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</si>
  <si>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</si>
  <si>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</si>
  <si>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</si>
  <si>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</si>
  <si>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</si>
  <si>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</si>
  <si>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</si>
  <si>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</si>
  <si>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</si>
  <si>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</si>
  <si>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</si>
  <si>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</si>
  <si>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</si>
  <si>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</si>
  <si>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</si>
  <si>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</si>
  <si>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</si>
  <si>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</si>
  <si>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</si>
  <si>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</si>
  <si>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</si>
  <si>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</si>
  <si>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</si>
  <si>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</si>
  <si>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</si>
  <si>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</si>
  <si>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</si>
  <si>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</si>
  <si>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</si>
  <si>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</si>
  <si>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</si>
  <si>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</si>
  <si>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</si>
  <si>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</si>
  <si>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</si>
  <si>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</si>
  <si>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</si>
  <si>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</si>
  <si>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</si>
  <si>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</si>
  <si>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</si>
  <si>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</si>
  <si>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</si>
  <si>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</si>
  <si>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</si>
  <si>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</si>
  <si>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</si>
  <si>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</si>
  <si>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</si>
  <si>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</si>
  <si>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</si>
  <si>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</si>
  <si>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</si>
  <si>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</si>
  <si>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</si>
  <si>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</si>
  <si>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</si>
  <si>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</si>
  <si>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</si>
  <si>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</si>
  <si>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</si>
  <si>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</si>
  <si>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</si>
  <si>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</si>
  <si>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</si>
  <si>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</si>
  <si>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</si>
  <si>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</si>
  <si>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</si>
  <si>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</si>
  <si>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</si>
  <si>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</si>
  <si>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</si>
  <si>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</si>
  <si>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</si>
  <si>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</si>
  <si>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</si>
  <si>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</si>
  <si>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</si>
  <si>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</si>
  <si>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</si>
  <si>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</si>
  <si>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</si>
  <si>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</si>
  <si>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</si>
  <si>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</si>
  <si>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</si>
  <si>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</si>
  <si>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</si>
  <si>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</si>
  <si>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</si>
  <si>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</si>
  <si>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</si>
  <si>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</si>
  <si>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</si>
  <si>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</si>
  <si>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</si>
  <si>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</si>
  <si>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</si>
  <si>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</si>
  <si>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</si>
  <si>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</si>
  <si>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</si>
  <si>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</si>
  <si>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</si>
  <si>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</si>
  <si>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</si>
  <si>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</si>
  <si>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</si>
  <si>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</si>
  <si>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</si>
  <si>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</si>
  <si>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</si>
  <si>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</si>
  <si>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</si>
  <si>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</si>
  <si>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</si>
  <si>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</si>
  <si>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</si>
  <si>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</si>
  <si>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</si>
  <si>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</si>
  <si>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</si>
  <si>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</si>
  <si>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</si>
  <si>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</si>
  <si>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</si>
  <si>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</si>
  <si>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</si>
  <si>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</si>
  <si>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</si>
  <si>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</si>
  <si>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</si>
  <si>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</si>
  <si>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</si>
  <si>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</si>
  <si>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</si>
  <si>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</si>
  <si>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</si>
  <si>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</si>
  <si>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</si>
  <si>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</si>
  <si>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</si>
  <si>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</si>
  <si>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</si>
  <si>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</si>
  <si>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</si>
  <si>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</si>
  <si>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</si>
  <si>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</si>
  <si>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</si>
  <si>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</si>
  <si>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</si>
  <si>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</si>
  <si>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</si>
  <si>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</si>
  <si>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</si>
  <si>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</si>
  <si>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</si>
  <si>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</si>
  <si>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</si>
  <si>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</si>
  <si>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</si>
  <si>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</si>
  <si>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</si>
  <si>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</si>
  <si>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</si>
  <si>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</si>
  <si>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</si>
  <si>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</si>
  <si>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</si>
  <si>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</si>
  <si>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</si>
  <si>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</si>
  <si>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</si>
  <si>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</si>
  <si>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</si>
  <si>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</si>
  <si>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</si>
  <si>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</si>
  <si>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</si>
  <si>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</si>
  <si>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</si>
  <si>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</si>
  <si>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</si>
  <si>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</si>
  <si>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</si>
  <si>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</si>
  <si>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</si>
  <si>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</si>
  <si>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</si>
  <si>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</si>
  <si>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</si>
  <si>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</si>
  <si>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</si>
  <si>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</si>
  <si>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</si>
  <si>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</si>
  <si>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</si>
  <si>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</si>
  <si>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</si>
  <si>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</si>
  <si>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</si>
  <si>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</si>
  <si>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epiduraal WKZ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</si>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</sst>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6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4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8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9" xfId="0" applyFont="1" applyFill="1" applyBorder="1"/>
    <xf numFmtId="0" fontId="6" fillId="0" borderId="49" xfId="0" applyFont="1" applyFill="1" applyBorder="1" applyAlignment="1">
      <alignment horizontal="center"/>
    </xf>
    <xf numFmtId="0" fontId="17" fillId="0" borderId="49" xfId="0" applyFont="1" applyFill="1" applyBorder="1"/>
    <xf numFmtId="0" fontId="22" fillId="0" borderId="49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0" xfId="0" applyNumberFormat="1" applyBorder="1" applyAlignment="1"/>
    <xf numFmtId="15" fontId="0" fillId="0" borderId="50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2" xfId="0" applyFont="1" applyBorder="1" applyAlignment="1">
      <alignment vertical="top" wrapText="1"/>
    </xf>
    <xf numFmtId="0" fontId="22" fillId="0" borderId="5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5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2" xfId="0" applyFont="1" applyBorder="1" applyAlignment="1">
      <alignment vertical="top" wrapText="1"/>
    </xf>
    <xf numFmtId="0" fontId="14" fillId="0" borderId="53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attachedToolbars" Target="attachedToolbars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23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L$22" max="24" min="1" page="10"/>
</file>

<file path=xl/ctrlProps/ctrlProp200.xml><?xml version="1.0" encoding="utf-8"?>
<formControlPr xmlns="http://schemas.microsoft.com/office/spreadsheetml/2009/9/main" objectType="Spin" dx="15" fmlaLink="ber_PO!$M$22" max="10000" min="1" page="10"/>
</file>

<file path=xl/ctrlProps/ctrlProp201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A$1" fmlaRange="tblSonde" sel="0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L$23" max="12" min="1" page="10"/>
</file>

<file path=xl/ctrlProps/ctrlProp223.xml><?xml version="1.0" encoding="utf-8"?>
<formControlPr xmlns="http://schemas.microsoft.com/office/spreadsheetml/2009/9/main" objectType="Spin" dx="15" fmlaLink="ber_PO!$M$23" max="100" page="10" val="0"/>
</file>

<file path=xl/ctrlProps/ctrlProp224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L$24" max="12" min="1" page="10"/>
</file>

<file path=xl/ctrlProps/ctrlProp227.xml><?xml version="1.0" encoding="utf-8"?>
<formControlPr xmlns="http://schemas.microsoft.com/office/spreadsheetml/2009/9/main" objectType="Spin" dx="15" fmlaLink="ber_PO!$M$24" max="100" page="10" val="0"/>
</file>

<file path=xl/ctrlProps/ctrlProp228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229.xml><?xml version="1.0" encoding="utf-8"?>
<formControlPr xmlns="http://schemas.microsoft.com/office/spreadsheetml/2009/9/main" objectType="Spin" dx="15" fmlaLink="ber_PO!$L$25" max="12" min="1" page="10"/>
</file>

<file path=xl/ctrlProps/ctrlProp230.xml><?xml version="1.0" encoding="utf-8"?>
<formControlPr xmlns="http://schemas.microsoft.com/office/spreadsheetml/2009/9/main" objectType="Spin" dx="15" fmlaLink="ber_PO!$M$25" max="100" page="10" val="0"/>
</file>

<file path=xl/ctrlProps/ctrlProp231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77</v>
      </c>
      <c r="B1" t="s">
        <v>79</v>
      </c>
      <c r="C1" t="s">
        <v>80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77</v>
      </c>
      <c r="B1" s="27" t="s">
        <v>77</v>
      </c>
      <c r="C1" s="27" t="s">
        <v>78</v>
      </c>
      <c r="I1" t="s">
        <v>79</v>
      </c>
      <c r="P1" t="s">
        <v>80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1174</v>
      </c>
      <c r="D4" s="218" t="s">
        <v>1175</v>
      </c>
      <c r="E4" s="218" t="s">
        <v>786</v>
      </c>
      <c r="F4" s="218" t="s">
        <v>377</v>
      </c>
      <c r="G4" s="218" t="s">
        <v>165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6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865</v>
      </c>
      <c r="C7" s="224" t="s">
        <v>166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7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167</v>
      </c>
      <c r="D8" s="65" t="str">
        <f>IF(ROUND((E5)*4,0)&gt;150,150,VLOOKUP(ROUND(E5*4,0),S2:T362,2))&amp;" Joules Asynchroon"</f>
        <v>50 Joules Asynchroon</v>
      </c>
      <c r="E8" s="64"/>
      <c r="F8" s="64"/>
      <c r="G8" s="308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358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8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168</v>
      </c>
      <c r="D10" s="65" t="str">
        <f>ROUND(IF(E5&gt;50,50,0.5*E5),0)&amp;" ml iv"</f>
        <v>5 ml iv</v>
      </c>
      <c r="E10" s="64"/>
      <c r="F10" s="64"/>
      <c r="G10" s="308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556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8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169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9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8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1027</v>
      </c>
      <c r="C14" s="224" t="s">
        <v>880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7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783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8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881</v>
      </c>
      <c r="D16" s="65" t="str">
        <f>IF(ROUND(0.02*(E5),1)&lt;0.1,"0,1 mg iv",IF(ROUND(0.02*(E5),1)&gt;0.5,"0,5 mg iv",ROUND(0.02*(E5),1)&amp;" mg iv"))</f>
        <v>0,2 mg iv</v>
      </c>
      <c r="E16" s="339" t="str">
        <f>"= "&amp;IF(ROUND(0.02*(E5),1)&lt;0.1,0.1,IF(ROUND(0.02*(E5),1)&gt;0.5,0.5,ROUND(0.02*(E5),1)))*2&amp;" ml van 0,5 mg/ml (min 0,1 mg)"</f>
        <v>= 0,4 ml van 0,5 mg/ml (min 0,1 mg)</v>
      </c>
      <c r="F16" s="339"/>
      <c r="G16" s="308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0"/>
      <c r="F17" s="340"/>
      <c r="G17" s="309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8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776</v>
      </c>
      <c r="C19" s="224" t="s">
        <v>278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7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882</v>
      </c>
      <c r="D20" s="65" t="str">
        <f>IF(0.01*E5&gt;0.4,"0,4 mg iv",0.01*E5&amp;" mg iv")</f>
        <v>0,1 mg iv</v>
      </c>
      <c r="E20" s="339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39"/>
      <c r="G20" s="308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0"/>
      <c r="F21" s="340"/>
      <c r="G21" s="309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8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777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7" t="s">
        <v>870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319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8" t="s">
        <v>911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320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9" t="s">
        <v>1096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8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7" t="s">
        <v>778</v>
      </c>
      <c r="C27" s="224" t="s">
        <v>1188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7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8"/>
      <c r="C28" s="227" t="s">
        <v>864</v>
      </c>
      <c r="D28" s="228" t="str">
        <f>IF(E5/10&gt;10,"10 ml iv",E5/10 &amp;" ml iv")</f>
        <v>1 ml iv</v>
      </c>
      <c r="E28" s="229" t="s">
        <v>630</v>
      </c>
      <c r="F28" s="229"/>
      <c r="G28" s="309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8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6" t="s">
        <v>272</v>
      </c>
      <c r="C30" s="224" t="s">
        <v>321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7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6"/>
      <c r="C31" s="208" t="s">
        <v>782</v>
      </c>
      <c r="D31" s="65" t="str">
        <f>IF((20*E5)&gt;1500,"1500 mg iv",20*E5&amp;" mg iv")</f>
        <v>200 mg iv</v>
      </c>
      <c r="E31" s="33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39"/>
      <c r="G31" s="310" t="s">
        <v>93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39"/>
      <c r="F32" s="339"/>
      <c r="G32" s="308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973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1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2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273</v>
      </c>
      <c r="C35" s="224" t="s">
        <v>1140</v>
      </c>
      <c r="D35" s="225" t="str">
        <f>IF(1*(E5&gt;25),"25 mg iv",1*(E5)&amp;" mg iv")</f>
        <v>10 mg iv</v>
      </c>
      <c r="E35" s="226"/>
      <c r="F35" s="226"/>
      <c r="G35" s="307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322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9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3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323</v>
      </c>
      <c r="C38" s="306" t="s">
        <v>837</v>
      </c>
      <c r="D38" s="225" t="str">
        <f ca="1">"AMV "&amp;ROUND(E5*8*VLOOKUP(C5,L2:M20,2)/1000,1)&amp;" L/min"</f>
        <v>AMV 2 L/min</v>
      </c>
      <c r="E38" s="226"/>
      <c r="F38" s="225" t="s">
        <v>324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325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1189</v>
      </c>
      <c r="E40" s="64"/>
      <c r="F40" s="65" t="s">
        <v>1169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1170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264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gAIZFjvAjeLIHrMkXpGsRmQT5o4IqTkT1nt0IbhcnXgeUzAi2YR+U0bDfcFMV7FUF/6Xkjo+/pI1hL7lMz898g==" saltValue="ZsVqPeC/EV1kmSoq81V+p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657</v>
      </c>
      <c r="B1" t="s">
        <v>268</v>
      </c>
      <c r="C1" t="s">
        <v>658</v>
      </c>
    </row>
    <row r="2" spans="1:3" x14ac:dyDescent="0.35">
      <c r="A2" t="s">
        <v>659</v>
      </c>
      <c r="B2" t="s">
        <v>323</v>
      </c>
    </row>
    <row r="3" spans="1:3" x14ac:dyDescent="0.35">
      <c r="A3" t="s">
        <v>659</v>
      </c>
      <c r="B3" t="s">
        <v>330</v>
      </c>
    </row>
    <row r="4" spans="1:3" x14ac:dyDescent="0.35">
      <c r="A4" t="s">
        <v>659</v>
      </c>
      <c r="B4" t="s">
        <v>189</v>
      </c>
    </row>
    <row r="5" spans="1:3" x14ac:dyDescent="0.35">
      <c r="A5" t="s">
        <v>659</v>
      </c>
      <c r="B5" t="s">
        <v>190</v>
      </c>
    </row>
    <row r="6" spans="1:3" x14ac:dyDescent="0.35">
      <c r="A6" t="s">
        <v>659</v>
      </c>
      <c r="B6" t="s">
        <v>191</v>
      </c>
    </row>
    <row r="7" spans="1:3" x14ac:dyDescent="0.35">
      <c r="A7" t="s">
        <v>659</v>
      </c>
      <c r="B7" t="s">
        <v>192</v>
      </c>
    </row>
    <row r="8" spans="1:3" x14ac:dyDescent="0.35">
      <c r="A8" t="s">
        <v>659</v>
      </c>
      <c r="B8" t="s">
        <v>193</v>
      </c>
    </row>
    <row r="9" spans="1:3" x14ac:dyDescent="0.35">
      <c r="A9" t="s">
        <v>659</v>
      </c>
      <c r="B9" t="s">
        <v>194</v>
      </c>
    </row>
    <row r="10" spans="1:3" x14ac:dyDescent="0.35">
      <c r="A10" t="s">
        <v>659</v>
      </c>
      <c r="B10" t="s">
        <v>353</v>
      </c>
      <c r="C10" s="27"/>
    </row>
    <row r="11" spans="1:3" x14ac:dyDescent="0.35">
      <c r="A11" t="s">
        <v>659</v>
      </c>
      <c r="B11" t="s">
        <v>423</v>
      </c>
      <c r="C11" s="27"/>
    </row>
    <row r="12" spans="1:3" x14ac:dyDescent="0.35">
      <c r="A12" t="s">
        <v>659</v>
      </c>
      <c r="B12" t="s">
        <v>424</v>
      </c>
    </row>
    <row r="13" spans="1:3" x14ac:dyDescent="0.35">
      <c r="A13" t="s">
        <v>659</v>
      </c>
      <c r="B13" t="s">
        <v>425</v>
      </c>
    </row>
    <row r="14" spans="1:3" x14ac:dyDescent="0.35">
      <c r="A14" t="s">
        <v>659</v>
      </c>
      <c r="B14" t="s">
        <v>426</v>
      </c>
    </row>
    <row r="15" spans="1:3" x14ac:dyDescent="0.35">
      <c r="A15" t="s">
        <v>659</v>
      </c>
      <c r="B15" t="s">
        <v>427</v>
      </c>
    </row>
    <row r="16" spans="1:3" x14ac:dyDescent="0.35">
      <c r="A16" t="s">
        <v>338</v>
      </c>
      <c r="B16" t="s">
        <v>339</v>
      </c>
    </row>
    <row r="17" spans="1:2" x14ac:dyDescent="0.35">
      <c r="A17" t="s">
        <v>338</v>
      </c>
      <c r="B17" t="s">
        <v>339</v>
      </c>
    </row>
    <row r="18" spans="1:2" x14ac:dyDescent="0.35">
      <c r="A18" t="s">
        <v>338</v>
      </c>
      <c r="B18" t="s">
        <v>339</v>
      </c>
    </row>
    <row r="19" spans="1:2" x14ac:dyDescent="0.35">
      <c r="A19" t="s">
        <v>338</v>
      </c>
      <c r="B19" t="s">
        <v>339</v>
      </c>
    </row>
    <row r="20" spans="1:2" x14ac:dyDescent="0.35">
      <c r="A20" t="s">
        <v>338</v>
      </c>
      <c r="B20" t="s">
        <v>339</v>
      </c>
    </row>
    <row r="21" spans="1:2" x14ac:dyDescent="0.35">
      <c r="A21" t="s">
        <v>338</v>
      </c>
      <c r="B21" t="s">
        <v>339</v>
      </c>
    </row>
    <row r="22" spans="1:2" x14ac:dyDescent="0.35">
      <c r="A22" t="s">
        <v>338</v>
      </c>
      <c r="B22" t="s">
        <v>339</v>
      </c>
    </row>
    <row r="23" spans="1:2" x14ac:dyDescent="0.35">
      <c r="A23" t="s">
        <v>338</v>
      </c>
      <c r="B23" t="s">
        <v>339</v>
      </c>
    </row>
    <row r="24" spans="1:2" x14ac:dyDescent="0.35">
      <c r="A24" t="s">
        <v>338</v>
      </c>
      <c r="B24" t="s">
        <v>339</v>
      </c>
    </row>
    <row r="25" spans="1:2" x14ac:dyDescent="0.35">
      <c r="A25" t="s">
        <v>338</v>
      </c>
      <c r="B25" t="s">
        <v>339</v>
      </c>
    </row>
    <row r="26" spans="1:2" x14ac:dyDescent="0.35">
      <c r="A26" t="s">
        <v>338</v>
      </c>
      <c r="B26" t="s">
        <v>339</v>
      </c>
    </row>
    <row r="27" spans="1:2" x14ac:dyDescent="0.35">
      <c r="A27" t="s">
        <v>338</v>
      </c>
      <c r="B27" t="s">
        <v>339</v>
      </c>
    </row>
    <row r="28" spans="1:2" x14ac:dyDescent="0.35">
      <c r="A28" t="s">
        <v>338</v>
      </c>
      <c r="B28" t="s">
        <v>339</v>
      </c>
    </row>
    <row r="29" spans="1:2" x14ac:dyDescent="0.35">
      <c r="A29" t="s">
        <v>338</v>
      </c>
      <c r="B29" t="s">
        <v>339</v>
      </c>
    </row>
    <row r="30" spans="1:2" x14ac:dyDescent="0.35">
      <c r="A30" t="s">
        <v>338</v>
      </c>
      <c r="B30" t="s">
        <v>339</v>
      </c>
    </row>
    <row r="31" spans="1:2" x14ac:dyDescent="0.35">
      <c r="A31" t="s">
        <v>338</v>
      </c>
      <c r="B31" t="s">
        <v>339</v>
      </c>
    </row>
    <row r="32" spans="1:2" x14ac:dyDescent="0.35">
      <c r="A32" t="s">
        <v>338</v>
      </c>
      <c r="B32" t="s">
        <v>339</v>
      </c>
    </row>
    <row r="33" spans="1:2" x14ac:dyDescent="0.35">
      <c r="A33" t="s">
        <v>338</v>
      </c>
      <c r="B33" t="s">
        <v>339</v>
      </c>
    </row>
    <row r="34" spans="1:2" x14ac:dyDescent="0.35">
      <c r="A34" t="s">
        <v>338</v>
      </c>
      <c r="B34" t="s">
        <v>339</v>
      </c>
    </row>
    <row r="35" spans="1:2" x14ac:dyDescent="0.35">
      <c r="A35" t="s">
        <v>338</v>
      </c>
      <c r="B35" t="s">
        <v>339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1224</v>
      </c>
      <c r="D2" s="46">
        <f ca="1">TODAY()</f>
        <v>42195</v>
      </c>
      <c r="E2" s="70" t="s">
        <v>1225</v>
      </c>
      <c r="F2" s="346" t="str">
        <f>_AchterNaam&amp;", "&amp;_VoorNaam</f>
        <v>Achternaam, Voornaam</v>
      </c>
      <c r="G2" s="346"/>
      <c r="H2" s="71" t="s">
        <v>786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570</v>
      </c>
      <c r="D3" s="49">
        <f ca="1">AfspraakDatum-OpnDatum+1</f>
        <v>833</v>
      </c>
      <c r="E3" s="70" t="s">
        <v>1223</v>
      </c>
      <c r="F3" s="50">
        <f>GebDatum</f>
        <v>40909</v>
      </c>
      <c r="G3" s="47"/>
      <c r="H3" s="71" t="s">
        <v>377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378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641</v>
      </c>
      <c r="D6" s="71"/>
      <c r="E6" s="48" t="e">
        <f>INDEX(tblSonde,ber_PO!A1,1)</f>
        <v>#NAME?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"&amp;INDEX(ber_PO!B22:B39,KeuzePO_2,1),"")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IF(ber_PO!P24&gt;1,"met "&amp;Intake!C10&amp;" "&amp;Intake!D10&amp;" "&amp;INDEX(ber_PO!B22:B33,KeuzePO_3,1),"")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IF(ber_PO!P25&gt;1,"met "&amp;Intake!C11&amp;" "&amp;Intake!D11&amp;" "&amp;INDEX(ber_PO!B22:B33,KeuzePO_4,1),"")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818</v>
      </c>
      <c r="D11" s="349">
        <f>ber_Opm!C15</f>
        <v>0</v>
      </c>
      <c r="E11" s="350"/>
      <c r="F11" s="350"/>
      <c r="G11" s="350"/>
      <c r="H11" s="350"/>
      <c r="I11" s="350"/>
      <c r="J11" s="350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353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1025</v>
      </c>
      <c r="D14" s="353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4"/>
      <c r="F14" s="354"/>
      <c r="G14" s="354"/>
      <c r="H14" s="354"/>
      <c r="I14" s="354"/>
      <c r="J14" s="354"/>
      <c r="L14" s="87"/>
    </row>
    <row r="15" spans="1:12" ht="12.65" customHeight="1" x14ac:dyDescent="0.35">
      <c r="B15" s="71"/>
      <c r="C15" s="71" t="s">
        <v>1212</v>
      </c>
      <c r="D15" s="347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8"/>
      <c r="F15" s="348"/>
      <c r="G15" s="348"/>
      <c r="H15" s="348"/>
      <c r="I15" s="348"/>
      <c r="J15" s="348"/>
      <c r="L15" s="87"/>
    </row>
    <row r="16" spans="1:12" ht="12.65" customHeight="1" x14ac:dyDescent="0.35">
      <c r="B16" s="71"/>
      <c r="C16" s="71" t="s">
        <v>1213</v>
      </c>
      <c r="D16" s="347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5"/>
      <c r="F16" s="355"/>
      <c r="G16" s="355"/>
      <c r="H16" s="355"/>
      <c r="I16" s="355"/>
      <c r="J16" s="355"/>
      <c r="L16" s="87"/>
    </row>
    <row r="17" spans="1:12" ht="12.65" customHeight="1" x14ac:dyDescent="0.35">
      <c r="B17" s="71"/>
      <c r="C17" s="71" t="s">
        <v>413</v>
      </c>
      <c r="D17" s="347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5"/>
      <c r="F17" s="355"/>
      <c r="G17" s="355"/>
      <c r="H17" s="355"/>
      <c r="I17" s="355"/>
      <c r="J17" s="355"/>
      <c r="L17" s="87"/>
    </row>
    <row r="18" spans="1:12" ht="12.65" customHeight="1" x14ac:dyDescent="0.35">
      <c r="B18" s="71"/>
      <c r="C18" s="76" t="s">
        <v>63</v>
      </c>
      <c r="D18" s="347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6"/>
      <c r="F18" s="356"/>
      <c r="G18" s="356"/>
      <c r="H18" s="356"/>
      <c r="I18" s="356"/>
      <c r="J18" s="356"/>
      <c r="L18" s="87"/>
    </row>
    <row r="19" spans="1:12" ht="12.65" customHeight="1" x14ac:dyDescent="0.35">
      <c r="B19" s="71"/>
      <c r="C19" s="76" t="s">
        <v>818</v>
      </c>
      <c r="D19" s="341">
        <f>ber_Opm!C10</f>
        <v>0</v>
      </c>
      <c r="E19" s="342"/>
      <c r="F19" s="342"/>
      <c r="G19" s="342"/>
      <c r="H19" s="342"/>
      <c r="I19" s="342"/>
      <c r="J19" s="342"/>
      <c r="L19" s="87"/>
    </row>
    <row r="20" spans="1:12" ht="12.65" customHeight="1" x14ac:dyDescent="0.35">
      <c r="A20" s="55"/>
      <c r="B20" s="73"/>
      <c r="C20" s="75"/>
      <c r="D20" s="343"/>
      <c r="E20" s="343"/>
      <c r="F20" s="343"/>
      <c r="G20" s="343"/>
      <c r="H20" s="343"/>
      <c r="I20" s="343"/>
      <c r="J20" s="343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203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798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799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800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801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802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204</v>
      </c>
      <c r="C28" s="345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5"/>
      <c r="E28" s="345"/>
      <c r="F28" s="345"/>
      <c r="G28" s="345"/>
      <c r="H28" s="345"/>
      <c r="I28" s="345"/>
      <c r="J28" s="345"/>
      <c r="L28" s="87"/>
    </row>
    <row r="29" spans="1:12" ht="12.65" customHeight="1" x14ac:dyDescent="0.35">
      <c r="C29" s="345"/>
      <c r="D29" s="345"/>
      <c r="E29" s="345"/>
      <c r="F29" s="345"/>
      <c r="G29" s="345"/>
      <c r="H29" s="345"/>
      <c r="I29" s="345"/>
      <c r="J29" s="345"/>
      <c r="L29" s="87"/>
    </row>
    <row r="30" spans="1:12" ht="12.65" customHeight="1" x14ac:dyDescent="0.35">
      <c r="B30" s="51" t="s">
        <v>205</v>
      </c>
      <c r="C30" s="351">
        <f>ber_Opm!C11</f>
        <v>0</v>
      </c>
      <c r="D30" s="351"/>
      <c r="E30" s="351"/>
      <c r="F30" s="351"/>
      <c r="G30" s="351"/>
      <c r="H30" s="351"/>
      <c r="I30" s="351"/>
      <c r="J30" s="351"/>
      <c r="L30" s="87"/>
    </row>
    <row r="31" spans="1:12" ht="7" customHeight="1" x14ac:dyDescent="0.35">
      <c r="C31" s="352"/>
      <c r="D31" s="352"/>
      <c r="E31" s="352"/>
      <c r="F31" s="352"/>
      <c r="G31" s="352"/>
      <c r="H31" s="352"/>
      <c r="I31" s="352"/>
      <c r="J31" s="352"/>
      <c r="L31" s="87"/>
    </row>
    <row r="32" spans="1:12" ht="7" customHeight="1" x14ac:dyDescent="0.35">
      <c r="C32" s="352"/>
      <c r="D32" s="352"/>
      <c r="E32" s="352"/>
      <c r="F32" s="352"/>
      <c r="G32" s="352"/>
      <c r="H32" s="352"/>
      <c r="I32" s="352"/>
      <c r="J32" s="352"/>
      <c r="L32" s="87"/>
    </row>
    <row r="33" spans="1:12" ht="7" customHeight="1" x14ac:dyDescent="0.35">
      <c r="C33" s="352"/>
      <c r="D33" s="352"/>
      <c r="E33" s="352"/>
      <c r="F33" s="352"/>
      <c r="G33" s="352"/>
      <c r="H33" s="352"/>
      <c r="I33" s="352"/>
      <c r="J33" s="352"/>
      <c r="L33" s="87"/>
    </row>
    <row r="34" spans="1:12" ht="12.65" customHeight="1" x14ac:dyDescent="0.35">
      <c r="B34" s="51">
        <v>8</v>
      </c>
      <c r="C34" s="293" t="s">
        <v>200</v>
      </c>
      <c r="D34" s="292"/>
      <c r="E34" s="292"/>
      <c r="F34" s="292"/>
      <c r="G34" s="292"/>
      <c r="H34" s="292"/>
      <c r="I34" s="292"/>
      <c r="J34" s="292"/>
      <c r="L34" s="87"/>
    </row>
    <row r="35" spans="1:12" ht="12.65" customHeight="1" x14ac:dyDescent="0.35">
      <c r="C35" s="293"/>
      <c r="D35" s="292"/>
      <c r="E35" s="292"/>
      <c r="F35" s="292"/>
      <c r="G35" s="292"/>
      <c r="H35" s="292"/>
      <c r="I35" s="292"/>
      <c r="J35" s="292"/>
      <c r="L35" s="87"/>
    </row>
    <row r="36" spans="1:12" ht="12.65" customHeight="1" x14ac:dyDescent="0.35">
      <c r="C36" s="293"/>
      <c r="D36" s="292"/>
      <c r="E36" s="292"/>
      <c r="F36" s="292"/>
      <c r="G36" s="292"/>
      <c r="H36" s="292"/>
      <c r="I36" s="292"/>
      <c r="J36" s="292"/>
      <c r="L36" s="87"/>
    </row>
    <row r="37" spans="1:12" ht="12.65" customHeight="1" x14ac:dyDescent="0.35">
      <c r="C37" s="293"/>
      <c r="D37" s="292"/>
      <c r="E37" s="292"/>
      <c r="F37" s="292"/>
      <c r="G37" s="292"/>
      <c r="H37" s="292"/>
      <c r="I37" s="292"/>
      <c r="J37" s="292"/>
      <c r="L37" s="87"/>
    </row>
    <row r="38" spans="1:12" ht="12.65" customHeight="1" x14ac:dyDescent="0.35">
      <c r="C38" s="293"/>
      <c r="D38" s="292"/>
      <c r="E38" s="292"/>
      <c r="F38" s="292"/>
      <c r="G38" s="292"/>
      <c r="H38" s="292"/>
      <c r="I38" s="292"/>
      <c r="J38" s="292"/>
      <c r="L38" s="87"/>
    </row>
    <row r="39" spans="1:12" ht="12.65" customHeight="1" x14ac:dyDescent="0.35">
      <c r="B39" s="61" t="s">
        <v>264</v>
      </c>
      <c r="C39" s="55"/>
      <c r="D39" s="55"/>
      <c r="F39" s="55" t="s">
        <v>1210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1224</v>
      </c>
      <c r="D41" s="46">
        <f ca="1">TODAY()</f>
        <v>42195</v>
      </c>
      <c r="E41" s="70" t="s">
        <v>1225</v>
      </c>
      <c r="F41" s="346" t="str">
        <f>_AchterNaam&amp;", "&amp;_VoorNaam</f>
        <v>Achternaam, Voornaam</v>
      </c>
      <c r="G41" s="346"/>
      <c r="H41" s="71" t="s">
        <v>786</v>
      </c>
      <c r="I41" s="48" t="str">
        <f>Gewicht/10&amp;" kg"</f>
        <v>10 kg</v>
      </c>
      <c r="J41" s="316"/>
      <c r="L41" s="87"/>
    </row>
    <row r="42" spans="1:12" ht="12.65" customHeight="1" x14ac:dyDescent="0.35">
      <c r="B42" s="69"/>
      <c r="C42" s="70" t="s">
        <v>570</v>
      </c>
      <c r="D42" s="49">
        <f ca="1">AfspraakDatum-OpnDatum+1</f>
        <v>833</v>
      </c>
      <c r="E42" s="70" t="s">
        <v>1223</v>
      </c>
      <c r="F42" s="50">
        <f>GebDatum</f>
        <v>40909</v>
      </c>
      <c r="G42" s="316"/>
      <c r="H42" s="71" t="s">
        <v>377</v>
      </c>
      <c r="I42" s="48" t="str">
        <f>Lengte&amp;" cm"</f>
        <v>80 cm</v>
      </c>
      <c r="J42" s="316"/>
      <c r="L42" s="87"/>
    </row>
    <row r="43" spans="1:12" ht="12.65" customHeight="1" x14ac:dyDescent="0.35">
      <c r="D43" s="316"/>
      <c r="F43" s="316"/>
      <c r="H43" s="71" t="s">
        <v>378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85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818</v>
      </c>
      <c r="D53" s="349">
        <f>ber_Opm!C3</f>
        <v>0</v>
      </c>
      <c r="E53" s="350"/>
      <c r="F53" s="350"/>
      <c r="G53" s="350"/>
      <c r="H53" s="350"/>
      <c r="I53" s="350"/>
      <c r="J53" s="350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819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839</v>
      </c>
      <c r="D57" s="71"/>
      <c r="E57" s="71" t="s">
        <v>275</v>
      </c>
      <c r="F57" s="71"/>
      <c r="G57" s="71" t="s">
        <v>840</v>
      </c>
      <c r="H57" s="71"/>
      <c r="I57" s="71"/>
      <c r="J57" s="71" t="s">
        <v>548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818</v>
      </c>
      <c r="D74" s="341">
        <f>ber_Opm!C4</f>
        <v>0</v>
      </c>
      <c r="E74" s="341"/>
      <c r="F74" s="341"/>
      <c r="G74" s="341"/>
      <c r="H74" s="341"/>
      <c r="I74" s="341"/>
      <c r="J74" s="341"/>
      <c r="L74" s="87"/>
    </row>
    <row r="75" spans="1:12" ht="12.65" customHeight="1" x14ac:dyDescent="0.35">
      <c r="D75" s="344"/>
      <c r="E75" s="344"/>
      <c r="F75" s="344"/>
      <c r="G75" s="344"/>
      <c r="H75" s="344"/>
      <c r="I75" s="344"/>
      <c r="J75" s="344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Intake!E23&amp;" "&amp;Intake!H23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IF(E94&lt;&gt;"",Intake!C24,)</f>
        <v>0</v>
      </c>
      <c r="E94" s="55" t="str">
        <f>Intake!D24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Intake!E25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Intake!E26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Intake!E27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818</v>
      </c>
      <c r="D99" s="349">
        <f>ber_Opm!C9</f>
        <v>0</v>
      </c>
      <c r="E99" s="350"/>
      <c r="F99" s="350"/>
      <c r="G99" s="350"/>
      <c r="H99" s="350"/>
      <c r="I99" s="350"/>
      <c r="J99" s="350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971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Intake!B31</f>
        <v>Vocht</v>
      </c>
      <c r="D103" s="48" t="str">
        <f>Intake!D31</f>
        <v>0 ml/kg</v>
      </c>
      <c r="E103" s="70" t="str">
        <f>Intake!B32</f>
        <v>Calorieen</v>
      </c>
      <c r="F103" s="48" t="str">
        <f>Intake!D32</f>
        <v>0 kCal/kg</v>
      </c>
      <c r="G103" s="70" t="str">
        <f>Intake!B35</f>
        <v>Kalium</v>
      </c>
      <c r="H103" s="48" t="str">
        <f>Intake!D35</f>
        <v>0 mmol/kg</v>
      </c>
      <c r="I103" s="70" t="str">
        <f>Intake!B34</f>
        <v xml:space="preserve">Natrium </v>
      </c>
      <c r="J103" s="48" t="str">
        <f>Intake!D34</f>
        <v>0 mmol/kg</v>
      </c>
      <c r="L103" s="87"/>
    </row>
    <row r="104" spans="1:12" ht="12.65" customHeight="1" x14ac:dyDescent="0.35">
      <c r="B104" s="69"/>
      <c r="C104" s="70" t="str">
        <f>Intake!H31</f>
        <v>Eiwit</v>
      </c>
      <c r="D104" s="48" t="str">
        <f>Intake!I31</f>
        <v>0  gram/kg</v>
      </c>
      <c r="E104" s="70" t="str">
        <f>Intake!H32</f>
        <v>Vet</v>
      </c>
      <c r="F104" s="48" t="str">
        <f>Intake!I32</f>
        <v>0 gram/kg</v>
      </c>
      <c r="G104" s="70" t="str">
        <f>Intake!H33</f>
        <v>Calcium</v>
      </c>
      <c r="H104" s="48" t="str">
        <f>Intake!I33</f>
        <v>0 mmol/kg</v>
      </c>
      <c r="I104" s="70" t="str">
        <f>Intake!H35</f>
        <v>Fosfaat</v>
      </c>
      <c r="J104" s="48" t="str">
        <f>Intake!I35</f>
        <v>0 mmol/kg</v>
      </c>
      <c r="L104" s="87"/>
    </row>
    <row r="105" spans="1:12" ht="12.65" customHeight="1" x14ac:dyDescent="0.35">
      <c r="A105" s="55"/>
      <c r="B105" s="72"/>
      <c r="C105" s="74" t="str">
        <f>Intake!B33</f>
        <v>Glucose/KH</v>
      </c>
      <c r="D105" s="55" t="str">
        <f>Intake!D33</f>
        <v>0 g/kg</v>
      </c>
      <c r="E105" s="73"/>
      <c r="F105" s="55"/>
      <c r="G105" s="74" t="s">
        <v>868</v>
      </c>
      <c r="H105" s="55" t="str">
        <f>Intake!I34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1224</v>
      </c>
      <c r="D106" s="46">
        <f ca="1">TODAY()</f>
        <v>42195</v>
      </c>
      <c r="E106" s="70" t="s">
        <v>1225</v>
      </c>
      <c r="F106" s="346" t="str">
        <f>_AchterNaam&amp;", "&amp;_VoorNaam</f>
        <v>Achternaam, Voornaam</v>
      </c>
      <c r="G106" s="346"/>
      <c r="H106" s="71" t="s">
        <v>786</v>
      </c>
      <c r="I106" s="48" t="str">
        <f>Gewicht/10&amp;" kg"</f>
        <v>10 kg</v>
      </c>
      <c r="J106" s="316"/>
      <c r="L106" s="87"/>
    </row>
    <row r="107" spans="1:12" ht="12.65" customHeight="1" x14ac:dyDescent="0.35">
      <c r="B107" s="69"/>
      <c r="C107" s="70" t="s">
        <v>570</v>
      </c>
      <c r="D107" s="49">
        <f ca="1">AfspraakDatum-OpnDatum+1</f>
        <v>833</v>
      </c>
      <c r="E107" s="70" t="s">
        <v>1223</v>
      </c>
      <c r="F107" s="50">
        <f>GebDatum</f>
        <v>40909</v>
      </c>
      <c r="G107" s="316"/>
      <c r="H107" s="71" t="s">
        <v>377</v>
      </c>
      <c r="I107" s="48" t="str">
        <f>Lengte&amp;" cm"</f>
        <v>80 cm</v>
      </c>
      <c r="J107" s="316"/>
      <c r="L107" s="87"/>
    </row>
    <row r="108" spans="1:12" ht="12.65" customHeight="1" x14ac:dyDescent="0.35">
      <c r="D108" s="316"/>
      <c r="F108" s="316"/>
      <c r="H108" s="71" t="s">
        <v>378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95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3" t="s">
        <v>781</v>
      </c>
      <c r="G114" s="283" t="s">
        <v>372</v>
      </c>
      <c r="L114" s="87"/>
    </row>
    <row r="115" spans="1:13" ht="25" customHeight="1" x14ac:dyDescent="0.4">
      <c r="A115" s="357" t="s">
        <v>370</v>
      </c>
      <c r="B115" s="358"/>
      <c r="C115" s="129" t="s">
        <v>371</v>
      </c>
      <c r="D115" s="129" t="s">
        <v>373</v>
      </c>
      <c r="E115" s="357" t="s">
        <v>375</v>
      </c>
      <c r="F115" s="358"/>
      <c r="G115" s="134" t="s">
        <v>373</v>
      </c>
      <c r="H115" s="357" t="s">
        <v>374</v>
      </c>
      <c r="I115" s="358"/>
      <c r="J115" s="134" t="s">
        <v>655</v>
      </c>
      <c r="K115" s="51"/>
      <c r="L115" s="87"/>
    </row>
    <row r="116" spans="1:13" ht="20.100000000000001" customHeight="1" x14ac:dyDescent="0.35">
      <c r="A116" s="130"/>
      <c r="B116" s="285"/>
      <c r="C116" s="129"/>
      <c r="D116" s="129"/>
      <c r="E116" s="130"/>
      <c r="F116" s="285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5"/>
      <c r="C117" s="129"/>
      <c r="D117" s="129"/>
      <c r="E117" s="130"/>
      <c r="F117" s="285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5"/>
      <c r="C118" s="129"/>
      <c r="D118" s="129"/>
      <c r="E118" s="130"/>
      <c r="F118" s="285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5"/>
      <c r="C119" s="129"/>
      <c r="D119" s="129"/>
      <c r="E119" s="130"/>
      <c r="F119" s="285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5"/>
      <c r="C120" s="129"/>
      <c r="D120" s="129"/>
      <c r="E120" s="130"/>
      <c r="F120" s="285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5"/>
      <c r="C121" s="129"/>
      <c r="D121" s="129"/>
      <c r="E121" s="130"/>
      <c r="F121" s="285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5"/>
      <c r="C122" s="129"/>
      <c r="D122" s="129"/>
      <c r="E122" s="130"/>
      <c r="F122" s="285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5"/>
      <c r="C123" s="129"/>
      <c r="D123" s="129"/>
      <c r="E123" s="130"/>
      <c r="F123" s="285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5"/>
      <c r="C124" s="129"/>
      <c r="D124" s="129"/>
      <c r="E124" s="130"/>
      <c r="F124" s="285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5"/>
      <c r="C125" s="129"/>
      <c r="D125" s="129"/>
      <c r="E125" s="130"/>
      <c r="F125" s="285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5"/>
      <c r="C126" s="129"/>
      <c r="D126" s="129"/>
      <c r="E126" s="130"/>
      <c r="F126" s="285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5"/>
      <c r="C127" s="129"/>
      <c r="D127" s="129"/>
      <c r="E127" s="130"/>
      <c r="F127" s="285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5"/>
      <c r="C128" s="129"/>
      <c r="D128" s="129"/>
      <c r="E128" s="130"/>
      <c r="F128" s="285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5"/>
      <c r="C129" s="129"/>
      <c r="D129" s="129"/>
      <c r="E129" s="130"/>
      <c r="F129" s="285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5"/>
      <c r="C130" s="129"/>
      <c r="D130" s="129"/>
      <c r="E130" s="130"/>
      <c r="F130" s="285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5"/>
      <c r="C131" s="129"/>
      <c r="D131" s="129"/>
      <c r="E131" s="130"/>
      <c r="F131" s="285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5"/>
      <c r="C132" s="129"/>
      <c r="D132" s="129"/>
      <c r="E132" s="130"/>
      <c r="F132" s="285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9" t="s">
        <v>376</v>
      </c>
      <c r="B133" s="287"/>
      <c r="C133" s="286"/>
      <c r="D133" s="286"/>
      <c r="E133" s="286"/>
      <c r="F133" s="287"/>
      <c r="G133" s="287"/>
      <c r="H133" s="288"/>
      <c r="I133" s="288"/>
      <c r="J133" s="288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ArZ2ARVbBP5ganiNgj5Q7sHCNBx+7Ug7S4o/qMQ+OrQ3lC4gcBu9sWaWtphZqzlvqFmEeHzIXZMYkV0KfPT/CQ==" saltValue="zYiUWMvCIEoJdzlEYHgOXg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1023</v>
      </c>
      <c r="B1" t="s">
        <v>577</v>
      </c>
      <c r="C1" t="s">
        <v>578</v>
      </c>
      <c r="D1" t="s">
        <v>579</v>
      </c>
      <c r="E1" t="s">
        <v>580</v>
      </c>
      <c r="F1" t="s">
        <v>581</v>
      </c>
      <c r="G1" t="s">
        <v>786</v>
      </c>
      <c r="H1" t="s">
        <v>377</v>
      </c>
      <c r="I1" t="s">
        <v>1206</v>
      </c>
    </row>
    <row r="2" spans="1:9" x14ac:dyDescent="0.35">
      <c r="B2" s="32">
        <f ca="1">TODAY()</f>
        <v>42195</v>
      </c>
      <c r="C2" s="32">
        <v>41363</v>
      </c>
      <c r="D2" t="s">
        <v>773</v>
      </c>
      <c r="E2" t="s">
        <v>774</v>
      </c>
      <c r="F2" s="32">
        <v>40909</v>
      </c>
      <c r="G2">
        <v>100</v>
      </c>
      <c r="H2">
        <v>80</v>
      </c>
      <c r="I2" s="305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482</v>
      </c>
      <c r="B1" t="s">
        <v>483</v>
      </c>
    </row>
    <row r="2" spans="1:2 4305:4305" x14ac:dyDescent="0.35">
      <c r="A2" t="s">
        <v>1260</v>
      </c>
      <c r="B2" t="s">
        <v>773</v>
      </c>
      <c r="FIO2">
        <v>30</v>
      </c>
    </row>
    <row r="3" spans="1:2 4305:4305" x14ac:dyDescent="0.35">
      <c r="A3" t="s">
        <v>1261</v>
      </c>
      <c r="B3" t="s">
        <v>774</v>
      </c>
    </row>
    <row r="4" spans="1:2 4305:4305" x14ac:dyDescent="0.35">
      <c r="A4" t="s">
        <v>1009</v>
      </c>
      <c r="B4" t="b">
        <v>0</v>
      </c>
    </row>
    <row r="5" spans="1:2 4305:4305" x14ac:dyDescent="0.35">
      <c r="A5" t="s">
        <v>1010</v>
      </c>
    </row>
    <row r="6" spans="1:2 4305:4305" x14ac:dyDescent="0.35">
      <c r="A6" t="s">
        <v>780</v>
      </c>
      <c r="B6" t="b">
        <v>1</v>
      </c>
    </row>
    <row r="7" spans="1:2 4305:4305" x14ac:dyDescent="0.35">
      <c r="A7" t="s">
        <v>1061</v>
      </c>
    </row>
    <row r="8" spans="1:2 4305:4305" x14ac:dyDescent="0.35">
      <c r="A8" t="s">
        <v>967</v>
      </c>
    </row>
    <row r="9" spans="1:2 4305:4305" x14ac:dyDescent="0.35">
      <c r="A9" t="s">
        <v>968</v>
      </c>
    </row>
    <row r="10" spans="1:2 4305:4305" x14ac:dyDescent="0.35">
      <c r="A10" t="s">
        <v>969</v>
      </c>
    </row>
    <row r="11" spans="1:2 4305:4305" x14ac:dyDescent="0.35">
      <c r="A11" t="s">
        <v>970</v>
      </c>
    </row>
    <row r="12" spans="1:2 4305:4305" x14ac:dyDescent="0.35">
      <c r="A12" t="s">
        <v>990</v>
      </c>
    </row>
    <row r="13" spans="1:2 4305:4305" x14ac:dyDescent="0.35">
      <c r="A13" t="s">
        <v>991</v>
      </c>
    </row>
    <row r="14" spans="1:2 4305:4305" x14ac:dyDescent="0.35">
      <c r="A14" t="s">
        <v>1006</v>
      </c>
    </row>
    <row r="15" spans="1:2 4305:4305" x14ac:dyDescent="0.35">
      <c r="A15" t="s">
        <v>1007</v>
      </c>
    </row>
    <row r="16" spans="1:2 4305:4305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2" x14ac:dyDescent="0.35">
      <c r="A49" t="s">
        <v>221</v>
      </c>
    </row>
    <row r="50" spans="1:2" x14ac:dyDescent="0.35">
      <c r="A50" t="s">
        <v>222</v>
      </c>
    </row>
    <row r="51" spans="1:2" x14ac:dyDescent="0.35">
      <c r="A51" t="s">
        <v>223</v>
      </c>
    </row>
    <row r="52" spans="1:2" x14ac:dyDescent="0.35">
      <c r="A52" t="s">
        <v>224</v>
      </c>
    </row>
    <row r="53" spans="1:2" x14ac:dyDescent="0.35">
      <c r="A53" t="s">
        <v>225</v>
      </c>
    </row>
    <row r="54" spans="1:2" x14ac:dyDescent="0.35">
      <c r="A54" t="s">
        <v>617</v>
      </c>
    </row>
    <row r="55" spans="1:2" x14ac:dyDescent="0.35">
      <c r="A55" t="s">
        <v>618</v>
      </c>
    </row>
    <row r="56" spans="1:2" x14ac:dyDescent="0.35">
      <c r="A56" t="s">
        <v>639</v>
      </c>
    </row>
    <row r="57" spans="1:2" x14ac:dyDescent="0.35">
      <c r="A57" t="s">
        <v>428</v>
      </c>
      <c r="B57">
        <v>1</v>
      </c>
    </row>
    <row r="58" spans="1:2" x14ac:dyDescent="0.35">
      <c r="A58" t="s">
        <v>429</v>
      </c>
    </row>
    <row r="59" spans="1:2" x14ac:dyDescent="0.35">
      <c r="A59" t="s">
        <v>430</v>
      </c>
    </row>
    <row r="60" spans="1:2" x14ac:dyDescent="0.35">
      <c r="A60" t="s">
        <v>431</v>
      </c>
    </row>
    <row r="61" spans="1:2" x14ac:dyDescent="0.35">
      <c r="A61" t="s">
        <v>581</v>
      </c>
      <c r="B61">
        <v>40909</v>
      </c>
    </row>
    <row r="62" spans="1:2" x14ac:dyDescent="0.35">
      <c r="A62" t="s">
        <v>786</v>
      </c>
      <c r="B62">
        <v>100</v>
      </c>
    </row>
    <row r="63" spans="1:2" x14ac:dyDescent="0.35">
      <c r="A63" t="s">
        <v>418</v>
      </c>
      <c r="B63">
        <v>1</v>
      </c>
    </row>
    <row r="64" spans="1:2" x14ac:dyDescent="0.35">
      <c r="A64" t="s">
        <v>419</v>
      </c>
      <c r="B64">
        <v>1</v>
      </c>
    </row>
    <row r="65" spans="1:2" x14ac:dyDescent="0.35">
      <c r="A65" t="s">
        <v>420</v>
      </c>
      <c r="B65">
        <v>1</v>
      </c>
    </row>
    <row r="66" spans="1:2" x14ac:dyDescent="0.35">
      <c r="A66" t="s">
        <v>421</v>
      </c>
      <c r="B66">
        <v>1</v>
      </c>
    </row>
    <row r="67" spans="1:2" x14ac:dyDescent="0.35">
      <c r="A67" t="s">
        <v>422</v>
      </c>
      <c r="B67">
        <v>1</v>
      </c>
    </row>
    <row r="68" spans="1:2" x14ac:dyDescent="0.35">
      <c r="A68" t="s">
        <v>1015</v>
      </c>
      <c r="B68">
        <v>1</v>
      </c>
    </row>
    <row r="69" spans="1:2" x14ac:dyDescent="0.35">
      <c r="A69" t="s">
        <v>391</v>
      </c>
      <c r="B69" t="b">
        <v>0</v>
      </c>
    </row>
    <row r="70" spans="1:2" x14ac:dyDescent="0.35">
      <c r="A70" t="s">
        <v>984</v>
      </c>
    </row>
    <row r="71" spans="1:2" x14ac:dyDescent="0.35">
      <c r="A71" t="s">
        <v>392</v>
      </c>
    </row>
    <row r="72" spans="1:2" x14ac:dyDescent="0.35">
      <c r="A72" t="s">
        <v>985</v>
      </c>
    </row>
    <row r="73" spans="1:2" x14ac:dyDescent="0.35">
      <c r="A73" t="s">
        <v>432</v>
      </c>
      <c r="B73">
        <v>1</v>
      </c>
    </row>
    <row r="74" spans="1:2" x14ac:dyDescent="0.35">
      <c r="A74" t="s">
        <v>433</v>
      </c>
    </row>
    <row r="75" spans="1:2" x14ac:dyDescent="0.35">
      <c r="A75" t="s">
        <v>434</v>
      </c>
    </row>
    <row r="76" spans="1:2" x14ac:dyDescent="0.35">
      <c r="A76" t="s">
        <v>435</v>
      </c>
    </row>
    <row r="77" spans="1:2" x14ac:dyDescent="0.35">
      <c r="A77" t="s">
        <v>867</v>
      </c>
      <c r="B77" t="b">
        <v>0</v>
      </c>
    </row>
    <row r="78" spans="1:2" x14ac:dyDescent="0.35">
      <c r="A78" t="s">
        <v>104</v>
      </c>
    </row>
    <row r="79" spans="1:2" x14ac:dyDescent="0.35">
      <c r="A79" t="s">
        <v>313</v>
      </c>
    </row>
    <row r="80" spans="1:2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2" x14ac:dyDescent="0.35">
      <c r="A257" t="s">
        <v>309</v>
      </c>
    </row>
    <row r="258" spans="1:2" x14ac:dyDescent="0.35">
      <c r="A258" t="s">
        <v>310</v>
      </c>
    </row>
    <row r="259" spans="1:2" x14ac:dyDescent="0.35">
      <c r="A259" t="s">
        <v>311</v>
      </c>
    </row>
    <row r="260" spans="1:2" x14ac:dyDescent="0.35">
      <c r="A260" t="s">
        <v>312</v>
      </c>
    </row>
    <row r="261" spans="1:2" x14ac:dyDescent="0.35">
      <c r="A261" t="s">
        <v>1037</v>
      </c>
    </row>
    <row r="262" spans="1:2" x14ac:dyDescent="0.35">
      <c r="A262" t="s">
        <v>414</v>
      </c>
    </row>
    <row r="263" spans="1:2" x14ac:dyDescent="0.35">
      <c r="A263" t="s">
        <v>415</v>
      </c>
    </row>
    <row r="264" spans="1:2" x14ac:dyDescent="0.35">
      <c r="A264" t="s">
        <v>416</v>
      </c>
    </row>
    <row r="265" spans="1:2" x14ac:dyDescent="0.35">
      <c r="A265" t="s">
        <v>417</v>
      </c>
    </row>
    <row r="266" spans="1:2" x14ac:dyDescent="0.35">
      <c r="A266" t="s">
        <v>826</v>
      </c>
    </row>
    <row r="267" spans="1:2" x14ac:dyDescent="0.35">
      <c r="A267" t="s">
        <v>827</v>
      </c>
    </row>
    <row r="268" spans="1:2" x14ac:dyDescent="0.35">
      <c r="A268" t="s">
        <v>377</v>
      </c>
      <c r="B268">
        <v>80</v>
      </c>
    </row>
    <row r="269" spans="1:2" x14ac:dyDescent="0.35">
      <c r="A269" t="s">
        <v>929</v>
      </c>
      <c r="B269">
        <v>0</v>
      </c>
    </row>
    <row r="270" spans="1:2" x14ac:dyDescent="0.35">
      <c r="A270" t="s">
        <v>119</v>
      </c>
    </row>
    <row r="271" spans="1:2" x14ac:dyDescent="0.35">
      <c r="A271" t="s">
        <v>120</v>
      </c>
    </row>
    <row r="272" spans="1:2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2" x14ac:dyDescent="0.35">
      <c r="A305" t="s">
        <v>469</v>
      </c>
    </row>
    <row r="306" spans="1:2" x14ac:dyDescent="0.35">
      <c r="A306" t="s">
        <v>470</v>
      </c>
    </row>
    <row r="307" spans="1:2" x14ac:dyDescent="0.35">
      <c r="A307" t="s">
        <v>1038</v>
      </c>
    </row>
    <row r="308" spans="1:2" x14ac:dyDescent="0.35">
      <c r="A308" t="s">
        <v>1039</v>
      </c>
    </row>
    <row r="309" spans="1:2" x14ac:dyDescent="0.35">
      <c r="A309" t="s">
        <v>1040</v>
      </c>
    </row>
    <row r="310" spans="1:2" x14ac:dyDescent="0.35">
      <c r="A310" t="s">
        <v>1041</v>
      </c>
      <c r="B310">
        <v>1</v>
      </c>
    </row>
    <row r="311" spans="1:2" x14ac:dyDescent="0.35">
      <c r="A311" t="s">
        <v>1042</v>
      </c>
      <c r="B311">
        <v>1</v>
      </c>
    </row>
    <row r="312" spans="1:2" x14ac:dyDescent="0.35">
      <c r="A312" t="s">
        <v>1043</v>
      </c>
    </row>
    <row r="313" spans="1:2" x14ac:dyDescent="0.35">
      <c r="A313" t="s">
        <v>1044</v>
      </c>
    </row>
    <row r="314" spans="1:2" x14ac:dyDescent="0.35">
      <c r="A314" t="s">
        <v>1045</v>
      </c>
    </row>
    <row r="315" spans="1:2" x14ac:dyDescent="0.35">
      <c r="A315" t="s">
        <v>1099</v>
      </c>
    </row>
    <row r="316" spans="1:2" x14ac:dyDescent="0.35">
      <c r="A316" t="s">
        <v>1100</v>
      </c>
    </row>
    <row r="317" spans="1:2" x14ac:dyDescent="0.35">
      <c r="A317" t="s">
        <v>1101</v>
      </c>
      <c r="B317">
        <v>1</v>
      </c>
    </row>
    <row r="318" spans="1:2" x14ac:dyDescent="0.35">
      <c r="A318" t="s">
        <v>1102</v>
      </c>
      <c r="B318">
        <v>1</v>
      </c>
    </row>
    <row r="319" spans="1:2" x14ac:dyDescent="0.35">
      <c r="A319" t="s">
        <v>1103</v>
      </c>
      <c r="B319">
        <v>1</v>
      </c>
    </row>
    <row r="320" spans="1:2" x14ac:dyDescent="0.35">
      <c r="A320" t="s">
        <v>1104</v>
      </c>
      <c r="B320">
        <v>1</v>
      </c>
    </row>
    <row r="321" spans="1:2" x14ac:dyDescent="0.35">
      <c r="A321" t="s">
        <v>1105</v>
      </c>
      <c r="B321">
        <v>1</v>
      </c>
    </row>
    <row r="322" spans="1:2" x14ac:dyDescent="0.35">
      <c r="A322" t="s">
        <v>631</v>
      </c>
      <c r="B322">
        <v>1</v>
      </c>
    </row>
    <row r="323" spans="1:2" x14ac:dyDescent="0.35">
      <c r="A323" t="s">
        <v>632</v>
      </c>
      <c r="B323">
        <v>1</v>
      </c>
    </row>
    <row r="324" spans="1:2" x14ac:dyDescent="0.35">
      <c r="A324" t="s">
        <v>633</v>
      </c>
      <c r="B324">
        <v>1</v>
      </c>
    </row>
    <row r="325" spans="1:2" x14ac:dyDescent="0.35">
      <c r="A325" t="s">
        <v>634</v>
      </c>
    </row>
    <row r="326" spans="1:2" x14ac:dyDescent="0.35">
      <c r="A326" t="s">
        <v>635</v>
      </c>
    </row>
    <row r="327" spans="1:2" x14ac:dyDescent="0.35">
      <c r="A327" t="s">
        <v>636</v>
      </c>
    </row>
    <row r="328" spans="1:2" x14ac:dyDescent="0.35">
      <c r="A328" t="s">
        <v>637</v>
      </c>
    </row>
    <row r="329" spans="1:2" x14ac:dyDescent="0.35">
      <c r="A329" t="s">
        <v>638</v>
      </c>
    </row>
    <row r="330" spans="1:2" x14ac:dyDescent="0.35">
      <c r="A330" t="s">
        <v>1011</v>
      </c>
      <c r="B330">
        <v>1</v>
      </c>
    </row>
    <row r="331" spans="1:2" x14ac:dyDescent="0.35">
      <c r="A331" t="s">
        <v>1012</v>
      </c>
      <c r="B331">
        <v>1</v>
      </c>
    </row>
    <row r="332" spans="1:2" x14ac:dyDescent="0.35">
      <c r="A332" t="s">
        <v>1013</v>
      </c>
      <c r="B332">
        <v>1</v>
      </c>
    </row>
    <row r="333" spans="1:2" x14ac:dyDescent="0.35">
      <c r="A333" t="s">
        <v>898</v>
      </c>
      <c r="B333">
        <v>1</v>
      </c>
    </row>
    <row r="334" spans="1:2" x14ac:dyDescent="0.35">
      <c r="A334" t="s">
        <v>986</v>
      </c>
      <c r="B334">
        <v>1</v>
      </c>
    </row>
    <row r="335" spans="1:2" x14ac:dyDescent="0.35">
      <c r="A335" t="s">
        <v>987</v>
      </c>
      <c r="B335">
        <v>1</v>
      </c>
    </row>
    <row r="336" spans="1:2" x14ac:dyDescent="0.35">
      <c r="A336" t="s">
        <v>988</v>
      </c>
      <c r="B336">
        <v>1</v>
      </c>
    </row>
    <row r="337" spans="1:2" x14ac:dyDescent="0.35">
      <c r="A337" t="s">
        <v>989</v>
      </c>
      <c r="B337">
        <v>1</v>
      </c>
    </row>
    <row r="338" spans="1:2" x14ac:dyDescent="0.35">
      <c r="A338" t="s">
        <v>896</v>
      </c>
      <c r="B338">
        <v>1</v>
      </c>
    </row>
    <row r="339" spans="1:2" x14ac:dyDescent="0.35">
      <c r="A339" t="s">
        <v>897</v>
      </c>
      <c r="B339">
        <v>1</v>
      </c>
    </row>
    <row r="340" spans="1:2" x14ac:dyDescent="0.35">
      <c r="A340" t="s">
        <v>892</v>
      </c>
      <c r="B340">
        <v>1</v>
      </c>
    </row>
    <row r="341" spans="1:2" x14ac:dyDescent="0.35">
      <c r="A341" t="s">
        <v>893</v>
      </c>
      <c r="B341">
        <v>1</v>
      </c>
    </row>
    <row r="342" spans="1:2" x14ac:dyDescent="0.35">
      <c r="A342" t="s">
        <v>894</v>
      </c>
      <c r="B342">
        <v>1</v>
      </c>
    </row>
    <row r="343" spans="1:2" x14ac:dyDescent="0.35">
      <c r="A343" t="s">
        <v>885</v>
      </c>
      <c r="B343">
        <v>1</v>
      </c>
    </row>
    <row r="344" spans="1:2" x14ac:dyDescent="0.35">
      <c r="A344" t="s">
        <v>886</v>
      </c>
      <c r="B344">
        <v>1</v>
      </c>
    </row>
    <row r="345" spans="1:2" x14ac:dyDescent="0.35">
      <c r="A345" t="s">
        <v>887</v>
      </c>
      <c r="B345">
        <v>1</v>
      </c>
    </row>
    <row r="346" spans="1:2" x14ac:dyDescent="0.35">
      <c r="A346" t="s">
        <v>888</v>
      </c>
    </row>
    <row r="347" spans="1:2" x14ac:dyDescent="0.35">
      <c r="A347" t="s">
        <v>889</v>
      </c>
    </row>
    <row r="348" spans="1:2" x14ac:dyDescent="0.35">
      <c r="A348" t="s">
        <v>1072</v>
      </c>
    </row>
    <row r="349" spans="1:2" x14ac:dyDescent="0.35">
      <c r="A349" t="s">
        <v>1073</v>
      </c>
    </row>
    <row r="350" spans="1:2" x14ac:dyDescent="0.35">
      <c r="A350" t="s">
        <v>1074</v>
      </c>
    </row>
    <row r="351" spans="1:2" x14ac:dyDescent="0.35">
      <c r="A351" t="s">
        <v>1075</v>
      </c>
    </row>
    <row r="352" spans="1:2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1" x14ac:dyDescent="0.35">
      <c r="A369" t="s">
        <v>336</v>
      </c>
    </row>
    <row r="370" spans="1:1" x14ac:dyDescent="0.35">
      <c r="A370" t="s">
        <v>813</v>
      </c>
    </row>
    <row r="371" spans="1:1" x14ac:dyDescent="0.35">
      <c r="A371" t="s">
        <v>814</v>
      </c>
    </row>
    <row r="372" spans="1:1" x14ac:dyDescent="0.35">
      <c r="A372" t="s">
        <v>815</v>
      </c>
    </row>
    <row r="373" spans="1:1" x14ac:dyDescent="0.35">
      <c r="A373" t="s">
        <v>526</v>
      </c>
    </row>
    <row r="374" spans="1:1" x14ac:dyDescent="0.35">
      <c r="A374" t="s">
        <v>527</v>
      </c>
    </row>
    <row r="375" spans="1:1" x14ac:dyDescent="0.35">
      <c r="A375" t="s">
        <v>528</v>
      </c>
    </row>
    <row r="376" spans="1:1" x14ac:dyDescent="0.35">
      <c r="A376" t="s">
        <v>529</v>
      </c>
    </row>
    <row r="377" spans="1:1" x14ac:dyDescent="0.35">
      <c r="A377" t="s">
        <v>530</v>
      </c>
    </row>
    <row r="378" spans="1:1" x14ac:dyDescent="0.35">
      <c r="A378" t="s">
        <v>531</v>
      </c>
    </row>
    <row r="379" spans="1:1" x14ac:dyDescent="0.35">
      <c r="A379" t="s">
        <v>532</v>
      </c>
    </row>
    <row r="380" spans="1:1" x14ac:dyDescent="0.35">
      <c r="A380" t="s">
        <v>533</v>
      </c>
    </row>
    <row r="381" spans="1:1" x14ac:dyDescent="0.35">
      <c r="A381" t="s">
        <v>534</v>
      </c>
    </row>
    <row r="382" spans="1:1" x14ac:dyDescent="0.35">
      <c r="A382" t="s">
        <v>535</v>
      </c>
    </row>
    <row r="383" spans="1:1" x14ac:dyDescent="0.35">
      <c r="A383" t="s">
        <v>536</v>
      </c>
    </row>
    <row r="384" spans="1:1" x14ac:dyDescent="0.35">
      <c r="A384" t="s">
        <v>537</v>
      </c>
    </row>
    <row r="385" spans="1:1" x14ac:dyDescent="0.35">
      <c r="A385" t="s">
        <v>538</v>
      </c>
    </row>
    <row r="386" spans="1:1" x14ac:dyDescent="0.35">
      <c r="A386" t="s">
        <v>539</v>
      </c>
    </row>
    <row r="387" spans="1:1" x14ac:dyDescent="0.35">
      <c r="A387" t="s">
        <v>540</v>
      </c>
    </row>
    <row r="388" spans="1:1" x14ac:dyDescent="0.35">
      <c r="A388" t="s">
        <v>541</v>
      </c>
    </row>
    <row r="389" spans="1:1" x14ac:dyDescent="0.35">
      <c r="A389" t="s">
        <v>542</v>
      </c>
    </row>
    <row r="390" spans="1:1" x14ac:dyDescent="0.35">
      <c r="A390" t="s">
        <v>543</v>
      </c>
    </row>
    <row r="391" spans="1:1" x14ac:dyDescent="0.35">
      <c r="A391" t="s">
        <v>544</v>
      </c>
    </row>
    <row r="392" spans="1:1" x14ac:dyDescent="0.35">
      <c r="A392" t="s">
        <v>832</v>
      </c>
    </row>
    <row r="393" spans="1:1" x14ac:dyDescent="0.35">
      <c r="A393" t="s">
        <v>833</v>
      </c>
    </row>
    <row r="394" spans="1:1" x14ac:dyDescent="0.35">
      <c r="A394" t="s">
        <v>1050</v>
      </c>
    </row>
    <row r="395" spans="1:1" x14ac:dyDescent="0.35">
      <c r="A395" t="s">
        <v>671</v>
      </c>
    </row>
    <row r="396" spans="1:1" x14ac:dyDescent="0.35">
      <c r="A396" t="s">
        <v>672</v>
      </c>
    </row>
    <row r="397" spans="1:1" x14ac:dyDescent="0.35">
      <c r="A397" t="s">
        <v>484</v>
      </c>
    </row>
    <row r="398" spans="1:1" x14ac:dyDescent="0.35">
      <c r="A398" t="s">
        <v>485</v>
      </c>
    </row>
    <row r="399" spans="1:1" x14ac:dyDescent="0.35">
      <c r="A399" t="s">
        <v>486</v>
      </c>
    </row>
    <row r="400" spans="1:1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2" x14ac:dyDescent="0.35">
      <c r="A417" t="s">
        <v>207</v>
      </c>
    </row>
    <row r="418" spans="1:2" x14ac:dyDescent="0.35">
      <c r="A418" t="s">
        <v>90</v>
      </c>
    </row>
    <row r="419" spans="1:2" x14ac:dyDescent="0.35">
      <c r="A419" t="s">
        <v>91</v>
      </c>
    </row>
    <row r="420" spans="1:2" x14ac:dyDescent="0.35">
      <c r="A420" t="s">
        <v>877</v>
      </c>
    </row>
    <row r="421" spans="1:2" x14ac:dyDescent="0.35">
      <c r="A421" t="s">
        <v>878</v>
      </c>
    </row>
    <row r="422" spans="1:2" x14ac:dyDescent="0.35">
      <c r="A422" t="s">
        <v>879</v>
      </c>
    </row>
    <row r="423" spans="1:2" x14ac:dyDescent="0.35">
      <c r="A423" t="s">
        <v>825</v>
      </c>
    </row>
    <row r="424" spans="1:2" x14ac:dyDescent="0.35">
      <c r="A424" t="s">
        <v>863</v>
      </c>
    </row>
    <row r="425" spans="1:2" x14ac:dyDescent="0.35">
      <c r="A425" t="s">
        <v>667</v>
      </c>
      <c r="B425">
        <v>1</v>
      </c>
    </row>
    <row r="426" spans="1:2" x14ac:dyDescent="0.35">
      <c r="A426" t="s">
        <v>668</v>
      </c>
      <c r="B426">
        <v>1</v>
      </c>
    </row>
    <row r="427" spans="1:2" x14ac:dyDescent="0.35">
      <c r="A427" t="s">
        <v>669</v>
      </c>
      <c r="B427">
        <v>1</v>
      </c>
    </row>
    <row r="428" spans="1:2" x14ac:dyDescent="0.35">
      <c r="A428" t="s">
        <v>670</v>
      </c>
      <c r="B428">
        <v>1</v>
      </c>
    </row>
    <row r="429" spans="1:2" x14ac:dyDescent="0.35">
      <c r="A429" t="s">
        <v>1063</v>
      </c>
      <c r="B429">
        <v>1</v>
      </c>
    </row>
    <row r="430" spans="1:2" x14ac:dyDescent="0.35">
      <c r="A430" t="s">
        <v>1064</v>
      </c>
      <c r="B430">
        <v>1</v>
      </c>
    </row>
    <row r="431" spans="1:2" x14ac:dyDescent="0.35">
      <c r="A431" t="s">
        <v>1065</v>
      </c>
      <c r="B431">
        <v>1</v>
      </c>
    </row>
    <row r="432" spans="1:2" x14ac:dyDescent="0.35">
      <c r="A432" t="s">
        <v>1066</v>
      </c>
      <c r="B432">
        <v>1</v>
      </c>
    </row>
    <row r="433" spans="1:2" x14ac:dyDescent="0.35">
      <c r="A433" t="s">
        <v>1067</v>
      </c>
      <c r="B433">
        <v>1</v>
      </c>
    </row>
    <row r="434" spans="1:2" x14ac:dyDescent="0.35">
      <c r="A434" t="s">
        <v>1085</v>
      </c>
      <c r="B434">
        <v>1</v>
      </c>
    </row>
    <row r="435" spans="1:2" x14ac:dyDescent="0.35">
      <c r="A435" t="s">
        <v>1086</v>
      </c>
      <c r="B435">
        <v>1</v>
      </c>
    </row>
    <row r="436" spans="1:2" x14ac:dyDescent="0.35">
      <c r="A436" t="s">
        <v>1087</v>
      </c>
      <c r="B436">
        <v>1</v>
      </c>
    </row>
    <row r="437" spans="1:2" x14ac:dyDescent="0.35">
      <c r="A437" t="s">
        <v>1088</v>
      </c>
      <c r="B437">
        <v>1</v>
      </c>
    </row>
    <row r="438" spans="1:2" x14ac:dyDescent="0.35">
      <c r="A438" t="s">
        <v>1089</v>
      </c>
      <c r="B438">
        <v>1</v>
      </c>
    </row>
    <row r="439" spans="1:2" x14ac:dyDescent="0.35">
      <c r="A439" t="s">
        <v>1090</v>
      </c>
      <c r="B439">
        <v>1</v>
      </c>
    </row>
    <row r="440" spans="1:2" x14ac:dyDescent="0.35">
      <c r="A440" t="s">
        <v>1091</v>
      </c>
      <c r="B440">
        <v>1</v>
      </c>
    </row>
    <row r="441" spans="1:2" x14ac:dyDescent="0.35">
      <c r="A441" t="s">
        <v>910</v>
      </c>
      <c r="B441">
        <v>1</v>
      </c>
    </row>
    <row r="442" spans="1:2" x14ac:dyDescent="0.35">
      <c r="A442" t="s">
        <v>993</v>
      </c>
      <c r="B442">
        <v>1</v>
      </c>
    </row>
    <row r="443" spans="1:2" x14ac:dyDescent="0.35">
      <c r="A443" t="s">
        <v>994</v>
      </c>
      <c r="B443">
        <v>1</v>
      </c>
    </row>
    <row r="444" spans="1:2" x14ac:dyDescent="0.35">
      <c r="A444" t="s">
        <v>995</v>
      </c>
      <c r="B444">
        <v>1</v>
      </c>
    </row>
    <row r="445" spans="1:2" x14ac:dyDescent="0.35">
      <c r="A445" t="s">
        <v>996</v>
      </c>
    </row>
    <row r="446" spans="1:2" x14ac:dyDescent="0.35">
      <c r="A446" t="s">
        <v>997</v>
      </c>
    </row>
    <row r="447" spans="1:2" x14ac:dyDescent="0.35">
      <c r="A447" t="s">
        <v>547</v>
      </c>
    </row>
    <row r="448" spans="1:2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2" x14ac:dyDescent="0.35">
      <c r="A465" t="s">
        <v>473</v>
      </c>
      <c r="B465" t="b">
        <v>0</v>
      </c>
    </row>
    <row r="466" spans="1:2" x14ac:dyDescent="0.35">
      <c r="A466" t="s">
        <v>474</v>
      </c>
    </row>
    <row r="467" spans="1:2" x14ac:dyDescent="0.35">
      <c r="A467" t="s">
        <v>475</v>
      </c>
      <c r="B467" t="b">
        <v>0</v>
      </c>
    </row>
    <row r="468" spans="1:2" x14ac:dyDescent="0.35">
      <c r="A468" t="s">
        <v>86</v>
      </c>
    </row>
    <row r="469" spans="1:2" x14ac:dyDescent="0.35">
      <c r="A469" t="s">
        <v>1054</v>
      </c>
    </row>
    <row r="470" spans="1:2" x14ac:dyDescent="0.35">
      <c r="A470" t="s">
        <v>87</v>
      </c>
    </row>
    <row r="471" spans="1:2" x14ac:dyDescent="0.35">
      <c r="A471" t="s">
        <v>340</v>
      </c>
    </row>
    <row r="472" spans="1:2" x14ac:dyDescent="0.35">
      <c r="A472" t="s">
        <v>341</v>
      </c>
    </row>
    <row r="473" spans="1:2" x14ac:dyDescent="0.35">
      <c r="A473" t="s">
        <v>834</v>
      </c>
    </row>
    <row r="474" spans="1:2" x14ac:dyDescent="0.35">
      <c r="A474" t="s">
        <v>835</v>
      </c>
    </row>
    <row r="475" spans="1:2" x14ac:dyDescent="0.35">
      <c r="A475" t="s">
        <v>836</v>
      </c>
    </row>
    <row r="476" spans="1:2" x14ac:dyDescent="0.35">
      <c r="A476" t="s">
        <v>447</v>
      </c>
    </row>
    <row r="477" spans="1:2" x14ac:dyDescent="0.35">
      <c r="A477" t="s">
        <v>448</v>
      </c>
    </row>
    <row r="478" spans="1:2" x14ac:dyDescent="0.35">
      <c r="A478" t="s">
        <v>449</v>
      </c>
    </row>
    <row r="479" spans="1:2" x14ac:dyDescent="0.35">
      <c r="A479" t="s">
        <v>450</v>
      </c>
    </row>
    <row r="480" spans="1:2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2" x14ac:dyDescent="0.35">
      <c r="A497" t="s">
        <v>498</v>
      </c>
    </row>
    <row r="498" spans="1:2" x14ac:dyDescent="0.35">
      <c r="A498" t="s">
        <v>493</v>
      </c>
    </row>
    <row r="499" spans="1:2" x14ac:dyDescent="0.35">
      <c r="A499" t="s">
        <v>494</v>
      </c>
    </row>
    <row r="500" spans="1:2" x14ac:dyDescent="0.35">
      <c r="A500" t="s">
        <v>495</v>
      </c>
    </row>
    <row r="501" spans="1:2" x14ac:dyDescent="0.35">
      <c r="A501" t="s">
        <v>496</v>
      </c>
    </row>
    <row r="502" spans="1:2" x14ac:dyDescent="0.35">
      <c r="A502" t="s">
        <v>497</v>
      </c>
    </row>
    <row r="503" spans="1:2" x14ac:dyDescent="0.35">
      <c r="A503" t="s">
        <v>844</v>
      </c>
    </row>
    <row r="504" spans="1:2" x14ac:dyDescent="0.35">
      <c r="A504" t="s">
        <v>972</v>
      </c>
    </row>
    <row r="505" spans="1:2" x14ac:dyDescent="0.35">
      <c r="A505" t="s">
        <v>578</v>
      </c>
      <c r="B505">
        <v>41363</v>
      </c>
    </row>
    <row r="506" spans="1:2" x14ac:dyDescent="0.35">
      <c r="A506" t="s">
        <v>280</v>
      </c>
      <c r="B506">
        <v>1</v>
      </c>
    </row>
    <row r="507" spans="1:2" x14ac:dyDescent="0.35">
      <c r="A507" t="s">
        <v>930</v>
      </c>
      <c r="B507">
        <v>1</v>
      </c>
    </row>
    <row r="508" spans="1:2" x14ac:dyDescent="0.35">
      <c r="A508" t="s">
        <v>931</v>
      </c>
      <c r="B508">
        <v>1</v>
      </c>
    </row>
    <row r="509" spans="1:2" x14ac:dyDescent="0.35">
      <c r="A509" t="s">
        <v>932</v>
      </c>
      <c r="B509">
        <v>1</v>
      </c>
    </row>
    <row r="510" spans="1:2" x14ac:dyDescent="0.35">
      <c r="A510" t="s">
        <v>933</v>
      </c>
      <c r="B510">
        <v>1</v>
      </c>
    </row>
    <row r="511" spans="1:2" x14ac:dyDescent="0.35">
      <c r="A511" t="s">
        <v>934</v>
      </c>
      <c r="B511">
        <v>1</v>
      </c>
    </row>
    <row r="512" spans="1:2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2" x14ac:dyDescent="0.35">
      <c r="A529" t="s">
        <v>1145</v>
      </c>
    </row>
    <row r="530" spans="1:2" x14ac:dyDescent="0.35">
      <c r="A530" t="s">
        <v>644</v>
      </c>
    </row>
    <row r="531" spans="1:2" x14ac:dyDescent="0.35">
      <c r="A531" t="s">
        <v>1047</v>
      </c>
    </row>
    <row r="532" spans="1:2" x14ac:dyDescent="0.35">
      <c r="A532" t="s">
        <v>1048</v>
      </c>
    </row>
    <row r="533" spans="1:2" x14ac:dyDescent="0.35">
      <c r="A533" t="s">
        <v>1049</v>
      </c>
    </row>
    <row r="534" spans="1:2" x14ac:dyDescent="0.35">
      <c r="A534" t="s">
        <v>622</v>
      </c>
    </row>
    <row r="535" spans="1:2" x14ac:dyDescent="0.35">
      <c r="A535" t="s">
        <v>623</v>
      </c>
    </row>
    <row r="536" spans="1:2" x14ac:dyDescent="0.35">
      <c r="A536" t="s">
        <v>624</v>
      </c>
    </row>
    <row r="537" spans="1:2" x14ac:dyDescent="0.35">
      <c r="A537" t="s">
        <v>625</v>
      </c>
    </row>
    <row r="538" spans="1:2" x14ac:dyDescent="0.35">
      <c r="A538" t="s">
        <v>626</v>
      </c>
    </row>
    <row r="539" spans="1:2" x14ac:dyDescent="0.35">
      <c r="A539" t="s">
        <v>627</v>
      </c>
    </row>
    <row r="540" spans="1:2" x14ac:dyDescent="0.35">
      <c r="A540" t="s">
        <v>628</v>
      </c>
    </row>
    <row r="541" spans="1:2" x14ac:dyDescent="0.35">
      <c r="A541" t="s">
        <v>629</v>
      </c>
    </row>
    <row r="542" spans="1:2" x14ac:dyDescent="0.35">
      <c r="A542" t="s">
        <v>566</v>
      </c>
      <c r="B542" t="b">
        <v>0</v>
      </c>
    </row>
    <row r="543" spans="1:2" x14ac:dyDescent="0.35">
      <c r="A543" t="s">
        <v>1055</v>
      </c>
      <c r="B543">
        <v>1</v>
      </c>
    </row>
    <row r="544" spans="1:2" x14ac:dyDescent="0.35">
      <c r="A544" t="s">
        <v>576</v>
      </c>
      <c r="B544">
        <v>1</v>
      </c>
    </row>
    <row r="545" spans="1:2" x14ac:dyDescent="0.35">
      <c r="A545" t="s">
        <v>856</v>
      </c>
    </row>
    <row r="546" spans="1:2" x14ac:dyDescent="0.35">
      <c r="A546" t="s">
        <v>857</v>
      </c>
    </row>
    <row r="547" spans="1:2" x14ac:dyDescent="0.35">
      <c r="A547" t="s">
        <v>858</v>
      </c>
    </row>
    <row r="548" spans="1:2" x14ac:dyDescent="0.35">
      <c r="A548" t="s">
        <v>859</v>
      </c>
    </row>
    <row r="549" spans="1:2" x14ac:dyDescent="0.35">
      <c r="A549" t="s">
        <v>860</v>
      </c>
    </row>
    <row r="550" spans="1:2" x14ac:dyDescent="0.35">
      <c r="A550" t="s">
        <v>861</v>
      </c>
    </row>
    <row r="551" spans="1:2" x14ac:dyDescent="0.35">
      <c r="A551" t="s">
        <v>545</v>
      </c>
    </row>
    <row r="552" spans="1:2" x14ac:dyDescent="0.35">
      <c r="A552" t="s">
        <v>1070</v>
      </c>
    </row>
    <row r="553" spans="1:2" x14ac:dyDescent="0.35">
      <c r="A553" t="s">
        <v>1071</v>
      </c>
    </row>
    <row r="554" spans="1:2" x14ac:dyDescent="0.35">
      <c r="A554" t="s">
        <v>852</v>
      </c>
      <c r="B554">
        <v>0</v>
      </c>
    </row>
    <row r="555" spans="1:2" x14ac:dyDescent="0.35">
      <c r="A555" t="s">
        <v>821</v>
      </c>
      <c r="B555">
        <v>1</v>
      </c>
    </row>
    <row r="556" spans="1:2" x14ac:dyDescent="0.35">
      <c r="A556" t="s">
        <v>1141</v>
      </c>
      <c r="B556">
        <v>1</v>
      </c>
    </row>
    <row r="557" spans="1:2" x14ac:dyDescent="0.35">
      <c r="A557" t="s">
        <v>1056</v>
      </c>
    </row>
    <row r="558" spans="1:2" x14ac:dyDescent="0.35">
      <c r="A558" t="s">
        <v>459</v>
      </c>
    </row>
    <row r="559" spans="1:2" x14ac:dyDescent="0.35">
      <c r="A559" t="s">
        <v>460</v>
      </c>
    </row>
    <row r="560" spans="1:2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2" x14ac:dyDescent="0.35">
      <c r="A577" t="s">
        <v>76</v>
      </c>
    </row>
    <row r="578" spans="1:2" x14ac:dyDescent="0.35">
      <c r="A578" t="s">
        <v>1182</v>
      </c>
      <c r="B578">
        <v>1500</v>
      </c>
    </row>
    <row r="579" spans="1:2" x14ac:dyDescent="0.35">
      <c r="A579" t="s">
        <v>1183</v>
      </c>
      <c r="B579">
        <v>1500</v>
      </c>
    </row>
    <row r="580" spans="1:2" x14ac:dyDescent="0.35">
      <c r="A580" t="s">
        <v>1184</v>
      </c>
      <c r="B580">
        <v>1500</v>
      </c>
    </row>
    <row r="581" spans="1:2" x14ac:dyDescent="0.35">
      <c r="A581" t="s">
        <v>1185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507</v>
      </c>
      <c r="B587">
        <v>1500</v>
      </c>
    </row>
    <row r="588" spans="1:2" x14ac:dyDescent="0.35">
      <c r="A588" t="s">
        <v>508</v>
      </c>
      <c r="B588">
        <v>1500</v>
      </c>
    </row>
    <row r="589" spans="1:2" x14ac:dyDescent="0.35">
      <c r="A589" t="s">
        <v>509</v>
      </c>
      <c r="B589">
        <v>1500</v>
      </c>
    </row>
    <row r="590" spans="1:2" x14ac:dyDescent="0.35">
      <c r="A590" t="s">
        <v>81</v>
      </c>
      <c r="B590">
        <v>1500</v>
      </c>
    </row>
    <row r="591" spans="1:2" x14ac:dyDescent="0.35">
      <c r="A591" t="s">
        <v>82</v>
      </c>
      <c r="B591">
        <v>1500</v>
      </c>
    </row>
    <row r="592" spans="1:2" x14ac:dyDescent="0.35">
      <c r="A592" t="s">
        <v>83</v>
      </c>
      <c r="B592">
        <v>1500</v>
      </c>
    </row>
    <row r="593" spans="1:2" x14ac:dyDescent="0.35">
      <c r="A593" t="s">
        <v>84</v>
      </c>
      <c r="B593">
        <v>1500</v>
      </c>
    </row>
    <row r="594" spans="1:2" x14ac:dyDescent="0.35">
      <c r="A594" t="s">
        <v>769</v>
      </c>
      <c r="B594">
        <v>1500</v>
      </c>
    </row>
    <row r="595" spans="1:2" x14ac:dyDescent="0.35">
      <c r="A595" t="s">
        <v>770</v>
      </c>
      <c r="B595">
        <v>1500</v>
      </c>
    </row>
    <row r="596" spans="1:2" x14ac:dyDescent="0.35">
      <c r="A596" t="s">
        <v>771</v>
      </c>
      <c r="B596">
        <v>1500</v>
      </c>
    </row>
    <row r="597" spans="1:2" x14ac:dyDescent="0.35">
      <c r="A597" t="s">
        <v>772</v>
      </c>
      <c r="B597">
        <v>1500</v>
      </c>
    </row>
    <row r="598" spans="1:2" x14ac:dyDescent="0.35">
      <c r="A598" t="s">
        <v>612</v>
      </c>
      <c r="B598">
        <v>1</v>
      </c>
    </row>
    <row r="599" spans="1:2" x14ac:dyDescent="0.35">
      <c r="A599" t="s">
        <v>1057</v>
      </c>
    </row>
    <row r="600" spans="1:2" x14ac:dyDescent="0.35">
      <c r="A600" t="s">
        <v>1058</v>
      </c>
      <c r="B600" t="b">
        <v>0</v>
      </c>
    </row>
    <row r="601" spans="1:2" x14ac:dyDescent="0.35">
      <c r="A601" t="s">
        <v>1059</v>
      </c>
      <c r="B601">
        <v>1</v>
      </c>
    </row>
    <row r="602" spans="1:2" x14ac:dyDescent="0.35">
      <c r="A602" t="s">
        <v>436</v>
      </c>
      <c r="B602">
        <v>0</v>
      </c>
    </row>
    <row r="603" spans="1:2" x14ac:dyDescent="0.35">
      <c r="A603" t="s">
        <v>935</v>
      </c>
    </row>
    <row r="604" spans="1:2" x14ac:dyDescent="0.35">
      <c r="A604" t="s">
        <v>936</v>
      </c>
    </row>
    <row r="605" spans="1:2" x14ac:dyDescent="0.35">
      <c r="A605" t="s">
        <v>583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482</v>
      </c>
      <c r="B1" t="s">
        <v>483</v>
      </c>
      <c r="C1" t="s">
        <v>656</v>
      </c>
      <c r="T1">
        <v>0</v>
      </c>
    </row>
    <row r="2" spans="1:20" x14ac:dyDescent="0.35">
      <c r="A2" t="s">
        <v>1260</v>
      </c>
      <c r="B2" t="s">
        <v>773</v>
      </c>
      <c r="C2" t="s">
        <v>773</v>
      </c>
    </row>
    <row r="3" spans="1:20" x14ac:dyDescent="0.35">
      <c r="A3" t="s">
        <v>1261</v>
      </c>
      <c r="B3" t="s">
        <v>774</v>
      </c>
      <c r="C3" t="s">
        <v>774</v>
      </c>
    </row>
    <row r="4" spans="1:20" x14ac:dyDescent="0.35">
      <c r="A4" t="s">
        <v>1009</v>
      </c>
      <c r="B4" t="b">
        <v>0</v>
      </c>
      <c r="C4" t="b">
        <v>0</v>
      </c>
    </row>
    <row r="5" spans="1:20" x14ac:dyDescent="0.35">
      <c r="A5" t="s">
        <v>1010</v>
      </c>
    </row>
    <row r="6" spans="1:20" x14ac:dyDescent="0.35">
      <c r="A6" t="s">
        <v>780</v>
      </c>
      <c r="B6" t="b">
        <v>1</v>
      </c>
      <c r="C6" t="b">
        <v>1</v>
      </c>
    </row>
    <row r="7" spans="1:20" x14ac:dyDescent="0.35">
      <c r="A7" t="s">
        <v>1061</v>
      </c>
    </row>
    <row r="8" spans="1:20" x14ac:dyDescent="0.35">
      <c r="A8" t="s">
        <v>967</v>
      </c>
    </row>
    <row r="9" spans="1:20" x14ac:dyDescent="0.35">
      <c r="A9" t="s">
        <v>968</v>
      </c>
    </row>
    <row r="10" spans="1:20" x14ac:dyDescent="0.35">
      <c r="A10" t="s">
        <v>969</v>
      </c>
    </row>
    <row r="11" spans="1:20" x14ac:dyDescent="0.35">
      <c r="A11" t="s">
        <v>970</v>
      </c>
    </row>
    <row r="12" spans="1:20" x14ac:dyDescent="0.35">
      <c r="A12" t="s">
        <v>990</v>
      </c>
    </row>
    <row r="13" spans="1:20" x14ac:dyDescent="0.35">
      <c r="A13" t="s">
        <v>991</v>
      </c>
    </row>
    <row r="14" spans="1:20" x14ac:dyDescent="0.35">
      <c r="A14" t="s">
        <v>1006</v>
      </c>
    </row>
    <row r="15" spans="1:20" x14ac:dyDescent="0.35">
      <c r="A15" t="s">
        <v>1007</v>
      </c>
    </row>
    <row r="16" spans="1:20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3" x14ac:dyDescent="0.35">
      <c r="A49" t="s">
        <v>221</v>
      </c>
    </row>
    <row r="50" spans="1:3" x14ac:dyDescent="0.35">
      <c r="A50" t="s">
        <v>222</v>
      </c>
    </row>
    <row r="51" spans="1:3" x14ac:dyDescent="0.35">
      <c r="A51" t="s">
        <v>223</v>
      </c>
    </row>
    <row r="52" spans="1:3" x14ac:dyDescent="0.35">
      <c r="A52" t="s">
        <v>224</v>
      </c>
    </row>
    <row r="53" spans="1:3" x14ac:dyDescent="0.35">
      <c r="A53" t="s">
        <v>225</v>
      </c>
    </row>
    <row r="54" spans="1:3" x14ac:dyDescent="0.35">
      <c r="A54" t="s">
        <v>617</v>
      </c>
    </row>
    <row r="55" spans="1:3" x14ac:dyDescent="0.35">
      <c r="A55" t="s">
        <v>618</v>
      </c>
    </row>
    <row r="56" spans="1:3" x14ac:dyDescent="0.35">
      <c r="A56" t="s">
        <v>639</v>
      </c>
    </row>
    <row r="57" spans="1:3" x14ac:dyDescent="0.35">
      <c r="A57" t="s">
        <v>428</v>
      </c>
      <c r="B57">
        <v>1</v>
      </c>
      <c r="C57">
        <v>1</v>
      </c>
    </row>
    <row r="58" spans="1:3" x14ac:dyDescent="0.35">
      <c r="A58" t="s">
        <v>429</v>
      </c>
    </row>
    <row r="59" spans="1:3" x14ac:dyDescent="0.35">
      <c r="A59" t="s">
        <v>430</v>
      </c>
    </row>
    <row r="60" spans="1:3" x14ac:dyDescent="0.35">
      <c r="A60" t="s">
        <v>431</v>
      </c>
    </row>
    <row r="61" spans="1:3" x14ac:dyDescent="0.35">
      <c r="A61" t="s">
        <v>581</v>
      </c>
      <c r="B61">
        <v>40909</v>
      </c>
      <c r="C61">
        <v>40909</v>
      </c>
    </row>
    <row r="62" spans="1:3" x14ac:dyDescent="0.35">
      <c r="A62" t="s">
        <v>786</v>
      </c>
      <c r="B62">
        <v>100</v>
      </c>
      <c r="C62">
        <v>100</v>
      </c>
    </row>
    <row r="63" spans="1:3" x14ac:dyDescent="0.35">
      <c r="A63" t="s">
        <v>418</v>
      </c>
      <c r="B63">
        <v>1</v>
      </c>
      <c r="C63">
        <v>1</v>
      </c>
    </row>
    <row r="64" spans="1:3" x14ac:dyDescent="0.35">
      <c r="A64" t="s">
        <v>419</v>
      </c>
      <c r="B64">
        <v>1</v>
      </c>
      <c r="C64">
        <v>1</v>
      </c>
    </row>
    <row r="65" spans="1:3" x14ac:dyDescent="0.35">
      <c r="A65" t="s">
        <v>420</v>
      </c>
      <c r="B65">
        <v>1</v>
      </c>
      <c r="C65">
        <v>1</v>
      </c>
    </row>
    <row r="66" spans="1:3" x14ac:dyDescent="0.35">
      <c r="A66" t="s">
        <v>421</v>
      </c>
      <c r="B66">
        <v>1</v>
      </c>
      <c r="C66">
        <v>1</v>
      </c>
    </row>
    <row r="67" spans="1:3" x14ac:dyDescent="0.35">
      <c r="A67" t="s">
        <v>422</v>
      </c>
      <c r="B67">
        <v>1</v>
      </c>
      <c r="C67">
        <v>1</v>
      </c>
    </row>
    <row r="68" spans="1:3" x14ac:dyDescent="0.35">
      <c r="A68" t="s">
        <v>1015</v>
      </c>
      <c r="B68">
        <v>1</v>
      </c>
      <c r="C68">
        <v>1</v>
      </c>
    </row>
    <row r="69" spans="1:3" x14ac:dyDescent="0.35">
      <c r="A69" t="s">
        <v>391</v>
      </c>
      <c r="B69" t="b">
        <v>0</v>
      </c>
      <c r="C69" t="b">
        <v>0</v>
      </c>
    </row>
    <row r="70" spans="1:3" x14ac:dyDescent="0.35">
      <c r="A70" t="s">
        <v>984</v>
      </c>
    </row>
    <row r="71" spans="1:3" x14ac:dyDescent="0.35">
      <c r="A71" t="s">
        <v>392</v>
      </c>
    </row>
    <row r="72" spans="1:3" x14ac:dyDescent="0.35">
      <c r="A72" t="s">
        <v>985</v>
      </c>
    </row>
    <row r="73" spans="1:3" x14ac:dyDescent="0.35">
      <c r="A73" t="s">
        <v>432</v>
      </c>
      <c r="B73">
        <v>1</v>
      </c>
      <c r="C73">
        <v>1</v>
      </c>
    </row>
    <row r="74" spans="1:3" x14ac:dyDescent="0.35">
      <c r="A74" t="s">
        <v>433</v>
      </c>
    </row>
    <row r="75" spans="1:3" x14ac:dyDescent="0.35">
      <c r="A75" t="s">
        <v>434</v>
      </c>
    </row>
    <row r="76" spans="1:3" x14ac:dyDescent="0.35">
      <c r="A76" t="s">
        <v>435</v>
      </c>
    </row>
    <row r="77" spans="1:3" x14ac:dyDescent="0.35">
      <c r="A77" t="s">
        <v>867</v>
      </c>
      <c r="B77" t="b">
        <v>0</v>
      </c>
      <c r="C77" t="b">
        <v>0</v>
      </c>
    </row>
    <row r="78" spans="1:3" x14ac:dyDescent="0.35">
      <c r="A78" t="s">
        <v>104</v>
      </c>
    </row>
    <row r="79" spans="1:3" x14ac:dyDescent="0.35">
      <c r="A79" t="s">
        <v>313</v>
      </c>
    </row>
    <row r="80" spans="1:3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3" x14ac:dyDescent="0.35">
      <c r="A257" t="s">
        <v>309</v>
      </c>
    </row>
    <row r="258" spans="1:3" x14ac:dyDescent="0.35">
      <c r="A258" t="s">
        <v>310</v>
      </c>
    </row>
    <row r="259" spans="1:3" x14ac:dyDescent="0.35">
      <c r="A259" t="s">
        <v>311</v>
      </c>
    </row>
    <row r="260" spans="1:3" x14ac:dyDescent="0.35">
      <c r="A260" t="s">
        <v>312</v>
      </c>
    </row>
    <row r="261" spans="1:3" x14ac:dyDescent="0.35">
      <c r="A261" t="s">
        <v>1037</v>
      </c>
    </row>
    <row r="262" spans="1:3" x14ac:dyDescent="0.35">
      <c r="A262" t="s">
        <v>414</v>
      </c>
    </row>
    <row r="263" spans="1:3" x14ac:dyDescent="0.35">
      <c r="A263" t="s">
        <v>415</v>
      </c>
    </row>
    <row r="264" spans="1:3" x14ac:dyDescent="0.35">
      <c r="A264" t="s">
        <v>416</v>
      </c>
    </row>
    <row r="265" spans="1:3" x14ac:dyDescent="0.35">
      <c r="A265" t="s">
        <v>417</v>
      </c>
    </row>
    <row r="266" spans="1:3" x14ac:dyDescent="0.35">
      <c r="A266" t="s">
        <v>826</v>
      </c>
    </row>
    <row r="267" spans="1:3" x14ac:dyDescent="0.35">
      <c r="A267" t="s">
        <v>827</v>
      </c>
    </row>
    <row r="268" spans="1:3" x14ac:dyDescent="0.35">
      <c r="A268" t="s">
        <v>377</v>
      </c>
      <c r="B268">
        <v>80</v>
      </c>
      <c r="C268">
        <v>80</v>
      </c>
    </row>
    <row r="269" spans="1:3" x14ac:dyDescent="0.35">
      <c r="A269" t="s">
        <v>929</v>
      </c>
      <c r="B269">
        <v>0</v>
      </c>
      <c r="C269">
        <v>0</v>
      </c>
    </row>
    <row r="270" spans="1:3" x14ac:dyDescent="0.35">
      <c r="A270" t="s">
        <v>119</v>
      </c>
    </row>
    <row r="271" spans="1:3" x14ac:dyDescent="0.35">
      <c r="A271" t="s">
        <v>120</v>
      </c>
    </row>
    <row r="272" spans="1:3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3" x14ac:dyDescent="0.35">
      <c r="A305" t="s">
        <v>469</v>
      </c>
    </row>
    <row r="306" spans="1:3" x14ac:dyDescent="0.35">
      <c r="A306" t="s">
        <v>470</v>
      </c>
    </row>
    <row r="307" spans="1:3" x14ac:dyDescent="0.35">
      <c r="A307" t="s">
        <v>1038</v>
      </c>
    </row>
    <row r="308" spans="1:3" x14ac:dyDescent="0.35">
      <c r="A308" t="s">
        <v>1039</v>
      </c>
    </row>
    <row r="309" spans="1:3" x14ac:dyDescent="0.35">
      <c r="A309" t="s">
        <v>1040</v>
      </c>
    </row>
    <row r="310" spans="1:3" x14ac:dyDescent="0.35">
      <c r="A310" t="s">
        <v>1041</v>
      </c>
      <c r="B310">
        <v>1</v>
      </c>
      <c r="C310">
        <v>1</v>
      </c>
    </row>
    <row r="311" spans="1:3" x14ac:dyDescent="0.35">
      <c r="A311" t="s">
        <v>1042</v>
      </c>
      <c r="B311">
        <v>1</v>
      </c>
      <c r="C311">
        <v>1</v>
      </c>
    </row>
    <row r="312" spans="1:3" x14ac:dyDescent="0.35">
      <c r="A312" t="s">
        <v>1043</v>
      </c>
    </row>
    <row r="313" spans="1:3" x14ac:dyDescent="0.35">
      <c r="A313" t="s">
        <v>1044</v>
      </c>
    </row>
    <row r="314" spans="1:3" x14ac:dyDescent="0.35">
      <c r="A314" t="s">
        <v>1045</v>
      </c>
    </row>
    <row r="315" spans="1:3" x14ac:dyDescent="0.35">
      <c r="A315" t="s">
        <v>1099</v>
      </c>
    </row>
    <row r="316" spans="1:3" x14ac:dyDescent="0.35">
      <c r="A316" t="s">
        <v>1100</v>
      </c>
    </row>
    <row r="317" spans="1:3" x14ac:dyDescent="0.35">
      <c r="A317" t="s">
        <v>1101</v>
      </c>
      <c r="B317">
        <v>1</v>
      </c>
      <c r="C317">
        <v>1</v>
      </c>
    </row>
    <row r="318" spans="1:3" x14ac:dyDescent="0.35">
      <c r="A318" t="s">
        <v>1102</v>
      </c>
      <c r="B318">
        <v>1</v>
      </c>
      <c r="C318">
        <v>1</v>
      </c>
    </row>
    <row r="319" spans="1:3" x14ac:dyDescent="0.35">
      <c r="A319" t="s">
        <v>1103</v>
      </c>
      <c r="B319">
        <v>1</v>
      </c>
      <c r="C319">
        <v>1</v>
      </c>
    </row>
    <row r="320" spans="1:3" x14ac:dyDescent="0.35">
      <c r="A320" t="s">
        <v>1104</v>
      </c>
      <c r="B320">
        <v>1</v>
      </c>
      <c r="C320">
        <v>1</v>
      </c>
    </row>
    <row r="321" spans="1:3" x14ac:dyDescent="0.35">
      <c r="A321" t="s">
        <v>1105</v>
      </c>
      <c r="B321">
        <v>1</v>
      </c>
      <c r="C321">
        <v>1</v>
      </c>
    </row>
    <row r="322" spans="1:3" x14ac:dyDescent="0.35">
      <c r="A322" t="s">
        <v>631</v>
      </c>
      <c r="B322">
        <v>1</v>
      </c>
      <c r="C322">
        <v>1</v>
      </c>
    </row>
    <row r="323" spans="1:3" x14ac:dyDescent="0.35">
      <c r="A323" t="s">
        <v>632</v>
      </c>
      <c r="B323">
        <v>1</v>
      </c>
      <c r="C323">
        <v>1</v>
      </c>
    </row>
    <row r="324" spans="1:3" x14ac:dyDescent="0.35">
      <c r="A324" t="s">
        <v>633</v>
      </c>
      <c r="B324">
        <v>1</v>
      </c>
      <c r="C324">
        <v>1</v>
      </c>
    </row>
    <row r="325" spans="1:3" x14ac:dyDescent="0.35">
      <c r="A325" t="s">
        <v>634</v>
      </c>
    </row>
    <row r="326" spans="1:3" x14ac:dyDescent="0.35">
      <c r="A326" t="s">
        <v>635</v>
      </c>
    </row>
    <row r="327" spans="1:3" x14ac:dyDescent="0.35">
      <c r="A327" t="s">
        <v>636</v>
      </c>
    </row>
    <row r="328" spans="1:3" x14ac:dyDescent="0.35">
      <c r="A328" t="s">
        <v>637</v>
      </c>
    </row>
    <row r="329" spans="1:3" x14ac:dyDescent="0.35">
      <c r="A329" t="s">
        <v>638</v>
      </c>
    </row>
    <row r="330" spans="1:3" x14ac:dyDescent="0.35">
      <c r="A330" t="s">
        <v>1011</v>
      </c>
      <c r="B330">
        <v>1</v>
      </c>
      <c r="C330">
        <v>1</v>
      </c>
    </row>
    <row r="331" spans="1:3" x14ac:dyDescent="0.35">
      <c r="A331" t="s">
        <v>1012</v>
      </c>
      <c r="B331">
        <v>1</v>
      </c>
      <c r="C331">
        <v>1</v>
      </c>
    </row>
    <row r="332" spans="1:3" x14ac:dyDescent="0.35">
      <c r="A332" t="s">
        <v>1013</v>
      </c>
      <c r="B332">
        <v>1</v>
      </c>
      <c r="C332">
        <v>1</v>
      </c>
    </row>
    <row r="333" spans="1:3" x14ac:dyDescent="0.35">
      <c r="A333" t="s">
        <v>898</v>
      </c>
      <c r="B333">
        <v>1</v>
      </c>
      <c r="C333">
        <v>1</v>
      </c>
    </row>
    <row r="334" spans="1:3" x14ac:dyDescent="0.35">
      <c r="A334" t="s">
        <v>986</v>
      </c>
      <c r="B334">
        <v>1</v>
      </c>
      <c r="C334">
        <v>1</v>
      </c>
    </row>
    <row r="335" spans="1:3" x14ac:dyDescent="0.35">
      <c r="A335" t="s">
        <v>987</v>
      </c>
      <c r="B335">
        <v>1</v>
      </c>
      <c r="C335">
        <v>1</v>
      </c>
    </row>
    <row r="336" spans="1:3" x14ac:dyDescent="0.35">
      <c r="A336" t="s">
        <v>988</v>
      </c>
      <c r="B336">
        <v>1</v>
      </c>
      <c r="C336">
        <v>1</v>
      </c>
    </row>
    <row r="337" spans="1:3" x14ac:dyDescent="0.35">
      <c r="A337" t="s">
        <v>989</v>
      </c>
      <c r="B337">
        <v>1</v>
      </c>
      <c r="C337">
        <v>1</v>
      </c>
    </row>
    <row r="338" spans="1:3" x14ac:dyDescent="0.35">
      <c r="A338" t="s">
        <v>896</v>
      </c>
      <c r="B338">
        <v>1</v>
      </c>
      <c r="C338">
        <v>1</v>
      </c>
    </row>
    <row r="339" spans="1:3" x14ac:dyDescent="0.35">
      <c r="A339" t="s">
        <v>897</v>
      </c>
      <c r="B339">
        <v>1</v>
      </c>
      <c r="C339">
        <v>1</v>
      </c>
    </row>
    <row r="340" spans="1:3" x14ac:dyDescent="0.35">
      <c r="A340" t="s">
        <v>892</v>
      </c>
      <c r="B340">
        <v>1</v>
      </c>
      <c r="C340">
        <v>1</v>
      </c>
    </row>
    <row r="341" spans="1:3" x14ac:dyDescent="0.35">
      <c r="A341" t="s">
        <v>893</v>
      </c>
      <c r="B341">
        <v>1</v>
      </c>
      <c r="C341">
        <v>1</v>
      </c>
    </row>
    <row r="342" spans="1:3" x14ac:dyDescent="0.35">
      <c r="A342" t="s">
        <v>894</v>
      </c>
      <c r="B342">
        <v>1</v>
      </c>
      <c r="C342">
        <v>1</v>
      </c>
    </row>
    <row r="343" spans="1:3" x14ac:dyDescent="0.35">
      <c r="A343" t="s">
        <v>885</v>
      </c>
      <c r="B343">
        <v>1</v>
      </c>
      <c r="C343">
        <v>1</v>
      </c>
    </row>
    <row r="344" spans="1:3" x14ac:dyDescent="0.35">
      <c r="A344" t="s">
        <v>886</v>
      </c>
      <c r="B344">
        <v>1</v>
      </c>
      <c r="C344">
        <v>1</v>
      </c>
    </row>
    <row r="345" spans="1:3" x14ac:dyDescent="0.35">
      <c r="A345" t="s">
        <v>887</v>
      </c>
      <c r="B345">
        <v>1</v>
      </c>
      <c r="C345">
        <v>1</v>
      </c>
    </row>
    <row r="346" spans="1:3" x14ac:dyDescent="0.35">
      <c r="A346" t="s">
        <v>888</v>
      </c>
    </row>
    <row r="347" spans="1:3" x14ac:dyDescent="0.35">
      <c r="A347" t="s">
        <v>889</v>
      </c>
    </row>
    <row r="348" spans="1:3" x14ac:dyDescent="0.35">
      <c r="A348" t="s">
        <v>1072</v>
      </c>
    </row>
    <row r="349" spans="1:3" x14ac:dyDescent="0.35">
      <c r="A349" t="s">
        <v>1073</v>
      </c>
    </row>
    <row r="350" spans="1:3" x14ac:dyDescent="0.35">
      <c r="A350" t="s">
        <v>1074</v>
      </c>
    </row>
    <row r="351" spans="1:3" x14ac:dyDescent="0.35">
      <c r="A351" t="s">
        <v>1075</v>
      </c>
    </row>
    <row r="352" spans="1:3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4" x14ac:dyDescent="0.35">
      <c r="A369" t="s">
        <v>336</v>
      </c>
      <c r="D369">
        <v>50</v>
      </c>
    </row>
    <row r="370" spans="1:4" x14ac:dyDescent="0.35">
      <c r="A370" t="s">
        <v>813</v>
      </c>
      <c r="D370">
        <v>50</v>
      </c>
    </row>
    <row r="371" spans="1:4" x14ac:dyDescent="0.35">
      <c r="A371" t="s">
        <v>814</v>
      </c>
      <c r="D371">
        <v>50</v>
      </c>
    </row>
    <row r="372" spans="1:4" x14ac:dyDescent="0.35">
      <c r="A372" t="s">
        <v>815</v>
      </c>
      <c r="D372">
        <v>50</v>
      </c>
    </row>
    <row r="373" spans="1:4" x14ac:dyDescent="0.35">
      <c r="A373" t="s">
        <v>526</v>
      </c>
      <c r="D373">
        <v>50</v>
      </c>
    </row>
    <row r="374" spans="1:4" x14ac:dyDescent="0.35">
      <c r="A374" t="s">
        <v>527</v>
      </c>
      <c r="D374">
        <v>50</v>
      </c>
    </row>
    <row r="375" spans="1:4" x14ac:dyDescent="0.35">
      <c r="A375" t="s">
        <v>528</v>
      </c>
      <c r="D375">
        <v>50</v>
      </c>
    </row>
    <row r="376" spans="1:4" x14ac:dyDescent="0.35">
      <c r="A376" t="s">
        <v>529</v>
      </c>
      <c r="D376">
        <v>50</v>
      </c>
    </row>
    <row r="377" spans="1:4" x14ac:dyDescent="0.35">
      <c r="A377" t="s">
        <v>530</v>
      </c>
    </row>
    <row r="378" spans="1:4" x14ac:dyDescent="0.35">
      <c r="A378" t="s">
        <v>531</v>
      </c>
      <c r="D378">
        <v>50</v>
      </c>
    </row>
    <row r="379" spans="1:4" x14ac:dyDescent="0.35">
      <c r="A379" t="s">
        <v>532</v>
      </c>
    </row>
    <row r="380" spans="1:4" x14ac:dyDescent="0.35">
      <c r="A380" t="s">
        <v>533</v>
      </c>
      <c r="D380">
        <v>50</v>
      </c>
    </row>
    <row r="381" spans="1:4" x14ac:dyDescent="0.35">
      <c r="A381" t="s">
        <v>534</v>
      </c>
    </row>
    <row r="382" spans="1:4" x14ac:dyDescent="0.35">
      <c r="A382" t="s">
        <v>535</v>
      </c>
      <c r="D382">
        <v>50</v>
      </c>
    </row>
    <row r="383" spans="1:4" x14ac:dyDescent="0.35">
      <c r="A383" t="s">
        <v>536</v>
      </c>
      <c r="D383">
        <v>50</v>
      </c>
    </row>
    <row r="384" spans="1:4" x14ac:dyDescent="0.35">
      <c r="A384" t="s">
        <v>537</v>
      </c>
      <c r="D384">
        <v>50</v>
      </c>
    </row>
    <row r="385" spans="1:4" x14ac:dyDescent="0.35">
      <c r="A385" t="s">
        <v>538</v>
      </c>
      <c r="D385">
        <v>50</v>
      </c>
    </row>
    <row r="386" spans="1:4" x14ac:dyDescent="0.35">
      <c r="A386" t="s">
        <v>539</v>
      </c>
      <c r="D386">
        <v>50</v>
      </c>
    </row>
    <row r="387" spans="1:4" x14ac:dyDescent="0.35">
      <c r="A387" t="s">
        <v>540</v>
      </c>
      <c r="D387">
        <v>50</v>
      </c>
    </row>
    <row r="388" spans="1:4" x14ac:dyDescent="0.35">
      <c r="A388" t="s">
        <v>541</v>
      </c>
      <c r="D388">
        <v>50</v>
      </c>
    </row>
    <row r="389" spans="1:4" x14ac:dyDescent="0.35">
      <c r="A389" t="s">
        <v>542</v>
      </c>
      <c r="D389">
        <v>50</v>
      </c>
    </row>
    <row r="390" spans="1:4" x14ac:dyDescent="0.35">
      <c r="A390" t="s">
        <v>543</v>
      </c>
      <c r="D390">
        <v>50</v>
      </c>
    </row>
    <row r="391" spans="1:4" x14ac:dyDescent="0.35">
      <c r="A391" t="s">
        <v>544</v>
      </c>
      <c r="D391">
        <v>50</v>
      </c>
    </row>
    <row r="392" spans="1:4" x14ac:dyDescent="0.35">
      <c r="A392" t="s">
        <v>832</v>
      </c>
    </row>
    <row r="393" spans="1:4" x14ac:dyDescent="0.35">
      <c r="A393" t="s">
        <v>833</v>
      </c>
    </row>
    <row r="394" spans="1:4" x14ac:dyDescent="0.35">
      <c r="A394" t="s">
        <v>1050</v>
      </c>
    </row>
    <row r="395" spans="1:4" x14ac:dyDescent="0.35">
      <c r="A395" t="s">
        <v>671</v>
      </c>
    </row>
    <row r="396" spans="1:4" x14ac:dyDescent="0.35">
      <c r="A396" t="s">
        <v>672</v>
      </c>
    </row>
    <row r="397" spans="1:4" x14ac:dyDescent="0.35">
      <c r="A397" t="s">
        <v>484</v>
      </c>
    </row>
    <row r="398" spans="1:4" x14ac:dyDescent="0.35">
      <c r="A398" t="s">
        <v>485</v>
      </c>
    </row>
    <row r="399" spans="1:4" x14ac:dyDescent="0.35">
      <c r="A399" t="s">
        <v>486</v>
      </c>
    </row>
    <row r="400" spans="1:4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3" x14ac:dyDescent="0.35">
      <c r="A417" t="s">
        <v>207</v>
      </c>
    </row>
    <row r="418" spans="1:3" x14ac:dyDescent="0.35">
      <c r="A418" t="s">
        <v>90</v>
      </c>
    </row>
    <row r="419" spans="1:3" x14ac:dyDescent="0.35">
      <c r="A419" t="s">
        <v>91</v>
      </c>
    </row>
    <row r="420" spans="1:3" x14ac:dyDescent="0.35">
      <c r="A420" t="s">
        <v>877</v>
      </c>
    </row>
    <row r="421" spans="1:3" x14ac:dyDescent="0.35">
      <c r="A421" t="s">
        <v>878</v>
      </c>
    </row>
    <row r="422" spans="1:3" x14ac:dyDescent="0.35">
      <c r="A422" t="s">
        <v>879</v>
      </c>
    </row>
    <row r="423" spans="1:3" x14ac:dyDescent="0.35">
      <c r="A423" t="s">
        <v>825</v>
      </c>
    </row>
    <row r="424" spans="1:3" x14ac:dyDescent="0.35">
      <c r="A424" t="s">
        <v>863</v>
      </c>
    </row>
    <row r="425" spans="1:3" x14ac:dyDescent="0.35">
      <c r="A425" t="s">
        <v>667</v>
      </c>
      <c r="B425">
        <v>1</v>
      </c>
      <c r="C425">
        <v>1</v>
      </c>
    </row>
    <row r="426" spans="1:3" x14ac:dyDescent="0.35">
      <c r="A426" t="s">
        <v>668</v>
      </c>
      <c r="B426">
        <v>1</v>
      </c>
      <c r="C426">
        <v>1</v>
      </c>
    </row>
    <row r="427" spans="1:3" x14ac:dyDescent="0.35">
      <c r="A427" t="s">
        <v>669</v>
      </c>
      <c r="B427">
        <v>1</v>
      </c>
      <c r="C427">
        <v>1</v>
      </c>
    </row>
    <row r="428" spans="1:3" x14ac:dyDescent="0.35">
      <c r="A428" t="s">
        <v>670</v>
      </c>
      <c r="B428">
        <v>1</v>
      </c>
      <c r="C428">
        <v>1</v>
      </c>
    </row>
    <row r="429" spans="1:3" x14ac:dyDescent="0.35">
      <c r="A429" t="s">
        <v>1063</v>
      </c>
      <c r="B429">
        <v>1</v>
      </c>
      <c r="C429">
        <v>1</v>
      </c>
    </row>
    <row r="430" spans="1:3" x14ac:dyDescent="0.35">
      <c r="A430" t="s">
        <v>1064</v>
      </c>
      <c r="B430">
        <v>1</v>
      </c>
      <c r="C430">
        <v>1</v>
      </c>
    </row>
    <row r="431" spans="1:3" x14ac:dyDescent="0.35">
      <c r="A431" t="s">
        <v>1065</v>
      </c>
      <c r="B431">
        <v>1</v>
      </c>
      <c r="C431">
        <v>1</v>
      </c>
    </row>
    <row r="432" spans="1:3" x14ac:dyDescent="0.35">
      <c r="A432" t="s">
        <v>1066</v>
      </c>
      <c r="B432">
        <v>1</v>
      </c>
      <c r="C432">
        <v>1</v>
      </c>
    </row>
    <row r="433" spans="1:3" x14ac:dyDescent="0.35">
      <c r="A433" t="s">
        <v>1067</v>
      </c>
      <c r="B433">
        <v>1</v>
      </c>
      <c r="C433">
        <v>1</v>
      </c>
    </row>
    <row r="434" spans="1:3" x14ac:dyDescent="0.35">
      <c r="A434" t="s">
        <v>1085</v>
      </c>
      <c r="B434">
        <v>1</v>
      </c>
      <c r="C434">
        <v>1</v>
      </c>
    </row>
    <row r="435" spans="1:3" x14ac:dyDescent="0.35">
      <c r="A435" t="s">
        <v>1086</v>
      </c>
      <c r="B435">
        <v>1</v>
      </c>
      <c r="C435">
        <v>1</v>
      </c>
    </row>
    <row r="436" spans="1:3" x14ac:dyDescent="0.35">
      <c r="A436" t="s">
        <v>1087</v>
      </c>
      <c r="B436">
        <v>1</v>
      </c>
      <c r="C436">
        <v>1</v>
      </c>
    </row>
    <row r="437" spans="1:3" x14ac:dyDescent="0.35">
      <c r="A437" t="s">
        <v>1088</v>
      </c>
      <c r="B437">
        <v>1</v>
      </c>
      <c r="C437">
        <v>1</v>
      </c>
    </row>
    <row r="438" spans="1:3" x14ac:dyDescent="0.35">
      <c r="A438" t="s">
        <v>1089</v>
      </c>
      <c r="B438">
        <v>1</v>
      </c>
      <c r="C438">
        <v>1</v>
      </c>
    </row>
    <row r="439" spans="1:3" x14ac:dyDescent="0.35">
      <c r="A439" t="s">
        <v>1090</v>
      </c>
      <c r="B439">
        <v>1</v>
      </c>
      <c r="C439">
        <v>1</v>
      </c>
    </row>
    <row r="440" spans="1:3" x14ac:dyDescent="0.35">
      <c r="A440" t="s">
        <v>1091</v>
      </c>
      <c r="B440">
        <v>1</v>
      </c>
      <c r="C440">
        <v>1</v>
      </c>
    </row>
    <row r="441" spans="1:3" x14ac:dyDescent="0.35">
      <c r="A441" t="s">
        <v>910</v>
      </c>
      <c r="B441">
        <v>1</v>
      </c>
      <c r="C441">
        <v>1</v>
      </c>
    </row>
    <row r="442" spans="1:3" x14ac:dyDescent="0.35">
      <c r="A442" t="s">
        <v>993</v>
      </c>
      <c r="B442">
        <v>1</v>
      </c>
      <c r="C442">
        <v>1</v>
      </c>
    </row>
    <row r="443" spans="1:3" x14ac:dyDescent="0.35">
      <c r="A443" t="s">
        <v>994</v>
      </c>
      <c r="B443">
        <v>1</v>
      </c>
      <c r="C443">
        <v>1</v>
      </c>
    </row>
    <row r="444" spans="1:3" x14ac:dyDescent="0.35">
      <c r="A444" t="s">
        <v>995</v>
      </c>
      <c r="B444">
        <v>1</v>
      </c>
      <c r="C444">
        <v>1</v>
      </c>
    </row>
    <row r="445" spans="1:3" x14ac:dyDescent="0.35">
      <c r="A445" t="s">
        <v>996</v>
      </c>
    </row>
    <row r="446" spans="1:3" x14ac:dyDescent="0.35">
      <c r="A446" t="s">
        <v>997</v>
      </c>
    </row>
    <row r="447" spans="1:3" x14ac:dyDescent="0.35">
      <c r="A447" t="s">
        <v>547</v>
      </c>
    </row>
    <row r="448" spans="1:3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3" x14ac:dyDescent="0.35">
      <c r="A465" t="s">
        <v>473</v>
      </c>
      <c r="B465" t="b">
        <v>0</v>
      </c>
      <c r="C465" t="b">
        <v>0</v>
      </c>
    </row>
    <row r="466" spans="1:3" x14ac:dyDescent="0.35">
      <c r="A466" t="s">
        <v>474</v>
      </c>
    </row>
    <row r="467" spans="1:3" x14ac:dyDescent="0.35">
      <c r="A467" t="s">
        <v>475</v>
      </c>
      <c r="B467" t="b">
        <v>0</v>
      </c>
      <c r="C467" t="b">
        <v>0</v>
      </c>
    </row>
    <row r="468" spans="1:3" x14ac:dyDescent="0.35">
      <c r="A468" t="s">
        <v>86</v>
      </c>
    </row>
    <row r="469" spans="1:3" x14ac:dyDescent="0.35">
      <c r="A469" t="s">
        <v>1054</v>
      </c>
    </row>
    <row r="470" spans="1:3" x14ac:dyDescent="0.35">
      <c r="A470" t="s">
        <v>87</v>
      </c>
    </row>
    <row r="471" spans="1:3" x14ac:dyDescent="0.35">
      <c r="A471" t="s">
        <v>340</v>
      </c>
    </row>
    <row r="472" spans="1:3" x14ac:dyDescent="0.35">
      <c r="A472" t="s">
        <v>341</v>
      </c>
    </row>
    <row r="473" spans="1:3" x14ac:dyDescent="0.35">
      <c r="A473" t="s">
        <v>834</v>
      </c>
    </row>
    <row r="474" spans="1:3" x14ac:dyDescent="0.35">
      <c r="A474" t="s">
        <v>835</v>
      </c>
    </row>
    <row r="475" spans="1:3" x14ac:dyDescent="0.35">
      <c r="A475" t="s">
        <v>836</v>
      </c>
    </row>
    <row r="476" spans="1:3" x14ac:dyDescent="0.35">
      <c r="A476" t="s">
        <v>447</v>
      </c>
    </row>
    <row r="477" spans="1:3" x14ac:dyDescent="0.35">
      <c r="A477" t="s">
        <v>448</v>
      </c>
    </row>
    <row r="478" spans="1:3" x14ac:dyDescent="0.35">
      <c r="A478" t="s">
        <v>449</v>
      </c>
    </row>
    <row r="479" spans="1:3" x14ac:dyDescent="0.35">
      <c r="A479" t="s">
        <v>450</v>
      </c>
    </row>
    <row r="480" spans="1:3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3" x14ac:dyDescent="0.35">
      <c r="A497" t="s">
        <v>498</v>
      </c>
    </row>
    <row r="498" spans="1:3" x14ac:dyDescent="0.35">
      <c r="A498" t="s">
        <v>493</v>
      </c>
    </row>
    <row r="499" spans="1:3" x14ac:dyDescent="0.35">
      <c r="A499" t="s">
        <v>494</v>
      </c>
    </row>
    <row r="500" spans="1:3" x14ac:dyDescent="0.35">
      <c r="A500" t="s">
        <v>495</v>
      </c>
    </row>
    <row r="501" spans="1:3" x14ac:dyDescent="0.35">
      <c r="A501" t="s">
        <v>496</v>
      </c>
    </row>
    <row r="502" spans="1:3" x14ac:dyDescent="0.35">
      <c r="A502" t="s">
        <v>497</v>
      </c>
    </row>
    <row r="503" spans="1:3" x14ac:dyDescent="0.35">
      <c r="A503" t="s">
        <v>844</v>
      </c>
    </row>
    <row r="504" spans="1:3" x14ac:dyDescent="0.35">
      <c r="A504" t="s">
        <v>972</v>
      </c>
    </row>
    <row r="505" spans="1:3" x14ac:dyDescent="0.35">
      <c r="A505" t="s">
        <v>578</v>
      </c>
      <c r="B505">
        <v>41363</v>
      </c>
      <c r="C505">
        <v>41363</v>
      </c>
    </row>
    <row r="506" spans="1:3" x14ac:dyDescent="0.35">
      <c r="A506" t="s">
        <v>280</v>
      </c>
      <c r="B506">
        <v>1</v>
      </c>
      <c r="C506">
        <v>1</v>
      </c>
    </row>
    <row r="507" spans="1:3" x14ac:dyDescent="0.35">
      <c r="A507" t="s">
        <v>930</v>
      </c>
      <c r="B507">
        <v>1</v>
      </c>
      <c r="C507">
        <v>1</v>
      </c>
    </row>
    <row r="508" spans="1:3" x14ac:dyDescent="0.35">
      <c r="A508" t="s">
        <v>931</v>
      </c>
      <c r="B508">
        <v>1</v>
      </c>
      <c r="C508">
        <v>1</v>
      </c>
    </row>
    <row r="509" spans="1:3" x14ac:dyDescent="0.35">
      <c r="A509" t="s">
        <v>932</v>
      </c>
      <c r="B509">
        <v>1</v>
      </c>
      <c r="C509">
        <v>1</v>
      </c>
    </row>
    <row r="510" spans="1:3" x14ac:dyDescent="0.35">
      <c r="A510" t="s">
        <v>933</v>
      </c>
      <c r="B510">
        <v>1</v>
      </c>
      <c r="C510">
        <v>1</v>
      </c>
    </row>
    <row r="511" spans="1:3" x14ac:dyDescent="0.35">
      <c r="A511" t="s">
        <v>934</v>
      </c>
      <c r="B511">
        <v>1</v>
      </c>
      <c r="C511">
        <v>1</v>
      </c>
    </row>
    <row r="512" spans="1:3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3" x14ac:dyDescent="0.35">
      <c r="A529" t="s">
        <v>1145</v>
      </c>
    </row>
    <row r="530" spans="1:3" x14ac:dyDescent="0.35">
      <c r="A530" t="s">
        <v>644</v>
      </c>
    </row>
    <row r="531" spans="1:3" x14ac:dyDescent="0.35">
      <c r="A531" t="s">
        <v>1047</v>
      </c>
    </row>
    <row r="532" spans="1:3" x14ac:dyDescent="0.35">
      <c r="A532" t="s">
        <v>1048</v>
      </c>
    </row>
    <row r="533" spans="1:3" x14ac:dyDescent="0.35">
      <c r="A533" t="s">
        <v>1049</v>
      </c>
    </row>
    <row r="534" spans="1:3" x14ac:dyDescent="0.35">
      <c r="A534" t="s">
        <v>622</v>
      </c>
    </row>
    <row r="535" spans="1:3" x14ac:dyDescent="0.35">
      <c r="A535" t="s">
        <v>623</v>
      </c>
    </row>
    <row r="536" spans="1:3" x14ac:dyDescent="0.35">
      <c r="A536" t="s">
        <v>624</v>
      </c>
    </row>
    <row r="537" spans="1:3" x14ac:dyDescent="0.35">
      <c r="A537" t="s">
        <v>625</v>
      </c>
    </row>
    <row r="538" spans="1:3" x14ac:dyDescent="0.35">
      <c r="A538" t="s">
        <v>626</v>
      </c>
    </row>
    <row r="539" spans="1:3" x14ac:dyDescent="0.35">
      <c r="A539" t="s">
        <v>627</v>
      </c>
    </row>
    <row r="540" spans="1:3" x14ac:dyDescent="0.35">
      <c r="A540" t="s">
        <v>628</v>
      </c>
    </row>
    <row r="541" spans="1:3" x14ac:dyDescent="0.35">
      <c r="A541" t="s">
        <v>629</v>
      </c>
    </row>
    <row r="542" spans="1:3" x14ac:dyDescent="0.35">
      <c r="A542" t="s">
        <v>566</v>
      </c>
      <c r="B542" t="b">
        <v>0</v>
      </c>
      <c r="C542" t="b">
        <v>0</v>
      </c>
    </row>
    <row r="543" spans="1:3" x14ac:dyDescent="0.35">
      <c r="A543" t="s">
        <v>1055</v>
      </c>
      <c r="B543">
        <v>1</v>
      </c>
      <c r="C543">
        <v>1</v>
      </c>
    </row>
    <row r="544" spans="1:3" x14ac:dyDescent="0.35">
      <c r="A544" t="s">
        <v>576</v>
      </c>
      <c r="B544">
        <v>1</v>
      </c>
      <c r="C544">
        <v>1</v>
      </c>
    </row>
    <row r="545" spans="1:3" x14ac:dyDescent="0.35">
      <c r="A545" t="s">
        <v>856</v>
      </c>
    </row>
    <row r="546" spans="1:3" x14ac:dyDescent="0.35">
      <c r="A546" t="s">
        <v>857</v>
      </c>
    </row>
    <row r="547" spans="1:3" x14ac:dyDescent="0.35">
      <c r="A547" t="s">
        <v>858</v>
      </c>
    </row>
    <row r="548" spans="1:3" x14ac:dyDescent="0.35">
      <c r="A548" t="s">
        <v>859</v>
      </c>
    </row>
    <row r="549" spans="1:3" x14ac:dyDescent="0.35">
      <c r="A549" t="s">
        <v>860</v>
      </c>
    </row>
    <row r="550" spans="1:3" x14ac:dyDescent="0.35">
      <c r="A550" t="s">
        <v>861</v>
      </c>
    </row>
    <row r="551" spans="1:3" x14ac:dyDescent="0.35">
      <c r="A551" t="s">
        <v>545</v>
      </c>
    </row>
    <row r="552" spans="1:3" x14ac:dyDescent="0.35">
      <c r="A552" t="s">
        <v>1070</v>
      </c>
    </row>
    <row r="553" spans="1:3" x14ac:dyDescent="0.35">
      <c r="A553" t="s">
        <v>1071</v>
      </c>
    </row>
    <row r="554" spans="1:3" x14ac:dyDescent="0.35">
      <c r="A554" t="s">
        <v>852</v>
      </c>
      <c r="B554">
        <v>0</v>
      </c>
      <c r="C554">
        <v>0</v>
      </c>
    </row>
    <row r="555" spans="1:3" x14ac:dyDescent="0.35">
      <c r="A555" t="s">
        <v>821</v>
      </c>
      <c r="B555">
        <v>1</v>
      </c>
      <c r="C555">
        <v>1</v>
      </c>
    </row>
    <row r="556" spans="1:3" x14ac:dyDescent="0.35">
      <c r="A556" t="s">
        <v>1141</v>
      </c>
      <c r="B556">
        <v>1</v>
      </c>
      <c r="C556">
        <v>1</v>
      </c>
    </row>
    <row r="557" spans="1:3" x14ac:dyDescent="0.35">
      <c r="A557" t="s">
        <v>1056</v>
      </c>
    </row>
    <row r="558" spans="1:3" x14ac:dyDescent="0.35">
      <c r="A558" t="s">
        <v>459</v>
      </c>
    </row>
    <row r="559" spans="1:3" x14ac:dyDescent="0.35">
      <c r="A559" t="s">
        <v>460</v>
      </c>
    </row>
    <row r="560" spans="1:3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3" x14ac:dyDescent="0.35">
      <c r="A577" t="s">
        <v>76</v>
      </c>
    </row>
    <row r="578" spans="1:3" x14ac:dyDescent="0.35">
      <c r="A578" t="s">
        <v>1182</v>
      </c>
      <c r="B578">
        <v>1500</v>
      </c>
      <c r="C578">
        <v>1500</v>
      </c>
    </row>
    <row r="579" spans="1:3" x14ac:dyDescent="0.35">
      <c r="A579" t="s">
        <v>1183</v>
      </c>
      <c r="B579">
        <v>1500</v>
      </c>
      <c r="C579">
        <v>1500</v>
      </c>
    </row>
    <row r="580" spans="1:3" x14ac:dyDescent="0.35">
      <c r="A580" t="s">
        <v>1184</v>
      </c>
      <c r="B580">
        <v>1500</v>
      </c>
      <c r="C580">
        <v>1500</v>
      </c>
    </row>
    <row r="581" spans="1:3" x14ac:dyDescent="0.35">
      <c r="A581" t="s">
        <v>1185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507</v>
      </c>
      <c r="B587">
        <v>1500</v>
      </c>
      <c r="C587">
        <v>1500</v>
      </c>
    </row>
    <row r="588" spans="1:3" x14ac:dyDescent="0.35">
      <c r="A588" t="s">
        <v>508</v>
      </c>
      <c r="B588">
        <v>1500</v>
      </c>
      <c r="C588">
        <v>1500</v>
      </c>
    </row>
    <row r="589" spans="1:3" x14ac:dyDescent="0.35">
      <c r="A589" t="s">
        <v>509</v>
      </c>
      <c r="B589">
        <v>1500</v>
      </c>
      <c r="C589">
        <v>1500</v>
      </c>
    </row>
    <row r="590" spans="1:3" x14ac:dyDescent="0.35">
      <c r="A590" t="s">
        <v>81</v>
      </c>
      <c r="B590">
        <v>1500</v>
      </c>
      <c r="C590">
        <v>1500</v>
      </c>
    </row>
    <row r="591" spans="1:3" x14ac:dyDescent="0.35">
      <c r="A591" t="s">
        <v>82</v>
      </c>
      <c r="B591">
        <v>1500</v>
      </c>
      <c r="C591">
        <v>1500</v>
      </c>
    </row>
    <row r="592" spans="1:3" x14ac:dyDescent="0.35">
      <c r="A592" t="s">
        <v>83</v>
      </c>
      <c r="B592">
        <v>1500</v>
      </c>
      <c r="C592">
        <v>1500</v>
      </c>
    </row>
    <row r="593" spans="1:3" x14ac:dyDescent="0.35">
      <c r="A593" t="s">
        <v>84</v>
      </c>
      <c r="B593">
        <v>1500</v>
      </c>
      <c r="C593">
        <v>1500</v>
      </c>
    </row>
    <row r="594" spans="1:3" x14ac:dyDescent="0.35">
      <c r="A594" t="s">
        <v>769</v>
      </c>
      <c r="B594">
        <v>1500</v>
      </c>
      <c r="C594">
        <v>1500</v>
      </c>
    </row>
    <row r="595" spans="1:3" x14ac:dyDescent="0.35">
      <c r="A595" t="s">
        <v>770</v>
      </c>
      <c r="B595">
        <v>1500</v>
      </c>
      <c r="C595">
        <v>1500</v>
      </c>
    </row>
    <row r="596" spans="1:3" x14ac:dyDescent="0.35">
      <c r="A596" t="s">
        <v>771</v>
      </c>
      <c r="B596">
        <v>1500</v>
      </c>
      <c r="C596">
        <v>1500</v>
      </c>
    </row>
    <row r="597" spans="1:3" x14ac:dyDescent="0.35">
      <c r="A597" t="s">
        <v>772</v>
      </c>
      <c r="B597">
        <v>1500</v>
      </c>
      <c r="C597">
        <v>1500</v>
      </c>
    </row>
    <row r="598" spans="1:3" x14ac:dyDescent="0.35">
      <c r="A598" t="s">
        <v>612</v>
      </c>
      <c r="B598">
        <v>1</v>
      </c>
      <c r="C598">
        <v>1</v>
      </c>
    </row>
    <row r="599" spans="1:3" x14ac:dyDescent="0.35">
      <c r="A599" t="s">
        <v>1057</v>
      </c>
    </row>
    <row r="600" spans="1:3" x14ac:dyDescent="0.35">
      <c r="A600" t="s">
        <v>1058</v>
      </c>
      <c r="B600" t="b">
        <v>0</v>
      </c>
      <c r="C600" t="b">
        <v>0</v>
      </c>
    </row>
    <row r="601" spans="1:3" x14ac:dyDescent="0.35">
      <c r="A601" t="s">
        <v>1059</v>
      </c>
      <c r="B601">
        <v>1</v>
      </c>
      <c r="C601">
        <v>1</v>
      </c>
    </row>
    <row r="602" spans="1:3" x14ac:dyDescent="0.35">
      <c r="A602" t="s">
        <v>436</v>
      </c>
      <c r="B602">
        <v>0</v>
      </c>
      <c r="C602">
        <v>0</v>
      </c>
    </row>
    <row r="603" spans="1:3" x14ac:dyDescent="0.35">
      <c r="A603" t="s">
        <v>935</v>
      </c>
    </row>
    <row r="604" spans="1:3" x14ac:dyDescent="0.35">
      <c r="A604" t="s">
        <v>936</v>
      </c>
    </row>
    <row r="605" spans="1:3" x14ac:dyDescent="0.35">
      <c r="A605" t="s">
        <v>583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828</v>
      </c>
      <c r="B1" s="303" t="s">
        <v>1190</v>
      </c>
      <c r="C1" s="302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828</v>
      </c>
      <c r="B2" s="304" t="s">
        <v>1191</v>
      </c>
      <c r="C2" s="302" t="str">
        <f>_AchterNaam</f>
        <v>Achternaam</v>
      </c>
      <c r="FIO2">
        <v>30</v>
      </c>
    </row>
    <row r="3" spans="1:3 4305:4305" x14ac:dyDescent="0.35">
      <c r="A3" t="s">
        <v>828</v>
      </c>
      <c r="B3" s="304" t="s">
        <v>1192</v>
      </c>
      <c r="C3" s="302" t="str">
        <f>_VoorNaam</f>
        <v>Voornaam</v>
      </c>
    </row>
    <row r="4" spans="1:3 4305:4305" x14ac:dyDescent="0.35">
      <c r="A4" t="s">
        <v>828</v>
      </c>
      <c r="B4" s="304" t="s">
        <v>1193</v>
      </c>
      <c r="C4" s="302" t="str">
        <f>TEXT(AfsprakenCMV!F3,"dd-mmm-jj")</f>
        <v>01-jan-12</v>
      </c>
    </row>
    <row r="5" spans="1:3 4305:4305" x14ac:dyDescent="0.35">
      <c r="A5" t="s">
        <v>828</v>
      </c>
      <c r="B5" s="304" t="s">
        <v>1194</v>
      </c>
      <c r="C5" s="24">
        <f>PatNummer</f>
        <v>0</v>
      </c>
    </row>
    <row r="6" spans="1:3 4305:4305" x14ac:dyDescent="0.35">
      <c r="A6" t="s">
        <v>1214</v>
      </c>
      <c r="B6" s="304" t="s">
        <v>1190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1214</v>
      </c>
      <c r="B7" s="304" t="s">
        <v>1191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1214</v>
      </c>
      <c r="B8" s="304" t="s">
        <v>1192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1214</v>
      </c>
      <c r="B9" s="303" t="s">
        <v>1193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1214</v>
      </c>
      <c r="B10" s="303" t="s">
        <v>1194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1214</v>
      </c>
      <c r="B11" s="303" t="s">
        <v>1195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1214</v>
      </c>
      <c r="B12" s="303" t="s">
        <v>1196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1214</v>
      </c>
      <c r="B13" s="303" t="s">
        <v>1197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1214</v>
      </c>
      <c r="B14" s="303" t="s">
        <v>1198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1214</v>
      </c>
      <c r="B15" s="303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1214</v>
      </c>
      <c r="B16" s="303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1214</v>
      </c>
      <c r="B17" s="303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1214</v>
      </c>
      <c r="B18" s="303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1214</v>
      </c>
      <c r="B19" s="303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1214</v>
      </c>
      <c r="B20" s="303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1214</v>
      </c>
      <c r="B21" s="303">
        <v>16</v>
      </c>
      <c r="C21" t="str">
        <f>IF(ber_Opm!C4&lt;&gt;0,AfsprakenCMV!C74&amp;" "&amp;ber_Opm!C4,"")</f>
        <v/>
      </c>
    </row>
    <row r="22" spans="1:3" x14ac:dyDescent="0.35">
      <c r="A22" t="s">
        <v>1215</v>
      </c>
      <c r="B22" s="303" t="s">
        <v>1190</v>
      </c>
      <c r="C22" t="str">
        <f>ber_Med_disc!AC2</f>
        <v/>
      </c>
    </row>
    <row r="23" spans="1:3" x14ac:dyDescent="0.35">
      <c r="A23" t="s">
        <v>1215</v>
      </c>
      <c r="B23" s="303" t="s">
        <v>1191</v>
      </c>
      <c r="C23" t="str">
        <f>ber_Med_disc!AC3</f>
        <v/>
      </c>
    </row>
    <row r="24" spans="1:3" x14ac:dyDescent="0.35">
      <c r="A24" t="s">
        <v>1215</v>
      </c>
      <c r="B24" s="303" t="s">
        <v>1192</v>
      </c>
      <c r="C24" t="str">
        <f>ber_Med_disc!AC4</f>
        <v/>
      </c>
    </row>
    <row r="25" spans="1:3" x14ac:dyDescent="0.35">
      <c r="A25" t="s">
        <v>1215</v>
      </c>
      <c r="B25" s="303" t="s">
        <v>1193</v>
      </c>
      <c r="C25" t="str">
        <f>ber_Med_disc!AC5</f>
        <v/>
      </c>
    </row>
    <row r="26" spans="1:3" x14ac:dyDescent="0.35">
      <c r="A26" t="s">
        <v>1215</v>
      </c>
      <c r="B26" s="303" t="s">
        <v>1194</v>
      </c>
      <c r="C26" t="str">
        <f>ber_Med_disc!AC6</f>
        <v/>
      </c>
    </row>
    <row r="27" spans="1:3" x14ac:dyDescent="0.35">
      <c r="A27" t="s">
        <v>1215</v>
      </c>
      <c r="B27" s="303" t="s">
        <v>1195</v>
      </c>
      <c r="C27" t="str">
        <f>ber_Med_disc!AC7</f>
        <v/>
      </c>
    </row>
    <row r="28" spans="1:3" x14ac:dyDescent="0.35">
      <c r="A28" t="s">
        <v>1215</v>
      </c>
      <c r="B28" s="303" t="s">
        <v>1196</v>
      </c>
      <c r="C28" t="str">
        <f>ber_Med_disc!AC8</f>
        <v/>
      </c>
    </row>
    <row r="29" spans="1:3" x14ac:dyDescent="0.35">
      <c r="A29" t="s">
        <v>1215</v>
      </c>
      <c r="B29" s="303" t="s">
        <v>1197</v>
      </c>
      <c r="C29" t="str">
        <f>ber_Med_disc!AC9</f>
        <v/>
      </c>
    </row>
    <row r="30" spans="1:3" x14ac:dyDescent="0.35">
      <c r="A30" t="s">
        <v>1215</v>
      </c>
      <c r="B30" s="303" t="s">
        <v>1198</v>
      </c>
      <c r="C30" t="str">
        <f>ber_Med_disc!AC10</f>
        <v/>
      </c>
    </row>
    <row r="31" spans="1:3" x14ac:dyDescent="0.35">
      <c r="A31" t="s">
        <v>1215</v>
      </c>
      <c r="B31" s="303">
        <v>10</v>
      </c>
      <c r="C31" t="str">
        <f>ber_Med_disc!AC11</f>
        <v/>
      </c>
    </row>
    <row r="32" spans="1:3" x14ac:dyDescent="0.35">
      <c r="A32" t="s">
        <v>1215</v>
      </c>
      <c r="B32" s="303">
        <v>11</v>
      </c>
      <c r="C32" t="str">
        <f>ber_Med_disc!AC12</f>
        <v/>
      </c>
    </row>
    <row r="33" spans="1:3" x14ac:dyDescent="0.35">
      <c r="A33" t="s">
        <v>1215</v>
      </c>
      <c r="B33" s="303">
        <v>12</v>
      </c>
      <c r="C33" t="str">
        <f>ber_Med_disc!AC13</f>
        <v/>
      </c>
    </row>
    <row r="34" spans="1:3" x14ac:dyDescent="0.35">
      <c r="A34" t="s">
        <v>1215</v>
      </c>
      <c r="B34" s="303">
        <v>13</v>
      </c>
      <c r="C34" t="str">
        <f>ber_Med_disc!AC14</f>
        <v/>
      </c>
    </row>
    <row r="35" spans="1:3" x14ac:dyDescent="0.35">
      <c r="A35" t="s">
        <v>1215</v>
      </c>
      <c r="B35" s="303">
        <v>14</v>
      </c>
      <c r="C35" t="str">
        <f>ber_Med_disc!AC15</f>
        <v/>
      </c>
    </row>
    <row r="36" spans="1:3" x14ac:dyDescent="0.35">
      <c r="A36" t="s">
        <v>1215</v>
      </c>
      <c r="B36" s="303">
        <v>15</v>
      </c>
      <c r="C36" t="str">
        <f>ber_Med_disc!AC16</f>
        <v/>
      </c>
    </row>
    <row r="37" spans="1:3" x14ac:dyDescent="0.35">
      <c r="A37" t="s">
        <v>1215</v>
      </c>
      <c r="B37" s="303">
        <v>16</v>
      </c>
      <c r="C37" t="str">
        <f>ber_Med_disc!AC17</f>
        <v/>
      </c>
    </row>
    <row r="38" spans="1:3" x14ac:dyDescent="0.35">
      <c r="A38" t="s">
        <v>1215</v>
      </c>
      <c r="B38" s="303">
        <v>17</v>
      </c>
      <c r="C38" t="str">
        <f>ber_Med_disc!AC18</f>
        <v/>
      </c>
    </row>
    <row r="39" spans="1:3" x14ac:dyDescent="0.35">
      <c r="A39" t="s">
        <v>1215</v>
      </c>
      <c r="B39" s="303">
        <v>18</v>
      </c>
      <c r="C39" t="str">
        <f>ber_Med_disc!AC19</f>
        <v/>
      </c>
    </row>
    <row r="40" spans="1:3" x14ac:dyDescent="0.35">
      <c r="A40" t="s">
        <v>1215</v>
      </c>
      <c r="B40" s="303">
        <v>19</v>
      </c>
      <c r="C40" t="str">
        <f>ber_Med_disc!AC20</f>
        <v/>
      </c>
    </row>
    <row r="41" spans="1:3" x14ac:dyDescent="0.35">
      <c r="A41" t="s">
        <v>1215</v>
      </c>
      <c r="B41" s="303">
        <v>20</v>
      </c>
      <c r="C41" t="str">
        <f>ber_Med_disc!AC21</f>
        <v/>
      </c>
    </row>
    <row r="42" spans="1:3" x14ac:dyDescent="0.35">
      <c r="A42" t="s">
        <v>1216</v>
      </c>
      <c r="B42" s="303" t="s">
        <v>1190</v>
      </c>
      <c r="C42" t="str">
        <f>IF(AfsprakenCMV!C23&lt;&gt;0,AfsprakenCMV!C23,"")</f>
        <v/>
      </c>
    </row>
    <row r="43" spans="1:3" x14ac:dyDescent="0.35">
      <c r="A43" t="s">
        <v>1216</v>
      </c>
      <c r="B43" s="303" t="s">
        <v>1191</v>
      </c>
      <c r="C43" t="str">
        <f>IF(AfsprakenCMV!C24&lt;&gt;0,AfsprakenCMV!C24,"")</f>
        <v/>
      </c>
    </row>
    <row r="44" spans="1:3" x14ac:dyDescent="0.35">
      <c r="A44" t="s">
        <v>1216</v>
      </c>
      <c r="B44" s="303" t="s">
        <v>1192</v>
      </c>
      <c r="C44" t="str">
        <f>IF(AfsprakenCMV!C25&lt;&gt;0,AfsprakenCMV!C25,"")</f>
        <v/>
      </c>
    </row>
    <row r="45" spans="1:3" x14ac:dyDescent="0.35">
      <c r="A45" t="s">
        <v>1216</v>
      </c>
      <c r="B45" s="303" t="s">
        <v>1193</v>
      </c>
      <c r="C45" t="str">
        <f>IF(AfsprakenCMV!C26&lt;&gt;0,AfsprakenCMV!C26,"")</f>
        <v/>
      </c>
    </row>
    <row r="46" spans="1:3" x14ac:dyDescent="0.35">
      <c r="A46" t="s">
        <v>1216</v>
      </c>
      <c r="B46" s="303" t="s">
        <v>1194</v>
      </c>
      <c r="C46" t="str">
        <f>IF(AfsprakenCMV!C27&lt;&gt;0,AfsprakenCMV!C27,"")</f>
        <v/>
      </c>
    </row>
    <row r="47" spans="1:3" x14ac:dyDescent="0.35">
      <c r="A47" t="s">
        <v>1216</v>
      </c>
      <c r="B47" s="303" t="s">
        <v>1195</v>
      </c>
      <c r="C47" t="str">
        <f>IF(AfsprakenCMV!C28&lt;&gt;0,AfsprakenCMV!C28,"")</f>
        <v/>
      </c>
    </row>
    <row r="48" spans="1:3" x14ac:dyDescent="0.35">
      <c r="A48" t="s">
        <v>1216</v>
      </c>
      <c r="B48" s="303" t="s">
        <v>1196</v>
      </c>
      <c r="C48" t="str">
        <f>IF(AfsprakenCMV!C30&lt;&gt;0,"Opmerkingen: "&amp;AfsprakenCMV!C30,"")</f>
        <v/>
      </c>
    </row>
    <row r="49" spans="1:3" x14ac:dyDescent="0.35">
      <c r="A49" t="s">
        <v>1217</v>
      </c>
      <c r="B49" s="303" t="s">
        <v>1190</v>
      </c>
      <c r="C49" t="str">
        <f>IF(AfsprakenCMV!C46&lt;&gt;0,AfsprakenCMV!C46,"")</f>
        <v/>
      </c>
    </row>
    <row r="50" spans="1:3" x14ac:dyDescent="0.35">
      <c r="A50" t="s">
        <v>1217</v>
      </c>
      <c r="B50" s="303" t="s">
        <v>1191</v>
      </c>
      <c r="C50" t="str">
        <f>IF(AfsprakenCMV!C47&lt;&gt;0,AfsprakenCMV!C47,"")</f>
        <v/>
      </c>
    </row>
    <row r="51" spans="1:3" x14ac:dyDescent="0.35">
      <c r="A51" t="s">
        <v>1217</v>
      </c>
      <c r="B51" s="303" t="s">
        <v>1192</v>
      </c>
      <c r="C51" t="str">
        <f>IF(AfsprakenCMV!C48&lt;&gt;0,AfsprakenCMV!C48,"")</f>
        <v/>
      </c>
    </row>
    <row r="52" spans="1:3" x14ac:dyDescent="0.35">
      <c r="A52" t="s">
        <v>1217</v>
      </c>
      <c r="B52" s="303" t="s">
        <v>1193</v>
      </c>
      <c r="C52" t="str">
        <f>IF(AfsprakenCMV!C49&lt;&gt;0,AfsprakenCMV!C49,"")</f>
        <v/>
      </c>
    </row>
    <row r="53" spans="1:3" x14ac:dyDescent="0.35">
      <c r="A53" t="s">
        <v>1217</v>
      </c>
      <c r="B53" s="303" t="s">
        <v>1194</v>
      </c>
      <c r="C53" t="str">
        <f>IF(AfsprakenCMV!C50&lt;&gt;0,AfsprakenCMV!C50,"")</f>
        <v/>
      </c>
    </row>
    <row r="54" spans="1:3" x14ac:dyDescent="0.35">
      <c r="A54" t="s">
        <v>1217</v>
      </c>
      <c r="B54" s="303" t="s">
        <v>1195</v>
      </c>
      <c r="C54" t="str">
        <f>IF(AfsprakenCMV!C51&lt;&gt;0,AfsprakenCMV!C51,"")</f>
        <v/>
      </c>
    </row>
    <row r="55" spans="1:3" x14ac:dyDescent="0.35">
      <c r="A55" t="s">
        <v>1217</v>
      </c>
      <c r="B55" s="303" t="s">
        <v>1196</v>
      </c>
      <c r="C55" t="str">
        <f>IF(AfsprakenCMV!D74&lt;&gt;0,"Opmerkingen: "&amp;AfsprakenCMV!D74,"")</f>
        <v/>
      </c>
    </row>
    <row r="56" spans="1:3" x14ac:dyDescent="0.35">
      <c r="A56" t="s">
        <v>1218</v>
      </c>
      <c r="B56" s="303" t="s">
        <v>1190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#NAME?</v>
      </c>
    </row>
    <row r="57" spans="1:3" x14ac:dyDescent="0.35">
      <c r="A57" t="s">
        <v>1218</v>
      </c>
      <c r="B57" s="303" t="s">
        <v>1191</v>
      </c>
      <c r="C57" t="str">
        <f>IF(AfsprakenCMV!D11&lt;&gt;0,"Opmerkingen: "&amp;AfsprakenCMV!D11,"")</f>
        <v/>
      </c>
    </row>
    <row r="58" spans="1:3" x14ac:dyDescent="0.35">
      <c r="A58" t="s">
        <v>1218</v>
      </c>
      <c r="B58" s="303" t="s">
        <v>1192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1218</v>
      </c>
      <c r="B59" s="303" t="s">
        <v>1193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1218</v>
      </c>
      <c r="B60" s="303" t="s">
        <v>1194</v>
      </c>
      <c r="C60" t="str">
        <f>IF(AfsprakenCMV!E92&lt;&gt;" ",AfsprakenCMV!D92&amp;": "&amp;AfsprakenCMV!E92,"")</f>
        <v/>
      </c>
    </row>
    <row r="61" spans="1:3" x14ac:dyDescent="0.35">
      <c r="A61" t="s">
        <v>1218</v>
      </c>
      <c r="B61" s="303" t="s">
        <v>1195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1218</v>
      </c>
      <c r="B62" s="303" t="s">
        <v>1196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1218</v>
      </c>
      <c r="B63" s="304" t="s">
        <v>1197</v>
      </c>
      <c r="C63" t="str">
        <f>IF(Intake!D29&lt;&gt;0,"Opmerkingen: "&amp;Intake!D29,"")</f>
        <v/>
      </c>
    </row>
    <row r="64" spans="1:3" x14ac:dyDescent="0.35">
      <c r="A64" t="s">
        <v>409</v>
      </c>
      <c r="B64" s="303" t="s">
        <v>1190</v>
      </c>
      <c r="C64" t="str">
        <f>IF(AfsprakenCMV!D14&lt;&gt;"",AfsprakenCMV!C14&amp;": "&amp;AfsprakenCMV!D14,"")</f>
        <v/>
      </c>
    </row>
    <row r="65" spans="1:3" x14ac:dyDescent="0.35">
      <c r="A65" t="s">
        <v>409</v>
      </c>
      <c r="B65" s="303" t="s">
        <v>1191</v>
      </c>
      <c r="C65" t="str">
        <f>IF(AfsprakenCMV!D15&lt;&gt;"",AfsprakenCMV!C15&amp;": "&amp;AfsprakenCMV!D15,"")</f>
        <v/>
      </c>
    </row>
    <row r="66" spans="1:3" x14ac:dyDescent="0.35">
      <c r="A66" t="s">
        <v>409</v>
      </c>
      <c r="B66" s="303" t="s">
        <v>1192</v>
      </c>
      <c r="C66" t="str">
        <f>IF(AfsprakenCMV!D16&lt;&gt;"",AfsprakenCMV!C16&amp;": "&amp;AfsprakenCMV!D16,"")</f>
        <v/>
      </c>
    </row>
    <row r="67" spans="1:3" x14ac:dyDescent="0.35">
      <c r="A67" t="s">
        <v>409</v>
      </c>
      <c r="B67" s="303" t="s">
        <v>1193</v>
      </c>
      <c r="C67" t="str">
        <f>IF(AfsprakenCMV!D17&lt;&gt;"",AfsprakenCMV!C17&amp;": "&amp;AfsprakenCMV!D17,"")</f>
        <v/>
      </c>
    </row>
    <row r="68" spans="1:3" x14ac:dyDescent="0.35">
      <c r="A68" t="s">
        <v>409</v>
      </c>
      <c r="B68" s="303" t="s">
        <v>1194</v>
      </c>
      <c r="C68" t="str">
        <f>IF(AfsprakenCMV!D18&lt;&gt;"",AfsprakenCMV!C18&amp;": "&amp;AfsprakenCMV!D18,"")</f>
        <v/>
      </c>
    </row>
    <row r="69" spans="1:3" x14ac:dyDescent="0.35">
      <c r="A69" t="s">
        <v>409</v>
      </c>
      <c r="B69" s="303" t="s">
        <v>1195</v>
      </c>
      <c r="C69" t="str">
        <f>IF(AfsprakenCMV!D19&lt;&gt;0,AfsprakenCMV!C19&amp;": "&amp;AfsprakenCMV!D19,"")</f>
        <v/>
      </c>
    </row>
    <row r="70" spans="1:3" x14ac:dyDescent="0.35">
      <c r="A70" t="s">
        <v>971</v>
      </c>
      <c r="B70" s="303" t="s">
        <v>1190</v>
      </c>
      <c r="C70" t="str">
        <f>AfsprakenCMV!C103&amp;": "&amp;AfsprakenCMV!D103</f>
        <v>Vocht: 0 ml/kg</v>
      </c>
    </row>
    <row r="71" spans="1:3" x14ac:dyDescent="0.35">
      <c r="A71" t="s">
        <v>971</v>
      </c>
      <c r="B71" s="303" t="s">
        <v>1191</v>
      </c>
      <c r="C71" t="str">
        <f>AfsprakenCMV!C104&amp;": "&amp;AfsprakenCMV!D104</f>
        <v>Eiwit: 0  gram/kg</v>
      </c>
    </row>
    <row r="72" spans="1:3" x14ac:dyDescent="0.35">
      <c r="A72" t="s">
        <v>971</v>
      </c>
      <c r="B72" s="303" t="s">
        <v>1192</v>
      </c>
      <c r="C72" t="str">
        <f>AfsprakenCMV!C105&amp;": "&amp;AfsprakenCMV!D105</f>
        <v>Glucose/KH: 0 g/kg</v>
      </c>
    </row>
    <row r="73" spans="1:3" x14ac:dyDescent="0.35">
      <c r="A73" t="s">
        <v>971</v>
      </c>
      <c r="B73" s="303" t="s">
        <v>1193</v>
      </c>
      <c r="C73" t="str">
        <f>AfsprakenCMV!E103&amp;": "&amp;AfsprakenCMV!F103</f>
        <v>Calorieen: 0 kCal/kg</v>
      </c>
    </row>
    <row r="74" spans="1:3" x14ac:dyDescent="0.35">
      <c r="A74" t="s">
        <v>971</v>
      </c>
      <c r="B74" s="303" t="s">
        <v>1194</v>
      </c>
      <c r="C74" t="str">
        <f>AfsprakenCMV!E104&amp;": "&amp;AfsprakenCMV!F104</f>
        <v>Vet: 0 gram/kg</v>
      </c>
    </row>
    <row r="75" spans="1:3" x14ac:dyDescent="0.35">
      <c r="A75" t="s">
        <v>971</v>
      </c>
      <c r="B75" s="303" t="s">
        <v>1195</v>
      </c>
      <c r="C75" t="str">
        <f>AfsprakenCMV!G103&amp;": "&amp;AfsprakenCMV!H103</f>
        <v>Kalium: 0 mmol/kg</v>
      </c>
    </row>
    <row r="76" spans="1:3" x14ac:dyDescent="0.35">
      <c r="A76" t="s">
        <v>971</v>
      </c>
      <c r="B76" s="303" t="s">
        <v>1196</v>
      </c>
      <c r="C76" t="str">
        <f>AfsprakenCMV!G104&amp;": "&amp;AfsprakenCMV!H104</f>
        <v>Calcium: 0 mmol/kg</v>
      </c>
    </row>
    <row r="77" spans="1:3" x14ac:dyDescent="0.35">
      <c r="A77" t="s">
        <v>971</v>
      </c>
      <c r="B77" s="303" t="s">
        <v>1197</v>
      </c>
      <c r="C77" t="str">
        <f>AfsprakenCMV!G105&amp;": "&amp;AfsprakenCMV!H105</f>
        <v>Magnesium: 0 mmol/kg</v>
      </c>
    </row>
    <row r="78" spans="1:3" x14ac:dyDescent="0.35">
      <c r="A78" t="s">
        <v>971</v>
      </c>
      <c r="B78" s="303" t="s">
        <v>1198</v>
      </c>
      <c r="C78" t="str">
        <f>AfsprakenCMV!I103&amp;": "&amp;AfsprakenCMV!J103</f>
        <v>Natrium : 0 mmol/kg</v>
      </c>
    </row>
    <row r="79" spans="1:3" x14ac:dyDescent="0.35">
      <c r="A79" t="s">
        <v>971</v>
      </c>
      <c r="B79" s="303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D8" sqref="D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1" customFormat="1" ht="7.55" customHeight="1" x14ac:dyDescent="0.35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</row>
    <row r="2" spans="1:81" s="321" customFormat="1" ht="17.25" customHeight="1" x14ac:dyDescent="0.4">
      <c r="A2" s="320"/>
      <c r="B2" s="320"/>
      <c r="C2" s="322" t="s">
        <v>845</v>
      </c>
      <c r="D2" s="323">
        <f ca="1">AfspraakDatum</f>
        <v>42195</v>
      </c>
      <c r="E2" s="324"/>
      <c r="F2" s="322" t="s">
        <v>846</v>
      </c>
      <c r="G2" s="320"/>
      <c r="H2" s="325">
        <f>OpnDatum</f>
        <v>41363</v>
      </c>
      <c r="I2" s="322" t="str">
        <f ca="1">"ICU-dag: "&amp;AfspraakDatum-OpnDatum+1</f>
        <v>ICU-dag: 833</v>
      </c>
      <c r="J2" s="322"/>
      <c r="K2" s="322"/>
      <c r="L2" s="322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</row>
    <row r="3" spans="1:81" s="321" customFormat="1" ht="17.25" customHeight="1" x14ac:dyDescent="0.4">
      <c r="A3" s="320"/>
      <c r="B3" s="326"/>
      <c r="C3" s="322" t="s">
        <v>92</v>
      </c>
      <c r="D3" s="327" t="str">
        <f>_AchterNaam&amp;", "&amp;_VoorNaam</f>
        <v>Achternaam, Voornaam</v>
      </c>
      <c r="E3" s="327"/>
      <c r="F3" s="322" t="s">
        <v>862</v>
      </c>
      <c r="G3" s="320"/>
      <c r="H3" s="325">
        <f>GebDatum</f>
        <v>40909</v>
      </c>
      <c r="I3" s="328" t="str">
        <f>"Gewicht: "&amp;Gewicht/10&amp;" kg"</f>
        <v>Gewicht: 10 kg</v>
      </c>
      <c r="J3" s="322"/>
      <c r="K3" s="328" t="str">
        <f>"Lengte: "&amp;Lengte&amp;" cm"</f>
        <v>Lengte: 80 cm</v>
      </c>
      <c r="L3" s="322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</row>
    <row r="4" spans="1:81" s="321" customFormat="1" ht="17.25" customHeight="1" x14ac:dyDescent="0.4">
      <c r="A4" s="329"/>
      <c r="B4" s="329"/>
      <c r="C4" s="322" t="s">
        <v>941</v>
      </c>
      <c r="D4" s="328">
        <f>PatNummer</f>
        <v>0</v>
      </c>
      <c r="E4" s="324"/>
      <c r="F4" s="322" t="s">
        <v>787</v>
      </c>
      <c r="G4" s="329"/>
      <c r="H4" s="330" t="str">
        <f ca="1">TRUNC((AfspraakDatum-GebDatum)/365,0)&amp;" jaar en "&amp;TRUNC(((AfspraakDatum-GebDatum)-365*TRUNC((AfspraakDatum-GebDatum)/365,0))/30,0)&amp;" maand(-en)"</f>
        <v>3 jaar en 6 maand(-en)</v>
      </c>
      <c r="I4" s="322"/>
      <c r="J4" s="322" t="str">
        <f>"Lichamelijk oppervlak: "&amp;ROUND(POWER(Gewicht/10,0.425)*POWER(((Lengte/100)*100),0.725)*0.007184,2)&amp;" m2"</f>
        <v>Lichamelijk oppervlak: 0,46 m2</v>
      </c>
      <c r="K4" s="322"/>
      <c r="L4" s="322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31"/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1"/>
      <c r="AK4" s="331"/>
      <c r="AL4" s="331"/>
      <c r="AM4" s="331"/>
      <c r="AN4" s="331"/>
      <c r="AO4" s="331"/>
      <c r="AP4" s="331"/>
      <c r="AQ4" s="331"/>
      <c r="AR4" s="331"/>
      <c r="AS4" s="331"/>
      <c r="AT4" s="331"/>
      <c r="AU4" s="331"/>
      <c r="AV4" s="331"/>
      <c r="AW4" s="331"/>
      <c r="AX4" s="331"/>
      <c r="AY4" s="331"/>
      <c r="AZ4" s="331"/>
      <c r="BA4" s="331"/>
      <c r="BB4" s="331"/>
      <c r="BC4" s="331"/>
      <c r="BD4" s="331"/>
      <c r="BE4" s="331"/>
      <c r="BF4" s="331"/>
      <c r="BG4" s="331"/>
      <c r="BH4" s="331"/>
      <c r="BI4" s="331"/>
      <c r="BJ4" s="331"/>
      <c r="BK4" s="331"/>
      <c r="BL4" s="331"/>
      <c r="BM4" s="331"/>
      <c r="BN4" s="331"/>
      <c r="BO4" s="331"/>
      <c r="BP4" s="331"/>
      <c r="BQ4" s="331"/>
      <c r="BR4" s="331"/>
      <c r="BS4" s="331"/>
      <c r="BT4" s="331"/>
      <c r="BU4" s="331"/>
      <c r="BV4" s="331"/>
      <c r="BW4" s="331"/>
      <c r="BX4" s="331"/>
      <c r="BY4" s="331"/>
      <c r="BZ4" s="331"/>
      <c r="CA4" s="331"/>
      <c r="CB4" s="331"/>
      <c r="CC4" s="331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9"/>
      <c r="Z5" s="319"/>
      <c r="AA5" s="332"/>
      <c r="AB5" s="332"/>
      <c r="AC5" s="319"/>
      <c r="AD5" s="319"/>
      <c r="AE5" s="319"/>
      <c r="AF5" s="319"/>
      <c r="AG5" s="319"/>
      <c r="AH5" s="319"/>
      <c r="AI5" s="319"/>
      <c r="AJ5" s="319"/>
      <c r="AK5" s="319"/>
      <c r="AL5" s="319"/>
      <c r="AM5" s="319"/>
      <c r="AN5" s="319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913</v>
      </c>
      <c r="D6" s="203" t="s">
        <v>571</v>
      </c>
      <c r="E6" s="188" t="s">
        <v>456</v>
      </c>
      <c r="F6" s="204"/>
      <c r="G6" s="188" t="s">
        <v>164</v>
      </c>
      <c r="H6" s="188" t="s">
        <v>914</v>
      </c>
      <c r="I6" s="188" t="s">
        <v>855</v>
      </c>
      <c r="J6" s="188" t="s">
        <v>891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9"/>
      <c r="AA6" s="176"/>
      <c r="AB6" s="176"/>
      <c r="AC6" s="176"/>
      <c r="AD6" s="176"/>
      <c r="AE6" s="319"/>
      <c r="AF6" s="319"/>
      <c r="AG6" s="319"/>
      <c r="AH6" s="319"/>
      <c r="AI6" s="319"/>
      <c r="AJ6" s="319"/>
      <c r="AK6" s="319"/>
      <c r="AL6" s="319"/>
      <c r="AM6" s="319"/>
      <c r="AN6" s="319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9"/>
      <c r="AA7" s="176"/>
      <c r="AB7" s="176"/>
      <c r="AC7" s="176"/>
      <c r="AD7" s="176"/>
      <c r="AE7" s="319"/>
      <c r="AF7" s="319"/>
      <c r="AG7" s="319"/>
      <c r="AH7" s="319"/>
      <c r="AI7" s="319"/>
      <c r="AJ7" s="319"/>
      <c r="AK7" s="319"/>
      <c r="AL7" s="319"/>
      <c r="AM7" s="319"/>
      <c r="AN7" s="319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192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9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9"/>
      <c r="AF8" s="319"/>
      <c r="AG8" s="319"/>
      <c r="AH8" s="319"/>
      <c r="AI8" s="319"/>
      <c r="AJ8" s="319"/>
      <c r="AK8" s="319"/>
      <c r="AL8" s="319"/>
      <c r="AM8" s="319"/>
      <c r="AN8" s="319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192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9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9"/>
      <c r="AF9" s="319"/>
      <c r="AG9" s="319"/>
      <c r="AH9" s="319"/>
      <c r="AI9" s="319"/>
      <c r="AJ9" s="319"/>
      <c r="AK9" s="319"/>
      <c r="AL9" s="319"/>
      <c r="AM9" s="319"/>
      <c r="AN9" s="319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192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9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9"/>
      <c r="AF10" s="319"/>
      <c r="AG10" s="319"/>
      <c r="AH10" s="319"/>
      <c r="AI10" s="319"/>
      <c r="AJ10" s="319"/>
      <c r="AK10" s="319"/>
      <c r="AL10" s="319"/>
      <c r="AM10" s="319"/>
      <c r="AN10" s="319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192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9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192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9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9"/>
      <c r="AF12" s="319"/>
      <c r="AG12" s="319"/>
      <c r="AH12" s="319"/>
      <c r="AI12" s="319"/>
      <c r="AJ12" s="319"/>
      <c r="AK12" s="319"/>
      <c r="AL12" s="319"/>
      <c r="AM12" s="319"/>
      <c r="AN12" s="319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192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9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9"/>
      <c r="AF13" s="319"/>
      <c r="AG13" s="319"/>
      <c r="AH13" s="319"/>
      <c r="AI13" s="319"/>
      <c r="AJ13" s="319"/>
      <c r="AK13" s="319"/>
      <c r="AL13" s="319"/>
      <c r="AM13" s="319"/>
      <c r="AN13" s="319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192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9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192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9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192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9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9"/>
      <c r="AF16" s="319"/>
      <c r="AG16" s="319"/>
      <c r="AH16" s="319"/>
      <c r="AI16" s="319"/>
      <c r="AJ16" s="319"/>
      <c r="AK16" s="319"/>
      <c r="AL16" s="319"/>
      <c r="AM16" s="319"/>
      <c r="AN16" s="319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192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9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9"/>
      <c r="AF17" s="319"/>
      <c r="AG17" s="319"/>
      <c r="AH17" s="319"/>
      <c r="AI17" s="319"/>
      <c r="AJ17" s="319"/>
      <c r="AK17" s="319"/>
      <c r="AL17" s="319"/>
      <c r="AM17" s="319"/>
      <c r="AN17" s="319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9"/>
      <c r="AA18" s="176"/>
      <c r="AB18" s="176"/>
      <c r="AC18" s="176"/>
      <c r="AD18" s="176"/>
      <c r="AE18" s="319"/>
      <c r="AF18" s="319"/>
      <c r="AG18" s="319"/>
      <c r="AH18" s="319"/>
      <c r="AI18" s="319"/>
      <c r="AJ18" s="319"/>
      <c r="AK18" s="319"/>
      <c r="AL18" s="319"/>
      <c r="AM18" s="319"/>
      <c r="AN18" s="319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90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9"/>
      <c r="AA19" s="319"/>
      <c r="AB19" s="319"/>
      <c r="AC19" s="319"/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1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9"/>
      <c r="AA20" s="319"/>
      <c r="AB20" s="319"/>
      <c r="AC20" s="319"/>
      <c r="AD20" s="319"/>
      <c r="AE20" s="319"/>
      <c r="AF20" s="319"/>
      <c r="AG20" s="319"/>
      <c r="AH20" s="319"/>
      <c r="AI20" s="319"/>
      <c r="AJ20" s="319"/>
      <c r="AK20" s="319"/>
      <c r="AL20" s="319"/>
      <c r="AM20" s="319"/>
      <c r="AN20" s="319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1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1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9"/>
      <c r="AA22" s="319"/>
      <c r="AB22" s="319"/>
      <c r="AC22" s="319"/>
      <c r="AD22" s="319"/>
      <c r="AE22" s="319"/>
      <c r="AF22" s="319"/>
      <c r="AG22" s="319"/>
      <c r="AH22" s="319"/>
      <c r="AI22" s="319"/>
      <c r="AJ22" s="319"/>
      <c r="AK22" s="319"/>
      <c r="AL22" s="319"/>
      <c r="AM22" s="319"/>
      <c r="AN22" s="319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1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9"/>
      <c r="AA23" s="319"/>
      <c r="AB23" s="319"/>
      <c r="AC23" s="319"/>
      <c r="AD23" s="319"/>
      <c r="AE23" s="319"/>
      <c r="AF23" s="319"/>
      <c r="AG23" s="319"/>
      <c r="AH23" s="319"/>
      <c r="AI23" s="319"/>
      <c r="AJ23" s="319"/>
      <c r="AK23" s="319"/>
      <c r="AL23" s="319"/>
      <c r="AM23" s="319"/>
      <c r="AN23" s="319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9"/>
      <c r="AA24" s="319"/>
      <c r="AB24" s="319"/>
      <c r="AC24" s="319"/>
      <c r="AD24" s="319"/>
      <c r="AE24" s="319"/>
      <c r="AF24" s="319"/>
      <c r="AG24" s="319"/>
      <c r="AH24" s="319"/>
      <c r="AI24" s="319"/>
      <c r="AJ24" s="319"/>
      <c r="AK24" s="319"/>
      <c r="AL24" s="319"/>
      <c r="AM24" s="319"/>
      <c r="AN24" s="319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Intake!B31</f>
        <v>Vocht</v>
      </c>
      <c r="D25" s="211" t="str">
        <f>Intake!D31</f>
        <v>0 ml/kg</v>
      </c>
      <c r="E25" s="210" t="str">
        <f ca="1">Intake!E31</f>
        <v>100 ml/kg</v>
      </c>
      <c r="F25" s="210"/>
      <c r="G25" s="210" t="str">
        <f>Intake!H31</f>
        <v>Eiwit</v>
      </c>
      <c r="H25" s="211" t="str">
        <f>Intake!I31</f>
        <v>0  gram/kg</v>
      </c>
      <c r="I25" s="210" t="str">
        <f>Intake!J31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9"/>
      <c r="Z25" s="319"/>
      <c r="AA25" s="319"/>
      <c r="AB25" s="319"/>
      <c r="AC25" s="319"/>
      <c r="AD25" s="319"/>
      <c r="AE25" s="319"/>
      <c r="AF25" s="319"/>
      <c r="AG25" s="319"/>
      <c r="AH25" s="319"/>
      <c r="AI25" s="319"/>
      <c r="AJ25" s="319"/>
      <c r="AK25" s="319"/>
      <c r="AL25" s="319"/>
      <c r="AM25" s="319"/>
      <c r="AN25" s="319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Intake!B32</f>
        <v>Calorieen</v>
      </c>
      <c r="D26" s="211" t="str">
        <f>Intake!D32</f>
        <v>0 kCal/kg</v>
      </c>
      <c r="E26" s="210" t="str">
        <f ca="1">Intake!E32</f>
        <v>90 kCal/kg</v>
      </c>
      <c r="F26" s="210"/>
      <c r="G26" s="210" t="str">
        <f>Intake!H32</f>
        <v>Vet</v>
      </c>
      <c r="H26" s="211" t="str">
        <f>Intake!I32</f>
        <v>0 gram/kg</v>
      </c>
      <c r="I26" s="210" t="str">
        <f>Intake!J32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9"/>
      <c r="Z26" s="319"/>
      <c r="AA26" s="319"/>
      <c r="AB26" s="319"/>
      <c r="AC26" s="319"/>
      <c r="AD26" s="319"/>
      <c r="AE26" s="319"/>
      <c r="AF26" s="319"/>
      <c r="AG26" s="319"/>
      <c r="AH26" s="319"/>
      <c r="AI26" s="319"/>
      <c r="AJ26" s="319"/>
      <c r="AK26" s="319"/>
      <c r="AL26" s="319"/>
      <c r="AM26" s="319"/>
      <c r="AN26" s="319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Intake!B33</f>
        <v>Glucose/KH</v>
      </c>
      <c r="D27" s="211" t="str">
        <f>Intake!D33</f>
        <v>0 g/kg</v>
      </c>
      <c r="E27" s="210" t="str">
        <f>Intake!E33</f>
        <v>3,6 g/kg</v>
      </c>
      <c r="F27" s="210"/>
      <c r="G27" s="210" t="str">
        <f>Intake!H33</f>
        <v>Calcium</v>
      </c>
      <c r="H27" s="211" t="str">
        <f>Intake!I33</f>
        <v>0 mmol/kg</v>
      </c>
      <c r="I27" s="210" t="str">
        <f>Intake!J33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9"/>
      <c r="Z27" s="319"/>
      <c r="AA27" s="319"/>
      <c r="AB27" s="319"/>
      <c r="AC27" s="319"/>
      <c r="AD27" s="319"/>
      <c r="AE27" s="319"/>
      <c r="AF27" s="319"/>
      <c r="AG27" s="319"/>
      <c r="AH27" s="319"/>
      <c r="AI27" s="319"/>
      <c r="AJ27" s="319"/>
      <c r="AK27" s="319"/>
      <c r="AL27" s="319"/>
      <c r="AM27" s="319"/>
      <c r="AN27" s="319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Intake!B34</f>
        <v xml:space="preserve">Natrium </v>
      </c>
      <c r="D28" s="211" t="str">
        <f>Intake!D34</f>
        <v>0 mmol/kg</v>
      </c>
      <c r="E28" s="210" t="str">
        <f>Intake!E34</f>
        <v>2-4 mmol/kg</v>
      </c>
      <c r="F28" s="210"/>
      <c r="G28" s="210" t="str">
        <f>Intake!H34</f>
        <v>Magnesium</v>
      </c>
      <c r="H28" s="211" t="str">
        <f>Intake!I34</f>
        <v>0 mmol/kg</v>
      </c>
      <c r="I28" s="210" t="str">
        <f>Intake!J34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9"/>
      <c r="Z28" s="319"/>
      <c r="AA28" s="319"/>
      <c r="AB28" s="319"/>
      <c r="AC28" s="319"/>
      <c r="AD28" s="319"/>
      <c r="AE28" s="319"/>
      <c r="AF28" s="319"/>
      <c r="AG28" s="319"/>
      <c r="AH28" s="319"/>
      <c r="AI28" s="319"/>
      <c r="AJ28" s="319"/>
      <c r="AK28" s="319"/>
      <c r="AL28" s="319"/>
      <c r="AM28" s="319"/>
      <c r="AN28" s="319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Intake!B35</f>
        <v>Kalium</v>
      </c>
      <c r="D29" s="211" t="str">
        <f>Intake!D35</f>
        <v>0 mmol/kg</v>
      </c>
      <c r="E29" s="210" t="str">
        <f>Intake!E35</f>
        <v>1-2 mmol/kg</v>
      </c>
      <c r="F29" s="210"/>
      <c r="G29" s="210" t="str">
        <f>Intake!H35</f>
        <v>Fosfaat</v>
      </c>
      <c r="H29" s="211" t="str">
        <f>Intake!I35</f>
        <v>0 mmol/kg</v>
      </c>
      <c r="I29" s="210" t="str">
        <f>Intake!J35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9"/>
      <c r="Z29" s="319"/>
      <c r="AA29" s="319"/>
      <c r="AB29" s="319"/>
      <c r="AC29" s="319"/>
      <c r="AD29" s="319"/>
      <c r="AE29" s="319"/>
      <c r="AF29" s="319"/>
      <c r="AG29" s="319"/>
      <c r="AH29" s="319"/>
      <c r="AI29" s="319"/>
      <c r="AJ29" s="319"/>
      <c r="AK29" s="319"/>
      <c r="AL29" s="319"/>
      <c r="AM29" s="319"/>
      <c r="AN29" s="319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9"/>
      <c r="Z30" s="319"/>
      <c r="AA30" s="319"/>
      <c r="AB30" s="319"/>
      <c r="AC30" s="319"/>
      <c r="AD30" s="319"/>
      <c r="AE30" s="319"/>
      <c r="AF30" s="319"/>
      <c r="AG30" s="319"/>
      <c r="AH30" s="319"/>
      <c r="AI30" s="319"/>
      <c r="AJ30" s="319"/>
      <c r="AK30" s="319"/>
      <c r="AL30" s="319"/>
      <c r="AM30" s="319"/>
      <c r="AN30" s="319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818</v>
      </c>
      <c r="D31" s="359">
        <f>ber_Opm!C4</f>
        <v>0</v>
      </c>
      <c r="E31" s="360"/>
      <c r="F31" s="360"/>
      <c r="G31" s="360"/>
      <c r="H31" s="360"/>
      <c r="I31" s="360"/>
      <c r="J31" s="360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9"/>
      <c r="Z31" s="319"/>
      <c r="AA31" s="319"/>
      <c r="AB31" s="319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19"/>
      <c r="AN31" s="319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0"/>
      <c r="E32" s="360"/>
      <c r="F32" s="360"/>
      <c r="G32" s="360"/>
      <c r="H32" s="360"/>
      <c r="I32" s="360"/>
      <c r="J32" s="360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9"/>
      <c r="Z32" s="319"/>
      <c r="AA32" s="319"/>
      <c r="AB32" s="319"/>
      <c r="AC32" s="319"/>
      <c r="AD32" s="319"/>
      <c r="AE32" s="319"/>
      <c r="AF32" s="319"/>
      <c r="AG32" s="319"/>
      <c r="AH32" s="319"/>
      <c r="AI32" s="319"/>
      <c r="AJ32" s="319"/>
      <c r="AK32" s="319"/>
      <c r="AL32" s="319"/>
      <c r="AM32" s="319"/>
      <c r="AN32" s="319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0"/>
      <c r="E33" s="360"/>
      <c r="F33" s="360"/>
      <c r="G33" s="360"/>
      <c r="H33" s="360"/>
      <c r="I33" s="360"/>
      <c r="J33" s="360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19"/>
      <c r="AL33" s="319"/>
      <c r="AM33" s="319"/>
      <c r="AN33" s="319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0"/>
      <c r="E34" s="360"/>
      <c r="F34" s="360"/>
      <c r="G34" s="360"/>
      <c r="H34" s="360"/>
      <c r="I34" s="360"/>
      <c r="J34" s="360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  <c r="AI34" s="319"/>
      <c r="AJ34" s="319"/>
      <c r="AK34" s="319"/>
      <c r="AL34" s="319"/>
      <c r="AM34" s="319"/>
      <c r="AN34" s="319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0"/>
      <c r="E35" s="360"/>
      <c r="F35" s="360"/>
      <c r="G35" s="360"/>
      <c r="H35" s="360"/>
      <c r="I35" s="360"/>
      <c r="J35" s="360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9"/>
      <c r="Z35" s="319"/>
      <c r="AA35" s="319"/>
      <c r="AB35" s="319"/>
      <c r="AC35" s="319"/>
      <c r="AD35" s="319"/>
      <c r="AE35" s="319"/>
      <c r="AF35" s="319"/>
      <c r="AG35" s="319"/>
      <c r="AH35" s="319"/>
      <c r="AI35" s="319"/>
      <c r="AJ35" s="319"/>
      <c r="AK35" s="319"/>
      <c r="AL35" s="319"/>
      <c r="AM35" s="319"/>
      <c r="AN35" s="319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9"/>
      <c r="Z36" s="319"/>
      <c r="AA36" s="319"/>
      <c r="AB36" s="319"/>
      <c r="AC36" s="319"/>
      <c r="AD36" s="319"/>
      <c r="AE36" s="319"/>
      <c r="AF36" s="319"/>
      <c r="AG36" s="319"/>
      <c r="AH36" s="319"/>
      <c r="AI36" s="319"/>
      <c r="AJ36" s="319"/>
      <c r="AK36" s="319"/>
      <c r="AL36" s="319"/>
      <c r="AM36" s="319"/>
      <c r="AN36" s="319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9"/>
      <c r="Z37" s="319"/>
      <c r="AA37" s="319"/>
      <c r="AB37" s="319"/>
      <c r="AC37" s="319"/>
      <c r="AD37" s="319"/>
      <c r="AE37" s="319"/>
      <c r="AF37" s="319"/>
      <c r="AG37" s="319"/>
      <c r="AH37" s="319"/>
      <c r="AI37" s="319"/>
      <c r="AJ37" s="319"/>
      <c r="AK37" s="319"/>
      <c r="AL37" s="319"/>
      <c r="AM37" s="319"/>
      <c r="AN37" s="319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9"/>
      <c r="Z38" s="319"/>
      <c r="AA38" s="319"/>
      <c r="AB38" s="319"/>
      <c r="AC38" s="319"/>
      <c r="AD38" s="319"/>
      <c r="AE38" s="319"/>
      <c r="AF38" s="319"/>
      <c r="AG38" s="319"/>
      <c r="AH38" s="319"/>
      <c r="AI38" s="319"/>
      <c r="AJ38" s="319"/>
      <c r="AK38" s="319"/>
      <c r="AL38" s="319"/>
      <c r="AM38" s="319"/>
      <c r="AN38" s="319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GStBuRNamwRt61zl5CVu7xnQgK6Cg72ZeTQ0fgCy5i1KgluRBqp54N6weNQqBk5qccqK+FEpCPmQI8pin/dTow==" saltValue="wA+hQt1ZYJ+69eJhWREE2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3"/>
  <sheetViews>
    <sheetView showGridLines="0" showRowColHeader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defaultRowHeight="12.85" x14ac:dyDescent="0.35"/>
  <cols>
    <col min="1" max="1" width="4.9296875" customWidth="1"/>
    <col min="2" max="2" width="16.464843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1228</v>
      </c>
      <c r="H1" t="s">
        <v>1229</v>
      </c>
      <c r="J1" s="333" t="s">
        <v>1230</v>
      </c>
      <c r="L1" s="318" t="s">
        <v>1247</v>
      </c>
      <c r="N1" s="318" t="s">
        <v>1248</v>
      </c>
      <c r="P1" s="318" t="s">
        <v>1249</v>
      </c>
    </row>
    <row r="2" spans="1:19" x14ac:dyDescent="0.35">
      <c r="B2" t="s">
        <v>1231</v>
      </c>
      <c r="C2" t="s">
        <v>1232</v>
      </c>
      <c r="D2" t="s">
        <v>1233</v>
      </c>
      <c r="E2" t="s">
        <v>1234</v>
      </c>
      <c r="F2" t="s">
        <v>1235</v>
      </c>
      <c r="G2" t="s">
        <v>1236</v>
      </c>
      <c r="H2" t="s">
        <v>1235</v>
      </c>
      <c r="I2" t="s">
        <v>1236</v>
      </c>
      <c r="J2" t="s">
        <v>1235</v>
      </c>
      <c r="K2" t="s">
        <v>1236</v>
      </c>
      <c r="L2" s="318" t="s">
        <v>1235</v>
      </c>
      <c r="M2" s="318" t="s">
        <v>1236</v>
      </c>
      <c r="N2" s="318" t="s">
        <v>1235</v>
      </c>
      <c r="O2" s="318" t="s">
        <v>1236</v>
      </c>
      <c r="P2" s="318" t="s">
        <v>1235</v>
      </c>
      <c r="Q2" s="318" t="s">
        <v>1236</v>
      </c>
      <c r="R2" s="318" t="s">
        <v>1245</v>
      </c>
      <c r="S2" s="318" t="s">
        <v>1246</v>
      </c>
    </row>
    <row r="3" spans="1:19" x14ac:dyDescent="0.35">
      <c r="A3">
        <v>1</v>
      </c>
      <c r="L3" s="318"/>
      <c r="M3" s="318"/>
      <c r="N3" s="318"/>
      <c r="O3" s="318"/>
      <c r="P3" s="318"/>
      <c r="Q3" s="318"/>
      <c r="R3" s="318"/>
      <c r="S3" s="318"/>
    </row>
    <row r="4" spans="1:19" ht="15.85" x14ac:dyDescent="0.5">
      <c r="A4">
        <v>2</v>
      </c>
      <c r="B4" t="s">
        <v>584</v>
      </c>
      <c r="C4" s="333" t="s">
        <v>1171</v>
      </c>
      <c r="D4" s="333" t="s">
        <v>1093</v>
      </c>
      <c r="E4" s="333" t="s">
        <v>491</v>
      </c>
      <c r="F4">
        <v>1</v>
      </c>
      <c r="G4">
        <v>50</v>
      </c>
      <c r="H4">
        <v>2</v>
      </c>
      <c r="I4">
        <v>50</v>
      </c>
      <c r="J4" s="334">
        <v>5</v>
      </c>
      <c r="K4" s="334">
        <v>50</v>
      </c>
      <c r="L4">
        <f t="shared" ref="L4:L33" si="0">IF(Gewicht/10&lt;6,F4,IF(Gewicht/10&lt;11,H4,J4))</f>
        <v>2</v>
      </c>
      <c r="M4">
        <f t="shared" ref="M4:M33" si="1">IF(Gewicht/10&lt;6,G4,IF(Gewicht/10&lt;11,I4,K4))</f>
        <v>50</v>
      </c>
      <c r="N4">
        <f t="shared" ref="N4:N33" si="2">INDEX(tblBerMedContIV,IFERROR(VLOOKUP(A4,tblBerMedContIV,2,FALSE),1),3)</f>
        <v>0</v>
      </c>
      <c r="O4">
        <f t="shared" ref="O4:O33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3" t="s">
        <v>356</v>
      </c>
      <c r="C5" s="333" t="s">
        <v>983</v>
      </c>
      <c r="D5" s="333" t="s">
        <v>586</v>
      </c>
      <c r="E5" s="333" t="s">
        <v>202</v>
      </c>
      <c r="F5">
        <v>0.2</v>
      </c>
      <c r="G5">
        <v>1</v>
      </c>
      <c r="H5">
        <v>0.2</v>
      </c>
      <c r="I5">
        <v>1</v>
      </c>
      <c r="J5" s="334">
        <v>0.2</v>
      </c>
      <c r="K5" s="334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3" si="4">IF(N5&gt;0,N5,L5)</f>
        <v>0.2</v>
      </c>
      <c r="Q5">
        <f t="shared" ref="Q5:Q33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3" t="s">
        <v>453</v>
      </c>
      <c r="C6" s="333" t="s">
        <v>1172</v>
      </c>
      <c r="D6" s="333" t="s">
        <v>785</v>
      </c>
      <c r="E6" t="s">
        <v>491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1188</v>
      </c>
      <c r="C7" s="333" t="s">
        <v>1171</v>
      </c>
      <c r="D7" s="333" t="s">
        <v>1250</v>
      </c>
      <c r="E7" s="333" t="s">
        <v>491</v>
      </c>
      <c r="F7">
        <v>50</v>
      </c>
      <c r="G7">
        <v>50</v>
      </c>
      <c r="H7">
        <v>150</v>
      </c>
      <c r="I7">
        <v>50</v>
      </c>
      <c r="J7" s="334">
        <v>300</v>
      </c>
      <c r="K7" s="334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153</v>
      </c>
      <c r="C8" s="333" t="s">
        <v>554</v>
      </c>
      <c r="D8" s="333" t="s">
        <v>552</v>
      </c>
      <c r="E8" s="333" t="s">
        <v>491</v>
      </c>
      <c r="F8">
        <v>0.15</v>
      </c>
      <c r="G8" s="333">
        <v>50</v>
      </c>
      <c r="H8">
        <v>0.3</v>
      </c>
      <c r="I8">
        <v>50</v>
      </c>
      <c r="J8" s="334">
        <v>0.6</v>
      </c>
      <c r="K8" s="334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3" t="s">
        <v>912</v>
      </c>
      <c r="C9" s="333" t="s">
        <v>1171</v>
      </c>
      <c r="D9" s="333" t="s">
        <v>1092</v>
      </c>
      <c r="E9" s="333" t="s">
        <v>491</v>
      </c>
      <c r="F9">
        <v>80</v>
      </c>
      <c r="G9">
        <v>50</v>
      </c>
      <c r="H9">
        <v>200</v>
      </c>
      <c r="I9">
        <v>50</v>
      </c>
      <c r="J9" s="334">
        <v>400</v>
      </c>
      <c r="K9" s="334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841</v>
      </c>
      <c r="C10" s="333" t="s">
        <v>1171</v>
      </c>
      <c r="D10" s="333" t="s">
        <v>911</v>
      </c>
      <c r="E10" s="333" t="s">
        <v>491</v>
      </c>
      <c r="F10">
        <v>80</v>
      </c>
      <c r="G10">
        <v>50</v>
      </c>
      <c r="H10">
        <v>200</v>
      </c>
      <c r="I10">
        <v>50</v>
      </c>
      <c r="J10" s="334">
        <v>400</v>
      </c>
      <c r="K10" s="334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33" t="s">
        <v>1237</v>
      </c>
      <c r="C11" s="333" t="s">
        <v>1205</v>
      </c>
      <c r="D11" s="333" t="s">
        <v>1219</v>
      </c>
      <c r="E11" s="333" t="s">
        <v>492</v>
      </c>
      <c r="F11">
        <f>2*Gewicht/10</f>
        <v>20</v>
      </c>
      <c r="G11">
        <v>48</v>
      </c>
      <c r="H11">
        <f>2*Gewicht/10</f>
        <v>20</v>
      </c>
      <c r="I11">
        <v>48</v>
      </c>
      <c r="J11">
        <f>2*Gewicht/10</f>
        <v>20</v>
      </c>
      <c r="K11" s="334">
        <v>48</v>
      </c>
      <c r="L11">
        <f t="shared" si="0"/>
        <v>20</v>
      </c>
      <c r="M11">
        <f t="shared" si="1"/>
        <v>48</v>
      </c>
      <c r="N11">
        <f t="shared" si="2"/>
        <v>0</v>
      </c>
      <c r="O11">
        <f t="shared" si="3"/>
        <v>0</v>
      </c>
      <c r="P11">
        <f t="shared" si="4"/>
        <v>20</v>
      </c>
      <c r="Q11">
        <f t="shared" si="5"/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3" t="s">
        <v>279</v>
      </c>
      <c r="C12" s="333" t="s">
        <v>1172</v>
      </c>
      <c r="D12" s="333" t="s">
        <v>172</v>
      </c>
      <c r="E12" s="333" t="s">
        <v>491</v>
      </c>
      <c r="F12">
        <v>0.2</v>
      </c>
      <c r="G12">
        <v>50</v>
      </c>
      <c r="H12">
        <v>0.4</v>
      </c>
      <c r="I12">
        <v>50</v>
      </c>
      <c r="J12" s="334">
        <v>0.8</v>
      </c>
      <c r="K12" s="334">
        <v>50</v>
      </c>
      <c r="L12">
        <f t="shared" si="0"/>
        <v>0.4</v>
      </c>
      <c r="M12">
        <f t="shared" si="1"/>
        <v>50</v>
      </c>
      <c r="N12">
        <f t="shared" si="2"/>
        <v>0</v>
      </c>
      <c r="O12">
        <f t="shared" si="3"/>
        <v>0</v>
      </c>
      <c r="P12">
        <f t="shared" si="4"/>
        <v>0.4</v>
      </c>
      <c r="Q12">
        <f t="shared" si="5"/>
        <v>50</v>
      </c>
      <c r="R12">
        <v>10</v>
      </c>
      <c r="S12">
        <f>IF(Q12&gt;0,ROUND(1000*1000*R12/10*(P12/Q12)/(Gewicht/10)/60,3),0)</f>
        <v>13.333</v>
      </c>
    </row>
    <row r="13" spans="1:19" ht="15.85" x14ac:dyDescent="0.5">
      <c r="A13">
        <v>11</v>
      </c>
      <c r="B13" t="s">
        <v>402</v>
      </c>
      <c r="C13" s="333" t="s">
        <v>981</v>
      </c>
      <c r="D13" s="333" t="s">
        <v>585</v>
      </c>
      <c r="E13" s="333" t="s">
        <v>491</v>
      </c>
      <c r="F13">
        <v>100</v>
      </c>
      <c r="G13" s="333">
        <v>50</v>
      </c>
      <c r="H13">
        <v>250</v>
      </c>
      <c r="I13">
        <v>50</v>
      </c>
      <c r="J13" s="334">
        <v>250</v>
      </c>
      <c r="K13" s="334">
        <v>50</v>
      </c>
      <c r="L13">
        <f t="shared" si="0"/>
        <v>250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250</v>
      </c>
      <c r="Q13">
        <f t="shared" si="5"/>
        <v>50</v>
      </c>
      <c r="R13">
        <v>10</v>
      </c>
      <c r="S13">
        <f>IF(Q13&gt;0,ROUND(R13/10*(P13/Q13)/(Gewicht/10),3),0)</f>
        <v>0.5</v>
      </c>
    </row>
    <row r="14" spans="1:19" ht="15.85" x14ac:dyDescent="0.5">
      <c r="A14">
        <v>12</v>
      </c>
      <c r="B14" t="s">
        <v>1238</v>
      </c>
      <c r="C14" s="333" t="s">
        <v>1252</v>
      </c>
      <c r="D14" s="333" t="s">
        <v>1251</v>
      </c>
      <c r="E14" s="333" t="s">
        <v>491</v>
      </c>
      <c r="F14">
        <v>500</v>
      </c>
      <c r="G14">
        <v>50</v>
      </c>
      <c r="H14">
        <v>500</v>
      </c>
      <c r="I14">
        <v>50</v>
      </c>
      <c r="J14" s="334">
        <v>500</v>
      </c>
      <c r="K14" s="334">
        <v>50</v>
      </c>
      <c r="L14">
        <f t="shared" si="0"/>
        <v>500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500</v>
      </c>
      <c r="Q14">
        <f t="shared" si="5"/>
        <v>50</v>
      </c>
      <c r="R14">
        <v>10</v>
      </c>
      <c r="S14">
        <f>IF(Q14&gt;0,ROUND(R14/10*(P14/Q14)/(Gewicht/10)/60,3),0)</f>
        <v>1.7000000000000001E-2</v>
      </c>
    </row>
    <row r="15" spans="1:19" ht="15.85" x14ac:dyDescent="0.5">
      <c r="A15">
        <v>13</v>
      </c>
      <c r="B15" s="318" t="s">
        <v>1265</v>
      </c>
      <c r="C15" s="333" t="s">
        <v>554</v>
      </c>
      <c r="D15" s="333" t="s">
        <v>1266</v>
      </c>
      <c r="E15" s="333" t="s">
        <v>491</v>
      </c>
      <c r="F15">
        <v>0.5</v>
      </c>
      <c r="G15">
        <v>50</v>
      </c>
      <c r="H15">
        <v>1</v>
      </c>
      <c r="I15">
        <v>50</v>
      </c>
      <c r="J15" s="334">
        <v>5</v>
      </c>
      <c r="K15" s="334">
        <v>50</v>
      </c>
      <c r="L15">
        <f t="shared" ref="L15" si="6">IF(Gewicht/10&lt;6,F15,IF(Gewicht/10&lt;11,H15,J15))</f>
        <v>1</v>
      </c>
      <c r="M15">
        <f t="shared" ref="M15" si="7">IF(Gewicht/10&lt;6,G15,IF(Gewicht/10&lt;11,I15,K15))</f>
        <v>50</v>
      </c>
      <c r="N15">
        <f t="shared" ref="N15" si="8">INDEX(tblBerMedContIV,IFERROR(VLOOKUP(A15,tblBerMedContIV,2,FALSE),1),3)</f>
        <v>0</v>
      </c>
      <c r="O15">
        <f t="shared" ref="O15" si="9">INDEX(tblBerMedContIV,IFERROR(VLOOKUP(A15,tblBerMedContIV,2,FALSE),1),4)</f>
        <v>0</v>
      </c>
      <c r="P15">
        <f t="shared" ref="P15" si="10">IF(N15&gt;0,N15,L15)</f>
        <v>1</v>
      </c>
      <c r="Q15">
        <f t="shared" ref="Q15" si="11">IF(O15&gt;0,O15,M15)</f>
        <v>50</v>
      </c>
      <c r="R15">
        <v>10</v>
      </c>
      <c r="S15">
        <f>IF(Q15&gt;0,ROUND(1000*R15/10*(P15/Q15)/(Gewicht/10),3),0)</f>
        <v>2</v>
      </c>
    </row>
    <row r="16" spans="1:19" ht="15.85" x14ac:dyDescent="0.5">
      <c r="A16">
        <v>14</v>
      </c>
      <c r="B16" t="s">
        <v>1239</v>
      </c>
      <c r="C16" s="333" t="s">
        <v>1171</v>
      </c>
      <c r="D16" s="333" t="s">
        <v>1262</v>
      </c>
      <c r="E16" s="333" t="s">
        <v>491</v>
      </c>
      <c r="F16">
        <v>0.2</v>
      </c>
      <c r="G16">
        <v>20</v>
      </c>
      <c r="H16">
        <v>0.4</v>
      </c>
      <c r="I16">
        <v>50</v>
      </c>
      <c r="J16" s="334">
        <v>0.8</v>
      </c>
      <c r="K16" s="334">
        <v>50</v>
      </c>
      <c r="L16">
        <f t="shared" si="0"/>
        <v>0.4</v>
      </c>
      <c r="M16">
        <f t="shared" si="1"/>
        <v>50</v>
      </c>
      <c r="N16">
        <f t="shared" si="2"/>
        <v>0</v>
      </c>
      <c r="O16">
        <f t="shared" si="3"/>
        <v>0</v>
      </c>
      <c r="P16">
        <f t="shared" si="4"/>
        <v>0.4</v>
      </c>
      <c r="Q16">
        <f t="shared" si="5"/>
        <v>50</v>
      </c>
      <c r="R16">
        <v>10</v>
      </c>
      <c r="S16">
        <f>IF(Q16&gt;0,ROUND(1000*R16/10*(P16/Q16)/(Gewicht/10)/60,3),0)</f>
        <v>1.2999999999999999E-2</v>
      </c>
    </row>
    <row r="17" spans="1:19" ht="15.85" x14ac:dyDescent="0.5">
      <c r="A17">
        <v>15</v>
      </c>
      <c r="B17" t="s">
        <v>510</v>
      </c>
      <c r="C17" s="333" t="s">
        <v>982</v>
      </c>
      <c r="D17" s="333" t="s">
        <v>446</v>
      </c>
      <c r="E17" s="333" t="s">
        <v>491</v>
      </c>
      <c r="F17">
        <v>10</v>
      </c>
      <c r="G17">
        <v>50</v>
      </c>
      <c r="H17">
        <v>20</v>
      </c>
      <c r="I17">
        <v>50</v>
      </c>
      <c r="J17" s="334">
        <v>40</v>
      </c>
      <c r="K17" s="334">
        <v>50</v>
      </c>
      <c r="L17">
        <f t="shared" si="0"/>
        <v>20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20</v>
      </c>
      <c r="Q17">
        <f t="shared" si="5"/>
        <v>50</v>
      </c>
      <c r="R17">
        <v>10</v>
      </c>
      <c r="S17">
        <f>IF(Q17&gt;0,ROUND(24*R17/10*(P17/Q17)/(Gewicht/10),3),0)</f>
        <v>0.96</v>
      </c>
    </row>
    <row r="18" spans="1:19" ht="15.85" x14ac:dyDescent="0.5">
      <c r="A18">
        <v>16</v>
      </c>
      <c r="B18" t="s">
        <v>549</v>
      </c>
      <c r="C18" s="333" t="s">
        <v>550</v>
      </c>
      <c r="D18" s="333" t="s">
        <v>551</v>
      </c>
      <c r="E18" s="333" t="s">
        <v>1240</v>
      </c>
      <c r="F18">
        <v>5000</v>
      </c>
      <c r="G18">
        <v>50</v>
      </c>
      <c r="H18">
        <v>10000</v>
      </c>
      <c r="I18">
        <v>50</v>
      </c>
      <c r="J18" s="334">
        <v>20000</v>
      </c>
      <c r="K18" s="334">
        <v>50</v>
      </c>
      <c r="L18">
        <f t="shared" si="0"/>
        <v>10000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10000</v>
      </c>
      <c r="Q18">
        <f t="shared" si="5"/>
        <v>50</v>
      </c>
      <c r="R18">
        <v>10</v>
      </c>
      <c r="S18">
        <f>IF(Q18&gt;0,ROUND(R18/10*(P18/Q18)/(Gewicht/10),3),0)</f>
        <v>20</v>
      </c>
    </row>
    <row r="19" spans="1:19" ht="15.85" x14ac:dyDescent="0.5">
      <c r="A19">
        <v>17</v>
      </c>
      <c r="B19" t="s">
        <v>1241</v>
      </c>
      <c r="C19" s="333" t="s">
        <v>199</v>
      </c>
      <c r="D19" s="333" t="s">
        <v>105</v>
      </c>
      <c r="E19" s="333" t="s">
        <v>1240</v>
      </c>
      <c r="F19">
        <v>10</v>
      </c>
      <c r="G19">
        <v>50</v>
      </c>
      <c r="H19">
        <v>10</v>
      </c>
      <c r="I19">
        <v>50</v>
      </c>
      <c r="J19" s="334">
        <v>50</v>
      </c>
      <c r="K19" s="334">
        <v>50</v>
      </c>
      <c r="L19">
        <f t="shared" si="0"/>
        <v>10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</v>
      </c>
      <c r="Q19">
        <f t="shared" si="5"/>
        <v>50</v>
      </c>
      <c r="R19">
        <v>10</v>
      </c>
      <c r="S19">
        <f>IF(Q19&gt;0,ROUND(R19/10*(P19/Q19)/(Gewicht/10),3),0)</f>
        <v>0.02</v>
      </c>
    </row>
    <row r="20" spans="1:19" ht="15.85" x14ac:dyDescent="0.5">
      <c r="A20">
        <v>18</v>
      </c>
      <c r="B20" t="s">
        <v>1106</v>
      </c>
      <c r="C20" s="333" t="s">
        <v>1171</v>
      </c>
      <c r="D20" s="333" t="s">
        <v>784</v>
      </c>
      <c r="E20" s="333" t="s">
        <v>491</v>
      </c>
      <c r="F20">
        <v>2</v>
      </c>
      <c r="G20">
        <v>50</v>
      </c>
      <c r="H20">
        <v>2</v>
      </c>
      <c r="I20">
        <v>50</v>
      </c>
      <c r="J20" s="334">
        <v>2</v>
      </c>
      <c r="K20" s="334">
        <v>50</v>
      </c>
      <c r="L20">
        <f t="shared" si="0"/>
        <v>2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2</v>
      </c>
      <c r="Q20">
        <f t="shared" si="5"/>
        <v>50</v>
      </c>
      <c r="R20">
        <v>10</v>
      </c>
      <c r="S20">
        <f>IF(Q20&gt;0,ROUND(1000*R20/10*(P20/Q20)/(Gewicht/10)/60,3),0)</f>
        <v>6.7000000000000004E-2</v>
      </c>
    </row>
    <row r="21" spans="1:19" ht="15.85" x14ac:dyDescent="0.5">
      <c r="A21">
        <v>19</v>
      </c>
      <c r="B21" t="s">
        <v>1242</v>
      </c>
      <c r="C21" s="333" t="s">
        <v>981</v>
      </c>
      <c r="D21" s="333" t="s">
        <v>585</v>
      </c>
      <c r="E21" s="333" t="s">
        <v>491</v>
      </c>
      <c r="F21">
        <v>250</v>
      </c>
      <c r="G21">
        <v>50</v>
      </c>
      <c r="H21">
        <v>250</v>
      </c>
      <c r="I21">
        <v>50</v>
      </c>
      <c r="J21" s="334">
        <v>250</v>
      </c>
      <c r="K21" s="334">
        <v>50</v>
      </c>
      <c r="L21">
        <f t="shared" si="0"/>
        <v>250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250</v>
      </c>
      <c r="Q21">
        <f t="shared" si="5"/>
        <v>50</v>
      </c>
      <c r="R21">
        <v>10</v>
      </c>
      <c r="S21">
        <f>IF(Q21&gt;0,ROUND(R21/10*(P21/Q21)/(Gewicht/10),3),0)</f>
        <v>0.5</v>
      </c>
    </row>
    <row r="22" spans="1:19" ht="15.85" x14ac:dyDescent="0.5">
      <c r="A22">
        <v>20</v>
      </c>
      <c r="B22" t="s">
        <v>1243</v>
      </c>
      <c r="C22" s="333" t="s">
        <v>981</v>
      </c>
      <c r="D22" s="333" t="s">
        <v>1263</v>
      </c>
      <c r="E22" s="333" t="s">
        <v>491</v>
      </c>
      <c r="F22">
        <v>160</v>
      </c>
      <c r="G22">
        <v>1</v>
      </c>
      <c r="H22">
        <v>160</v>
      </c>
      <c r="I22">
        <v>1</v>
      </c>
      <c r="J22" s="334">
        <v>160</v>
      </c>
      <c r="K22" s="334">
        <v>1</v>
      </c>
      <c r="L22">
        <f t="shared" si="0"/>
        <v>160</v>
      </c>
      <c r="M22">
        <f t="shared" si="1"/>
        <v>1</v>
      </c>
      <c r="N22">
        <f t="shared" si="2"/>
        <v>0</v>
      </c>
      <c r="O22">
        <f t="shared" si="3"/>
        <v>0</v>
      </c>
      <c r="P22">
        <f t="shared" si="4"/>
        <v>160</v>
      </c>
      <c r="Q22">
        <f t="shared" si="5"/>
        <v>1</v>
      </c>
      <c r="R22">
        <v>10</v>
      </c>
      <c r="S22">
        <f>IF(Q22&gt;0,ROUND(R22/10*(P22/Q22)/(Gewicht/10),3),0)</f>
        <v>16</v>
      </c>
    </row>
    <row r="23" spans="1:19" ht="15.85" x14ac:dyDescent="0.5">
      <c r="A23">
        <v>21</v>
      </c>
      <c r="B23" t="s">
        <v>973</v>
      </c>
      <c r="C23" s="333" t="s">
        <v>981</v>
      </c>
      <c r="D23" s="333" t="s">
        <v>354</v>
      </c>
      <c r="E23" s="333" t="s">
        <v>491</v>
      </c>
      <c r="F23">
        <v>50</v>
      </c>
      <c r="G23" s="333">
        <v>50</v>
      </c>
      <c r="H23">
        <v>50</v>
      </c>
      <c r="I23">
        <v>50</v>
      </c>
      <c r="J23" s="334">
        <v>50</v>
      </c>
      <c r="K23" s="334">
        <v>50</v>
      </c>
      <c r="L23">
        <f t="shared" si="0"/>
        <v>50</v>
      </c>
      <c r="M23">
        <f t="shared" si="1"/>
        <v>50</v>
      </c>
      <c r="N23">
        <f t="shared" si="2"/>
        <v>0</v>
      </c>
      <c r="O23">
        <f t="shared" si="3"/>
        <v>0</v>
      </c>
      <c r="P23">
        <f t="shared" si="4"/>
        <v>50</v>
      </c>
      <c r="Q23">
        <f t="shared" si="5"/>
        <v>50</v>
      </c>
      <c r="R23">
        <v>10</v>
      </c>
      <c r="S23">
        <f>IF(Q23&gt;0,ROUND(R23/10*(P23/Q23)/(Gewicht/10),3),0)</f>
        <v>0.1</v>
      </c>
    </row>
    <row r="24" spans="1:19" ht="15.85" x14ac:dyDescent="0.5">
      <c r="A24">
        <v>22</v>
      </c>
      <c r="B24" t="s">
        <v>1244</v>
      </c>
      <c r="C24" s="333" t="s">
        <v>1171</v>
      </c>
      <c r="D24" s="333" t="s">
        <v>1094</v>
      </c>
      <c r="E24" s="333" t="s">
        <v>491</v>
      </c>
      <c r="F24">
        <v>5</v>
      </c>
      <c r="G24">
        <v>50</v>
      </c>
      <c r="H24">
        <v>10</v>
      </c>
      <c r="I24">
        <v>50</v>
      </c>
      <c r="J24" s="334">
        <v>20</v>
      </c>
      <c r="K24" s="334">
        <v>50</v>
      </c>
      <c r="L24">
        <f t="shared" si="0"/>
        <v>10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10</v>
      </c>
      <c r="Q24">
        <f t="shared" si="5"/>
        <v>50</v>
      </c>
      <c r="R24">
        <v>10</v>
      </c>
      <c r="S24">
        <f>IF(Q24&gt;0,ROUND(1000*R24/10*(P24/Q24)/(Gewicht/10)/60,3),0)</f>
        <v>0.33300000000000002</v>
      </c>
    </row>
    <row r="25" spans="1:19" ht="15.85" x14ac:dyDescent="0.5">
      <c r="A25">
        <v>23</v>
      </c>
      <c r="B25" t="s">
        <v>355</v>
      </c>
      <c r="C25" s="333" t="s">
        <v>982</v>
      </c>
      <c r="D25" s="333" t="s">
        <v>357</v>
      </c>
      <c r="E25" s="333" t="s">
        <v>491</v>
      </c>
      <c r="F25">
        <v>2</v>
      </c>
      <c r="G25" s="333">
        <v>50</v>
      </c>
      <c r="H25">
        <v>5</v>
      </c>
      <c r="I25">
        <v>50</v>
      </c>
      <c r="J25" s="334">
        <v>10</v>
      </c>
      <c r="K25" s="334">
        <v>50</v>
      </c>
      <c r="L25">
        <f t="shared" si="0"/>
        <v>5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5</v>
      </c>
      <c r="Q25">
        <f t="shared" si="5"/>
        <v>50</v>
      </c>
      <c r="R25">
        <v>10</v>
      </c>
      <c r="S25">
        <f>IF(Q25&gt;0,ROUND(24*(R25/10)*(P25/Q25)/(Gewicht/10),3),0)</f>
        <v>0.24</v>
      </c>
    </row>
    <row r="26" spans="1:19" ht="15.85" x14ac:dyDescent="0.5">
      <c r="A26">
        <v>24</v>
      </c>
      <c r="B26" s="333" t="s">
        <v>917</v>
      </c>
      <c r="C26" s="333" t="s">
        <v>1097</v>
      </c>
      <c r="D26" s="333" t="s">
        <v>587</v>
      </c>
      <c r="E26" s="333" t="s">
        <v>1264</v>
      </c>
      <c r="F26">
        <v>0.5</v>
      </c>
      <c r="G26" s="333">
        <v>1</v>
      </c>
      <c r="H26">
        <v>0.5</v>
      </c>
      <c r="I26">
        <v>1</v>
      </c>
      <c r="J26" s="334">
        <v>0.5</v>
      </c>
      <c r="K26" s="334">
        <v>1</v>
      </c>
      <c r="L26">
        <f t="shared" si="0"/>
        <v>0.5</v>
      </c>
      <c r="M26">
        <f t="shared" si="1"/>
        <v>1</v>
      </c>
      <c r="N26">
        <f t="shared" si="2"/>
        <v>0</v>
      </c>
      <c r="O26">
        <f t="shared" si="3"/>
        <v>0</v>
      </c>
      <c r="P26">
        <f t="shared" si="4"/>
        <v>0.5</v>
      </c>
      <c r="Q26">
        <f t="shared" si="5"/>
        <v>1</v>
      </c>
      <c r="R26">
        <v>10</v>
      </c>
      <c r="S26">
        <f>IF(Q26&gt;0,ROUND(24*(R26/10)*(P26/Q26)/(Gewicht/10),3),0)</f>
        <v>1.2</v>
      </c>
    </row>
    <row r="27" spans="1:19" ht="15.85" x14ac:dyDescent="0.5">
      <c r="A27">
        <v>25</v>
      </c>
      <c r="B27" t="s">
        <v>171</v>
      </c>
      <c r="C27" s="333" t="s">
        <v>1171</v>
      </c>
      <c r="D27" s="333" t="s">
        <v>173</v>
      </c>
      <c r="E27" s="333" t="s">
        <v>491</v>
      </c>
      <c r="F27">
        <v>10</v>
      </c>
      <c r="G27">
        <v>50</v>
      </c>
      <c r="H27">
        <v>20</v>
      </c>
      <c r="I27">
        <v>50</v>
      </c>
      <c r="J27" s="334">
        <v>40</v>
      </c>
      <c r="K27" s="334">
        <v>50</v>
      </c>
      <c r="L27">
        <f t="shared" si="0"/>
        <v>20</v>
      </c>
      <c r="M27">
        <f t="shared" si="1"/>
        <v>50</v>
      </c>
      <c r="N27">
        <f t="shared" si="2"/>
        <v>0</v>
      </c>
      <c r="O27">
        <f t="shared" si="3"/>
        <v>0</v>
      </c>
      <c r="P27">
        <f t="shared" si="4"/>
        <v>20</v>
      </c>
      <c r="Q27">
        <f t="shared" si="5"/>
        <v>50</v>
      </c>
      <c r="R27">
        <v>10</v>
      </c>
      <c r="S27">
        <f>IF(Q27&gt;0,ROUND(1000*R27/10*(P27/Q27)/(Gewicht/10)/60,3),0)</f>
        <v>0.66700000000000004</v>
      </c>
    </row>
    <row r="28" spans="1:19" ht="15.85" x14ac:dyDescent="0.5">
      <c r="A28">
        <v>26</v>
      </c>
      <c r="B28" t="s">
        <v>1095</v>
      </c>
      <c r="C28" s="333" t="s">
        <v>1171</v>
      </c>
      <c r="D28" s="333" t="s">
        <v>1096</v>
      </c>
      <c r="E28" s="333" t="s">
        <v>491</v>
      </c>
      <c r="F28">
        <v>1</v>
      </c>
      <c r="G28">
        <v>50</v>
      </c>
      <c r="H28">
        <v>2</v>
      </c>
      <c r="I28">
        <v>50</v>
      </c>
      <c r="J28" s="334">
        <v>5</v>
      </c>
      <c r="K28" s="334">
        <v>50</v>
      </c>
      <c r="L28">
        <f t="shared" si="0"/>
        <v>2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</v>
      </c>
      <c r="Q28">
        <f t="shared" si="5"/>
        <v>50</v>
      </c>
      <c r="R28">
        <v>10</v>
      </c>
      <c r="S28">
        <f>IF(Q28&gt;0,ROUND(1000*R28/10*(P28/Q28)/(Gewicht/10)/60,3),0)</f>
        <v>6.7000000000000004E-2</v>
      </c>
    </row>
    <row r="29" spans="1:19" ht="15.85" x14ac:dyDescent="0.5">
      <c r="A29">
        <v>27</v>
      </c>
      <c r="B29" s="333" t="s">
        <v>883</v>
      </c>
      <c r="C29" s="333" t="s">
        <v>981</v>
      </c>
      <c r="D29" s="333" t="s">
        <v>1204</v>
      </c>
      <c r="E29" s="333" t="s">
        <v>491</v>
      </c>
      <c r="F29">
        <v>10</v>
      </c>
      <c r="G29">
        <v>1</v>
      </c>
      <c r="H29">
        <v>10</v>
      </c>
      <c r="I29">
        <v>1</v>
      </c>
      <c r="J29" s="334">
        <v>10</v>
      </c>
      <c r="K29" s="334">
        <v>1</v>
      </c>
      <c r="L29">
        <f t="shared" si="0"/>
        <v>10</v>
      </c>
      <c r="M29">
        <f t="shared" si="1"/>
        <v>1</v>
      </c>
      <c r="N29">
        <f t="shared" si="2"/>
        <v>0</v>
      </c>
      <c r="O29">
        <f t="shared" si="3"/>
        <v>0</v>
      </c>
      <c r="P29">
        <f t="shared" si="4"/>
        <v>10</v>
      </c>
      <c r="Q29">
        <f t="shared" si="5"/>
        <v>1</v>
      </c>
      <c r="R29">
        <v>10</v>
      </c>
      <c r="S29">
        <f>IF(Q29&gt;0,ROUND(R29/10*(P29/Q29)/(Gewicht/10),3),0)</f>
        <v>1</v>
      </c>
    </row>
    <row r="30" spans="1:19" ht="15.85" x14ac:dyDescent="0.5">
      <c r="A30">
        <v>28</v>
      </c>
      <c r="B30" s="333" t="s">
        <v>884</v>
      </c>
      <c r="C30" s="333" t="s">
        <v>981</v>
      </c>
      <c r="D30" s="333" t="s">
        <v>1204</v>
      </c>
      <c r="E30" s="333" t="s">
        <v>491</v>
      </c>
      <c r="F30">
        <v>20</v>
      </c>
      <c r="G30">
        <v>1</v>
      </c>
      <c r="H30">
        <v>20</v>
      </c>
      <c r="I30">
        <v>1</v>
      </c>
      <c r="J30" s="334">
        <v>20</v>
      </c>
      <c r="K30" s="334">
        <v>1</v>
      </c>
      <c r="L30">
        <f t="shared" si="0"/>
        <v>20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20</v>
      </c>
      <c r="Q30">
        <f t="shared" si="5"/>
        <v>1</v>
      </c>
      <c r="R30">
        <v>10</v>
      </c>
      <c r="S30">
        <f>IF(Q30&gt;0,ROUND(R30/10*(P30/Q30)/(Gewicht/10),3),0)</f>
        <v>2</v>
      </c>
    </row>
    <row r="31" spans="1:19" ht="15.85" x14ac:dyDescent="0.5">
      <c r="A31">
        <v>29</v>
      </c>
      <c r="B31" t="s">
        <v>783</v>
      </c>
      <c r="C31" s="333" t="s">
        <v>981</v>
      </c>
      <c r="D31" s="333" t="s">
        <v>890</v>
      </c>
      <c r="E31" s="333" t="s">
        <v>491</v>
      </c>
      <c r="F31">
        <v>50</v>
      </c>
      <c r="G31">
        <v>50</v>
      </c>
      <c r="H31">
        <v>100</v>
      </c>
      <c r="I31">
        <v>50</v>
      </c>
      <c r="J31" s="334">
        <v>200</v>
      </c>
      <c r="K31" s="334">
        <v>50</v>
      </c>
      <c r="L31">
        <f t="shared" si="0"/>
        <v>100</v>
      </c>
      <c r="M31">
        <f t="shared" si="1"/>
        <v>50</v>
      </c>
      <c r="N31">
        <f t="shared" si="2"/>
        <v>0</v>
      </c>
      <c r="O31">
        <f t="shared" si="3"/>
        <v>0</v>
      </c>
      <c r="P31">
        <f t="shared" si="4"/>
        <v>100</v>
      </c>
      <c r="Q31">
        <f t="shared" si="5"/>
        <v>50</v>
      </c>
      <c r="R31">
        <v>10</v>
      </c>
      <c r="S31">
        <f>IF(Q31&gt;0,ROUND(R31/10*(P31/Q31)/(Gewicht/10),3),0)</f>
        <v>0.2</v>
      </c>
    </row>
    <row r="32" spans="1:19" ht="15.85" x14ac:dyDescent="0.5">
      <c r="A32">
        <v>30</v>
      </c>
      <c r="B32" t="s">
        <v>89</v>
      </c>
      <c r="C32" s="333" t="s">
        <v>1171</v>
      </c>
      <c r="D32" s="333" t="s">
        <v>866</v>
      </c>
      <c r="E32" s="333" t="s">
        <v>491</v>
      </c>
      <c r="F32">
        <v>5</v>
      </c>
      <c r="G32">
        <v>50</v>
      </c>
      <c r="H32">
        <v>10</v>
      </c>
      <c r="I32">
        <v>50</v>
      </c>
      <c r="J32" s="334">
        <v>20</v>
      </c>
      <c r="K32" s="334">
        <v>50</v>
      </c>
      <c r="L32">
        <f t="shared" si="0"/>
        <v>10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</v>
      </c>
      <c r="Q32">
        <f t="shared" si="5"/>
        <v>50</v>
      </c>
      <c r="R32">
        <v>10</v>
      </c>
      <c r="S32">
        <f>IF(Q32&gt;0,ROUND(1000*R32/10*(P32/Q32)/(Gewicht/10)/60,3),0)</f>
        <v>0.33300000000000002</v>
      </c>
    </row>
    <row r="33" spans="1:19" ht="15.85" x14ac:dyDescent="0.5">
      <c r="A33">
        <v>31</v>
      </c>
      <c r="B33" t="s">
        <v>966</v>
      </c>
      <c r="C33" s="333" t="s">
        <v>981</v>
      </c>
      <c r="D33" s="333" t="s">
        <v>1201</v>
      </c>
      <c r="E33" s="333" t="s">
        <v>491</v>
      </c>
      <c r="F33">
        <v>1000</v>
      </c>
      <c r="G33">
        <v>50</v>
      </c>
      <c r="H33">
        <v>2000</v>
      </c>
      <c r="I33">
        <v>50</v>
      </c>
      <c r="J33" s="334">
        <v>4000</v>
      </c>
      <c r="K33" s="334">
        <v>50</v>
      </c>
      <c r="L33">
        <f t="shared" si="0"/>
        <v>2000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2000</v>
      </c>
      <c r="Q33">
        <f t="shared" si="5"/>
        <v>50</v>
      </c>
      <c r="R33">
        <v>10</v>
      </c>
      <c r="S33">
        <f>IF(Q33&gt;0,ROUND(R33/10*(P33/Q33)/(Gewicht/10),3),0)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5" t="s">
        <v>1259</v>
      </c>
      <c r="B1" s="27" t="s">
        <v>642</v>
      </c>
      <c r="C1" s="27" t="s">
        <v>1253</v>
      </c>
      <c r="D1" s="27" t="s">
        <v>571</v>
      </c>
      <c r="E1" s="335" t="s">
        <v>1254</v>
      </c>
      <c r="F1" s="335" t="s">
        <v>1255</v>
      </c>
      <c r="G1" s="335" t="s">
        <v>164</v>
      </c>
      <c r="H1" s="335" t="s">
        <v>1256</v>
      </c>
      <c r="I1" s="335" t="s">
        <v>1257</v>
      </c>
      <c r="J1" s="335" t="s">
        <v>1258</v>
      </c>
      <c r="K1" s="27" t="s">
        <v>792</v>
      </c>
      <c r="L1" s="27" t="s">
        <v>606</v>
      </c>
      <c r="M1" s="27" t="s">
        <v>607</v>
      </c>
      <c r="N1" s="27" t="s">
        <v>1098</v>
      </c>
      <c r="O1" s="27" t="s">
        <v>600</v>
      </c>
      <c r="Q1" s="27" t="s">
        <v>553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792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793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794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845</v>
      </c>
      <c r="D2" s="153"/>
      <c r="E2" s="155">
        <f ca="1">AfspraakDatum</f>
        <v>42195</v>
      </c>
      <c r="F2" s="156"/>
      <c r="G2" s="153"/>
      <c r="H2" s="154" t="s">
        <v>846</v>
      </c>
      <c r="I2" s="153"/>
      <c r="J2" s="157">
        <f>OpnDatum</f>
        <v>41363</v>
      </c>
      <c r="K2" s="154" t="str">
        <f ca="1">"ICU-dag: "&amp;AfspraakDatum-OpnDatum+1</f>
        <v>ICU-dag: 833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92</v>
      </c>
      <c r="D3" s="153"/>
      <c r="E3" s="158" t="str">
        <f>_AchterNaam&amp;", "&amp;_VoorNaam</f>
        <v>Achternaam, Voornaam</v>
      </c>
      <c r="F3" s="158"/>
      <c r="G3" s="153"/>
      <c r="H3" s="154" t="s">
        <v>862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941</v>
      </c>
      <c r="D4" s="160"/>
      <c r="E4" s="159">
        <f>PatNummer</f>
        <v>0</v>
      </c>
      <c r="F4" s="156"/>
      <c r="G4" s="160"/>
      <c r="H4" s="154" t="s">
        <v>787</v>
      </c>
      <c r="I4" s="160"/>
      <c r="J4" s="161" t="str">
        <f ca="1">TRUNC((AfspraakDatum-GebDatum)/365,0)&amp;" jaar en "&amp;TRUNC(((AfspraakDatum-GebDatum)-365*TRUNC((AfspraakDatum-GebDatum)/365,0))/30,0)&amp;" maand(-en)"</f>
        <v>3 jaar en 6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4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4" customFormat="1" ht="19.55" customHeight="1" x14ac:dyDescent="0.4">
      <c r="A6" s="162"/>
      <c r="B6" s="164">
        <v>1</v>
      </c>
      <c r="C6" s="165"/>
      <c r="D6" s="317">
        <f>ber_Med_disc!C2</f>
        <v>0</v>
      </c>
      <c r="E6" s="317"/>
      <c r="F6" s="317"/>
      <c r="G6" s="317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4" customFormat="1" ht="19.55" customHeight="1" x14ac:dyDescent="0.35">
      <c r="A7" s="163"/>
      <c r="B7" s="170" t="s">
        <v>818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4" customFormat="1" ht="19.55" customHeight="1" x14ac:dyDescent="0.4">
      <c r="A8" s="162"/>
      <c r="B8" s="164">
        <v>2</v>
      </c>
      <c r="C8" s="165"/>
      <c r="D8" s="361">
        <f>ber_Med_disc!C3</f>
        <v>0</v>
      </c>
      <c r="E8" s="361"/>
      <c r="F8" s="361"/>
      <c r="G8" s="361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4" customFormat="1" ht="19.55" customHeight="1" x14ac:dyDescent="0.35">
      <c r="A9" s="162"/>
      <c r="B9" s="170" t="s">
        <v>818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4" customFormat="1" ht="19.55" customHeight="1" x14ac:dyDescent="0.4">
      <c r="A10" s="162"/>
      <c r="B10" s="164">
        <v>3</v>
      </c>
      <c r="C10" s="165"/>
      <c r="D10" s="361">
        <f>ber_Med_disc!C4</f>
        <v>0</v>
      </c>
      <c r="E10" s="361"/>
      <c r="F10" s="361"/>
      <c r="G10" s="361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4" customFormat="1" ht="19.55" customHeight="1" x14ac:dyDescent="0.35">
      <c r="A11" s="162"/>
      <c r="B11" s="170" t="s">
        <v>818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4" customFormat="1" ht="19.55" customHeight="1" x14ac:dyDescent="0.4">
      <c r="A12" s="162"/>
      <c r="B12" s="164">
        <v>4</v>
      </c>
      <c r="C12" s="165"/>
      <c r="D12" s="361">
        <f>ber_Med_disc!C5</f>
        <v>0</v>
      </c>
      <c r="E12" s="361"/>
      <c r="F12" s="361"/>
      <c r="G12" s="361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4" customFormat="1" ht="19.55" customHeight="1" x14ac:dyDescent="0.35">
      <c r="A13" s="162"/>
      <c r="B13" s="170" t="s">
        <v>818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</row>
    <row r="14" spans="1:64" s="315" customFormat="1" ht="19.55" customHeight="1" x14ac:dyDescent="0.4">
      <c r="A14" s="162"/>
      <c r="B14" s="164">
        <v>5</v>
      </c>
      <c r="C14" s="165"/>
      <c r="D14" s="361">
        <f>ber_Med_disc!C6</f>
        <v>0</v>
      </c>
      <c r="E14" s="361"/>
      <c r="F14" s="361"/>
      <c r="G14" s="361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314"/>
      <c r="BG14" s="314"/>
      <c r="BH14" s="314"/>
      <c r="BI14" s="314"/>
      <c r="BJ14" s="314"/>
      <c r="BK14" s="314"/>
      <c r="BL14" s="314"/>
    </row>
    <row r="15" spans="1:64" s="314" customFormat="1" ht="19.55" customHeight="1" x14ac:dyDescent="0.35">
      <c r="A15" s="162"/>
      <c r="B15" s="170" t="s">
        <v>818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4" customFormat="1" ht="19.55" customHeight="1" x14ac:dyDescent="0.4">
      <c r="A16" s="162"/>
      <c r="B16" s="164">
        <v>6</v>
      </c>
      <c r="C16" s="165"/>
      <c r="D16" s="361">
        <f>ber_Med_disc!C7</f>
        <v>0</v>
      </c>
      <c r="E16" s="361"/>
      <c r="F16" s="361"/>
      <c r="G16" s="361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4" customFormat="1" ht="19.55" customHeight="1" x14ac:dyDescent="0.35">
      <c r="A17" s="162"/>
      <c r="B17" s="170" t="s">
        <v>818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4" customFormat="1" ht="19.55" customHeight="1" x14ac:dyDescent="0.4">
      <c r="A18" s="162"/>
      <c r="B18" s="164">
        <v>7</v>
      </c>
      <c r="C18" s="165"/>
      <c r="D18" s="361">
        <f>ber_Med_disc!C8</f>
        <v>0</v>
      </c>
      <c r="E18" s="361"/>
      <c r="F18" s="361"/>
      <c r="G18" s="361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4" customFormat="1" ht="19.55" customHeight="1" x14ac:dyDescent="0.35">
      <c r="A19" s="162"/>
      <c r="B19" s="170" t="s">
        <v>818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4" customFormat="1" ht="19.55" customHeight="1" x14ac:dyDescent="0.4">
      <c r="A20" s="162"/>
      <c r="B20" s="164">
        <v>8</v>
      </c>
      <c r="C20" s="165"/>
      <c r="D20" s="361">
        <f>ber_Med_disc!C9</f>
        <v>0</v>
      </c>
      <c r="E20" s="361"/>
      <c r="F20" s="361"/>
      <c r="G20" s="361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4" customFormat="1" ht="19.55" customHeight="1" x14ac:dyDescent="0.35">
      <c r="A21" s="162"/>
      <c r="B21" s="170" t="s">
        <v>818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4" customFormat="1" ht="19.55" customHeight="1" x14ac:dyDescent="0.4">
      <c r="A22" s="162"/>
      <c r="B22" s="164">
        <v>9</v>
      </c>
      <c r="C22" s="165"/>
      <c r="D22" s="361">
        <f>ber_Med_disc!C10</f>
        <v>0</v>
      </c>
      <c r="E22" s="361"/>
      <c r="F22" s="361"/>
      <c r="G22" s="361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4" customFormat="1" ht="19.55" customHeight="1" x14ac:dyDescent="0.35">
      <c r="A23" s="162"/>
      <c r="B23" s="170" t="s">
        <v>818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4" customFormat="1" ht="19.55" customHeight="1" x14ac:dyDescent="0.4">
      <c r="A24" s="162"/>
      <c r="B24" s="164">
        <v>10</v>
      </c>
      <c r="C24" s="165"/>
      <c r="D24" s="361">
        <f>ber_Med_disc!C11</f>
        <v>0</v>
      </c>
      <c r="E24" s="361"/>
      <c r="F24" s="361"/>
      <c r="G24" s="361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4" customFormat="1" ht="19.55" customHeight="1" x14ac:dyDescent="0.35">
      <c r="A25" s="162"/>
      <c r="B25" s="170" t="s">
        <v>818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4" customFormat="1" ht="19.55" customHeight="1" x14ac:dyDescent="0.4">
      <c r="A26" s="162"/>
      <c r="B26" s="164">
        <v>11</v>
      </c>
      <c r="C26" s="165"/>
      <c r="D26" s="361">
        <f>ber_Med_disc!C12</f>
        <v>0</v>
      </c>
      <c r="E26" s="361"/>
      <c r="F26" s="361"/>
      <c r="G26" s="361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4" customFormat="1" ht="19.55" customHeight="1" x14ac:dyDescent="0.35">
      <c r="A27" s="162"/>
      <c r="B27" s="170" t="s">
        <v>818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4" customFormat="1" ht="19.55" customHeight="1" x14ac:dyDescent="0.4">
      <c r="A28" s="162"/>
      <c r="B28" s="164">
        <v>12</v>
      </c>
      <c r="C28" s="165"/>
      <c r="D28" s="361">
        <f>ber_Med_disc!C13</f>
        <v>0</v>
      </c>
      <c r="E28" s="361"/>
      <c r="F28" s="361"/>
      <c r="G28" s="361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4" customFormat="1" ht="19.55" customHeight="1" x14ac:dyDescent="0.35">
      <c r="A29" s="162"/>
      <c r="B29" s="170" t="s">
        <v>818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4" customFormat="1" ht="19.55" customHeight="1" x14ac:dyDescent="0.4">
      <c r="A30" s="162"/>
      <c r="B30" s="164">
        <v>13</v>
      </c>
      <c r="C30" s="165"/>
      <c r="D30" s="361">
        <f>ber_Med_disc!C14</f>
        <v>0</v>
      </c>
      <c r="E30" s="361"/>
      <c r="F30" s="361"/>
      <c r="G30" s="361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4" customFormat="1" ht="19.55" customHeight="1" x14ac:dyDescent="0.35">
      <c r="A31" s="162"/>
      <c r="B31" s="170" t="s">
        <v>818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4" customFormat="1" ht="19.55" customHeight="1" x14ac:dyDescent="0.4">
      <c r="A32" s="162"/>
      <c r="B32" s="164">
        <v>14</v>
      </c>
      <c r="C32" s="165"/>
      <c r="D32" s="361">
        <f>ber_Med_disc!C15</f>
        <v>0</v>
      </c>
      <c r="E32" s="361"/>
      <c r="F32" s="361"/>
      <c r="G32" s="361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4" customFormat="1" ht="19.55" customHeight="1" x14ac:dyDescent="0.35">
      <c r="A33" s="162"/>
      <c r="B33" s="170" t="s">
        <v>818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4" customFormat="1" ht="19.55" customHeight="1" x14ac:dyDescent="0.4">
      <c r="A34" s="162"/>
      <c r="B34" s="164">
        <v>15</v>
      </c>
      <c r="C34" s="165"/>
      <c r="D34" s="361">
        <f>ber_Med_disc!C16</f>
        <v>0</v>
      </c>
      <c r="E34" s="361"/>
      <c r="F34" s="361"/>
      <c r="G34" s="361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4" customFormat="1" ht="19.55" customHeight="1" x14ac:dyDescent="0.35">
      <c r="A35" s="162"/>
      <c r="B35" s="170" t="s">
        <v>818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4" customFormat="1" ht="19.55" customHeight="1" x14ac:dyDescent="0.4">
      <c r="A36" s="162"/>
      <c r="B36" s="164">
        <v>16</v>
      </c>
      <c r="C36" s="165"/>
      <c r="D36" s="361">
        <f>ber_Med_disc!C17</f>
        <v>0</v>
      </c>
      <c r="E36" s="361"/>
      <c r="F36" s="361"/>
      <c r="G36" s="361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4" customFormat="1" ht="19.55" customHeight="1" x14ac:dyDescent="0.35">
      <c r="A37" s="162"/>
      <c r="B37" s="170" t="s">
        <v>818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4" customFormat="1" ht="19.55" customHeight="1" x14ac:dyDescent="0.4">
      <c r="A38" s="162"/>
      <c r="B38" s="164">
        <v>17</v>
      </c>
      <c r="C38" s="165"/>
      <c r="D38" s="361">
        <f>ber_Med_disc!C18</f>
        <v>0</v>
      </c>
      <c r="E38" s="361"/>
      <c r="F38" s="361"/>
      <c r="G38" s="361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4" customFormat="1" ht="19.55" customHeight="1" x14ac:dyDescent="0.35">
      <c r="A39" s="162"/>
      <c r="B39" s="170" t="s">
        <v>818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4" customFormat="1" ht="19.55" customHeight="1" x14ac:dyDescent="0.4">
      <c r="A40" s="162"/>
      <c r="B40" s="164">
        <v>18</v>
      </c>
      <c r="C40" s="165"/>
      <c r="D40" s="361">
        <f>ber_Med_disc!C19</f>
        <v>0</v>
      </c>
      <c r="E40" s="361"/>
      <c r="F40" s="361"/>
      <c r="G40" s="361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4" customFormat="1" ht="19.55" customHeight="1" x14ac:dyDescent="0.35">
      <c r="A41" s="162"/>
      <c r="B41" s="170" t="s">
        <v>818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4" customFormat="1" ht="19.55" customHeight="1" x14ac:dyDescent="0.4">
      <c r="A42" s="162"/>
      <c r="B42" s="164">
        <v>19</v>
      </c>
      <c r="C42" s="165"/>
      <c r="D42" s="361">
        <f>ber_Med_disc!C20</f>
        <v>0</v>
      </c>
      <c r="E42" s="361"/>
      <c r="F42" s="361"/>
      <c r="G42" s="361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4" customFormat="1" ht="19.55" customHeight="1" x14ac:dyDescent="0.35">
      <c r="A43" s="162"/>
      <c r="B43" s="170" t="s">
        <v>818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4" customFormat="1" ht="19.55" customHeight="1" x14ac:dyDescent="0.4">
      <c r="A44" s="162"/>
      <c r="B44" s="164">
        <v>20</v>
      </c>
      <c r="C44" s="175"/>
      <c r="D44" s="361">
        <f>ber_Med_disc!C21</f>
        <v>0</v>
      </c>
      <c r="E44" s="361"/>
      <c r="F44" s="361"/>
      <c r="G44" s="361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4" customFormat="1" ht="19.55" customHeight="1" x14ac:dyDescent="0.35">
      <c r="A45" s="162"/>
      <c r="B45" s="170" t="s">
        <v>818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4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4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4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4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4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4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4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4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4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4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4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4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4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4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4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4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4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4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4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4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4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4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4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4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4" customFormat="1" x14ac:dyDescent="0.35"/>
    <row r="71" spans="1:22" s="314" customFormat="1" x14ac:dyDescent="0.35"/>
    <row r="72" spans="1:22" s="314" customFormat="1" x14ac:dyDescent="0.35"/>
    <row r="73" spans="1:22" s="314" customFormat="1" x14ac:dyDescent="0.35"/>
    <row r="74" spans="1:22" s="314" customFormat="1" x14ac:dyDescent="0.35"/>
    <row r="75" spans="1:22" s="314" customFormat="1" x14ac:dyDescent="0.35"/>
    <row r="76" spans="1:22" s="314" customFormat="1" x14ac:dyDescent="0.35"/>
    <row r="77" spans="1:22" s="314" customFormat="1" x14ac:dyDescent="0.35"/>
    <row r="78" spans="1:22" s="314" customFormat="1" x14ac:dyDescent="0.35"/>
    <row r="79" spans="1:22" s="314" customFormat="1" x14ac:dyDescent="0.35"/>
    <row r="80" spans="1:22" s="314" customFormat="1" x14ac:dyDescent="0.35"/>
    <row r="81" s="314" customFormat="1" x14ac:dyDescent="0.35"/>
    <row r="82" s="314" customFormat="1" x14ac:dyDescent="0.35"/>
    <row r="83" s="314" customFormat="1" x14ac:dyDescent="0.35"/>
    <row r="84" s="314" customFormat="1" x14ac:dyDescent="0.35"/>
    <row r="85" s="314" customFormat="1" x14ac:dyDescent="0.35"/>
    <row r="86" s="314" customFormat="1" x14ac:dyDescent="0.35"/>
    <row r="87" s="314" customFormat="1" x14ac:dyDescent="0.35"/>
    <row r="88" s="314" customFormat="1" x14ac:dyDescent="0.35"/>
    <row r="89" s="314" customFormat="1" x14ac:dyDescent="0.35"/>
    <row r="90" s="314" customFormat="1" x14ac:dyDescent="0.35"/>
    <row r="91" s="314" customFormat="1" x14ac:dyDescent="0.35"/>
    <row r="92" s="314" customFormat="1" x14ac:dyDescent="0.35"/>
    <row r="93" s="314" customFormat="1" x14ac:dyDescent="0.35"/>
    <row r="94" s="314" customFormat="1" x14ac:dyDescent="0.35"/>
    <row r="95" s="314" customFormat="1" x14ac:dyDescent="0.35"/>
    <row r="96" s="314" customFormat="1" x14ac:dyDescent="0.35"/>
    <row r="97" s="314" customFormat="1" x14ac:dyDescent="0.35"/>
    <row r="98" s="314" customFormat="1" x14ac:dyDescent="0.35"/>
    <row r="99" s="314" customFormat="1" x14ac:dyDescent="0.35"/>
    <row r="100" s="314" customFormat="1" x14ac:dyDescent="0.35"/>
    <row r="101" s="314" customFormat="1" x14ac:dyDescent="0.35"/>
    <row r="102" s="314" customFormat="1" x14ac:dyDescent="0.35"/>
    <row r="103" s="314" customFormat="1" x14ac:dyDescent="0.35"/>
    <row r="104" s="314" customFormat="1" x14ac:dyDescent="0.35"/>
    <row r="105" s="314" customFormat="1" x14ac:dyDescent="0.35"/>
    <row r="106" s="314" customFormat="1" x14ac:dyDescent="0.35"/>
    <row r="107" s="314" customFormat="1" x14ac:dyDescent="0.35"/>
    <row r="108" s="314" customFormat="1" x14ac:dyDescent="0.35"/>
    <row r="109" s="314" customFormat="1" x14ac:dyDescent="0.35"/>
    <row r="110" s="314" customFormat="1" x14ac:dyDescent="0.35"/>
    <row r="111" s="314" customFormat="1" x14ac:dyDescent="0.35"/>
    <row r="112" s="314" customFormat="1" x14ac:dyDescent="0.35"/>
    <row r="113" s="314" customFormat="1" x14ac:dyDescent="0.35"/>
    <row r="114" s="314" customFormat="1" x14ac:dyDescent="0.35"/>
    <row r="115" s="314" customFormat="1" x14ac:dyDescent="0.35"/>
    <row r="116" s="314" customFormat="1" x14ac:dyDescent="0.35"/>
    <row r="117" s="314" customFormat="1" x14ac:dyDescent="0.35"/>
    <row r="118" s="314" customFormat="1" x14ac:dyDescent="0.35"/>
    <row r="119" s="314" customFormat="1" x14ac:dyDescent="0.35"/>
    <row r="120" s="314" customFormat="1" x14ac:dyDescent="0.35"/>
    <row r="121" s="314" customFormat="1" x14ac:dyDescent="0.35"/>
    <row r="122" s="314" customFormat="1" x14ac:dyDescent="0.35"/>
    <row r="123" s="314" customFormat="1" x14ac:dyDescent="0.35"/>
    <row r="124" s="314" customFormat="1" x14ac:dyDescent="0.35"/>
    <row r="125" s="314" customFormat="1" x14ac:dyDescent="0.35"/>
    <row r="126" s="314" customFormat="1" x14ac:dyDescent="0.35"/>
    <row r="127" s="314" customFormat="1" x14ac:dyDescent="0.35"/>
    <row r="128" s="314" customFormat="1" x14ac:dyDescent="0.35"/>
  </sheetData>
  <sheetProtection algorithmName="SHA-512" hashValue="/AJG96dVuWSxF7DO68ZcwZLu67wPAjk80fKRto4yvJS8hQa92t/lhCXHRLKO+KitU2K94dfqmV4eSYS6tXt77g==" saltValue="CiNME+55bu0C5Qg7GcvhOg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1173</v>
      </c>
      <c r="C1" t="s">
        <v>913</v>
      </c>
      <c r="D1" s="318" t="s">
        <v>1226</v>
      </c>
      <c r="E1" t="s">
        <v>489</v>
      </c>
      <c r="F1" t="s">
        <v>490</v>
      </c>
      <c r="G1" t="s">
        <v>403</v>
      </c>
      <c r="H1" t="s">
        <v>914</v>
      </c>
      <c r="I1" t="s">
        <v>1021</v>
      </c>
      <c r="J1" t="s">
        <v>575</v>
      </c>
      <c r="K1" t="s">
        <v>404</v>
      </c>
      <c r="L1" t="s">
        <v>405</v>
      </c>
      <c r="M1" t="s">
        <v>318</v>
      </c>
      <c r="N1" t="s">
        <v>1002</v>
      </c>
      <c r="O1" t="s">
        <v>1003</v>
      </c>
      <c r="P1" t="s">
        <v>1005</v>
      </c>
      <c r="Q1" t="s">
        <v>1022</v>
      </c>
      <c r="R1" t="s">
        <v>606</v>
      </c>
      <c r="S1" t="s">
        <v>1016</v>
      </c>
      <c r="T1" t="s">
        <v>1017</v>
      </c>
      <c r="U1" t="s">
        <v>170</v>
      </c>
      <c r="V1" t="s">
        <v>975</v>
      </c>
      <c r="W1" t="s">
        <v>1207</v>
      </c>
      <c r="X1" t="s">
        <v>914</v>
      </c>
      <c r="Y1" t="s">
        <v>1208</v>
      </c>
      <c r="Z1" t="s">
        <v>456</v>
      </c>
      <c r="AA1" t="s">
        <v>1022</v>
      </c>
      <c r="AB1" t="s">
        <v>1209</v>
      </c>
      <c r="AC1" t="s">
        <v>1187</v>
      </c>
    </row>
    <row r="2" spans="1:31" x14ac:dyDescent="0.35">
      <c r="A2">
        <v>1</v>
      </c>
      <c r="B2">
        <v>1500</v>
      </c>
      <c r="D2" t="s">
        <v>1227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195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998</v>
      </c>
      <c r="B26" t="s">
        <v>1004</v>
      </c>
      <c r="D26" t="s">
        <v>1020</v>
      </c>
      <c r="E26" t="s">
        <v>895</v>
      </c>
    </row>
    <row r="28" spans="1:31" x14ac:dyDescent="0.35">
      <c r="A28" t="s">
        <v>277</v>
      </c>
      <c r="B28" t="s">
        <v>792</v>
      </c>
      <c r="C28">
        <v>0</v>
      </c>
      <c r="D28" t="s">
        <v>1203</v>
      </c>
      <c r="E28" t="s">
        <v>499</v>
      </c>
    </row>
    <row r="29" spans="1:31" x14ac:dyDescent="0.35">
      <c r="A29" t="s">
        <v>276</v>
      </c>
      <c r="B29" t="s">
        <v>793</v>
      </c>
      <c r="C29">
        <v>1</v>
      </c>
      <c r="D29" t="s">
        <v>1019</v>
      </c>
      <c r="E29" t="s">
        <v>491</v>
      </c>
    </row>
    <row r="30" spans="1:31" x14ac:dyDescent="0.35">
      <c r="A30" t="s">
        <v>151</v>
      </c>
      <c r="B30" t="s">
        <v>794</v>
      </c>
      <c r="C30">
        <v>1</v>
      </c>
      <c r="D30" t="s">
        <v>1112</v>
      </c>
      <c r="E30" t="s">
        <v>101</v>
      </c>
    </row>
    <row r="31" spans="1:31" x14ac:dyDescent="0.35">
      <c r="A31" t="s">
        <v>850</v>
      </c>
      <c r="C31">
        <v>2</v>
      </c>
      <c r="D31" t="s">
        <v>1113</v>
      </c>
      <c r="E31" t="s">
        <v>201</v>
      </c>
    </row>
    <row r="32" spans="1:31" x14ac:dyDescent="0.35">
      <c r="A32" t="s">
        <v>152</v>
      </c>
      <c r="C32">
        <v>3</v>
      </c>
      <c r="D32" t="s">
        <v>1114</v>
      </c>
      <c r="E32" t="s">
        <v>492</v>
      </c>
    </row>
    <row r="33" spans="1:4" x14ac:dyDescent="0.35">
      <c r="A33" t="s">
        <v>572</v>
      </c>
      <c r="C33">
        <v>4</v>
      </c>
      <c r="D33" t="s">
        <v>1115</v>
      </c>
    </row>
    <row r="34" spans="1:4" x14ac:dyDescent="0.35">
      <c r="A34" t="s">
        <v>999</v>
      </c>
      <c r="C34">
        <v>5</v>
      </c>
      <c r="D34" t="s">
        <v>1202</v>
      </c>
    </row>
    <row r="35" spans="1:4" x14ac:dyDescent="0.35">
      <c r="A35" t="s">
        <v>1000</v>
      </c>
      <c r="C35">
        <v>6</v>
      </c>
      <c r="D35" t="s">
        <v>521</v>
      </c>
    </row>
    <row r="36" spans="1:4" x14ac:dyDescent="0.35">
      <c r="A36" t="s">
        <v>1001</v>
      </c>
      <c r="C36">
        <v>8</v>
      </c>
      <c r="D36" t="s">
        <v>522</v>
      </c>
    </row>
    <row r="37" spans="1:4" x14ac:dyDescent="0.35">
      <c r="A37" t="s">
        <v>163</v>
      </c>
      <c r="C37">
        <v>12</v>
      </c>
      <c r="D37" t="s">
        <v>523</v>
      </c>
    </row>
    <row r="38" spans="1:4" x14ac:dyDescent="0.35">
      <c r="A38" t="s">
        <v>452</v>
      </c>
      <c r="C38">
        <v>24</v>
      </c>
      <c r="D38" t="s">
        <v>88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1111</v>
      </c>
    </row>
    <row r="2" spans="1:24" x14ac:dyDescent="0.35">
      <c r="A2" t="s">
        <v>1060</v>
      </c>
      <c r="B2">
        <v>20</v>
      </c>
    </row>
    <row r="3" spans="1:24" x14ac:dyDescent="0.35">
      <c r="A3" t="s">
        <v>1112</v>
      </c>
      <c r="B3">
        <v>10</v>
      </c>
    </row>
    <row r="4" spans="1:24" x14ac:dyDescent="0.35">
      <c r="A4" t="s">
        <v>1113</v>
      </c>
      <c r="B4">
        <v>10</v>
      </c>
      <c r="C4">
        <v>22</v>
      </c>
    </row>
    <row r="5" spans="1:24" x14ac:dyDescent="0.35">
      <c r="A5" t="s">
        <v>1114</v>
      </c>
      <c r="B5">
        <v>10</v>
      </c>
      <c r="C5">
        <v>18</v>
      </c>
      <c r="D5">
        <v>2</v>
      </c>
    </row>
    <row r="6" spans="1:24" x14ac:dyDescent="0.35">
      <c r="A6" t="s">
        <v>1115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521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522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523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88</v>
      </c>
    </row>
    <row r="12" spans="1:24" x14ac:dyDescent="0.35">
      <c r="A12">
        <v>10</v>
      </c>
      <c r="B12" t="s">
        <v>1112</v>
      </c>
      <c r="C12" t="s">
        <v>1113</v>
      </c>
      <c r="D12" t="s">
        <v>1114</v>
      </c>
      <c r="E12" t="s">
        <v>1115</v>
      </c>
      <c r="F12" t="s">
        <v>521</v>
      </c>
      <c r="G12" t="s">
        <v>523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1018</v>
      </c>
      <c r="B16" s="29"/>
      <c r="C16" s="29"/>
      <c r="D16" s="31" t="s">
        <v>524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1019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524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1112</v>
      </c>
      <c r="B18" s="17" t="s">
        <v>524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1113</v>
      </c>
      <c r="B19" s="17" t="s">
        <v>524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524</v>
      </c>
      <c r="O19" s="17"/>
      <c r="P19" s="17"/>
      <c r="Q19" s="17"/>
    </row>
    <row r="20" spans="1:24" x14ac:dyDescent="0.35">
      <c r="A20" t="s">
        <v>1114</v>
      </c>
      <c r="B20" s="17" t="s">
        <v>524</v>
      </c>
      <c r="C20" s="17"/>
      <c r="D20" s="17"/>
      <c r="E20" s="17"/>
      <c r="F20" s="17"/>
      <c r="G20" s="17"/>
      <c r="H20" s="17"/>
      <c r="I20" s="17"/>
      <c r="J20" s="17" t="s">
        <v>524</v>
      </c>
      <c r="K20" s="17"/>
      <c r="L20" s="17"/>
      <c r="M20" s="17"/>
      <c r="N20" s="17"/>
      <c r="O20" s="17"/>
      <c r="P20" s="17"/>
      <c r="Q20" s="17"/>
      <c r="R20" t="s">
        <v>524</v>
      </c>
    </row>
    <row r="21" spans="1:24" x14ac:dyDescent="0.35">
      <c r="A21" t="s">
        <v>1115</v>
      </c>
      <c r="B21" s="17"/>
      <c r="C21" s="17"/>
      <c r="D21" s="17" t="s">
        <v>524</v>
      </c>
      <c r="E21" s="17"/>
      <c r="F21" s="17"/>
      <c r="G21" s="17"/>
      <c r="H21" s="17"/>
      <c r="I21" s="17"/>
      <c r="J21" s="17" t="s">
        <v>524</v>
      </c>
      <c r="K21" s="17"/>
      <c r="L21" s="17"/>
      <c r="M21" s="17"/>
      <c r="N21" s="17"/>
      <c r="O21" s="17"/>
      <c r="P21" s="17" t="s">
        <v>524</v>
      </c>
      <c r="Q21" s="17"/>
      <c r="V21" t="s">
        <v>524</v>
      </c>
    </row>
    <row r="22" spans="1:24" x14ac:dyDescent="0.35">
      <c r="A22" t="s">
        <v>521</v>
      </c>
      <c r="B22" s="17" t="s">
        <v>524</v>
      </c>
      <c r="C22" s="17"/>
      <c r="D22" s="17"/>
      <c r="E22" s="17"/>
      <c r="F22" s="17" t="s">
        <v>524</v>
      </c>
      <c r="G22" s="17"/>
      <c r="H22" s="17"/>
      <c r="I22" s="17"/>
      <c r="J22" s="17" t="s">
        <v>524</v>
      </c>
      <c r="K22" s="17"/>
      <c r="L22" s="17"/>
      <c r="M22" s="17"/>
      <c r="N22" s="17" t="s">
        <v>524</v>
      </c>
      <c r="O22" s="17"/>
      <c r="P22" s="17"/>
      <c r="Q22" s="17"/>
      <c r="R22" t="s">
        <v>524</v>
      </c>
      <c r="V22" t="s">
        <v>524</v>
      </c>
    </row>
    <row r="23" spans="1:24" x14ac:dyDescent="0.35">
      <c r="A23" t="s">
        <v>522</v>
      </c>
      <c r="B23" s="17"/>
      <c r="C23" s="17" t="s">
        <v>524</v>
      </c>
      <c r="D23" s="17"/>
      <c r="E23" s="17"/>
      <c r="F23" s="17" t="s">
        <v>524</v>
      </c>
      <c r="G23" s="17"/>
      <c r="H23" s="17"/>
      <c r="I23" s="17" t="s">
        <v>524</v>
      </c>
      <c r="J23" s="17"/>
      <c r="K23" s="17"/>
      <c r="L23" s="17" t="s">
        <v>524</v>
      </c>
      <c r="M23" s="17"/>
      <c r="N23" s="17"/>
      <c r="O23" s="17" t="s">
        <v>524</v>
      </c>
      <c r="P23" s="17"/>
      <c r="Q23" s="17"/>
      <c r="R23" t="s">
        <v>524</v>
      </c>
      <c r="U23" t="s">
        <v>524</v>
      </c>
      <c r="X23" t="s">
        <v>524</v>
      </c>
    </row>
    <row r="24" spans="1:24" x14ac:dyDescent="0.35">
      <c r="A24" t="s">
        <v>523</v>
      </c>
      <c r="B24" s="17" t="s">
        <v>524</v>
      </c>
      <c r="C24" s="17"/>
      <c r="D24" s="17" t="s">
        <v>524</v>
      </c>
      <c r="E24" s="17"/>
      <c r="F24" s="17" t="s">
        <v>524</v>
      </c>
      <c r="G24" s="17"/>
      <c r="H24" s="17" t="s">
        <v>524</v>
      </c>
      <c r="I24" s="17"/>
      <c r="J24" s="17" t="s">
        <v>524</v>
      </c>
      <c r="K24" s="17"/>
      <c r="L24" s="17" t="s">
        <v>524</v>
      </c>
      <c r="M24" s="17"/>
      <c r="N24" s="17" t="s">
        <v>524</v>
      </c>
      <c r="O24" s="17"/>
      <c r="P24" s="17" t="s">
        <v>524</v>
      </c>
      <c r="Q24" s="17"/>
      <c r="R24" t="s">
        <v>524</v>
      </c>
      <c r="T24" t="s">
        <v>524</v>
      </c>
      <c r="V24" t="s">
        <v>524</v>
      </c>
      <c r="X24" t="s">
        <v>524</v>
      </c>
    </row>
    <row r="25" spans="1:24" x14ac:dyDescent="0.35">
      <c r="A25" t="s">
        <v>88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4">
        <f>GebDatum</f>
        <v>40909</v>
      </c>
      <c r="G1" s="364"/>
      <c r="I1" s="11" t="str">
        <f>"Gewicht: "&amp;ROUND(Gewicht/10,1)&amp;"kg"</f>
        <v>Gewicht: 10kg</v>
      </c>
      <c r="P1" s="11" t="s">
        <v>525</v>
      </c>
      <c r="R1" s="362"/>
      <c r="S1" s="362"/>
      <c r="T1" s="362"/>
      <c r="U1" s="362"/>
      <c r="V1" s="362"/>
      <c r="W1" s="362"/>
      <c r="Y1" t="s">
        <v>845</v>
      </c>
      <c r="AB1" s="363">
        <f ca="1">TODAY()</f>
        <v>42195</v>
      </c>
      <c r="AC1" s="363"/>
      <c r="AD1" s="363"/>
      <c r="AE1" s="363"/>
      <c r="AF1" s="363"/>
    </row>
    <row r="2" spans="2:33" ht="26.1" customHeight="1" x14ac:dyDescent="0.35">
      <c r="B2" s="144" t="s">
        <v>1173</v>
      </c>
      <c r="C2" s="145" t="s">
        <v>913</v>
      </c>
      <c r="D2" s="146" t="s">
        <v>914</v>
      </c>
      <c r="E2" s="146"/>
      <c r="F2" s="146"/>
      <c r="G2" s="147" t="s">
        <v>855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9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00" t="str">
        <f>IF(Med_disc!H6&lt;&gt;"",Med_disc!H6,"")</f>
        <v/>
      </c>
      <c r="E3" s="301" t="str">
        <f>IF(AND(D3&lt;&gt;"",D3&lt;&gt;"STOP"),ber_Med_disc!H2&amp;" "&amp;ber_Med_disc!F2,"")</f>
        <v/>
      </c>
      <c r="F3" s="301" t="str">
        <f>IF(AND(D3&lt;&gt;"",D3&lt;&gt;"STOP"),ber_Med_disc!L2," ")</f>
        <v xml:space="preserve"> </v>
      </c>
      <c r="G3" s="301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9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00" t="str">
        <f>IF(Med_disc!H8&lt;&gt;"",Med_disc!H8,"")</f>
        <v/>
      </c>
      <c r="E4" s="301" t="str">
        <f>IF(AND(D4&lt;&gt;"",D4&lt;&gt;"STOP"),ber_Med_disc!H3&amp;" "&amp;ber_Med_disc!F3,"")</f>
        <v/>
      </c>
      <c r="F4" s="301" t="str">
        <f>IF(AND(D4&lt;&gt;"",D4&lt;&gt;"STOP"),ber_Med_disc!L3," ")</f>
        <v xml:space="preserve"> </v>
      </c>
      <c r="G4" s="301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9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00" t="str">
        <f>IF(Med_disc!H10&lt;&gt;"",Med_disc!H10,"")</f>
        <v/>
      </c>
      <c r="E5" s="301" t="str">
        <f>IF(AND(D5&lt;&gt;"",D5&lt;&gt;"STOP"),ber_Med_disc!H4&amp;" "&amp;ber_Med_disc!F4,"")</f>
        <v/>
      </c>
      <c r="F5" s="301" t="str">
        <f>IF(AND(D5&lt;&gt;"",D5&lt;&gt;"STOP"),ber_Med_disc!L4," ")</f>
        <v xml:space="preserve"> </v>
      </c>
      <c r="G5" s="301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9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00" t="str">
        <f>IF(Med_disc!H12&lt;&gt;"",Med_disc!H12,"")</f>
        <v/>
      </c>
      <c r="E6" s="301" t="str">
        <f>IF(AND(D6&lt;&gt;"",D6&lt;&gt;"STOP"),ber_Med_disc!H5&amp;" "&amp;ber_Med_disc!F5,"")</f>
        <v/>
      </c>
      <c r="F6" s="301" t="str">
        <f>IF(AND(D6&lt;&gt;"",D6&lt;&gt;"STOP"),ber_Med_disc!L5," ")</f>
        <v xml:space="preserve"> </v>
      </c>
      <c r="G6" s="301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9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00" t="str">
        <f>IF(Med_disc!H14&lt;&gt;"",Med_disc!H14,"")</f>
        <v/>
      </c>
      <c r="E7" s="301" t="str">
        <f>IF(AND(D7&lt;&gt;"",D7&lt;&gt;"STOP"),ber_Med_disc!H6&amp;" "&amp;ber_Med_disc!F6,"")</f>
        <v/>
      </c>
      <c r="F7" s="301" t="str">
        <f>IF(AND(D7&lt;&gt;"",D7&lt;&gt;"STOP"),ber_Med_disc!L6," ")</f>
        <v xml:space="preserve"> </v>
      </c>
      <c r="G7" s="301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9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00" t="str">
        <f>IF(Med_disc!H16&lt;&gt;"",Med_disc!H16,"")</f>
        <v/>
      </c>
      <c r="E8" s="301" t="str">
        <f>IF(AND(D8&lt;&gt;"",D8&lt;&gt;"STOP"),ber_Med_disc!H7&amp;" "&amp;ber_Med_disc!F7,"")</f>
        <v/>
      </c>
      <c r="F8" s="301" t="str">
        <f>IF(AND(D8&lt;&gt;"",D8&lt;&gt;"STOP"),ber_Med_disc!L7," ")</f>
        <v xml:space="preserve"> </v>
      </c>
      <c r="G8" s="301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9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00" t="str">
        <f>IF(Med_disc!H18&lt;&gt;"",Med_disc!H18,"")</f>
        <v/>
      </c>
      <c r="E9" s="301" t="str">
        <f>IF(AND(D9&lt;&gt;"",D9&lt;&gt;"STOP"),ber_Med_disc!H8&amp;" "&amp;ber_Med_disc!F8,"")</f>
        <v/>
      </c>
      <c r="F9" s="301" t="str">
        <f>IF(AND(D9&lt;&gt;"",D9&lt;&gt;"STOP"),ber_Med_disc!L8," ")</f>
        <v xml:space="preserve"> </v>
      </c>
      <c r="G9" s="301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9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00" t="str">
        <f>IF(Med_disc!H20&lt;&gt;"",Med_disc!H20,"")</f>
        <v/>
      </c>
      <c r="E10" s="301" t="str">
        <f>IF(AND(D10&lt;&gt;"",D10&lt;&gt;"STOP"),ber_Med_disc!H9&amp;" "&amp;ber_Med_disc!F9,"")</f>
        <v/>
      </c>
      <c r="F10" s="301" t="str">
        <f>IF(AND(D10&lt;&gt;"",D10&lt;&gt;"STOP"),ber_Med_disc!L9," ")</f>
        <v xml:space="preserve"> </v>
      </c>
      <c r="G10" s="301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9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00" t="str">
        <f>IF(Med_disc!H22&lt;&gt;"",Med_disc!H22,"")</f>
        <v/>
      </c>
      <c r="E11" s="301" t="str">
        <f>IF(AND(D11&lt;&gt;"",D11&lt;&gt;"STOP"),ber_Med_disc!H10&amp;" "&amp;ber_Med_disc!F10,"")</f>
        <v/>
      </c>
      <c r="F11" s="301" t="str">
        <f>IF(AND(D11&lt;&gt;"",D11&lt;&gt;"STOP"),ber_Med_disc!L10," ")</f>
        <v xml:space="preserve"> </v>
      </c>
      <c r="G11" s="301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9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00" t="str">
        <f>IF(Med_disc!H24&lt;&gt;"",Med_disc!H24,"")</f>
        <v/>
      </c>
      <c r="E12" s="301" t="str">
        <f>IF(AND(D12&lt;&gt;"",D12&lt;&gt;"STOP"),ber_Med_disc!H11&amp;" "&amp;ber_Med_disc!F11,"")</f>
        <v/>
      </c>
      <c r="F12" s="301" t="str">
        <f>IF(AND(D12&lt;&gt;"",D12&lt;&gt;"STOP"),ber_Med_disc!L11," ")</f>
        <v xml:space="preserve"> </v>
      </c>
      <c r="G12" s="301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9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00" t="str">
        <f>IF(Med_disc!H26&lt;&gt;"",Med_disc!H26,"")</f>
        <v/>
      </c>
      <c r="E13" s="301" t="str">
        <f>IF(AND(D13&lt;&gt;"",D13&lt;&gt;"STOP"),ber_Med_disc!H12&amp;" "&amp;ber_Med_disc!F12,"")</f>
        <v/>
      </c>
      <c r="F13" s="301" t="str">
        <f>IF(AND(D13&lt;&gt;"",D13&lt;&gt;"STOP"),ber_Med_disc!L12," ")</f>
        <v xml:space="preserve"> </v>
      </c>
      <c r="G13" s="301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9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00" t="str">
        <f>IF(Med_disc!H28&lt;&gt;"",Med_disc!H28,"")</f>
        <v/>
      </c>
      <c r="E14" s="301" t="str">
        <f>IF(AND(D14&lt;&gt;"",D14&lt;&gt;"STOP"),ber_Med_disc!H13&amp;" "&amp;ber_Med_disc!F13,"")</f>
        <v/>
      </c>
      <c r="F14" s="301" t="str">
        <f>IF(AND(D14&lt;&gt;"",D14&lt;&gt;"STOP"),ber_Med_disc!L13," ")</f>
        <v xml:space="preserve"> </v>
      </c>
      <c r="G14" s="301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9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00" t="str">
        <f>IF(Med_disc!H30&lt;&gt;"",Med_disc!H30,"")</f>
        <v/>
      </c>
      <c r="E15" s="301" t="str">
        <f>IF(AND(D15&lt;&gt;"",D15&lt;&gt;"STOP"),ber_Med_disc!H14&amp;" "&amp;ber_Med_disc!F14,"")</f>
        <v/>
      </c>
      <c r="F15" s="301" t="str">
        <f>IF(AND(D15&lt;&gt;"",D15&lt;&gt;"STOP"),ber_Med_disc!L14," ")</f>
        <v xml:space="preserve"> </v>
      </c>
      <c r="G15" s="301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9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00" t="str">
        <f>IF(Med_disc!H32&lt;&gt;"",Med_disc!H32,"")</f>
        <v/>
      </c>
      <c r="E16" s="301" t="str">
        <f>IF(AND(D16&lt;&gt;"",D16&lt;&gt;"STOP"),ber_Med_disc!H15&amp;" "&amp;ber_Med_disc!F15,"")</f>
        <v/>
      </c>
      <c r="F16" s="301" t="str">
        <f>IF(AND(D16&lt;&gt;"",D16&lt;&gt;"STOP"),ber_Med_disc!L15," ")</f>
        <v xml:space="preserve"> </v>
      </c>
      <c r="G16" s="301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9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00" t="str">
        <f>IF(Med_disc!H34&lt;&gt;"",Med_disc!H34,"")</f>
        <v/>
      </c>
      <c r="E17" s="301" t="str">
        <f>IF(AND(D17&lt;&gt;"",D17&lt;&gt;"STOP"),ber_Med_disc!H16&amp;" "&amp;ber_Med_disc!F16,"")</f>
        <v/>
      </c>
      <c r="F17" s="301" t="str">
        <f>IF(AND(D17&lt;&gt;"",D17&lt;&gt;"STOP"),ber_Med_disc!L16," ")</f>
        <v xml:space="preserve"> </v>
      </c>
      <c r="G17" s="301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9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00" t="str">
        <f>IF(Med_disc!H36&lt;&gt;"",Med_disc!H36,"")</f>
        <v/>
      </c>
      <c r="E18" s="301" t="str">
        <f>IF(AND(D18&lt;&gt;"",D18&lt;&gt;"STOP"),ber_Med_disc!H17&amp;" "&amp;ber_Med_disc!F17,"")</f>
        <v/>
      </c>
      <c r="F18" s="301" t="str">
        <f>IF(AND(D18&lt;&gt;"",D18&lt;&gt;"STOP"),ber_Med_disc!L17," ")</f>
        <v xml:space="preserve"> </v>
      </c>
      <c r="G18" s="301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9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00" t="str">
        <f>IF(Med_disc!H38&lt;&gt;"",Med_disc!H38,"")</f>
        <v/>
      </c>
      <c r="E19" s="301" t="str">
        <f>IF(AND(D19&lt;&gt;"",D19&lt;&gt;"STOP"),ber_Med_disc!H18&amp;" "&amp;ber_Med_disc!F18,"")</f>
        <v/>
      </c>
      <c r="F19" s="301" t="str">
        <f>IF(AND(D19&lt;&gt;"",D19&lt;&gt;"STOP"),ber_Med_disc!L18," ")</f>
        <v xml:space="preserve"> </v>
      </c>
      <c r="G19" s="301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9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00" t="str">
        <f>IF(Med_disc!H40&lt;&gt;"",Med_disc!H40,"")</f>
        <v/>
      </c>
      <c r="E20" s="301" t="str">
        <f>IF(AND(D20&lt;&gt;"",D20&lt;&gt;"STOP"),ber_Med_disc!H19&amp;" "&amp;ber_Med_disc!F19,"")</f>
        <v/>
      </c>
      <c r="F20" s="301" t="str">
        <f>IF(AND(D20&lt;&gt;"",D20&lt;&gt;"STOP"),ber_Med_disc!L19," ")</f>
        <v xml:space="preserve"> </v>
      </c>
      <c r="G20" s="301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9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00" t="str">
        <f>IF(Med_disc!H42&lt;&gt;"",Med_disc!H42,"")</f>
        <v/>
      </c>
      <c r="E21" s="301" t="str">
        <f>IF(AND(D21&lt;&gt;"",D21&lt;&gt;"STOP"),ber_Med_disc!H20&amp;" "&amp;ber_Med_disc!F20,"")</f>
        <v/>
      </c>
      <c r="F21" s="301" t="str">
        <f>IF(AND(D21&lt;&gt;"",D21&lt;&gt;"STOP"),ber_Med_disc!L20," ")</f>
        <v xml:space="preserve"> </v>
      </c>
      <c r="G21" s="301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9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00" t="str">
        <f>IF(Med_disc!H44&lt;&gt;"",Med_disc!H44,"")</f>
        <v/>
      </c>
      <c r="E22" s="301" t="str">
        <f>IF(AND(D22&lt;&gt;"",D22&lt;&gt;"STOP"),ber_Med_disc!H21&amp;" "&amp;ber_Med_disc!F21,"")</f>
        <v/>
      </c>
      <c r="F22" s="301" t="str">
        <f>IF(AND(D22&lt;&gt;"",D22&lt;&gt;"STOP"),ber_Med_disc!L21," ")</f>
        <v xml:space="preserve"> </v>
      </c>
      <c r="G22" s="301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vbzPLZdt010l/1DT2jEW8cC/lm6t5DUn3M+tHqDpRfIAuVCzH8OtQCE+97KaiUHQn3NsaUAsTbx/DUxty7NVjg==" saltValue="dfcTbaEbkfqi1tKP+wBj7w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845</v>
      </c>
      <c r="C2" s="180">
        <f ca="1">AfspraakDatum</f>
        <v>42195</v>
      </c>
      <c r="D2" s="181"/>
      <c r="E2" s="179" t="s">
        <v>846</v>
      </c>
      <c r="F2" s="182">
        <f>OpnDatum</f>
        <v>41363</v>
      </c>
      <c r="G2" s="179" t="str">
        <f ca="1">"ICU-dag: "&amp;AfspraakDatum-OpnDatum+1</f>
        <v>ICU-dag: 833</v>
      </c>
      <c r="H2" s="179"/>
      <c r="I2" s="179"/>
      <c r="J2" s="179"/>
    </row>
    <row r="3" spans="1:10" s="178" customFormat="1" ht="17.25" customHeight="1" x14ac:dyDescent="0.4">
      <c r="B3" s="179" t="s">
        <v>92</v>
      </c>
      <c r="C3" s="183" t="str">
        <f>_AchterNaam&amp;", "&amp;_VoorNaam</f>
        <v>Achternaam, Voornaam</v>
      </c>
      <c r="D3" s="183"/>
      <c r="E3" s="179" t="s">
        <v>862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941</v>
      </c>
      <c r="C4" s="184">
        <f>PatNummer</f>
        <v>0</v>
      </c>
      <c r="D4" s="181"/>
      <c r="E4" s="179" t="s">
        <v>787</v>
      </c>
      <c r="F4" s="186" t="str">
        <f ca="1">TRUNC((AfspraakDatum-GebDatum)/365,0)&amp;" jaar en "&amp;TRUNC(((AfspraakDatum-GebDatum)-365*TRUNC((AfspraakDatum-GebDatum)/365,0))/30,0)&amp;" maand(-en)"</f>
        <v>3 jaar en 6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85</v>
      </c>
    </row>
    <row r="7" spans="1:10" ht="9.0500000000000007" customHeight="1" x14ac:dyDescent="0.35">
      <c r="I7" s="105" t="s">
        <v>362</v>
      </c>
      <c r="J7" s="105" t="s">
        <v>919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818</v>
      </c>
      <c r="C15" s="280">
        <f>ber_Opm!C3</f>
        <v>0</v>
      </c>
      <c r="D15" s="281"/>
      <c r="E15" s="281"/>
      <c r="F15" s="281"/>
      <c r="G15" s="281"/>
      <c r="H15" s="281"/>
      <c r="I15" s="282">
        <f>SUM(I8:I14)</f>
        <v>0</v>
      </c>
      <c r="J15" s="282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203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94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779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1131</v>
      </c>
      <c r="C23" s="25" t="str">
        <f>IF(Controle_3&gt;0,"om de "&amp;Controle_3&amp;" uur","")</f>
        <v/>
      </c>
      <c r="E23" s="209" t="s">
        <v>1133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1134</v>
      </c>
      <c r="C24" s="25" t="str">
        <f>IF(Controle_6&gt;0,"om de "&amp;Controle_6&amp;" uur","")</f>
        <v/>
      </c>
      <c r="E24" s="209" t="s">
        <v>1132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5">
        <f>ber_Opm!C11</f>
        <v>0</v>
      </c>
      <c r="C25" s="360"/>
      <c r="D25" s="360"/>
      <c r="E25" s="360"/>
      <c r="F25" s="360"/>
      <c r="G25" s="241"/>
      <c r="H25" s="26"/>
    </row>
    <row r="26" spans="1:10" ht="17.25" customHeight="1" x14ac:dyDescent="0.35">
      <c r="B26" s="360"/>
      <c r="C26" s="360"/>
      <c r="D26" s="360"/>
      <c r="E26" s="360"/>
      <c r="F26" s="360"/>
      <c r="G26" s="241"/>
      <c r="H26" s="241"/>
      <c r="I26" s="241"/>
      <c r="J26" s="245"/>
    </row>
    <row r="27" spans="1:10" ht="17.25" customHeight="1" x14ac:dyDescent="0.35">
      <c r="B27" s="360"/>
      <c r="C27" s="360"/>
      <c r="D27" s="360"/>
      <c r="E27" s="360"/>
      <c r="F27" s="360"/>
      <c r="G27" s="241"/>
      <c r="H27" s="241"/>
      <c r="I27" s="241"/>
      <c r="J27" s="246"/>
    </row>
    <row r="28" spans="1:10" ht="20.100000000000001" customHeight="1" x14ac:dyDescent="0.35">
      <c r="B28" s="277"/>
      <c r="C28" s="278"/>
      <c r="D28" s="278"/>
      <c r="E28" s="278"/>
      <c r="F28" s="278"/>
      <c r="G28" s="278"/>
      <c r="H28" s="279"/>
      <c r="I28" s="279"/>
      <c r="J28" s="278"/>
    </row>
    <row r="29" spans="1:10" ht="20.100000000000001" customHeight="1" x14ac:dyDescent="0.4">
      <c r="B29" s="249" t="s">
        <v>65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693</v>
      </c>
      <c r="E31" s="178" t="s">
        <v>176</v>
      </c>
    </row>
    <row r="32" spans="1:10" ht="20.100000000000001" customHeight="1" x14ac:dyDescent="0.35"/>
    <row r="33" spans="2:3" ht="13.2" x14ac:dyDescent="0.4">
      <c r="B33" s="178" t="s">
        <v>824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177</v>
      </c>
      <c r="C35" s="247" t="str">
        <f>IF(ber_Infusen!O1&gt;1,ber_Infusen!R2&amp;" mA","")</f>
        <v/>
      </c>
    </row>
    <row r="36" spans="2:3" ht="17.25" customHeight="1" x14ac:dyDescent="0.4">
      <c r="B36" s="178" t="s">
        <v>178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179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180</v>
      </c>
      <c r="C40" s="247" t="str">
        <f>IF(ber_Infusen!O1&gt;1,ber_Infusen!R5/10&amp;" mV","")</f>
        <v/>
      </c>
    </row>
    <row r="41" spans="2:3" ht="17.25" customHeight="1" x14ac:dyDescent="0.4">
      <c r="B41" s="178" t="s">
        <v>181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V+REZGgmLkFGmMiJ0U5xbXuEQTsX1gsSuH0ZU0wkgtKA4M3PXQteOVbjdF+90oO2x7V8W7/tVcLqxfQnTwc0pA==" saltValue="UGsmi6f4uBNyNal6bTCkI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363</v>
      </c>
      <c r="L1">
        <v>1</v>
      </c>
      <c r="M1">
        <v>1</v>
      </c>
      <c r="Q1" t="s">
        <v>692</v>
      </c>
      <c r="S1">
        <v>70</v>
      </c>
    </row>
    <row r="2" spans="1:19" x14ac:dyDescent="0.35">
      <c r="A2" s="11" t="s">
        <v>472</v>
      </c>
      <c r="D2">
        <v>1</v>
      </c>
      <c r="E2">
        <v>1</v>
      </c>
      <c r="G2" s="8" t="s">
        <v>364</v>
      </c>
      <c r="J2" t="s">
        <v>1137</v>
      </c>
      <c r="L2">
        <v>2</v>
      </c>
      <c r="M2">
        <v>1</v>
      </c>
      <c r="Q2" t="s">
        <v>688</v>
      </c>
      <c r="S2">
        <v>10</v>
      </c>
    </row>
    <row r="3" spans="1:19" x14ac:dyDescent="0.35">
      <c r="A3" s="11" t="s">
        <v>555</v>
      </c>
      <c r="B3">
        <v>12</v>
      </c>
      <c r="C3">
        <f>B3*0.155</f>
        <v>1.8599999999999999</v>
      </c>
      <c r="D3">
        <v>2</v>
      </c>
      <c r="E3">
        <v>1</v>
      </c>
      <c r="G3" s="9" t="s">
        <v>803</v>
      </c>
      <c r="J3" t="s">
        <v>1138</v>
      </c>
      <c r="L3">
        <v>3</v>
      </c>
      <c r="M3">
        <v>1</v>
      </c>
      <c r="O3" t="s">
        <v>992</v>
      </c>
      <c r="P3" t="s">
        <v>685</v>
      </c>
      <c r="Q3" t="s">
        <v>689</v>
      </c>
      <c r="S3">
        <v>10</v>
      </c>
    </row>
    <row r="4" spans="1:19" x14ac:dyDescent="0.35">
      <c r="A4" s="11" t="s">
        <v>976</v>
      </c>
      <c r="B4">
        <v>72</v>
      </c>
      <c r="C4">
        <f>B4*0.155</f>
        <v>11.16</v>
      </c>
      <c r="D4">
        <v>3</v>
      </c>
      <c r="E4">
        <v>1</v>
      </c>
      <c r="G4" s="8" t="s">
        <v>804</v>
      </c>
      <c r="J4" t="s">
        <v>1124</v>
      </c>
      <c r="L4">
        <v>4</v>
      </c>
      <c r="M4">
        <v>1</v>
      </c>
      <c r="O4" t="s">
        <v>683</v>
      </c>
      <c r="P4" t="s">
        <v>686</v>
      </c>
      <c r="Q4" t="s">
        <v>690</v>
      </c>
      <c r="S4">
        <v>170</v>
      </c>
    </row>
    <row r="5" spans="1:19" x14ac:dyDescent="0.35">
      <c r="A5" s="11" t="s">
        <v>977</v>
      </c>
      <c r="B5">
        <v>12</v>
      </c>
      <c r="C5">
        <f>B5*0.155</f>
        <v>1.8599999999999999</v>
      </c>
      <c r="D5">
        <v>4</v>
      </c>
      <c r="E5">
        <v>1</v>
      </c>
      <c r="G5" s="8" t="s">
        <v>805</v>
      </c>
      <c r="J5" t="s">
        <v>1121</v>
      </c>
      <c r="L5">
        <v>5</v>
      </c>
      <c r="M5">
        <v>1</v>
      </c>
      <c r="O5" t="s">
        <v>684</v>
      </c>
      <c r="P5" t="s">
        <v>687</v>
      </c>
      <c r="Q5" t="s">
        <v>691</v>
      </c>
      <c r="S5">
        <v>20</v>
      </c>
    </row>
    <row r="6" spans="1:19" x14ac:dyDescent="0.35">
      <c r="A6" s="11" t="s">
        <v>359</v>
      </c>
      <c r="B6">
        <v>72</v>
      </c>
      <c r="C6">
        <f>B6*0.155</f>
        <v>11.16</v>
      </c>
      <c r="D6">
        <v>5</v>
      </c>
      <c r="E6">
        <v>1</v>
      </c>
      <c r="G6" s="9" t="s">
        <v>806</v>
      </c>
      <c r="J6" t="s">
        <v>103</v>
      </c>
      <c r="L6">
        <v>6</v>
      </c>
      <c r="M6">
        <v>1</v>
      </c>
      <c r="Q6" t="s">
        <v>838</v>
      </c>
      <c r="S6">
        <v>20</v>
      </c>
    </row>
    <row r="7" spans="1:19" x14ac:dyDescent="0.35">
      <c r="A7" s="11" t="s">
        <v>360</v>
      </c>
      <c r="D7">
        <v>6</v>
      </c>
      <c r="E7">
        <v>1</v>
      </c>
      <c r="G7" s="8" t="s">
        <v>807</v>
      </c>
      <c r="J7" t="s">
        <v>1117</v>
      </c>
    </row>
    <row r="8" spans="1:19" x14ac:dyDescent="0.35">
      <c r="A8" s="11" t="s">
        <v>109</v>
      </c>
      <c r="B8">
        <v>12</v>
      </c>
      <c r="C8">
        <f>B8*0.155</f>
        <v>1.8599999999999999</v>
      </c>
      <c r="G8" s="9" t="s">
        <v>808</v>
      </c>
      <c r="J8" t="s">
        <v>1118</v>
      </c>
      <c r="O8" t="s">
        <v>780</v>
      </c>
      <c r="P8" t="b">
        <v>1</v>
      </c>
    </row>
    <row r="9" spans="1:19" x14ac:dyDescent="0.35">
      <c r="A9" s="11" t="s">
        <v>110</v>
      </c>
      <c r="B9">
        <v>72</v>
      </c>
      <c r="C9">
        <f>B9*0.155</f>
        <v>11.16</v>
      </c>
      <c r="G9" s="9" t="s">
        <v>809</v>
      </c>
      <c r="J9" t="s">
        <v>875</v>
      </c>
    </row>
    <row r="10" spans="1:19" x14ac:dyDescent="0.35">
      <c r="A10" s="11" t="s">
        <v>267</v>
      </c>
      <c r="G10" s="9" t="s">
        <v>406</v>
      </c>
      <c r="J10" t="s">
        <v>1127</v>
      </c>
    </row>
    <row r="11" spans="1:19" x14ac:dyDescent="0.35">
      <c r="A11" s="11" t="s">
        <v>1146</v>
      </c>
      <c r="J11" t="s">
        <v>1126</v>
      </c>
    </row>
    <row r="12" spans="1:19" x14ac:dyDescent="0.35">
      <c r="A12" s="11" t="s">
        <v>1147</v>
      </c>
      <c r="J12" t="s">
        <v>1116</v>
      </c>
    </row>
    <row r="13" spans="1:19" x14ac:dyDescent="0.35">
      <c r="A13" s="11" t="s">
        <v>926</v>
      </c>
      <c r="G13" s="9"/>
      <c r="J13" t="s">
        <v>1128</v>
      </c>
    </row>
    <row r="14" spans="1:19" x14ac:dyDescent="0.35">
      <c r="A14" s="11" t="s">
        <v>927</v>
      </c>
      <c r="G14" s="9"/>
      <c r="J14" t="s">
        <v>1136</v>
      </c>
    </row>
    <row r="15" spans="1:19" x14ac:dyDescent="0.35">
      <c r="A15" s="11" t="s">
        <v>361</v>
      </c>
      <c r="G15" s="9" t="s">
        <v>407</v>
      </c>
      <c r="H15">
        <v>8</v>
      </c>
      <c r="J15" t="s">
        <v>1125</v>
      </c>
    </row>
    <row r="16" spans="1:19" x14ac:dyDescent="0.35">
      <c r="A16" s="11" t="s">
        <v>111</v>
      </c>
      <c r="B16">
        <v>12</v>
      </c>
      <c r="C16">
        <f>B16*0.155</f>
        <v>1.8599999999999999</v>
      </c>
      <c r="G16" s="9" t="s">
        <v>408</v>
      </c>
      <c r="H16">
        <v>3</v>
      </c>
      <c r="J16" t="s">
        <v>1119</v>
      </c>
    </row>
    <row r="17" spans="1:10" x14ac:dyDescent="0.35">
      <c r="A17" s="11" t="s">
        <v>112</v>
      </c>
      <c r="B17">
        <v>72</v>
      </c>
      <c r="C17">
        <f>B17*0.155</f>
        <v>11.16</v>
      </c>
      <c r="J17" t="s">
        <v>1123</v>
      </c>
    </row>
    <row r="18" spans="1:10" x14ac:dyDescent="0.35">
      <c r="A18" s="11" t="s">
        <v>546</v>
      </c>
      <c r="J18" t="s">
        <v>1122</v>
      </c>
    </row>
    <row r="19" spans="1:10" x14ac:dyDescent="0.35">
      <c r="A19" s="11" t="s">
        <v>1146</v>
      </c>
      <c r="J19" t="s">
        <v>1135</v>
      </c>
    </row>
    <row r="20" spans="1:10" x14ac:dyDescent="0.35">
      <c r="A20" s="11" t="s">
        <v>1147</v>
      </c>
      <c r="J20" t="s">
        <v>1120</v>
      </c>
    </row>
    <row r="21" spans="1:10" x14ac:dyDescent="0.35">
      <c r="A21" s="11" t="s">
        <v>928</v>
      </c>
      <c r="J21" t="s">
        <v>1139</v>
      </c>
    </row>
    <row r="22" spans="1:10" x14ac:dyDescent="0.35">
      <c r="A22" s="11" t="s">
        <v>871</v>
      </c>
      <c r="J22" t="s">
        <v>953</v>
      </c>
    </row>
    <row r="23" spans="1:10" x14ac:dyDescent="0.35">
      <c r="A23" s="11" t="s">
        <v>471</v>
      </c>
      <c r="J23" t="s">
        <v>1129</v>
      </c>
    </row>
    <row r="24" spans="1:10" x14ac:dyDescent="0.35">
      <c r="A24" s="11" t="s">
        <v>872</v>
      </c>
      <c r="J24" t="s">
        <v>954</v>
      </c>
    </row>
    <row r="25" spans="1:10" x14ac:dyDescent="0.35">
      <c r="A25" s="11" t="s">
        <v>849</v>
      </c>
      <c r="J25" t="s">
        <v>1130</v>
      </c>
    </row>
    <row r="26" spans="1:10" x14ac:dyDescent="0.35">
      <c r="A26" s="11" t="s">
        <v>1199</v>
      </c>
      <c r="J26" t="s">
        <v>955</v>
      </c>
    </row>
    <row r="27" spans="1:10" x14ac:dyDescent="0.35">
      <c r="A27" s="11" t="s">
        <v>1053</v>
      </c>
      <c r="J27" t="s">
        <v>956</v>
      </c>
    </row>
    <row r="28" spans="1:10" x14ac:dyDescent="0.35">
      <c r="A28" s="11" t="s">
        <v>1051</v>
      </c>
      <c r="J28" t="s">
        <v>957</v>
      </c>
    </row>
    <row r="29" spans="1:10" x14ac:dyDescent="0.35">
      <c r="A29" s="11" t="s">
        <v>1052</v>
      </c>
      <c r="J29" t="s">
        <v>266</v>
      </c>
    </row>
    <row r="30" spans="1:10" x14ac:dyDescent="0.35">
      <c r="A30" s="11" t="s">
        <v>1200</v>
      </c>
      <c r="J30" t="s">
        <v>102</v>
      </c>
    </row>
    <row r="31" spans="1:10" x14ac:dyDescent="0.35">
      <c r="A31" s="11" t="s">
        <v>1177</v>
      </c>
      <c r="J31" t="s">
        <v>64</v>
      </c>
    </row>
    <row r="32" spans="1:10" x14ac:dyDescent="0.35">
      <c r="A32" s="11" t="s">
        <v>1178</v>
      </c>
    </row>
    <row r="33" spans="1:1" x14ac:dyDescent="0.35">
      <c r="A33" s="11" t="s">
        <v>1179</v>
      </c>
    </row>
    <row r="34" spans="1:1" x14ac:dyDescent="0.35">
      <c r="A34" s="11" t="s">
        <v>876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960</v>
      </c>
      <c r="E17" t="s">
        <v>961</v>
      </c>
      <c r="F17" s="22">
        <f ca="1">TODAY()-GebDatum+1</f>
        <v>1287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962</v>
      </c>
      <c r="F18">
        <f>Gewicht/10</f>
        <v>10</v>
      </c>
    </row>
    <row r="20" spans="1:6" x14ac:dyDescent="0.35">
      <c r="A20" t="s">
        <v>348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845</v>
      </c>
      <c r="D2" s="180">
        <f ca="1">AfspraakDatum</f>
        <v>42195</v>
      </c>
      <c r="E2" s="181"/>
      <c r="F2" s="179" t="s">
        <v>846</v>
      </c>
      <c r="G2" s="182">
        <f>OpnDatum</f>
        <v>41363</v>
      </c>
      <c r="H2" s="179" t="str">
        <f ca="1">"ICU-dag: "&amp;AfspraakDatum-OpnDatum+1</f>
        <v>ICU-dag: 833</v>
      </c>
      <c r="I2" s="179"/>
      <c r="J2" s="179"/>
      <c r="K2" s="179"/>
    </row>
    <row r="3" spans="1:22" s="178" customFormat="1" ht="13.2" x14ac:dyDescent="0.4">
      <c r="A3" s="209"/>
      <c r="B3" s="179" t="s">
        <v>92</v>
      </c>
      <c r="D3" s="183" t="str">
        <f>_AchterNaam&amp;", "&amp;_VoorNaam</f>
        <v>Achternaam, Voornaam</v>
      </c>
      <c r="E3" s="183"/>
      <c r="F3" s="179" t="s">
        <v>862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941</v>
      </c>
      <c r="D4" s="184">
        <f>PatNummer</f>
        <v>0</v>
      </c>
      <c r="E4" s="181"/>
      <c r="F4" s="179" t="s">
        <v>787</v>
      </c>
      <c r="G4" s="186" t="str">
        <f ca="1">TRUNC((AfspraakDatum-GebDatum)/365,0)&amp;" jaar en "&amp;TRUNC(((AfspraakDatum-GebDatum)-365*TRUNC((AfspraakDatum-GebDatum)/365,0))/30,0)&amp;" maand(-en)"</f>
        <v>3 jaar en 6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480</v>
      </c>
      <c r="D6" s="25" t="e">
        <f>INDEX(tblSonde,ber_PO!P22,1)</f>
        <v>#NAME?</v>
      </c>
      <c r="I6" s="26"/>
      <c r="J6" s="26"/>
      <c r="K6" s="26"/>
      <c r="L6" s="26"/>
    </row>
    <row r="7" spans="1:22" ht="19.55" customHeight="1" x14ac:dyDescent="0.4">
      <c r="B7" s="26"/>
      <c r="C7" s="262" t="s">
        <v>796</v>
      </c>
      <c r="D7" s="26"/>
      <c r="E7" s="26"/>
      <c r="F7" s="26"/>
      <c r="G7" s="26"/>
      <c r="H7" s="26"/>
      <c r="I7" s="26"/>
      <c r="J7" s="26"/>
      <c r="K7" s="26"/>
      <c r="L7" s="262" t="s">
        <v>502</v>
      </c>
      <c r="N7" s="240"/>
    </row>
    <row r="8" spans="1:22" ht="19.55" customHeight="1" x14ac:dyDescent="0.35">
      <c r="B8" s="243"/>
      <c r="C8" s="251" t="str">
        <f>IF(ber_PO!O22&lt;&gt;0,ber_PO!L22&amp;" dd","")</f>
        <v/>
      </c>
      <c r="D8" s="252" t="str">
        <f>IF(ber_PO!O22&lt;&gt;0,ber_PO!N22&amp;" ml","")</f>
        <v/>
      </c>
      <c r="E8" s="243"/>
      <c r="F8" s="243"/>
      <c r="G8" s="243" t="str">
        <f>IF(C8="24 dd","continue drip","")</f>
        <v/>
      </c>
      <c r="H8" s="243" t="str">
        <f>IF(ber_PO!P22&gt;1,ber_PO!O22&amp;" ml per dag","")</f>
        <v/>
      </c>
      <c r="I8" s="243"/>
      <c r="J8" s="26"/>
      <c r="L8" s="25" t="s">
        <v>342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IF(ber_PO!P23&gt;1,ber_PO!L23&amp;" dd","")</f>
        <v/>
      </c>
      <c r="D9" s="252" t="str">
        <f>IF(ber_PO!P23&gt;1,ber_PO!N23&amp;" gram","")</f>
        <v/>
      </c>
      <c r="E9" s="243"/>
      <c r="F9" s="243"/>
      <c r="G9" s="243"/>
      <c r="H9" s="243" t="str">
        <f>IF(ber_PO!P23&gt;1,ber_PO!O23&amp;" gram/dag","")</f>
        <v/>
      </c>
      <c r="I9" s="244" t="str">
        <f>IF(AND(ber_PO!O23&lt;&gt;0,ber_PO!O22&lt;&gt;0),"= "&amp;ROUND(ber_PO!O23*100/ber_PO!O22,1)&amp;"% extra","")</f>
        <v/>
      </c>
      <c r="J9" s="26"/>
      <c r="L9" s="178"/>
      <c r="M9" s="237" t="s">
        <v>503</v>
      </c>
      <c r="N9" s="273">
        <f>ber_PO!AF12</f>
        <v>0</v>
      </c>
      <c r="O9" s="26"/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IF(ber_PO!P24&gt;1,ber_PO!L24&amp;" dd","")</f>
        <v/>
      </c>
      <c r="D10" s="252" t="str">
        <f>IF(ber_PO!P24&gt;1,ber_PO!N24&amp;" gram","")</f>
        <v/>
      </c>
      <c r="E10" s="243"/>
      <c r="F10" s="243"/>
      <c r="G10" s="243"/>
      <c r="H10" s="243" t="str">
        <f>IF(ber_PO!P24&gt;1,ber_PO!O24&amp;" gram per dag","")</f>
        <v/>
      </c>
      <c r="I10" s="244" t="str">
        <f>IF(AND(ber_PO!O24&lt;&gt;0,ber_PO!O23&lt;&gt;0),"= "&amp;ROUND(ber_PO!O24*100/ber_PO!O22,1)&amp;"% extra","")</f>
        <v/>
      </c>
      <c r="J10" s="26"/>
      <c r="L10" s="178"/>
      <c r="M10" s="237" t="s">
        <v>599</v>
      </c>
      <c r="N10" s="276">
        <f>ber_PO!AF13</f>
        <v>0</v>
      </c>
      <c r="O10" s="28" t="s">
        <v>101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IF(ber_PO!P25&gt;1,ber_PO!L25&amp;" dd","")</f>
        <v/>
      </c>
      <c r="D11" s="252" t="str">
        <f>IF(ber_PO!P25&gt;1,ber_PO!N25&amp;" gram","")</f>
        <v/>
      </c>
      <c r="E11" s="243"/>
      <c r="F11" s="243"/>
      <c r="G11" s="243"/>
      <c r="H11" s="243" t="str">
        <f>IF(ber_PO!P25&gt;1,ber_PO!O25&amp;" gram per dag","")</f>
        <v/>
      </c>
      <c r="I11" s="244" t="str">
        <f>IF(AND(ber_PO!O25&lt;&gt;0,ber_PO!O24&lt;&gt;0),"= "&amp;ROUND(ber_PO!O25*100/ber_PO!O22,1)&amp;"% extra","")</f>
        <v/>
      </c>
      <c r="J11" s="26"/>
      <c r="L11" s="178"/>
      <c r="M11" s="237" t="s">
        <v>504</v>
      </c>
      <c r="N11" s="276">
        <f>ber_PO!AF14</f>
        <v>0</v>
      </c>
      <c r="O11" s="28" t="s">
        <v>101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600</v>
      </c>
      <c r="N12" s="276">
        <f>ber_PO!AF15</f>
        <v>0</v>
      </c>
      <c r="O12" s="28" t="s">
        <v>101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818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178"/>
      <c r="M13" s="266" t="s">
        <v>505</v>
      </c>
      <c r="N13" s="276">
        <f>ber_PO!AF16</f>
        <v>0</v>
      </c>
      <c r="O13" s="28" t="s">
        <v>491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797</v>
      </c>
      <c r="H14" s="250"/>
      <c r="J14" s="28"/>
      <c r="K14" s="28"/>
      <c r="L14" s="267"/>
      <c r="M14" s="266" t="s">
        <v>791</v>
      </c>
      <c r="N14" s="276">
        <f>ber_PO!AF17</f>
        <v>0</v>
      </c>
      <c r="O14" s="28" t="s">
        <v>491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924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925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6" t="s">
        <v>601</v>
      </c>
      <c r="N15" s="276">
        <f>ber_PO!AF18</f>
        <v>0</v>
      </c>
      <c r="O15" s="28" t="s">
        <v>491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67"/>
      <c r="M16" s="268" t="s">
        <v>506</v>
      </c>
      <c r="N16" s="276">
        <f>ber_PO!AF19</f>
        <v>0</v>
      </c>
      <c r="O16" s="28" t="s">
        <v>491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6" t="str">
        <f>IF(AND(Gewicht/10&gt;50,TPN=2),"in 100 ml glucose 10%, "&amp;ROUND((ber_TPN!F5+ber_TPN!F16)/24,1)&amp;" ml/uur","")</f>
        <v/>
      </c>
      <c r="G17" s="366"/>
      <c r="H17" s="209"/>
      <c r="I17" s="26"/>
      <c r="J17" s="240" t="str">
        <f>IF(ber_TPN!F19&lt;&gt;0,ROUND(ber_TPN!F19,1)&amp;" ml","")</f>
        <v/>
      </c>
      <c r="K17" s="256"/>
      <c r="L17" s="209"/>
      <c r="M17" s="266" t="s">
        <v>868</v>
      </c>
      <c r="N17" s="276">
        <f>ber_PO!AF20</f>
        <v>0</v>
      </c>
      <c r="O17" s="28" t="s">
        <v>491</v>
      </c>
      <c r="P17" s="28"/>
      <c r="T17" s="28"/>
      <c r="U17" s="28"/>
      <c r="V17" s="28"/>
    </row>
    <row r="18" spans="2:22" ht="19.55" customHeight="1" x14ac:dyDescent="0.4">
      <c r="B18" s="209"/>
      <c r="C18" s="209" t="s">
        <v>917</v>
      </c>
      <c r="D18" s="26"/>
      <c r="E18" s="240" t="str">
        <f>IF(ber_TPN!C7,ber_TPN!F7&amp;" ml","")</f>
        <v/>
      </c>
      <c r="F18" s="26"/>
      <c r="G18" s="26"/>
      <c r="H18" s="265" t="s">
        <v>917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603</v>
      </c>
      <c r="D19" s="26"/>
      <c r="E19" s="240" t="str">
        <f>IF(ber_TPN!C8,ber_TPN!F8&amp;" ml","")</f>
        <v/>
      </c>
      <c r="F19" s="26"/>
      <c r="G19" s="26"/>
      <c r="H19" s="265" t="s">
        <v>603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918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869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ht="24.05" customHeight="1" x14ac:dyDescent="0.4">
      <c r="B23" s="263"/>
      <c r="C23" s="263" t="s">
        <v>867</v>
      </c>
      <c r="D23" s="243"/>
      <c r="E23" s="253" t="str">
        <f>IF(ber_TPN!C11,ber_TPN!F11&amp;" ml","")</f>
        <v/>
      </c>
      <c r="F23" s="243"/>
      <c r="G23" s="243" t="str">
        <f>IF(ber_TPN!F11&gt;0,ROUND(ber_TPN!F11*1.5/(Gewicht/10),2)&amp;" mmol/kg","")</f>
        <v/>
      </c>
      <c r="H23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43"/>
      <c r="J23" s="28"/>
      <c r="K23" s="28"/>
      <c r="L23" s="28"/>
      <c r="M23" s="28"/>
      <c r="N23" s="28"/>
      <c r="O23" s="28"/>
      <c r="P23" s="28"/>
      <c r="T23" s="28"/>
      <c r="U23" s="28"/>
      <c r="V23" s="28"/>
    </row>
    <row r="24" spans="2:22" ht="23.3" customHeight="1" x14ac:dyDescent="0.4">
      <c r="B24" s="26"/>
      <c r="C24" s="240" t="s">
        <v>563</v>
      </c>
      <c r="D24" s="240" t="str">
        <f>IF(ber_TPN!D12&lt;&gt;0,ber_TPN!E12&amp;" ml/uur","")</f>
        <v/>
      </c>
      <c r="E24" s="240"/>
      <c r="F24" s="26"/>
      <c r="G24" s="26"/>
      <c r="H24" s="26" t="str">
        <f>IF(ber_TPN!F12&lt;&gt;0,ber_TPN!F12&amp;" ml per dag","")</f>
        <v/>
      </c>
      <c r="I24" s="26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19.55" customHeight="1" x14ac:dyDescent="0.4">
      <c r="B25" s="264"/>
      <c r="C25" s="264" t="s">
        <v>564</v>
      </c>
      <c r="D25" s="255"/>
      <c r="E25" s="254" t="str">
        <f>IF(ber_TPN!F13&lt;&gt;0,ROUND(ber_TPN!F13,0)&amp;" ml","")</f>
        <v/>
      </c>
      <c r="F25" s="255"/>
      <c r="G25" s="255"/>
      <c r="H25" s="255"/>
      <c r="I25" s="259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8.75" customHeight="1" x14ac:dyDescent="0.4">
      <c r="B26" s="209"/>
      <c r="C26" s="209" t="s">
        <v>565</v>
      </c>
      <c r="D26" s="26"/>
      <c r="E26" s="240" t="str">
        <f>IF(ber_TPN!C14,ber_TPN!F14&amp;" ml","")</f>
        <v/>
      </c>
      <c r="F26" s="26"/>
      <c r="G26" s="26"/>
      <c r="H26" s="26"/>
      <c r="I26" s="260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ht="19.55" customHeight="1" x14ac:dyDescent="0.4">
      <c r="B27" s="263"/>
      <c r="C27" s="263" t="s">
        <v>566</v>
      </c>
      <c r="D27" s="243"/>
      <c r="E27" s="253" t="str">
        <f>IF(ber_TPN!C15,ber_TPN!F15&amp;" ml","")</f>
        <v/>
      </c>
      <c r="F27" s="243"/>
      <c r="G27" s="243"/>
      <c r="H27" s="243"/>
      <c r="I27" s="261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"/>
      <c r="C28" s="26"/>
      <c r="D28" s="26"/>
      <c r="E28" s="240"/>
      <c r="F28" s="26"/>
      <c r="G28" s="26"/>
      <c r="H28" s="26"/>
      <c r="I28" s="26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35">
      <c r="B29" s="271"/>
      <c r="C29" s="238" t="s">
        <v>818</v>
      </c>
      <c r="D29" s="272">
        <f>ber_Opm!C9</f>
        <v>0</v>
      </c>
      <c r="E29" s="273"/>
      <c r="F29" s="273"/>
      <c r="G29" s="273"/>
      <c r="H29" s="273"/>
      <c r="I29" s="273"/>
      <c r="J29" s="274"/>
      <c r="K29" s="274"/>
      <c r="L29" s="274"/>
      <c r="M29" s="274"/>
      <c r="N29" s="274"/>
      <c r="O29" s="274"/>
      <c r="P29" s="274"/>
      <c r="Q29" s="28"/>
      <c r="R29" s="28"/>
      <c r="S29" s="28"/>
      <c r="T29" s="28"/>
      <c r="U29" s="28"/>
      <c r="V29" s="28"/>
    </row>
    <row r="30" spans="2:22" ht="10.5" customHeight="1" x14ac:dyDescent="0.4">
      <c r="B30" s="26"/>
      <c r="C30" s="240"/>
      <c r="D30" s="26"/>
      <c r="E30" s="240"/>
      <c r="F30" s="26"/>
      <c r="G30" s="26"/>
      <c r="H30" s="26"/>
      <c r="I30" s="26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</row>
    <row r="31" spans="2:22" ht="13.2" x14ac:dyDescent="0.4">
      <c r="B31" s="269" t="s">
        <v>788</v>
      </c>
      <c r="C31" s="269"/>
      <c r="D31" s="270" t="str">
        <f>ROUND(ber_totalen!C2,0)&amp;" ml/kg"</f>
        <v>0 ml/kg</v>
      </c>
      <c r="E31" s="269" t="str">
        <f ca="1">ROUND(ber_normaal!$A$18,0)&amp;" ml/kg"</f>
        <v>100 ml/kg</v>
      </c>
      <c r="F31" s="269" t="str">
        <f>"= "&amp;ROUND(ber_totalen!C2*Gewicht/10,0)&amp;" ml/dag"</f>
        <v>= 0 ml/dag</v>
      </c>
      <c r="G31" s="269"/>
      <c r="H31" s="269" t="s">
        <v>599</v>
      </c>
      <c r="I31" s="270" t="str">
        <f>ROUND(ber_totalen!$C$9,1)&amp;"  gram/kg"</f>
        <v>0  gram/kg</v>
      </c>
      <c r="J31" s="269" t="str">
        <f>IF(Gewicht/10&lt;30,"2-2,5 g/kg","1,5 g/kg")</f>
        <v>2-2,5 g/kg</v>
      </c>
      <c r="K31" s="269"/>
      <c r="L31" s="297"/>
      <c r="M31" s="298"/>
      <c r="N31" s="298"/>
      <c r="O31" s="298"/>
      <c r="P31" s="298"/>
    </row>
    <row r="32" spans="2:22" ht="13.2" x14ac:dyDescent="0.4">
      <c r="B32" s="269" t="s">
        <v>789</v>
      </c>
      <c r="C32" s="269"/>
      <c r="D32" s="270" t="str">
        <f>ROUND(ber_totalen!E38,0)&amp;" kCal/kg"</f>
        <v>0 kCal/kg</v>
      </c>
      <c r="E32" s="269" t="str">
        <f ca="1">ber_normaal!$A$21&amp;" kCal/kg"</f>
        <v>90 kCal/kg</v>
      </c>
      <c r="F32" s="269"/>
      <c r="G32" s="269"/>
      <c r="H32" s="269" t="s">
        <v>600</v>
      </c>
      <c r="I32" s="270" t="str">
        <f>ROUND(ber_totalen!$C$13,1)&amp;" gram/kg"</f>
        <v>0 gram/kg</v>
      </c>
      <c r="J32" s="269" t="str">
        <f>IF(Gewicht/10&lt;30,"4 g/kg","2 g/kg")</f>
        <v>4 g/kg</v>
      </c>
      <c r="K32" s="269"/>
      <c r="L32" s="297"/>
      <c r="M32" s="298"/>
      <c r="N32" s="298"/>
      <c r="O32" s="298"/>
      <c r="P32" s="298"/>
    </row>
    <row r="33" spans="2:16" ht="13.2" x14ac:dyDescent="0.4">
      <c r="B33" s="269" t="s">
        <v>640</v>
      </c>
      <c r="C33" s="269"/>
      <c r="D33" s="270" t="str">
        <f>ROUND(ber_totalen!C5,1)&amp;" g/kg"</f>
        <v>0 g/kg</v>
      </c>
      <c r="E33" s="269" t="s">
        <v>965</v>
      </c>
      <c r="F33" s="269" t="str">
        <f>"= "&amp;ROUND(ber_totalen!C5/1.4,1)&amp;" mg/kg/min"</f>
        <v>= 0 mg/kg/min</v>
      </c>
      <c r="G33" s="269"/>
      <c r="H33" s="269" t="s">
        <v>601</v>
      </c>
      <c r="I33" s="270" t="str">
        <f>ROUND(ber_totalen!$C$27,1)&amp;" mmol/kg"</f>
        <v>0 mmol/kg</v>
      </c>
      <c r="J33" s="269" t="s">
        <v>1186</v>
      </c>
      <c r="K33" s="269"/>
      <c r="L33" s="297"/>
      <c r="M33" s="298"/>
      <c r="N33" s="298"/>
      <c r="O33" s="298"/>
      <c r="P33" s="298"/>
    </row>
    <row r="34" spans="2:16" ht="13.2" x14ac:dyDescent="0.4">
      <c r="B34" s="269" t="s">
        <v>790</v>
      </c>
      <c r="C34" s="269"/>
      <c r="D34" s="270" t="str">
        <f>ROUND(ber_totalen!C17,1)&amp;" mmol/kg"</f>
        <v>0 mmol/kg</v>
      </c>
      <c r="E34" s="269" t="s">
        <v>959</v>
      </c>
      <c r="F34" s="269"/>
      <c r="G34" s="269"/>
      <c r="H34" s="269" t="s">
        <v>868</v>
      </c>
      <c r="I34" s="270" t="str">
        <f>ROUND(ber_totalen!$C$33,1)&amp;" mmol/kg"</f>
        <v>0 mmol/kg</v>
      </c>
      <c r="J34" s="269" t="s">
        <v>964</v>
      </c>
      <c r="K34" s="269"/>
      <c r="L34" s="297"/>
      <c r="M34" s="298"/>
      <c r="N34" s="298"/>
      <c r="O34" s="298"/>
      <c r="P34" s="298"/>
    </row>
    <row r="35" spans="2:16" ht="13.2" x14ac:dyDescent="0.4">
      <c r="B35" s="269" t="s">
        <v>791</v>
      </c>
      <c r="C35" s="269"/>
      <c r="D35" s="270" t="str">
        <f>ROUND(ber_totalen!C23,1)&amp;" mmol/kg"</f>
        <v>0 mmol/kg</v>
      </c>
      <c r="E35" s="269" t="s">
        <v>958</v>
      </c>
      <c r="F35" s="269"/>
      <c r="G35" s="269"/>
      <c r="H35" s="269" t="s">
        <v>602</v>
      </c>
      <c r="I35" s="270" t="str">
        <f>ROUND(ber_totalen!$C$30,1)&amp;" mmol/kg"</f>
        <v>0 mmol/kg</v>
      </c>
      <c r="J35" s="269" t="s">
        <v>963</v>
      </c>
      <c r="K35" s="269"/>
      <c r="L35" s="297"/>
      <c r="M35" s="298"/>
      <c r="N35" s="298"/>
      <c r="O35" s="298"/>
      <c r="P35" s="298"/>
    </row>
  </sheetData>
  <sheetProtection algorithmName="SHA-512" hashValue="G8y+kkGLgvvsOGE6kabutNB/cpwe3Eq50mDI7BQYGkC2c/bvXfrlt2/O2L2/9foNeqNgaDhbkpG1Ged7ApK2Qg==" saltValue="WmmMqEVtjTBpqrRawNsy9Q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642</v>
      </c>
      <c r="C2" t="s">
        <v>351</v>
      </c>
      <c r="D2" s="27" t="s">
        <v>820</v>
      </c>
      <c r="E2" s="27" t="s">
        <v>345</v>
      </c>
      <c r="F2" t="s">
        <v>855</v>
      </c>
      <c r="G2" t="s">
        <v>556</v>
      </c>
      <c r="H2" t="s">
        <v>347</v>
      </c>
      <c r="I2" t="s">
        <v>606</v>
      </c>
      <c r="J2" t="s">
        <v>607</v>
      </c>
      <c r="K2" t="s">
        <v>608</v>
      </c>
      <c r="L2" t="s">
        <v>609</v>
      </c>
      <c r="M2" t="s">
        <v>559</v>
      </c>
      <c r="N2" t="s">
        <v>348</v>
      </c>
      <c r="O2" t="s">
        <v>562</v>
      </c>
    </row>
    <row r="3" spans="1:15" x14ac:dyDescent="0.35">
      <c r="A3" t="s">
        <v>922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612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854</v>
      </c>
      <c r="F5">
        <f>IF(AND(Gewicht/10&gt;=16,TPN&gt;1,OR(SSTglucose&lt;11,Gewicht/10&gt;50)),E5,0)</f>
        <v>0</v>
      </c>
    </row>
    <row r="6" spans="1:15" x14ac:dyDescent="0.35">
      <c r="A6" t="s">
        <v>821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917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603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918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869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867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563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564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565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566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479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346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923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821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917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603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349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604</v>
      </c>
      <c r="C25" s="89" t="s">
        <v>605</v>
      </c>
      <c r="D25" s="89" t="s">
        <v>606</v>
      </c>
      <c r="E25" s="89" t="s">
        <v>607</v>
      </c>
      <c r="F25" s="89" t="s">
        <v>608</v>
      </c>
      <c r="G25" s="89" t="s">
        <v>609</v>
      </c>
      <c r="H25" s="89" t="s">
        <v>610</v>
      </c>
      <c r="I25" s="89" t="s">
        <v>611</v>
      </c>
      <c r="L25" t="s">
        <v>343</v>
      </c>
      <c r="M25" t="s">
        <v>344</v>
      </c>
      <c r="N25" t="s">
        <v>271</v>
      </c>
    </row>
    <row r="26" spans="1:15" x14ac:dyDescent="0.35">
      <c r="J26">
        <v>1</v>
      </c>
      <c r="K26" t="s">
        <v>842</v>
      </c>
      <c r="L26">
        <v>0.05</v>
      </c>
      <c r="M26">
        <v>0</v>
      </c>
    </row>
    <row r="27" spans="1:15" x14ac:dyDescent="0.35">
      <c r="A27" s="89" t="s">
        <v>916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843</v>
      </c>
      <c r="L27">
        <v>0.1</v>
      </c>
      <c r="M27">
        <v>0</v>
      </c>
    </row>
    <row r="28" spans="1:15" x14ac:dyDescent="0.35">
      <c r="A28" s="89" t="s">
        <v>915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270</v>
      </c>
      <c r="L28">
        <v>0.125</v>
      </c>
    </row>
    <row r="29" spans="1:15" x14ac:dyDescent="0.35">
      <c r="A29" s="89" t="s">
        <v>916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283</v>
      </c>
      <c r="L29">
        <v>0.15</v>
      </c>
      <c r="M29">
        <v>0</v>
      </c>
    </row>
    <row r="30" spans="1:15" x14ac:dyDescent="0.35">
      <c r="A30" s="89" t="s">
        <v>154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269</v>
      </c>
      <c r="L30">
        <v>0.17499999999999999</v>
      </c>
    </row>
    <row r="31" spans="1:15" x14ac:dyDescent="0.35">
      <c r="A31" s="89" t="s">
        <v>155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281</v>
      </c>
      <c r="L31">
        <v>0.2</v>
      </c>
      <c r="M31">
        <v>0</v>
      </c>
    </row>
    <row r="32" spans="1:15" x14ac:dyDescent="0.35">
      <c r="A32" s="89" t="s">
        <v>263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594</v>
      </c>
      <c r="L32">
        <v>0.25</v>
      </c>
      <c r="M32">
        <v>0</v>
      </c>
    </row>
    <row r="33" spans="1:15" x14ac:dyDescent="0.35">
      <c r="J33">
        <v>8</v>
      </c>
      <c r="K33" t="s">
        <v>593</v>
      </c>
      <c r="L33">
        <v>0.3</v>
      </c>
      <c r="M33">
        <v>0</v>
      </c>
    </row>
    <row r="34" spans="1:15" x14ac:dyDescent="0.35">
      <c r="J34">
        <v>9</v>
      </c>
      <c r="K34" t="s">
        <v>775</v>
      </c>
      <c r="L34">
        <v>0.4</v>
      </c>
      <c r="M34">
        <v>0</v>
      </c>
      <c r="N34">
        <v>0</v>
      </c>
    </row>
    <row r="35" spans="1:15" x14ac:dyDescent="0.35">
      <c r="A35" s="89" t="s">
        <v>915</v>
      </c>
      <c r="J35">
        <v>10</v>
      </c>
      <c r="K35" t="s">
        <v>282</v>
      </c>
      <c r="L35">
        <v>0.5</v>
      </c>
      <c r="M35">
        <v>0</v>
      </c>
    </row>
    <row r="36" spans="1:15" x14ac:dyDescent="0.35">
      <c r="A36" s="89" t="s">
        <v>916</v>
      </c>
      <c r="J36">
        <v>11</v>
      </c>
      <c r="K36" t="s">
        <v>1220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154</v>
      </c>
      <c r="J37">
        <v>12</v>
      </c>
      <c r="K37" t="s">
        <v>1221</v>
      </c>
      <c r="L37">
        <v>0.05</v>
      </c>
      <c r="M37">
        <v>0.155</v>
      </c>
      <c r="O37">
        <v>0</v>
      </c>
    </row>
    <row r="38" spans="1:15" x14ac:dyDescent="0.35">
      <c r="A38" s="89" t="s">
        <v>155</v>
      </c>
      <c r="J38">
        <v>13</v>
      </c>
      <c r="K38" t="s">
        <v>853</v>
      </c>
      <c r="L38">
        <v>0</v>
      </c>
      <c r="M38">
        <v>0.155</v>
      </c>
      <c r="O38">
        <v>0</v>
      </c>
    </row>
    <row r="39" spans="1:15" x14ac:dyDescent="0.35">
      <c r="A39" s="89" t="s">
        <v>263</v>
      </c>
      <c r="J39">
        <v>14</v>
      </c>
      <c r="K39" s="11" t="s">
        <v>1222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1024</v>
      </c>
      <c r="D4" t="s">
        <v>410</v>
      </c>
      <c r="F4" t="s">
        <v>411</v>
      </c>
      <c r="H4" t="s">
        <v>412</v>
      </c>
      <c r="J4" t="s">
        <v>413</v>
      </c>
      <c r="L4" t="s">
        <v>60</v>
      </c>
      <c r="N4" t="s">
        <v>61</v>
      </c>
      <c r="P4" t="s">
        <v>62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409</v>
      </c>
      <c r="C1" s="284"/>
      <c r="D1" s="296" t="s">
        <v>1211</v>
      </c>
      <c r="E1" s="284"/>
      <c r="F1" s="284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1024</v>
      </c>
      <c r="C3" s="209"/>
      <c r="D3" s="275" t="s">
        <v>1212</v>
      </c>
      <c r="E3" s="209"/>
      <c r="F3" s="275" t="s">
        <v>1213</v>
      </c>
      <c r="G3" s="209"/>
      <c r="H3" s="275" t="s">
        <v>413</v>
      </c>
      <c r="I3" s="209"/>
      <c r="J3" s="275"/>
      <c r="K3" s="209"/>
      <c r="L3" s="275" t="s">
        <v>60</v>
      </c>
      <c r="M3" s="209"/>
      <c r="N3" s="275" t="s">
        <v>61</v>
      </c>
      <c r="O3" s="209"/>
      <c r="P3" s="275" t="s">
        <v>62</v>
      </c>
      <c r="Q3" s="209"/>
    </row>
    <row r="4" spans="1:17" ht="26.3" customHeight="1" x14ac:dyDescent="0.35">
      <c r="B4" s="294"/>
      <c r="C4" s="295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</row>
    <row r="5" spans="1:17" ht="26.3" customHeight="1" x14ac:dyDescent="0.35">
      <c r="B5" s="294"/>
      <c r="C5" s="295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</row>
    <row r="6" spans="1:17" ht="26.3" customHeight="1" x14ac:dyDescent="0.35">
      <c r="B6" s="294"/>
      <c r="C6" s="295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</row>
    <row r="7" spans="1:17" ht="26.3" customHeight="1" x14ac:dyDescent="0.35">
      <c r="B7" s="294"/>
      <c r="C7" s="295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</row>
    <row r="8" spans="1:17" ht="26.3" customHeight="1" x14ac:dyDescent="0.35">
      <c r="B8" s="294"/>
      <c r="C8" s="295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</row>
    <row r="9" spans="1:17" ht="26.3" customHeight="1" x14ac:dyDescent="0.35">
      <c r="B9" s="294"/>
      <c r="C9" s="295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</row>
    <row r="10" spans="1:17" ht="26.3" customHeight="1" x14ac:dyDescent="0.35">
      <c r="B10" s="294"/>
      <c r="C10" s="295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</row>
    <row r="11" spans="1:17" ht="26.3" customHeight="1" x14ac:dyDescent="0.35">
      <c r="B11" s="294"/>
      <c r="C11" s="295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294"/>
    </row>
    <row r="12" spans="1:17" ht="26.3" customHeight="1" x14ac:dyDescent="0.35">
      <c r="B12" s="294"/>
      <c r="C12" s="295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</row>
    <row r="13" spans="1:17" ht="26.3" customHeight="1" x14ac:dyDescent="0.35">
      <c r="B13" s="294"/>
      <c r="C13" s="295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4"/>
      <c r="Q13" s="294"/>
    </row>
    <row r="14" spans="1:17" ht="26.3" customHeight="1" x14ac:dyDescent="0.35">
      <c r="B14" s="294"/>
      <c r="C14" s="295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</row>
    <row r="15" spans="1:17" ht="26.3" customHeight="1" x14ac:dyDescent="0.35">
      <c r="B15" s="294"/>
      <c r="C15" s="295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</row>
    <row r="16" spans="1:17" ht="26.3" customHeight="1" x14ac:dyDescent="0.35">
      <c r="B16" s="294"/>
      <c r="C16" s="295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</row>
    <row r="17" spans="2:17" ht="26.3" customHeight="1" x14ac:dyDescent="0.35">
      <c r="B17" s="294"/>
      <c r="C17" s="295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</row>
    <row r="18" spans="2:17" ht="26.3" customHeight="1" x14ac:dyDescent="0.35">
      <c r="B18" s="294"/>
      <c r="C18" s="295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</row>
    <row r="19" spans="2:17" ht="26.3" customHeight="1" x14ac:dyDescent="0.35">
      <c r="B19" s="294"/>
      <c r="C19" s="295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</row>
    <row r="20" spans="2:17" ht="26.3" customHeight="1" x14ac:dyDescent="0.35">
      <c r="B20" s="294"/>
      <c r="C20" s="295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</row>
    <row r="21" spans="2:17" ht="26.3" customHeight="1" x14ac:dyDescent="0.35">
      <c r="B21" s="294"/>
      <c r="C21" s="295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</row>
    <row r="22" spans="2:17" ht="26.3" customHeight="1" x14ac:dyDescent="0.35">
      <c r="B22" s="294"/>
      <c r="C22" s="295"/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</row>
    <row r="23" spans="2:17" ht="26.3" customHeight="1" x14ac:dyDescent="0.35">
      <c r="B23" s="294"/>
      <c r="C23" s="295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</row>
    <row r="24" spans="2:17" ht="26.3" customHeight="1" x14ac:dyDescent="0.35">
      <c r="B24" s="294"/>
      <c r="C24" s="295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</row>
    <row r="25" spans="2:17" ht="26.3" customHeight="1" x14ac:dyDescent="0.35">
      <c r="B25" s="294"/>
      <c r="C25" s="295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</row>
    <row r="26" spans="2:17" ht="26.3" customHeight="1" x14ac:dyDescent="0.35">
      <c r="B26" s="294"/>
      <c r="C26" s="295"/>
      <c r="D26" s="294"/>
      <c r="E26" s="29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</row>
    <row r="27" spans="2:17" ht="26.3" customHeight="1" x14ac:dyDescent="0.35">
      <c r="B27" s="294"/>
      <c r="C27" s="295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</row>
    <row r="28" spans="2:17" ht="26.3" customHeight="1" x14ac:dyDescent="0.35">
      <c r="B28" s="294"/>
      <c r="C28" s="295"/>
      <c r="D28" s="294"/>
      <c r="E28" s="294"/>
      <c r="F28" s="294"/>
      <c r="G28" s="294"/>
      <c r="H28" s="294"/>
      <c r="I28" s="294"/>
      <c r="J28" s="294"/>
      <c r="K28" s="294"/>
      <c r="L28" s="294"/>
      <c r="M28" s="294"/>
      <c r="N28" s="294"/>
      <c r="O28" s="294"/>
      <c r="P28" s="294"/>
      <c r="Q28" s="294"/>
    </row>
    <row r="29" spans="2:17" ht="26.3" customHeight="1" x14ac:dyDescent="0.35">
      <c r="B29" s="294"/>
      <c r="C29" s="295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</row>
    <row r="30" spans="2:17" ht="26.3" customHeight="1" x14ac:dyDescent="0.35">
      <c r="B30" s="294"/>
      <c r="C30" s="295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</row>
    <row r="33" spans="2:3" x14ac:dyDescent="0.35">
      <c r="B33" s="178" t="s">
        <v>818</v>
      </c>
      <c r="C33" s="25">
        <f>opmAfsprBlad__9</f>
        <v>0</v>
      </c>
    </row>
  </sheetData>
  <sheetProtection algorithmName="SHA-512" hashValue="t3R3zAoSlg8bqF12KH2fe3RMJz5GGFQVC8mcy/XHqVZqlpt50ma09vfQpUsUOXHl2kpfIFX9WhqP55LAQlLG/A==" saltValue="LC6xlTKkfUXB+BcD6Wjdz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481</v>
      </c>
      <c r="C1" t="s">
        <v>557</v>
      </c>
      <c r="D1" t="s">
        <v>789</v>
      </c>
      <c r="E1" t="s">
        <v>557</v>
      </c>
    </row>
    <row r="2" spans="1:5" ht="13.2" x14ac:dyDescent="0.4">
      <c r="A2" s="12" t="s">
        <v>919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569</v>
      </c>
      <c r="B3">
        <f>ber_PO!O22</f>
        <v>0</v>
      </c>
    </row>
    <row r="4" spans="1:5" x14ac:dyDescent="0.35">
      <c r="A4" s="5" t="s">
        <v>567</v>
      </c>
      <c r="B4">
        <f>(ber_IVmed!H18+ber_TPN!F23+Infusen!J15+ber_Med_disc!O23)</f>
        <v>0</v>
      </c>
    </row>
    <row r="5" spans="1:5" ht="13.2" x14ac:dyDescent="0.4">
      <c r="A5" s="12" t="s">
        <v>556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569</v>
      </c>
      <c r="B6">
        <f>ber_PO!K25</f>
        <v>0</v>
      </c>
      <c r="C6" s="10" t="s">
        <v>574</v>
      </c>
      <c r="D6" s="10" t="s">
        <v>574</v>
      </c>
    </row>
    <row r="7" spans="1:5" x14ac:dyDescent="0.35">
      <c r="A7" s="5" t="s">
        <v>573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612</v>
      </c>
      <c r="B8">
        <f>ber_TPN!G23</f>
        <v>0</v>
      </c>
      <c r="C8" s="10" t="s">
        <v>574</v>
      </c>
      <c r="D8" s="10" t="s">
        <v>574</v>
      </c>
    </row>
    <row r="9" spans="1:5" ht="13.2" x14ac:dyDescent="0.4">
      <c r="A9" s="12" t="s">
        <v>561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569</v>
      </c>
      <c r="B10">
        <f>ber_PO!K24</f>
        <v>0</v>
      </c>
      <c r="C10" s="10" t="s">
        <v>574</v>
      </c>
      <c r="D10" s="10" t="s">
        <v>574</v>
      </c>
    </row>
    <row r="11" spans="1:5" ht="13.2" x14ac:dyDescent="0.4">
      <c r="A11" s="5" t="s">
        <v>567</v>
      </c>
      <c r="B11">
        <f>ber_TPN!H23</f>
        <v>0</v>
      </c>
      <c r="C11" s="10" t="s">
        <v>574</v>
      </c>
      <c r="D11" s="10" t="s">
        <v>574</v>
      </c>
    </row>
    <row r="12" spans="1:5" ht="13.2" x14ac:dyDescent="0.4">
      <c r="A12" s="5" t="s">
        <v>174</v>
      </c>
      <c r="B12">
        <f>ber_IVmed!N18</f>
        <v>0</v>
      </c>
      <c r="C12" s="10"/>
      <c r="D12" s="10"/>
    </row>
    <row r="13" spans="1:5" ht="13.2" x14ac:dyDescent="0.4">
      <c r="A13" s="12" t="s">
        <v>562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569</v>
      </c>
      <c r="B14">
        <f>ber_PO!K26</f>
        <v>0</v>
      </c>
      <c r="C14">
        <f>B14/(Gewicht/10)</f>
        <v>0</v>
      </c>
      <c r="D14" s="10" t="s">
        <v>574</v>
      </c>
    </row>
    <row r="15" spans="1:5" ht="13.2" x14ac:dyDescent="0.4">
      <c r="A15" s="5" t="s">
        <v>567</v>
      </c>
      <c r="B15">
        <f>ber_TPN!O23</f>
        <v>0</v>
      </c>
      <c r="C15">
        <f>B15/(Gewicht/10)</f>
        <v>0</v>
      </c>
      <c r="D15" s="10" t="s">
        <v>574</v>
      </c>
    </row>
    <row r="16" spans="1:5" x14ac:dyDescent="0.35">
      <c r="A16" s="5" t="s">
        <v>568</v>
      </c>
      <c r="B16">
        <f>ber_IVmed!O18</f>
        <v>0</v>
      </c>
      <c r="D16">
        <f>B16*9</f>
        <v>0</v>
      </c>
    </row>
    <row r="17" spans="1:5" ht="13.2" x14ac:dyDescent="0.4">
      <c r="A17" s="12" t="s">
        <v>920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569</v>
      </c>
      <c r="B18">
        <f>ber_PO!K27</f>
        <v>0</v>
      </c>
      <c r="C18">
        <f>B18/(Gewicht/10)</f>
        <v>0</v>
      </c>
    </row>
    <row r="19" spans="1:5" x14ac:dyDescent="0.35">
      <c r="A19" s="5" t="s">
        <v>643</v>
      </c>
      <c r="B19">
        <f>Infusen!I15</f>
        <v>0</v>
      </c>
      <c r="C19">
        <f>B19/(Gewicht/10)</f>
        <v>0</v>
      </c>
    </row>
    <row r="20" spans="1:5" x14ac:dyDescent="0.35">
      <c r="A20" s="5" t="s">
        <v>573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612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921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569</v>
      </c>
      <c r="B24">
        <f>ber_PO!K28</f>
        <v>0</v>
      </c>
      <c r="C24">
        <f>B24/(Gewicht/10)</f>
        <v>0</v>
      </c>
    </row>
    <row r="25" spans="1:5" x14ac:dyDescent="0.35">
      <c r="A25" s="5" t="s">
        <v>612</v>
      </c>
      <c r="B25">
        <f>ber_TPN!J23</f>
        <v>0</v>
      </c>
      <c r="C25">
        <f>B25/(Gewicht/10)</f>
        <v>0</v>
      </c>
    </row>
    <row r="26" spans="1:5" x14ac:dyDescent="0.35">
      <c r="A26" s="5" t="s">
        <v>573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558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569</v>
      </c>
      <c r="B28">
        <f>ber_PO!K29</f>
        <v>0</v>
      </c>
      <c r="C28">
        <f>B28/(Gewicht/10)</f>
        <v>0</v>
      </c>
    </row>
    <row r="29" spans="1:5" x14ac:dyDescent="0.35">
      <c r="A29" s="5" t="s">
        <v>612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559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569</v>
      </c>
      <c r="B31">
        <f>ber_PO!K30</f>
        <v>0</v>
      </c>
      <c r="C31">
        <f>B31/(Gewicht/10)</f>
        <v>0</v>
      </c>
    </row>
    <row r="32" spans="1:5" x14ac:dyDescent="0.35">
      <c r="A32" s="5" t="s">
        <v>612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560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569</v>
      </c>
      <c r="B34">
        <f>ber_PO!K31</f>
        <v>0</v>
      </c>
      <c r="C34">
        <f>B34/(Gewicht/10)</f>
        <v>0</v>
      </c>
    </row>
    <row r="35" spans="1:5" x14ac:dyDescent="0.35">
      <c r="A35" s="5" t="s">
        <v>567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612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598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175</v>
      </c>
      <c r="E1" s="1" t="s">
        <v>457</v>
      </c>
    </row>
    <row r="2" spans="3:8" x14ac:dyDescent="0.35">
      <c r="D2" t="s">
        <v>121</v>
      </c>
    </row>
    <row r="4" spans="3:8" x14ac:dyDescent="0.35">
      <c r="C4" s="6"/>
      <c r="D4" s="62" t="s">
        <v>606</v>
      </c>
      <c r="E4" s="62">
        <v>4.3478000000000003E-2</v>
      </c>
      <c r="H4" s="62"/>
    </row>
    <row r="5" spans="3:8" x14ac:dyDescent="0.35">
      <c r="C5" s="6"/>
      <c r="D5" s="62" t="s">
        <v>607</v>
      </c>
      <c r="E5" s="62">
        <v>2.5641000000000001E-2</v>
      </c>
      <c r="H5" s="62"/>
    </row>
    <row r="6" spans="3:8" x14ac:dyDescent="0.35">
      <c r="D6" s="62" t="s">
        <v>608</v>
      </c>
      <c r="E6" s="62">
        <v>2.5000000000000001E-2</v>
      </c>
      <c r="H6" s="62"/>
    </row>
    <row r="7" spans="3:8" x14ac:dyDescent="0.35">
      <c r="D7" s="62" t="s">
        <v>615</v>
      </c>
      <c r="E7" s="62">
        <v>3.2288999999999998E-2</v>
      </c>
      <c r="H7" s="62"/>
    </row>
    <row r="8" spans="3:8" x14ac:dyDescent="0.35">
      <c r="D8" s="62" t="s">
        <v>609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27" customFormat="1" ht="38.450000000000003" x14ac:dyDescent="0.35">
      <c r="A1" s="27">
        <v>1</v>
      </c>
      <c r="B1" s="27" t="s">
        <v>500</v>
      </c>
      <c r="C1" s="27" t="s">
        <v>44</v>
      </c>
      <c r="D1" s="27" t="s">
        <v>43</v>
      </c>
      <c r="E1" s="27" t="s">
        <v>42</v>
      </c>
      <c r="F1" s="27" t="s">
        <v>45</v>
      </c>
      <c r="G1" s="27" t="s">
        <v>46</v>
      </c>
      <c r="H1" s="27" t="s">
        <v>47</v>
      </c>
      <c r="I1" s="27" t="s">
        <v>501</v>
      </c>
      <c r="J1" s="27" t="s">
        <v>48</v>
      </c>
      <c r="K1" s="27" t="s">
        <v>49</v>
      </c>
      <c r="L1" s="27" t="s">
        <v>50</v>
      </c>
      <c r="M1" s="27" t="s">
        <v>51</v>
      </c>
      <c r="N1" s="27" t="s">
        <v>52</v>
      </c>
      <c r="O1" s="27" t="s">
        <v>53</v>
      </c>
      <c r="P1" s="27" t="s">
        <v>54</v>
      </c>
      <c r="Q1" s="27" t="s">
        <v>55</v>
      </c>
      <c r="R1" s="27" t="s">
        <v>56</v>
      </c>
      <c r="S1" s="27" t="s">
        <v>57</v>
      </c>
      <c r="T1" s="27" t="s">
        <v>58</v>
      </c>
      <c r="U1" s="27" t="s">
        <v>847</v>
      </c>
      <c r="V1" s="27" t="s">
        <v>59</v>
      </c>
      <c r="W1" s="27" t="s">
        <v>848</v>
      </c>
      <c r="X1" s="27" t="s">
        <v>126</v>
      </c>
      <c r="Y1" s="27" t="s">
        <v>127</v>
      </c>
      <c r="Z1" s="27" t="s">
        <v>128</v>
      </c>
      <c r="AA1" s="27" t="s">
        <v>129</v>
      </c>
      <c r="AB1" s="27" t="s">
        <v>130</v>
      </c>
      <c r="AC1" s="27" t="s">
        <v>131</v>
      </c>
      <c r="AD1" s="27" t="s">
        <v>132</v>
      </c>
      <c r="AE1" s="27" t="s">
        <v>133</v>
      </c>
      <c r="AF1" s="27" t="s">
        <v>502</v>
      </c>
      <c r="AH1" s="27" t="s">
        <v>134</v>
      </c>
      <c r="AI1" s="27" t="s">
        <v>135</v>
      </c>
      <c r="AJ1" s="27" t="s">
        <v>136</v>
      </c>
      <c r="AK1" s="27" t="s">
        <v>137</v>
      </c>
      <c r="AL1" s="27" t="s">
        <v>138</v>
      </c>
      <c r="AM1" s="27" t="s">
        <v>139</v>
      </c>
      <c r="AN1" s="27" t="s">
        <v>140</v>
      </c>
      <c r="AO1" s="27" t="s">
        <v>141</v>
      </c>
      <c r="AP1" s="27" t="s">
        <v>142</v>
      </c>
      <c r="AQ1" s="27" t="s">
        <v>143</v>
      </c>
      <c r="AR1" s="27" t="s">
        <v>144</v>
      </c>
      <c r="AS1" s="27" t="s">
        <v>145</v>
      </c>
      <c r="AT1" s="27" t="s">
        <v>146</v>
      </c>
      <c r="AU1" s="27" t="s">
        <v>147</v>
      </c>
      <c r="AV1" s="27" t="s">
        <v>148</v>
      </c>
      <c r="AW1" s="27" t="s">
        <v>149</v>
      </c>
      <c r="AX1" s="27" t="s">
        <v>150</v>
      </c>
    </row>
    <row r="2" spans="1:50" x14ac:dyDescent="0.35">
      <c r="A2" t="s">
        <v>613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561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614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562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606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607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608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615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609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613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561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614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562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606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607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608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615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609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350</v>
      </c>
      <c r="M21" t="s">
        <v>274</v>
      </c>
      <c r="O21" t="s">
        <v>795</v>
      </c>
      <c r="P21" t="s">
        <v>642</v>
      </c>
    </row>
    <row r="22" spans="1:49" x14ac:dyDescent="0.35">
      <c r="E22" s="28">
        <v>1</v>
      </c>
      <c r="F22" s="28" t="s">
        <v>613</v>
      </c>
      <c r="G22" s="28">
        <f>IF(ber_PO!$O$22&lt;&gt;0,INDEX(tblBerPO,E22,KeuzePO_1-1)*ber_PO!$O$22,0)</f>
        <v>0</v>
      </c>
      <c r="H22" s="28">
        <f>IF(ber_PO!$O$23&lt;&gt;0,INDEX(tblBerPoeder,E22,ber_PO!$P$23-1)*ber_PO!$O$23,0)</f>
        <v>0</v>
      </c>
      <c r="I22" s="28">
        <f>IF(ber_PO!$O$24&lt;&gt;0,INDEX(tblBerPoeder,E22,ber_PO!$P$24-1)*ber_PO!$O$24,0)</f>
        <v>0</v>
      </c>
      <c r="J22" s="28">
        <f>IF(ber_PO!$O$25&lt;&gt;0,INDEX(tblBerPoeder,E22,ber_PO!$P$25-1)*ber_PO!$O$25,0)</f>
        <v>0</v>
      </c>
      <c r="K22">
        <f>SUM(G22:J22)</f>
        <v>0</v>
      </c>
      <c r="L22" s="28">
        <v>1</v>
      </c>
      <c r="M22" s="28">
        <v>0</v>
      </c>
      <c r="N22">
        <f>IF(M22&lt;51,M22/10,IF(M22&lt;66,(M22-49)+4,IF(M22&lt;82,(M22-61)*5,IF(M22&lt;122,(M22-71)*10,(M22-111)*50))))</f>
        <v>0</v>
      </c>
      <c r="O22" s="28">
        <f>IF(P22&gt;1,L22*N22,0)</f>
        <v>0</v>
      </c>
      <c r="P22">
        <v>1</v>
      </c>
    </row>
    <row r="23" spans="1:49" x14ac:dyDescent="0.35">
      <c r="A23" s="27" t="s">
        <v>500</v>
      </c>
      <c r="B23" s="27" t="s">
        <v>134</v>
      </c>
      <c r="E23" s="28"/>
      <c r="F23" s="28"/>
      <c r="G23" s="28"/>
      <c r="H23" s="28"/>
      <c r="I23" s="28"/>
      <c r="J23" s="28"/>
      <c r="N23">
        <f>IF(M23&lt;51,M23/10,IF(M23&lt;66,(M23-49)+4,IF(M23&lt;82,(M23-61)*5,IF(M23&lt;122,(M23-71)*10,(M23-111)*50))))</f>
        <v>0</v>
      </c>
      <c r="O23" s="28">
        <f>IF(P23&gt;1,L23*N23,0)</f>
        <v>0</v>
      </c>
    </row>
    <row r="24" spans="1:49" x14ac:dyDescent="0.35">
      <c r="A24" s="27" t="s">
        <v>44</v>
      </c>
      <c r="B24" s="27" t="s">
        <v>135</v>
      </c>
      <c r="E24" s="28">
        <v>2</v>
      </c>
      <c r="F24" s="28" t="s">
        <v>561</v>
      </c>
      <c r="G24" s="28">
        <f>IF(ber_PO!$O$22&lt;&gt;0,INDEX(tblBerPO,E24,KeuzePO_1-1)*ber_PO!$O$22,0)</f>
        <v>0</v>
      </c>
      <c r="H24" s="28">
        <f>IF(ber_PO!$O$23&lt;&gt;0,INDEX(tblBerPoeder,E24,ber_PO!$P$23-1)*ber_PO!$O$23,0)</f>
        <v>0</v>
      </c>
      <c r="I24" s="28">
        <f>IF(ber_PO!$O$24&lt;&gt;0,INDEX(tblBerPoeder,E24,ber_PO!$P$24-1)*ber_PO!$O$24,0)</f>
        <v>0</v>
      </c>
      <c r="J24" s="2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28">
        <f>IF(P24&gt;1,L24*N24,0)</f>
        <v>0</v>
      </c>
    </row>
    <row r="25" spans="1:49" x14ac:dyDescent="0.35">
      <c r="A25" s="27" t="s">
        <v>43</v>
      </c>
      <c r="B25" s="27" t="s">
        <v>136</v>
      </c>
      <c r="C25">
        <f>3*4.4</f>
        <v>13.200000000000001</v>
      </c>
      <c r="E25" s="28">
        <v>3</v>
      </c>
      <c r="F25" s="28" t="s">
        <v>614</v>
      </c>
      <c r="G25" s="28">
        <f>IF(ber_PO!$O$22&lt;&gt;0,INDEX(tblBerPO,E25,KeuzePO_1-1)*ber_PO!$O$22,0)</f>
        <v>0</v>
      </c>
      <c r="H25" s="28">
        <f>IF(ber_PO!$O$23&lt;&gt;0,INDEX(tblBerPoeder,E25,ber_PO!$P$23-1)*ber_PO!$O$23,0)</f>
        <v>0</v>
      </c>
      <c r="I25" s="28">
        <f>IF(ber_PO!$O$24&lt;&gt;0,INDEX(tblBerPoeder,E25,ber_PO!$P$24-1)*ber_PO!$O$24,0)</f>
        <v>0</v>
      </c>
      <c r="J25" s="2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28">
        <f>IF(P25&gt;1,L25*N25,0)</f>
        <v>0</v>
      </c>
    </row>
    <row r="26" spans="1:49" x14ac:dyDescent="0.35">
      <c r="A26" s="27" t="s">
        <v>42</v>
      </c>
      <c r="B26" s="27" t="s">
        <v>137</v>
      </c>
      <c r="C26">
        <f>3*5.1</f>
        <v>15.299999999999999</v>
      </c>
      <c r="E26" s="28">
        <v>4</v>
      </c>
      <c r="F26" s="28" t="s">
        <v>562</v>
      </c>
      <c r="G26" s="28">
        <f>IF(ber_PO!$O$22&lt;&gt;0,INDEX(tblBerPO,E26,KeuzePO_1-1)*ber_PO!$O$22,0)</f>
        <v>0</v>
      </c>
      <c r="H26" s="28">
        <f>IF(ber_PO!$O$23&lt;&gt;0,INDEX(tblBerPoeder,E26,ber_PO!$P$23-1)*ber_PO!$O$23,0)</f>
        <v>0</v>
      </c>
      <c r="I26" s="28">
        <f>IF(ber_PO!$O$24&lt;&gt;0,INDEX(tblBerPoeder,E26,ber_PO!$P$24-1)*ber_PO!$O$24,0)</f>
        <v>0</v>
      </c>
      <c r="J26" s="2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27" t="s">
        <v>45</v>
      </c>
      <c r="B27" s="27" t="s">
        <v>138</v>
      </c>
      <c r="C27">
        <f>3*4.7</f>
        <v>14.100000000000001</v>
      </c>
      <c r="E27" s="28">
        <v>5</v>
      </c>
      <c r="F27" s="28" t="s">
        <v>606</v>
      </c>
      <c r="G27" s="28">
        <f>IF(ber_PO!$O$22&lt;&gt;0,INDEX(tblBerPO,E27,KeuzePO_1-1)*ber_PO!$O$22,0)</f>
        <v>0</v>
      </c>
      <c r="H27" s="28">
        <f>IF(ber_PO!$O$23&lt;&gt;0,INDEX(tblBerPoeder,E27,ber_PO!$P$23-1)*ber_PO!$O$23,0)</f>
        <v>0</v>
      </c>
      <c r="I27" s="28">
        <f>IF(ber_PO!$O$24&lt;&gt;0,INDEX(tblBerPoeder,E27,ber_PO!$P$24-1)*ber_PO!$O$24,0)</f>
        <v>0</v>
      </c>
      <c r="J27" s="2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27" t="s">
        <v>46</v>
      </c>
      <c r="B28" s="27" t="s">
        <v>139</v>
      </c>
      <c r="C28">
        <f>3*4.4</f>
        <v>13.200000000000001</v>
      </c>
      <c r="E28" s="28">
        <v>6</v>
      </c>
      <c r="F28" s="28" t="s">
        <v>607</v>
      </c>
      <c r="G28" s="28">
        <f>IF(ber_PO!$O$22&lt;&gt;0,INDEX(tblBerPO,E28,KeuzePO_1-1)*ber_PO!$O$22,0)</f>
        <v>0</v>
      </c>
      <c r="H28" s="28">
        <f>IF(ber_PO!$O$23&lt;&gt;0,INDEX(tblBerPoeder,E28,ber_PO!$P$23-1)*ber_PO!$O$23,0)</f>
        <v>0</v>
      </c>
      <c r="I28" s="28">
        <f>IF(ber_PO!$O$24&lt;&gt;0,INDEX(tblBerPoeder,E28,ber_PO!$P$24-1)*ber_PO!$O$24,0)</f>
        <v>0</v>
      </c>
      <c r="J28" s="2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27" t="s">
        <v>47</v>
      </c>
      <c r="B29" s="27" t="s">
        <v>140</v>
      </c>
      <c r="C29">
        <f>3*4.3</f>
        <v>12.899999999999999</v>
      </c>
      <c r="E29" s="28">
        <v>7</v>
      </c>
      <c r="F29" s="28" t="s">
        <v>608</v>
      </c>
      <c r="G29" s="28">
        <f>IF(ber_PO!$O$22&lt;&gt;0,INDEX(tblBerPO,E29,KeuzePO_1-1)*ber_PO!$O$22,0)</f>
        <v>0</v>
      </c>
      <c r="H29" s="28">
        <f>IF(ber_PO!$O$23&lt;&gt;0,INDEX(tblBerPoeder,E29,ber_PO!$P$23-1)*ber_PO!$O$23,0)</f>
        <v>0</v>
      </c>
      <c r="I29" s="28">
        <f>IF(ber_PO!$O$24&lt;&gt;0,INDEX(tblBerPoeder,E29,ber_PO!$P$24-1)*ber_PO!$O$24,0)</f>
        <v>0</v>
      </c>
      <c r="J29" s="2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27" t="s">
        <v>501</v>
      </c>
      <c r="B30" s="27" t="s">
        <v>141</v>
      </c>
      <c r="C30">
        <f>3*4.2</f>
        <v>12.600000000000001</v>
      </c>
      <c r="E30" s="28">
        <v>8</v>
      </c>
      <c r="F30" s="28" t="s">
        <v>615</v>
      </c>
      <c r="G30" s="28">
        <f>IF(ber_PO!$O$22&lt;&gt;0,INDEX(tblBerPO,E30,KeuzePO_1-1)*ber_PO!$O$22,0)</f>
        <v>0</v>
      </c>
      <c r="H30" s="28">
        <f>IF(ber_PO!$O$23&lt;&gt;0,INDEX(tblBerPoeder,E30,ber_PO!$P$23-1)*ber_PO!$O$23,0)</f>
        <v>0</v>
      </c>
      <c r="I30" s="28">
        <f>IF(ber_PO!$O$24&lt;&gt;0,INDEX(tblBerPoeder,E30,ber_PO!$P$24-1)*ber_PO!$O$24,0)</f>
        <v>0</v>
      </c>
      <c r="J30" s="2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27" t="s">
        <v>48</v>
      </c>
      <c r="B31" s="27" t="s">
        <v>142</v>
      </c>
      <c r="C31">
        <f>3*4.3</f>
        <v>12.899999999999999</v>
      </c>
      <c r="E31" s="28">
        <v>9</v>
      </c>
      <c r="F31" s="28" t="s">
        <v>609</v>
      </c>
      <c r="G31" s="28">
        <f>IF(ber_PO!$O$22&lt;&gt;0,INDEX(tblBerPO,E31,KeuzePO_1-1)*ber_PO!$O$22,0)</f>
        <v>0</v>
      </c>
      <c r="H31" s="28">
        <f>IF(ber_PO!$O$23&lt;&gt;0,INDEX(tblBerPoeder,E31,ber_PO!$P$23-1)*ber_PO!$O$23,0)</f>
        <v>0</v>
      </c>
      <c r="I31" s="28">
        <f>IF(ber_PO!$O$24&lt;&gt;0,INDEX(tblBerPoeder,E31,ber_PO!$P$24-1)*ber_PO!$O$24,0)</f>
        <v>0</v>
      </c>
      <c r="J31" s="2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27" t="s">
        <v>49</v>
      </c>
      <c r="B32" s="27" t="s">
        <v>143</v>
      </c>
      <c r="C32">
        <f>3*4.3</f>
        <v>12.899999999999999</v>
      </c>
    </row>
    <row r="33" spans="1:3" x14ac:dyDescent="0.35">
      <c r="A33" s="27" t="s">
        <v>50</v>
      </c>
      <c r="B33" s="27" t="s">
        <v>144</v>
      </c>
      <c r="C33">
        <f>3*2.15</f>
        <v>6.4499999999999993</v>
      </c>
    </row>
    <row r="34" spans="1:3" x14ac:dyDescent="0.35">
      <c r="A34" s="27" t="s">
        <v>51</v>
      </c>
      <c r="B34" s="27" t="s">
        <v>145</v>
      </c>
    </row>
    <row r="35" spans="1:3" x14ac:dyDescent="0.35">
      <c r="A35" s="27" t="s">
        <v>52</v>
      </c>
      <c r="B35" s="27" t="s">
        <v>146</v>
      </c>
    </row>
    <row r="36" spans="1:3" x14ac:dyDescent="0.35">
      <c r="A36" s="27" t="s">
        <v>53</v>
      </c>
      <c r="B36" s="27" t="s">
        <v>147</v>
      </c>
    </row>
    <row r="37" spans="1:3" x14ac:dyDescent="0.35">
      <c r="A37" s="27" t="s">
        <v>54</v>
      </c>
      <c r="B37" s="27" t="s">
        <v>148</v>
      </c>
    </row>
    <row r="38" spans="1:3" x14ac:dyDescent="0.35">
      <c r="A38" s="27" t="s">
        <v>55</v>
      </c>
      <c r="B38" s="27" t="s">
        <v>149</v>
      </c>
    </row>
    <row r="39" spans="1:3" x14ac:dyDescent="0.35">
      <c r="A39" s="27" t="s">
        <v>56</v>
      </c>
      <c r="B39" s="27" t="s">
        <v>150</v>
      </c>
    </row>
    <row r="40" spans="1:3" x14ac:dyDescent="0.35">
      <c r="A40" s="27" t="s">
        <v>57</v>
      </c>
    </row>
    <row r="41" spans="1:3" x14ac:dyDescent="0.35">
      <c r="A41" s="27" t="s">
        <v>58</v>
      </c>
    </row>
    <row r="42" spans="1:3" x14ac:dyDescent="0.35">
      <c r="A42" s="27" t="s">
        <v>847</v>
      </c>
    </row>
    <row r="43" spans="1:3" x14ac:dyDescent="0.35">
      <c r="A43" s="27" t="s">
        <v>59</v>
      </c>
    </row>
    <row r="44" spans="1:3" x14ac:dyDescent="0.35">
      <c r="A44" s="27" t="s">
        <v>848</v>
      </c>
    </row>
    <row r="45" spans="1:3" x14ac:dyDescent="0.35">
      <c r="A45" s="27" t="s">
        <v>126</v>
      </c>
    </row>
    <row r="46" spans="1:3" x14ac:dyDescent="0.35">
      <c r="A46" s="27" t="s">
        <v>127</v>
      </c>
    </row>
    <row r="47" spans="1:3" x14ac:dyDescent="0.35">
      <c r="A47" s="27" t="s">
        <v>128</v>
      </c>
    </row>
    <row r="48" spans="1:3" x14ac:dyDescent="0.35">
      <c r="A48" s="27" t="s">
        <v>129</v>
      </c>
    </row>
    <row r="49" spans="1:1" x14ac:dyDescent="0.35">
      <c r="A49" s="27" t="s">
        <v>130</v>
      </c>
    </row>
    <row r="50" spans="1:1" x14ac:dyDescent="0.35">
      <c r="A50" s="27" t="s">
        <v>131</v>
      </c>
    </row>
    <row r="51" spans="1:1" x14ac:dyDescent="0.35">
      <c r="A51" s="27" t="s">
        <v>132</v>
      </c>
    </row>
    <row r="52" spans="1:1" x14ac:dyDescent="0.35">
      <c r="A52" s="27" t="s">
        <v>133</v>
      </c>
    </row>
    <row r="53" spans="1:1" x14ac:dyDescent="0.35">
      <c r="A53" s="27" t="s">
        <v>502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160</v>
      </c>
    </row>
    <row r="3" spans="1:8" x14ac:dyDescent="0.35">
      <c r="A3" s="11" t="s">
        <v>680</v>
      </c>
      <c r="B3" s="45">
        <f ca="1">TODAY()</f>
        <v>42195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851</v>
      </c>
      <c r="B12" s="386" t="s">
        <v>511</v>
      </c>
      <c r="C12" s="388"/>
      <c r="D12" s="390" t="s">
        <v>512</v>
      </c>
      <c r="E12" s="390" t="s">
        <v>513</v>
      </c>
      <c r="F12" s="390" t="s">
        <v>514</v>
      </c>
      <c r="G12" s="35"/>
      <c r="H12" s="35" t="s">
        <v>515</v>
      </c>
    </row>
    <row r="13" spans="1:8" x14ac:dyDescent="0.35">
      <c r="A13" s="36" t="s">
        <v>516</v>
      </c>
      <c r="B13" s="387"/>
      <c r="C13" s="389"/>
      <c r="D13" s="391"/>
      <c r="E13" s="391"/>
      <c r="F13" s="391"/>
      <c r="G13" s="35" t="s">
        <v>517</v>
      </c>
      <c r="H13" s="37" t="s">
        <v>518</v>
      </c>
    </row>
    <row r="14" spans="1:8" ht="20.100000000000001" customHeight="1" x14ac:dyDescent="0.35">
      <c r="A14" s="372" t="str">
        <f>IF(TPN&lt;&gt;1,ROUND(G21/24,1)&amp;"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3"/>
      <c r="B15" s="112" t="s">
        <v>1148</v>
      </c>
      <c r="C15" s="113"/>
      <c r="D15" s="113" t="s">
        <v>156</v>
      </c>
      <c r="E15" s="113" t="s">
        <v>265</v>
      </c>
      <c r="F15" s="114" t="s">
        <v>265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1149</v>
      </c>
      <c r="C16" s="113"/>
      <c r="D16" s="113" t="s">
        <v>520</v>
      </c>
      <c r="E16" s="113" t="s">
        <v>157</v>
      </c>
      <c r="F16" s="114" t="s">
        <v>158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843</v>
      </c>
      <c r="C17" s="113"/>
      <c r="D17" s="113" t="s">
        <v>159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1150</v>
      </c>
      <c r="C18" s="113"/>
      <c r="D18" s="113"/>
      <c r="E18" s="113" t="s">
        <v>161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269</v>
      </c>
      <c r="C19" s="113"/>
      <c r="D19" s="113"/>
      <c r="E19" s="113"/>
      <c r="F19" s="114" t="s">
        <v>162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6" t="s">
        <v>595</v>
      </c>
      <c r="F21" s="37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0" t="str">
        <f>IF(G26&gt;0,ROUND(G26/24,1)&amp;" ml/u","")</f>
        <v/>
      </c>
      <c r="B23" s="108" t="s">
        <v>564</v>
      </c>
      <c r="C23" s="109"/>
      <c r="D23" s="109" t="s">
        <v>1068</v>
      </c>
      <c r="E23" s="109" t="s">
        <v>1069</v>
      </c>
      <c r="F23" s="110" t="s">
        <v>520</v>
      </c>
      <c r="G23" s="111">
        <f>ROUND(ber_TPN!F13,0)</f>
        <v>0</v>
      </c>
      <c r="H23" s="40"/>
    </row>
    <row r="24" spans="1:8" ht="20.100000000000001" customHeight="1" x14ac:dyDescent="0.35">
      <c r="A24" s="371"/>
      <c r="B24" s="112" t="s">
        <v>565</v>
      </c>
      <c r="C24" s="113"/>
      <c r="D24" s="113"/>
      <c r="E24" s="377" t="s">
        <v>817</v>
      </c>
      <c r="F24" s="37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7"/>
      <c r="F25" s="378"/>
      <c r="G25" s="115"/>
      <c r="H25" s="35"/>
    </row>
    <row r="26" spans="1:8" ht="15.95" customHeight="1" x14ac:dyDescent="0.35">
      <c r="A26" s="34"/>
      <c r="B26" s="92"/>
      <c r="C26" s="92"/>
      <c r="D26" s="92"/>
      <c r="E26" s="379" t="s">
        <v>595</v>
      </c>
      <c r="F26" s="37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4" t="s">
        <v>352</v>
      </c>
      <c r="C28" s="375"/>
      <c r="D28" s="375"/>
      <c r="E28" s="375"/>
      <c r="F28" s="375"/>
      <c r="G28" s="86"/>
      <c r="H28" s="42"/>
    </row>
    <row r="29" spans="1:8" ht="20.100000000000001" customHeight="1" x14ac:dyDescent="0.35">
      <c r="A29" s="370" t="str">
        <f>IF(G36&gt;0,ROUND(G36/24,1)&amp;" ml/u","")</f>
        <v/>
      </c>
      <c r="B29" s="119" t="s">
        <v>106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1"/>
      <c r="B30" s="120" t="s">
        <v>1151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1180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1181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843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1152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79" t="s">
        <v>597</v>
      </c>
      <c r="F36" s="37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0" t="s">
        <v>660</v>
      </c>
      <c r="C38" s="381"/>
      <c r="D38" s="381"/>
      <c r="E38" s="381"/>
      <c r="F38" s="382"/>
      <c r="G38" s="42" t="s">
        <v>661</v>
      </c>
      <c r="H38" s="42"/>
    </row>
    <row r="39" spans="1:8" ht="15.95" customHeight="1" x14ac:dyDescent="0.35">
      <c r="A39" s="43"/>
      <c r="B39" s="367" t="s">
        <v>662</v>
      </c>
      <c r="C39" s="368"/>
      <c r="D39" s="368"/>
      <c r="E39" s="368"/>
      <c r="F39" s="369"/>
      <c r="G39" s="37" t="s">
        <v>663</v>
      </c>
      <c r="H39" s="35"/>
    </row>
    <row r="40" spans="1:8" ht="15.95" customHeight="1" x14ac:dyDescent="0.35">
      <c r="A40" s="43"/>
      <c r="B40" s="367" t="s">
        <v>664</v>
      </c>
      <c r="C40" s="368"/>
      <c r="D40" s="368"/>
      <c r="E40" s="368"/>
      <c r="F40" s="369"/>
      <c r="G40" s="37" t="s">
        <v>661</v>
      </c>
      <c r="H40" s="38"/>
    </row>
    <row r="42" spans="1:8" x14ac:dyDescent="0.35">
      <c r="A42" s="11" t="s">
        <v>665</v>
      </c>
    </row>
    <row r="43" spans="1:8" x14ac:dyDescent="0.35">
      <c r="A43" s="11" t="s">
        <v>596</v>
      </c>
    </row>
    <row r="45" spans="1:8" x14ac:dyDescent="0.35">
      <c r="A45" s="11" t="s">
        <v>666</v>
      </c>
    </row>
    <row r="47" spans="1:8" x14ac:dyDescent="0.35">
      <c r="A47" s="11" t="s">
        <v>264</v>
      </c>
    </row>
    <row r="49" spans="6:6" ht="13.2" x14ac:dyDescent="0.4">
      <c r="F49" s="3"/>
    </row>
  </sheetData>
  <sheetProtection algorithmName="SHA-512" hashValue="mptjPfqDOQAQfHIzEdQHY9d4qV/U6E8DvRCSJqrAN7T+gHKWJU4HpL4pWXFxolaGNg0csqI3xQX8D1Nx+QBvRw==" saltValue="fgtxcxJc8dKxdwu3ttLoZw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326</v>
      </c>
    </row>
    <row r="3" spans="1:8" x14ac:dyDescent="0.35">
      <c r="A3" s="11" t="s">
        <v>680</v>
      </c>
      <c r="B3" s="45">
        <f ca="1">TODAY()</f>
        <v>42195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851</v>
      </c>
      <c r="B12" s="386" t="s">
        <v>511</v>
      </c>
      <c r="C12" s="388"/>
      <c r="D12" s="390" t="s">
        <v>512</v>
      </c>
      <c r="E12" s="390" t="s">
        <v>513</v>
      </c>
      <c r="F12" s="390" t="s">
        <v>514</v>
      </c>
      <c r="G12" s="35"/>
      <c r="H12" s="35" t="s">
        <v>515</v>
      </c>
    </row>
    <row r="13" spans="1:8" ht="15" customHeight="1" x14ac:dyDescent="0.35">
      <c r="A13" s="36" t="s">
        <v>516</v>
      </c>
      <c r="B13" s="387"/>
      <c r="C13" s="389"/>
      <c r="D13" s="391"/>
      <c r="E13" s="391"/>
      <c r="F13" s="391"/>
      <c r="G13" s="35" t="s">
        <v>517</v>
      </c>
      <c r="H13" s="37" t="s">
        <v>518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1154</v>
      </c>
      <c r="C16" s="113"/>
      <c r="D16" s="113" t="s">
        <v>1069</v>
      </c>
      <c r="E16" s="113" t="s">
        <v>1155</v>
      </c>
      <c r="F16" s="114" t="s">
        <v>157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1156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1157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1158</v>
      </c>
      <c r="C19" s="113"/>
      <c r="D19" s="113"/>
      <c r="E19" s="113"/>
      <c r="F19" s="114" t="s">
        <v>1159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1160</v>
      </c>
      <c r="C20" s="113"/>
      <c r="D20" s="113"/>
      <c r="E20" s="113"/>
      <c r="F20" s="114" t="s">
        <v>1161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6" t="s">
        <v>595</v>
      </c>
      <c r="F22" s="37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0" t="str">
        <f>IF(G27&gt;0,ROUND(G27/24,1)&amp;"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1"/>
      <c r="B25" s="112" t="s">
        <v>565</v>
      </c>
      <c r="C25" s="113"/>
      <c r="D25" s="113"/>
      <c r="E25" s="394" t="s">
        <v>1014</v>
      </c>
      <c r="F25" s="395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4" t="s">
        <v>1014</v>
      </c>
      <c r="F26" s="395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6" t="s">
        <v>595</v>
      </c>
      <c r="F27" s="37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2" t="s">
        <v>352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0" t="str">
        <f>IF(G33&gt;0,ROUND(G39/24,1)&amp;"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1"/>
      <c r="B31" s="120" t="s">
        <v>1151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2" t="s">
        <v>1152</v>
      </c>
      <c r="C36" s="403"/>
      <c r="D36" s="403"/>
      <c r="E36" s="403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2" t="s">
        <v>107</v>
      </c>
      <c r="C37" s="403"/>
      <c r="D37" s="403"/>
      <c r="E37" s="403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2" t="s">
        <v>108</v>
      </c>
      <c r="C38" s="403"/>
      <c r="D38" s="403"/>
      <c r="E38" s="403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6" t="s">
        <v>597</v>
      </c>
      <c r="F39" s="37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6" t="s">
        <v>660</v>
      </c>
      <c r="C41" s="397"/>
      <c r="D41" s="397"/>
      <c r="E41" s="397"/>
      <c r="F41" s="398"/>
      <c r="G41" s="42" t="s">
        <v>661</v>
      </c>
      <c r="H41" s="42"/>
    </row>
    <row r="42" spans="1:8" ht="15.95" customHeight="1" x14ac:dyDescent="0.35">
      <c r="A42" s="43"/>
      <c r="B42" s="399" t="s">
        <v>662</v>
      </c>
      <c r="C42" s="400"/>
      <c r="D42" s="400"/>
      <c r="E42" s="400"/>
      <c r="F42" s="401"/>
      <c r="G42" s="37" t="s">
        <v>663</v>
      </c>
      <c r="H42" s="35"/>
    </row>
    <row r="43" spans="1:8" ht="15.95" customHeight="1" x14ac:dyDescent="0.35">
      <c r="A43" s="43"/>
      <c r="B43" s="399" t="s">
        <v>664</v>
      </c>
      <c r="C43" s="400"/>
      <c r="D43" s="400"/>
      <c r="E43" s="400"/>
      <c r="F43" s="401"/>
      <c r="G43" s="37" t="s">
        <v>661</v>
      </c>
      <c r="H43" s="38"/>
    </row>
    <row r="45" spans="1:8" x14ac:dyDescent="0.35">
      <c r="A45" s="11" t="s">
        <v>665</v>
      </c>
    </row>
    <row r="46" spans="1:8" x14ac:dyDescent="0.35">
      <c r="A46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nxL5RYPLKq2OSUg1eSd/BU7X4xD7wWreKBqsW63UyllcVdsjfw6qRgU1Z3ebyagReMGW3X5qIdddoAF3SVkCzw==" saltValue="vt6u5PLV2jwuuvDY//1saQ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327</v>
      </c>
    </row>
    <row r="3" spans="1:8" x14ac:dyDescent="0.35">
      <c r="A3" s="11" t="s">
        <v>680</v>
      </c>
      <c r="B3" s="45">
        <f ca="1">TODAY()</f>
        <v>42195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">
        <v>980</v>
      </c>
      <c r="C10" s="11">
        <f>ber_TPN!F23</f>
        <v>0</v>
      </c>
      <c r="D10" s="11" t="s">
        <v>874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851</v>
      </c>
      <c r="B12" s="386" t="s">
        <v>511</v>
      </c>
      <c r="C12" s="388"/>
      <c r="D12" s="390" t="s">
        <v>512</v>
      </c>
      <c r="E12" s="390" t="s">
        <v>513</v>
      </c>
      <c r="F12" s="390" t="s">
        <v>514</v>
      </c>
      <c r="G12" s="35"/>
      <c r="H12" s="35" t="s">
        <v>515</v>
      </c>
    </row>
    <row r="13" spans="1:8" x14ac:dyDescent="0.35">
      <c r="A13" s="36" t="s">
        <v>516</v>
      </c>
      <c r="B13" s="387"/>
      <c r="C13" s="389"/>
      <c r="D13" s="391"/>
      <c r="E13" s="391"/>
      <c r="F13" s="391"/>
      <c r="G13" s="35" t="s">
        <v>517</v>
      </c>
      <c r="H13" s="37" t="s">
        <v>518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1162</v>
      </c>
      <c r="C16" s="113"/>
      <c r="D16" s="113" t="s">
        <v>1069</v>
      </c>
      <c r="E16" s="113" t="s">
        <v>520</v>
      </c>
      <c r="F16" s="114" t="s">
        <v>1155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854</v>
      </c>
      <c r="C17" s="113"/>
      <c r="D17" s="113"/>
      <c r="E17" s="394" t="s">
        <v>379</v>
      </c>
      <c r="F17" s="395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 t="s">
        <v>380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281</v>
      </c>
      <c r="C19" s="113"/>
      <c r="D19" s="113"/>
      <c r="E19" s="113" t="s">
        <v>381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593</v>
      </c>
      <c r="C20" s="113"/>
      <c r="D20" s="113"/>
      <c r="E20" s="113"/>
      <c r="F20" s="114" t="s">
        <v>382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595</v>
      </c>
      <c r="F22" s="37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IF(TPN&lt;&gt;1,ROUND(G27/24,1)&amp;"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565</v>
      </c>
      <c r="C25" s="113"/>
      <c r="D25" s="113"/>
      <c r="E25" s="394" t="s">
        <v>1014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4" t="s">
        <v>1014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595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4" t="s">
        <v>352</v>
      </c>
      <c r="C29" s="375"/>
      <c r="D29" s="375"/>
      <c r="E29" s="375"/>
      <c r="F29" s="375"/>
      <c r="G29" s="86"/>
      <c r="H29" s="42"/>
    </row>
    <row r="30" spans="1:8" ht="20.100000000000001" customHeight="1" x14ac:dyDescent="0.35">
      <c r="A30" s="372" t="str">
        <f>ROUND(G38/24,1)&amp;" ml/u"</f>
        <v>0 ml/u</v>
      </c>
      <c r="B30" s="119" t="s">
        <v>106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1151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2" t="s">
        <v>107</v>
      </c>
      <c r="C36" s="403"/>
      <c r="D36" s="403"/>
      <c r="E36" s="403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108</v>
      </c>
      <c r="C37" s="403"/>
      <c r="D37" s="403"/>
      <c r="E37" s="403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79" t="s">
        <v>597</v>
      </c>
      <c r="F38" s="37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0" t="s">
        <v>660</v>
      </c>
      <c r="C40" s="381"/>
      <c r="D40" s="381"/>
      <c r="E40" s="381"/>
      <c r="F40" s="382"/>
      <c r="G40" s="42" t="s">
        <v>661</v>
      </c>
      <c r="H40" s="42"/>
    </row>
    <row r="41" spans="1:8" ht="15.95" customHeight="1" x14ac:dyDescent="0.35">
      <c r="A41" s="43"/>
      <c r="B41" s="367" t="s">
        <v>662</v>
      </c>
      <c r="C41" s="368"/>
      <c r="D41" s="368"/>
      <c r="E41" s="368"/>
      <c r="F41" s="369"/>
      <c r="G41" s="37" t="s">
        <v>663</v>
      </c>
      <c r="H41" s="35"/>
    </row>
    <row r="42" spans="1:8" ht="15.95" customHeight="1" x14ac:dyDescent="0.35">
      <c r="A42" s="43"/>
      <c r="B42" s="367" t="s">
        <v>664</v>
      </c>
      <c r="C42" s="368"/>
      <c r="D42" s="368"/>
      <c r="E42" s="368"/>
      <c r="F42" s="369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6" spans="1:8" x14ac:dyDescent="0.35">
      <c r="A46" s="11" t="s">
        <v>666</v>
      </c>
    </row>
    <row r="48" spans="1:8" x14ac:dyDescent="0.35">
      <c r="A48" s="11" t="s">
        <v>264</v>
      </c>
    </row>
    <row r="50" spans="6:6" ht="13.2" x14ac:dyDescent="0.4">
      <c r="F50" s="3"/>
    </row>
  </sheetData>
  <sheetProtection algorithmName="SHA-512" hashValue="rvgEx+sJyM6MoiaFgo+PnUaFw5i8iW2lcbWpWXkDtg9prZ4aPyc+adTu/lyMNkMbetVIq0l1wn5LJqXkA7YHUQ==" saltValue="Md6zEEUXNHQQCKPujX1m/g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328</v>
      </c>
    </row>
    <row r="3" spans="1:8" x14ac:dyDescent="0.35">
      <c r="A3" s="11" t="s">
        <v>680</v>
      </c>
      <c r="B3" s="45">
        <f ca="1">TODAY()</f>
        <v>42195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">
        <v>979</v>
      </c>
      <c r="C9" s="11">
        <f>ber_TPN!F23</f>
        <v>0</v>
      </c>
      <c r="D9" s="11" t="s">
        <v>874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851</v>
      </c>
      <c r="B11" s="386" t="s">
        <v>511</v>
      </c>
      <c r="C11" s="388"/>
      <c r="D11" s="390" t="s">
        <v>512</v>
      </c>
      <c r="E11" s="390" t="s">
        <v>513</v>
      </c>
      <c r="F11" s="390" t="s">
        <v>514</v>
      </c>
      <c r="G11" s="35"/>
      <c r="H11" s="35" t="s">
        <v>515</v>
      </c>
    </row>
    <row r="12" spans="1:8" x14ac:dyDescent="0.35">
      <c r="A12" s="36" t="s">
        <v>516</v>
      </c>
      <c r="B12" s="387"/>
      <c r="C12" s="389"/>
      <c r="D12" s="391"/>
      <c r="E12" s="391"/>
      <c r="F12" s="391"/>
      <c r="G12" s="35" t="s">
        <v>517</v>
      </c>
      <c r="H12" s="37" t="s">
        <v>518</v>
      </c>
    </row>
    <row r="13" spans="1:8" ht="20.100000000000001" customHeight="1" x14ac:dyDescent="0.35">
      <c r="A13" s="372" t="str">
        <f>IF(G22&lt;&gt;0,ROUND(G22/24,1)&amp;" ml/u","")</f>
        <v/>
      </c>
      <c r="B13" s="108" t="s">
        <v>106</v>
      </c>
      <c r="C13" s="109"/>
      <c r="D13" s="109" t="s">
        <v>519</v>
      </c>
      <c r="E13" s="109" t="s">
        <v>519</v>
      </c>
      <c r="F13" s="110" t="s">
        <v>519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3"/>
      <c r="B14" s="112" t="s">
        <v>1148</v>
      </c>
      <c r="C14" s="113"/>
      <c r="D14" s="113" t="s">
        <v>1153</v>
      </c>
      <c r="E14" s="113" t="s">
        <v>156</v>
      </c>
      <c r="F14" s="114" t="s">
        <v>156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383</v>
      </c>
      <c r="C15" s="113"/>
      <c r="D15" s="113" t="s">
        <v>1068</v>
      </c>
      <c r="E15" s="113" t="s">
        <v>384</v>
      </c>
      <c r="F15" s="114" t="s">
        <v>389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854</v>
      </c>
      <c r="C16" s="113"/>
      <c r="D16" s="113"/>
      <c r="E16" s="394" t="s">
        <v>379</v>
      </c>
      <c r="F16" s="395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385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386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387</v>
      </c>
      <c r="C19" s="113" t="s">
        <v>616</v>
      </c>
      <c r="D19" s="113"/>
      <c r="E19" s="113"/>
      <c r="F19" s="114" t="s">
        <v>1161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388</v>
      </c>
      <c r="C20" s="113"/>
      <c r="D20" s="113"/>
      <c r="E20" s="113"/>
      <c r="F20" s="114" t="s">
        <v>1155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595</v>
      </c>
      <c r="F22" s="37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IF(G27&lt;&gt;0,ROUND(G27/24,1)&amp;" ml/u","")</f>
        <v/>
      </c>
      <c r="B24" s="108" t="s">
        <v>564</v>
      </c>
      <c r="C24" s="109"/>
      <c r="D24" s="109" t="s">
        <v>978</v>
      </c>
      <c r="E24" s="109" t="s">
        <v>519</v>
      </c>
      <c r="F24" s="110" t="s">
        <v>1069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565</v>
      </c>
      <c r="C25" s="113"/>
      <c r="D25" s="113"/>
      <c r="E25" s="394" t="s">
        <v>1014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4" t="s">
        <v>1014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595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2" t="s">
        <v>352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2" t="str">
        <f>IF(G38&lt;&gt;0,ROUND(G38/24,1)&amp;"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1151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2" t="s">
        <v>107</v>
      </c>
      <c r="C36" s="403"/>
      <c r="D36" s="403"/>
      <c r="E36" s="403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108</v>
      </c>
      <c r="C37" s="403"/>
      <c r="D37" s="403"/>
      <c r="E37" s="403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6" t="s">
        <v>597</v>
      </c>
      <c r="F38" s="37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0" t="s">
        <v>660</v>
      </c>
      <c r="C40" s="381"/>
      <c r="D40" s="381"/>
      <c r="E40" s="381"/>
      <c r="F40" s="382"/>
      <c r="G40" s="42" t="s">
        <v>661</v>
      </c>
      <c r="H40" s="42"/>
    </row>
    <row r="41" spans="1:8" ht="15.95" customHeight="1" x14ac:dyDescent="0.35">
      <c r="A41" s="43"/>
      <c r="B41" s="367" t="s">
        <v>662</v>
      </c>
      <c r="C41" s="368"/>
      <c r="D41" s="368"/>
      <c r="E41" s="368"/>
      <c r="F41" s="369"/>
      <c r="G41" s="37" t="s">
        <v>663</v>
      </c>
      <c r="H41" s="35"/>
    </row>
    <row r="42" spans="1:8" ht="15.95" customHeight="1" x14ac:dyDescent="0.35">
      <c r="A42" s="43"/>
      <c r="B42" s="367" t="s">
        <v>664</v>
      </c>
      <c r="C42" s="368"/>
      <c r="D42" s="368"/>
      <c r="E42" s="368"/>
      <c r="F42" s="369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xvZWc0EWL2270SoOKBMRJSCorsddjdUYQz5H+bqraHgyoz94+f8P8KQKuicm1QR0PGv8MIBt7cx2Wj8pU4YikA==" saltValue="jxaYdrSG5+jlsm7KGRr9Xg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1062</v>
      </c>
    </row>
    <row r="3" spans="1:8" x14ac:dyDescent="0.35">
      <c r="A3" s="11" t="s">
        <v>680</v>
      </c>
      <c r="B3" s="45">
        <f ca="1">TODAY()</f>
        <v>42195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874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851</v>
      </c>
      <c r="B11" s="386" t="s">
        <v>511</v>
      </c>
      <c r="C11" s="388"/>
      <c r="D11" s="390" t="s">
        <v>512</v>
      </c>
      <c r="E11" s="390" t="s">
        <v>513</v>
      </c>
      <c r="F11" s="390" t="s">
        <v>514</v>
      </c>
      <c r="G11" s="35"/>
      <c r="H11" s="35" t="s">
        <v>515</v>
      </c>
    </row>
    <row r="12" spans="1:8" x14ac:dyDescent="0.35">
      <c r="A12" s="36" t="s">
        <v>516</v>
      </c>
      <c r="B12" s="387"/>
      <c r="C12" s="389"/>
      <c r="D12" s="391"/>
      <c r="E12" s="391"/>
      <c r="F12" s="391"/>
      <c r="G12" s="35" t="s">
        <v>517</v>
      </c>
      <c r="H12" s="37" t="s">
        <v>518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255</v>
      </c>
      <c r="C13" s="113"/>
      <c r="D13" s="113" t="s">
        <v>256</v>
      </c>
      <c r="E13" s="113" t="s">
        <v>257</v>
      </c>
      <c r="F13" s="114" t="s">
        <v>258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597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854</v>
      </c>
      <c r="C17" s="113"/>
      <c r="D17" s="113"/>
      <c r="E17" s="109"/>
      <c r="F17" s="110" t="s">
        <v>520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/>
      <c r="E18" s="113"/>
      <c r="F18" s="114" t="s">
        <v>254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79" t="s">
        <v>595</v>
      </c>
      <c r="F19" s="37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564</v>
      </c>
      <c r="C21" s="109"/>
      <c r="D21" s="109" t="s">
        <v>259</v>
      </c>
      <c r="E21" s="109" t="s">
        <v>260</v>
      </c>
      <c r="F21" s="110" t="s">
        <v>261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565</v>
      </c>
      <c r="C22" s="113"/>
      <c r="D22" s="113"/>
      <c r="E22" s="109"/>
      <c r="F22" s="110" t="s">
        <v>262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588</v>
      </c>
      <c r="C23" s="113"/>
      <c r="D23" s="113"/>
      <c r="E23" s="109"/>
      <c r="F23" s="110" t="s">
        <v>262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79" t="s">
        <v>595</v>
      </c>
      <c r="F24" s="37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2" t="s">
        <v>352</v>
      </c>
      <c r="C26" s="393"/>
      <c r="D26" s="393"/>
      <c r="E26" s="393"/>
      <c r="F26" s="393"/>
      <c r="G26" s="86"/>
      <c r="H26" s="42"/>
    </row>
    <row r="27" spans="1:8" ht="20.100000000000001" customHeight="1" x14ac:dyDescent="0.35">
      <c r="A27" s="372" t="str">
        <f>IF(G35&lt;&gt;0,ROUND(G35/24,1)&amp;" ml/u","")</f>
        <v/>
      </c>
      <c r="B27" s="119" t="s">
        <v>106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3"/>
      <c r="B28" s="120" t="s">
        <v>1151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1180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1181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843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2" t="s">
        <v>107</v>
      </c>
      <c r="C33" s="403"/>
      <c r="D33" s="403"/>
      <c r="E33" s="403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2" t="s">
        <v>108</v>
      </c>
      <c r="C34" s="403"/>
      <c r="D34" s="403"/>
      <c r="E34" s="403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6" t="s">
        <v>597</v>
      </c>
      <c r="F35" s="37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0" t="s">
        <v>660</v>
      </c>
      <c r="C37" s="381"/>
      <c r="D37" s="381"/>
      <c r="E37" s="381"/>
      <c r="F37" s="382"/>
      <c r="G37" s="42" t="s">
        <v>661</v>
      </c>
      <c r="H37" s="42"/>
    </row>
    <row r="38" spans="1:8" ht="20.100000000000001" customHeight="1" x14ac:dyDescent="0.35">
      <c r="A38" s="43"/>
      <c r="B38" s="367" t="s">
        <v>662</v>
      </c>
      <c r="C38" s="368"/>
      <c r="D38" s="368"/>
      <c r="E38" s="368"/>
      <c r="F38" s="369"/>
      <c r="G38" s="37" t="s">
        <v>663</v>
      </c>
      <c r="H38" s="35"/>
    </row>
    <row r="39" spans="1:8" ht="20.100000000000001" customHeight="1" x14ac:dyDescent="0.35">
      <c r="A39" s="43"/>
      <c r="B39" s="367" t="s">
        <v>664</v>
      </c>
      <c r="C39" s="368"/>
      <c r="D39" s="368"/>
      <c r="E39" s="368"/>
      <c r="F39" s="369"/>
      <c r="G39" s="37" t="s">
        <v>661</v>
      </c>
      <c r="H39" s="38"/>
    </row>
    <row r="40" spans="1:8" ht="20.100000000000001" customHeight="1" x14ac:dyDescent="0.35"/>
    <row r="41" spans="1:8" ht="15.95" customHeight="1" x14ac:dyDescent="0.35">
      <c r="A41" s="11" t="s">
        <v>665</v>
      </c>
    </row>
    <row r="42" spans="1:8" ht="10.5" customHeight="1" x14ac:dyDescent="0.35">
      <c r="A42" s="11" t="s">
        <v>596</v>
      </c>
    </row>
    <row r="43" spans="1:8" ht="15.95" customHeight="1" x14ac:dyDescent="0.35"/>
    <row r="44" spans="1:8" ht="15.95" customHeight="1" x14ac:dyDescent="0.35">
      <c r="A44" s="11" t="s">
        <v>666</v>
      </c>
    </row>
    <row r="45" spans="1:8" ht="15.95" customHeight="1" x14ac:dyDescent="0.35"/>
    <row r="46" spans="1:8" x14ac:dyDescent="0.35">
      <c r="A46" s="11" t="s">
        <v>264</v>
      </c>
    </row>
    <row r="48" spans="1:8" ht="13.2" x14ac:dyDescent="0.4">
      <c r="F48" s="3"/>
    </row>
  </sheetData>
  <sheetProtection algorithmName="SHA-512" hashValue="Ws4Zh75FGqrzLdNmgx2kwIhiRrYLh9xrKrYFq1P1uH/zgH7YDHWh/FwhCN3jNvLLFXSrWBqbrD+DhkRcnNHLqQ==" saltValue="5jdcR51pF5gizGFNnYY9yA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687</vt:i4>
      </vt:variant>
    </vt:vector>
  </HeadingPairs>
  <TitlesOfParts>
    <vt:vector size="701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tblBerPO</vt:lpstr>
      <vt:lpstr>tblBerPoeder</vt:lpstr>
      <vt:lpstr>tblInfusen</vt:lpstr>
      <vt:lpstr>tblMedicationContIV</vt:lpstr>
      <vt:lpstr>tblOplossing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2015-07-10T10:43:34Z</dcterms:modified>
</cp:coreProperties>
</file>