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<sst xmlns="http://schemas.openxmlformats.org/spreadsheetml/2006/main" count="2683" uniqueCount="1270">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</sst>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 applyFill="1" applyProtection="1">
      <protection locked="0" hidden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7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39" t="str">
        <f>"= "&amp;IF(ROUND(0.02*(E5),1)&lt;0.1,0.1,IF(ROUND(0.02*(E5),1)&gt;0.5,0.5,ROUND(0.02*(E5),1)))*2&amp;" ml van 0,5 mg/ml (min 0,1 mg)"</f>
        <v>= 0,4 ml van 0,5 mg/ml (min 0,1 mg)</v>
      </c>
      <c r="F16" s="339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0"/>
      <c r="F17" s="340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39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39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0"/>
      <c r="F21" s="340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7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8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6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6"/>
      <c r="C31" s="208" t="s">
        <v>755</v>
      </c>
      <c r="D31" s="65" t="str">
        <f>IF((20*E5)&gt;1500,"1500 mg iv",20*E5&amp;" mg iv")</f>
        <v>200 mg iv</v>
      </c>
      <c r="E31" s="33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39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39"/>
      <c r="F32" s="339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Beq58J7FpfQ8yCxA8XRocVvu0syOhuX4b/dQhOWOhR4AR0MPCWQFFLgNg6ZXOlturuDSma/FD1/ow+my3fCRrg==" saltValue="VZG7w+8frIQIT1abJpwG5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42221</v>
      </c>
      <c r="E2" s="70" t="s">
        <v>1195</v>
      </c>
      <c r="F2" s="346" t="str">
        <f>_AchterNaam&amp;", "&amp;_VoorNaam</f>
        <v>Achternaam, Voornaam</v>
      </c>
      <c r="G2" s="346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859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9">
        <f>ber_Opm!C15</f>
        <v>0</v>
      </c>
      <c r="E11" s="350"/>
      <c r="F11" s="350"/>
      <c r="G11" s="350"/>
      <c r="H11" s="350"/>
      <c r="I11" s="350"/>
      <c r="J11" s="350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3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4"/>
      <c r="F14" s="354"/>
      <c r="G14" s="354"/>
      <c r="H14" s="354"/>
      <c r="I14" s="354"/>
      <c r="J14" s="354"/>
      <c r="L14" s="87"/>
    </row>
    <row r="15" spans="1:12" ht="12.65" customHeight="1" x14ac:dyDescent="0.35">
      <c r="B15" s="71"/>
      <c r="C15" s="71" t="s">
        <v>1183</v>
      </c>
      <c r="D15" s="347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8"/>
      <c r="F15" s="348"/>
      <c r="G15" s="348"/>
      <c r="H15" s="348"/>
      <c r="I15" s="348"/>
      <c r="J15" s="348"/>
      <c r="L15" s="87"/>
    </row>
    <row r="16" spans="1:12" ht="12.65" customHeight="1" x14ac:dyDescent="0.35">
      <c r="B16" s="71"/>
      <c r="C16" s="71" t="s">
        <v>1184</v>
      </c>
      <c r="D16" s="347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5"/>
      <c r="F16" s="355"/>
      <c r="G16" s="355"/>
      <c r="H16" s="355"/>
      <c r="I16" s="355"/>
      <c r="J16" s="355"/>
      <c r="L16" s="87"/>
    </row>
    <row r="17" spans="1:12" ht="12.65" customHeight="1" x14ac:dyDescent="0.35">
      <c r="B17" s="71"/>
      <c r="C17" s="71" t="s">
        <v>387</v>
      </c>
      <c r="D17" s="347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5"/>
      <c r="F17" s="355"/>
      <c r="G17" s="355"/>
      <c r="H17" s="355"/>
      <c r="I17" s="355"/>
      <c r="J17" s="355"/>
      <c r="L17" s="87"/>
    </row>
    <row r="18" spans="1:12" ht="12.65" customHeight="1" x14ac:dyDescent="0.35">
      <c r="B18" s="71"/>
      <c r="C18" s="76" t="s">
        <v>46</v>
      </c>
      <c r="D18" s="347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6"/>
      <c r="F18" s="356"/>
      <c r="G18" s="356"/>
      <c r="H18" s="356"/>
      <c r="I18" s="356"/>
      <c r="J18" s="356"/>
      <c r="L18" s="87"/>
    </row>
    <row r="19" spans="1:12" ht="12.65" customHeight="1" x14ac:dyDescent="0.35">
      <c r="B19" s="71"/>
      <c r="C19" s="76" t="s">
        <v>791</v>
      </c>
      <c r="D19" s="341">
        <f>ber_Opm!C10</f>
        <v>0</v>
      </c>
      <c r="E19" s="342"/>
      <c r="F19" s="342"/>
      <c r="G19" s="342"/>
      <c r="H19" s="342"/>
      <c r="I19" s="342"/>
      <c r="J19" s="342"/>
      <c r="L19" s="87"/>
    </row>
    <row r="20" spans="1:12" ht="12.65" customHeight="1" x14ac:dyDescent="0.35">
      <c r="A20" s="55"/>
      <c r="B20" s="73"/>
      <c r="C20" s="75"/>
      <c r="D20" s="343"/>
      <c r="E20" s="343"/>
      <c r="F20" s="343"/>
      <c r="G20" s="343"/>
      <c r="H20" s="343"/>
      <c r="I20" s="343"/>
      <c r="J20" s="343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45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5"/>
      <c r="E28" s="345"/>
      <c r="F28" s="345"/>
      <c r="G28" s="345"/>
      <c r="H28" s="345"/>
      <c r="I28" s="345"/>
      <c r="J28" s="345"/>
      <c r="L28" s="87"/>
    </row>
    <row r="29" spans="1:12" ht="12.65" customHeight="1" x14ac:dyDescent="0.35">
      <c r="C29" s="345"/>
      <c r="D29" s="345"/>
      <c r="E29" s="345"/>
      <c r="F29" s="345"/>
      <c r="G29" s="345"/>
      <c r="H29" s="345"/>
      <c r="I29" s="345"/>
      <c r="J29" s="345"/>
      <c r="L29" s="87"/>
    </row>
    <row r="30" spans="1:12" ht="12.65" customHeight="1" x14ac:dyDescent="0.35">
      <c r="B30" s="51" t="s">
        <v>179</v>
      </c>
      <c r="C30" s="351">
        <f>ber_Opm!C11</f>
        <v>0</v>
      </c>
      <c r="D30" s="351"/>
      <c r="E30" s="351"/>
      <c r="F30" s="351"/>
      <c r="G30" s="351"/>
      <c r="H30" s="351"/>
      <c r="I30" s="351"/>
      <c r="J30" s="351"/>
      <c r="L30" s="87"/>
    </row>
    <row r="31" spans="1:12" ht="7" customHeight="1" x14ac:dyDescent="0.35">
      <c r="C31" s="352"/>
      <c r="D31" s="352"/>
      <c r="E31" s="352"/>
      <c r="F31" s="352"/>
      <c r="G31" s="352"/>
      <c r="H31" s="352"/>
      <c r="I31" s="352"/>
      <c r="J31" s="352"/>
      <c r="L31" s="87"/>
    </row>
    <row r="32" spans="1:12" ht="7" customHeight="1" x14ac:dyDescent="0.35">
      <c r="C32" s="352"/>
      <c r="D32" s="352"/>
      <c r="E32" s="352"/>
      <c r="F32" s="352"/>
      <c r="G32" s="352"/>
      <c r="H32" s="352"/>
      <c r="I32" s="352"/>
      <c r="J32" s="352"/>
      <c r="L32" s="87"/>
    </row>
    <row r="33" spans="1:12" ht="7" customHeight="1" x14ac:dyDescent="0.35">
      <c r="C33" s="352"/>
      <c r="D33" s="352"/>
      <c r="E33" s="352"/>
      <c r="F33" s="352"/>
      <c r="G33" s="352"/>
      <c r="H33" s="352"/>
      <c r="I33" s="352"/>
      <c r="J33" s="352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42221</v>
      </c>
      <c r="E41" s="70" t="s">
        <v>1195</v>
      </c>
      <c r="F41" s="346" t="str">
        <f>_AchterNaam&amp;", "&amp;_VoorNaam</f>
        <v>Achternaam, Voornaam</v>
      </c>
      <c r="G41" s="346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859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9">
        <f>ber_Opm!C3</f>
        <v>0</v>
      </c>
      <c r="E53" s="350"/>
      <c r="F53" s="350"/>
      <c r="G53" s="350"/>
      <c r="H53" s="350"/>
      <c r="I53" s="350"/>
      <c r="J53" s="350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1">
        <f>ber_Opm!C4</f>
        <v>0</v>
      </c>
      <c r="E74" s="341"/>
      <c r="F74" s="341"/>
      <c r="G74" s="341"/>
      <c r="H74" s="341"/>
      <c r="I74" s="341"/>
      <c r="J74" s="341"/>
      <c r="L74" s="87"/>
    </row>
    <row r="75" spans="1:12" ht="12.65" customHeight="1" x14ac:dyDescent="0.35">
      <c r="D75" s="344"/>
      <c r="E75" s="344"/>
      <c r="F75" s="344"/>
      <c r="G75" s="344"/>
      <c r="H75" s="344"/>
      <c r="I75" s="344"/>
      <c r="J75" s="344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9">
        <f>ber_Opm!C9</f>
        <v>0</v>
      </c>
      <c r="E99" s="350"/>
      <c r="F99" s="350"/>
      <c r="G99" s="350"/>
      <c r="H99" s="350"/>
      <c r="I99" s="350"/>
      <c r="J99" s="350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42221</v>
      </c>
      <c r="E106" s="70" t="s">
        <v>1195</v>
      </c>
      <c r="F106" s="346" t="str">
        <f>_AchterNaam&amp;", "&amp;_VoorNaam</f>
        <v>Achternaam, Voornaam</v>
      </c>
      <c r="G106" s="346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859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57" t="s">
        <v>344</v>
      </c>
      <c r="B115" s="358"/>
      <c r="C115" s="129" t="s">
        <v>345</v>
      </c>
      <c r="D115" s="129" t="s">
        <v>347</v>
      </c>
      <c r="E115" s="357" t="s">
        <v>349</v>
      </c>
      <c r="F115" s="358"/>
      <c r="G115" s="134" t="s">
        <v>347</v>
      </c>
      <c r="H115" s="357" t="s">
        <v>348</v>
      </c>
      <c r="I115" s="358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42221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42221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859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7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59">
        <f>ber_Opm!C4</f>
        <v>0</v>
      </c>
      <c r="E31" s="360"/>
      <c r="F31" s="360"/>
      <c r="G31" s="360"/>
      <c r="H31" s="360"/>
      <c r="I31" s="360"/>
      <c r="J31" s="360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0"/>
      <c r="E32" s="360"/>
      <c r="F32" s="360"/>
      <c r="G32" s="360"/>
      <c r="H32" s="360"/>
      <c r="I32" s="360"/>
      <c r="J32" s="360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0"/>
      <c r="E33" s="360"/>
      <c r="F33" s="360"/>
      <c r="G33" s="360"/>
      <c r="H33" s="360"/>
      <c r="I33" s="360"/>
      <c r="J33" s="360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0"/>
      <c r="E34" s="360"/>
      <c r="F34" s="360"/>
      <c r="G34" s="360"/>
      <c r="H34" s="360"/>
      <c r="I34" s="360"/>
      <c r="J34" s="360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0"/>
      <c r="E35" s="360"/>
      <c r="F35" s="360"/>
      <c r="G35" s="360"/>
      <c r="H35" s="360"/>
      <c r="I35" s="360"/>
      <c r="J35" s="360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42221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859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7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1">
        <f>ber_Med_disc!C3</f>
        <v>0</v>
      </c>
      <c r="E8" s="361"/>
      <c r="F8" s="361"/>
      <c r="G8" s="361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1">
        <f>ber_Med_disc!C4</f>
        <v>0</v>
      </c>
      <c r="E10" s="361"/>
      <c r="F10" s="361"/>
      <c r="G10" s="361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1">
        <f>ber_Med_disc!C5</f>
        <v>0</v>
      </c>
      <c r="E12" s="361"/>
      <c r="F12" s="361"/>
      <c r="G12" s="361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1">
        <f>ber_Med_disc!C6</f>
        <v>0</v>
      </c>
      <c r="E14" s="361"/>
      <c r="F14" s="361"/>
      <c r="G14" s="361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1">
        <f>ber_Med_disc!C7</f>
        <v>0</v>
      </c>
      <c r="E16" s="361"/>
      <c r="F16" s="361"/>
      <c r="G16" s="361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1">
        <f>ber_Med_disc!C8</f>
        <v>0</v>
      </c>
      <c r="E18" s="361"/>
      <c r="F18" s="361"/>
      <c r="G18" s="361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1">
        <f>ber_Med_disc!C9</f>
        <v>0</v>
      </c>
      <c r="E20" s="361"/>
      <c r="F20" s="361"/>
      <c r="G20" s="361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1">
        <f>ber_Med_disc!C10</f>
        <v>0</v>
      </c>
      <c r="E22" s="361"/>
      <c r="F22" s="361"/>
      <c r="G22" s="361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1">
        <f>ber_Med_disc!C11</f>
        <v>0</v>
      </c>
      <c r="E24" s="361"/>
      <c r="F24" s="361"/>
      <c r="G24" s="361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1">
        <f>ber_Med_disc!C12</f>
        <v>0</v>
      </c>
      <c r="E26" s="361"/>
      <c r="F26" s="361"/>
      <c r="G26" s="361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1">
        <f>ber_Med_disc!C13</f>
        <v>0</v>
      </c>
      <c r="E28" s="361"/>
      <c r="F28" s="361"/>
      <c r="G28" s="361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1">
        <f>ber_Med_disc!C14</f>
        <v>0</v>
      </c>
      <c r="E30" s="361"/>
      <c r="F30" s="361"/>
      <c r="G30" s="361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1">
        <f>ber_Med_disc!C15</f>
        <v>0</v>
      </c>
      <c r="E32" s="361"/>
      <c r="F32" s="361"/>
      <c r="G32" s="361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1">
        <f>ber_Med_disc!C16</f>
        <v>0</v>
      </c>
      <c r="E34" s="361"/>
      <c r="F34" s="361"/>
      <c r="G34" s="361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1">
        <f>ber_Med_disc!C17</f>
        <v>0</v>
      </c>
      <c r="E36" s="361"/>
      <c r="F36" s="361"/>
      <c r="G36" s="361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1">
        <f>ber_Med_disc!C18</f>
        <v>0</v>
      </c>
      <c r="E38" s="361"/>
      <c r="F38" s="361"/>
      <c r="G38" s="361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1">
        <f>ber_Med_disc!C19</f>
        <v>0</v>
      </c>
      <c r="E40" s="361"/>
      <c r="F40" s="361"/>
      <c r="G40" s="361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1">
        <f>ber_Med_disc!C20</f>
        <v>0</v>
      </c>
      <c r="E42" s="361"/>
      <c r="F42" s="361"/>
      <c r="G42" s="361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1">
        <f>ber_Med_disc!C21</f>
        <v>0</v>
      </c>
      <c r="E44" s="361"/>
      <c r="F44" s="361"/>
      <c r="G44" s="361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4">
        <f>GebDatum</f>
        <v>40909</v>
      </c>
      <c r="G1" s="364"/>
      <c r="I1" s="11" t="str">
        <f>"Gewicht: "&amp;ROUND(Gewicht/10,1)&amp;"kg"</f>
        <v>Gewicht: 10kg</v>
      </c>
      <c r="P1" s="11" t="s">
        <v>498</v>
      </c>
      <c r="R1" s="362"/>
      <c r="S1" s="362"/>
      <c r="T1" s="362"/>
      <c r="U1" s="362"/>
      <c r="V1" s="362"/>
      <c r="W1" s="362"/>
      <c r="Y1" t="s">
        <v>818</v>
      </c>
      <c r="AB1" s="363">
        <f ca="1">TODAY()</f>
        <v>42221</v>
      </c>
      <c r="AC1" s="363"/>
      <c r="AD1" s="363"/>
      <c r="AE1" s="363"/>
      <c r="AF1" s="363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42221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859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7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5">
        <f>ber_Opm!C11</f>
        <v>0</v>
      </c>
      <c r="C25" s="360"/>
      <c r="D25" s="360"/>
      <c r="E25" s="360"/>
      <c r="F25" s="360"/>
      <c r="G25" s="241"/>
      <c r="H25" s="26"/>
    </row>
    <row r="26" spans="1:10" ht="17.25" customHeight="1" x14ac:dyDescent="0.35">
      <c r="B26" s="360"/>
      <c r="C26" s="360"/>
      <c r="D26" s="360"/>
      <c r="E26" s="360"/>
      <c r="F26" s="360"/>
      <c r="G26" s="241"/>
      <c r="H26" s="241"/>
      <c r="I26" s="241"/>
      <c r="J26" s="245"/>
    </row>
    <row r="27" spans="1:10" ht="17.25" customHeight="1" x14ac:dyDescent="0.35">
      <c r="B27" s="360"/>
      <c r="C27" s="360"/>
      <c r="D27" s="360"/>
      <c r="E27" s="360"/>
      <c r="F27" s="360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1313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42221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859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7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6" t="str">
        <f>IF(AND(Gewicht/10&gt;50,TPN=2),"in 100 ml glucose 10%, "&amp;ROUND((ber_TPN!F5+ber_TPN!F16)/24,1)&amp;" ml/uur","")</f>
        <v/>
      </c>
      <c r="G17" s="366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o/sxlM6Hjpkecpmk7Y6rarwEv5OEFc31ozTH44/pXzd7Pli9Lln0K0UvvSlRD75gGn/48O7kDp8jUmSyenO5DA==" saltValue="6Kf1yDx7Y2ZEuzPQOyYoK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>SUM(C2:G2)</f>
        <v>0</v>
      </c>
      <c r="J2" s="404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>SUM(C3:G3)</f>
        <v>0</v>
      </c>
      <c r="J3" s="404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>SUM(C4:G4)</f>
        <v>0</v>
      </c>
      <c r="J4" s="404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>SUM(C5:G5)</f>
        <v>0</v>
      </c>
      <c r="J5" s="404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>SUM(C6:G6)</f>
        <v>0</v>
      </c>
      <c r="J6" s="404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>SUM(C7:G7)</f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>SUM(C8:G8)</f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>SUM(C9:G9)</f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>SUM(C10:G10)</f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822</v>
      </c>
      <c r="B12" s="386" t="s">
        <v>484</v>
      </c>
      <c r="C12" s="388"/>
      <c r="D12" s="390" t="s">
        <v>485</v>
      </c>
      <c r="E12" s="390" t="s">
        <v>486</v>
      </c>
      <c r="F12" s="390" t="s">
        <v>487</v>
      </c>
      <c r="G12" s="35"/>
      <c r="H12" s="35" t="s">
        <v>488</v>
      </c>
    </row>
    <row r="13" spans="1:8" x14ac:dyDescent="0.35">
      <c r="A13" s="36" t="s">
        <v>489</v>
      </c>
      <c r="B13" s="387"/>
      <c r="C13" s="389"/>
      <c r="D13" s="391"/>
      <c r="E13" s="391"/>
      <c r="F13" s="391"/>
      <c r="G13" s="35" t="s">
        <v>490</v>
      </c>
      <c r="H13" s="37" t="s">
        <v>491</v>
      </c>
    </row>
    <row r="14" spans="1:8" ht="20.100000000000001" customHeight="1" x14ac:dyDescent="0.35">
      <c r="A14" s="37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6" t="s">
        <v>568</v>
      </c>
      <c r="F21" s="37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71"/>
      <c r="B24" s="112" t="s">
        <v>538</v>
      </c>
      <c r="C24" s="113"/>
      <c r="D24" s="113"/>
      <c r="E24" s="377" t="s">
        <v>790</v>
      </c>
      <c r="F24" s="37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7"/>
      <c r="F25" s="378"/>
      <c r="G25" s="115"/>
      <c r="H25" s="35"/>
    </row>
    <row r="26" spans="1:8" ht="15.95" customHeight="1" x14ac:dyDescent="0.35">
      <c r="A26" s="34"/>
      <c r="B26" s="92"/>
      <c r="C26" s="92"/>
      <c r="D26" s="92"/>
      <c r="E26" s="379" t="s">
        <v>568</v>
      </c>
      <c r="F26" s="37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4" t="s">
        <v>326</v>
      </c>
      <c r="C28" s="375"/>
      <c r="D28" s="375"/>
      <c r="E28" s="375"/>
      <c r="F28" s="375"/>
      <c r="G28" s="86"/>
      <c r="H28" s="42"/>
    </row>
    <row r="29" spans="1:8" ht="20.100000000000001" customHeight="1" x14ac:dyDescent="0.35">
      <c r="A29" s="37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79" t="s">
        <v>570</v>
      </c>
      <c r="F36" s="37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0" t="s">
        <v>633</v>
      </c>
      <c r="C38" s="381"/>
      <c r="D38" s="381"/>
      <c r="E38" s="381"/>
      <c r="F38" s="382"/>
      <c r="G38" s="42" t="s">
        <v>634</v>
      </c>
      <c r="H38" s="42"/>
    </row>
    <row r="39" spans="1:8" ht="15.95" customHeight="1" x14ac:dyDescent="0.35">
      <c r="A39" s="43"/>
      <c r="B39" s="367" t="s">
        <v>635</v>
      </c>
      <c r="C39" s="368"/>
      <c r="D39" s="368"/>
      <c r="E39" s="368"/>
      <c r="F39" s="369"/>
      <c r="G39" s="37" t="s">
        <v>636</v>
      </c>
      <c r="H39" s="35"/>
    </row>
    <row r="40" spans="1:8" ht="15.95" customHeight="1" x14ac:dyDescent="0.35">
      <c r="A40" s="43"/>
      <c r="B40" s="367" t="s">
        <v>637</v>
      </c>
      <c r="C40" s="368"/>
      <c r="D40" s="368"/>
      <c r="E40" s="368"/>
      <c r="F40" s="36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822</v>
      </c>
      <c r="B12" s="386" t="s">
        <v>484</v>
      </c>
      <c r="C12" s="388"/>
      <c r="D12" s="390" t="s">
        <v>485</v>
      </c>
      <c r="E12" s="390" t="s">
        <v>486</v>
      </c>
      <c r="F12" s="390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87"/>
      <c r="C13" s="389"/>
      <c r="D13" s="391"/>
      <c r="E13" s="391"/>
      <c r="F13" s="391"/>
      <c r="G13" s="35" t="s">
        <v>490</v>
      </c>
      <c r="H13" s="37" t="s">
        <v>491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6" t="s">
        <v>568</v>
      </c>
      <c r="F22" s="37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1"/>
      <c r="B25" s="112" t="s">
        <v>538</v>
      </c>
      <c r="C25" s="113"/>
      <c r="D25" s="113"/>
      <c r="E25" s="394" t="s">
        <v>985</v>
      </c>
      <c r="F25" s="395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4" t="s">
        <v>985</v>
      </c>
      <c r="F26" s="395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6" t="s">
        <v>568</v>
      </c>
      <c r="F27" s="37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2" t="s">
        <v>326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2" t="s">
        <v>1123</v>
      </c>
      <c r="C36" s="403"/>
      <c r="D36" s="403"/>
      <c r="E36" s="403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2" t="s">
        <v>90</v>
      </c>
      <c r="C37" s="403"/>
      <c r="D37" s="403"/>
      <c r="E37" s="403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2" t="s">
        <v>91</v>
      </c>
      <c r="C38" s="403"/>
      <c r="D38" s="403"/>
      <c r="E38" s="403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6" t="s">
        <v>570</v>
      </c>
      <c r="F39" s="37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6" t="s">
        <v>633</v>
      </c>
      <c r="C41" s="397"/>
      <c r="D41" s="397"/>
      <c r="E41" s="397"/>
      <c r="F41" s="398"/>
      <c r="G41" s="42" t="s">
        <v>634</v>
      </c>
      <c r="H41" s="42"/>
    </row>
    <row r="42" spans="1:8" ht="15.95" customHeight="1" x14ac:dyDescent="0.35">
      <c r="A42" s="43"/>
      <c r="B42" s="399" t="s">
        <v>635</v>
      </c>
      <c r="C42" s="400"/>
      <c r="D42" s="400"/>
      <c r="E42" s="400"/>
      <c r="F42" s="401"/>
      <c r="G42" s="37" t="s">
        <v>636</v>
      </c>
      <c r="H42" s="35"/>
    </row>
    <row r="43" spans="1:8" ht="15.95" customHeight="1" x14ac:dyDescent="0.35">
      <c r="A43" s="43"/>
      <c r="B43" s="399" t="s">
        <v>637</v>
      </c>
      <c r="C43" s="400"/>
      <c r="D43" s="400"/>
      <c r="E43" s="400"/>
      <c r="F43" s="401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822</v>
      </c>
      <c r="B12" s="386" t="s">
        <v>484</v>
      </c>
      <c r="C12" s="388"/>
      <c r="D12" s="390" t="s">
        <v>485</v>
      </c>
      <c r="E12" s="390" t="s">
        <v>486</v>
      </c>
      <c r="F12" s="390" t="s">
        <v>487</v>
      </c>
      <c r="G12" s="35"/>
      <c r="H12" s="35" t="s">
        <v>488</v>
      </c>
    </row>
    <row r="13" spans="1:8" x14ac:dyDescent="0.35">
      <c r="A13" s="36" t="s">
        <v>489</v>
      </c>
      <c r="B13" s="387"/>
      <c r="C13" s="389"/>
      <c r="D13" s="391"/>
      <c r="E13" s="391"/>
      <c r="F13" s="391"/>
      <c r="G13" s="35" t="s">
        <v>490</v>
      </c>
      <c r="H13" s="37" t="s">
        <v>491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394" t="s">
        <v>353</v>
      </c>
      <c r="F17" s="395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568</v>
      </c>
      <c r="F22" s="37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538</v>
      </c>
      <c r="C25" s="113"/>
      <c r="D25" s="113"/>
      <c r="E25" s="394" t="s">
        <v>985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4" t="s">
        <v>985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568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4" t="s">
        <v>326</v>
      </c>
      <c r="C29" s="375"/>
      <c r="D29" s="375"/>
      <c r="E29" s="375"/>
      <c r="F29" s="375"/>
      <c r="G29" s="86"/>
      <c r="H29" s="42"/>
    </row>
    <row r="30" spans="1:8" ht="20.100000000000001" customHeight="1" x14ac:dyDescent="0.35">
      <c r="A30" s="37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2" t="s">
        <v>90</v>
      </c>
      <c r="C36" s="403"/>
      <c r="D36" s="403"/>
      <c r="E36" s="403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91</v>
      </c>
      <c r="C37" s="403"/>
      <c r="D37" s="403"/>
      <c r="E37" s="403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79" t="s">
        <v>570</v>
      </c>
      <c r="F38" s="37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0" t="s">
        <v>633</v>
      </c>
      <c r="C40" s="381"/>
      <c r="D40" s="381"/>
      <c r="E40" s="381"/>
      <c r="F40" s="382"/>
      <c r="G40" s="42" t="s">
        <v>634</v>
      </c>
      <c r="H40" s="42"/>
    </row>
    <row r="41" spans="1:8" ht="15.95" customHeight="1" x14ac:dyDescent="0.35">
      <c r="A41" s="43"/>
      <c r="B41" s="367" t="s">
        <v>635</v>
      </c>
      <c r="C41" s="368"/>
      <c r="D41" s="368"/>
      <c r="E41" s="368"/>
      <c r="F41" s="369"/>
      <c r="G41" s="37" t="s">
        <v>636</v>
      </c>
      <c r="H41" s="35"/>
    </row>
    <row r="42" spans="1:8" ht="15.95" customHeight="1" x14ac:dyDescent="0.35">
      <c r="A42" s="43"/>
      <c r="B42" s="367" t="s">
        <v>637</v>
      </c>
      <c r="C42" s="368"/>
      <c r="D42" s="368"/>
      <c r="E42" s="368"/>
      <c r="F42" s="36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822</v>
      </c>
      <c r="B11" s="386" t="s">
        <v>484</v>
      </c>
      <c r="C11" s="388"/>
      <c r="D11" s="390" t="s">
        <v>485</v>
      </c>
      <c r="E11" s="390" t="s">
        <v>486</v>
      </c>
      <c r="F11" s="390" t="s">
        <v>487</v>
      </c>
      <c r="G11" s="35"/>
      <c r="H11" s="35" t="s">
        <v>488</v>
      </c>
    </row>
    <row r="12" spans="1:8" x14ac:dyDescent="0.35">
      <c r="A12" s="36" t="s">
        <v>489</v>
      </c>
      <c r="B12" s="387"/>
      <c r="C12" s="389"/>
      <c r="D12" s="391"/>
      <c r="E12" s="391"/>
      <c r="F12" s="391"/>
      <c r="G12" s="35" t="s">
        <v>490</v>
      </c>
      <c r="H12" s="37" t="s">
        <v>491</v>
      </c>
    </row>
    <row r="13" spans="1:8" ht="20.100000000000001" customHeight="1" x14ac:dyDescent="0.35">
      <c r="A13" s="37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394" t="s">
        <v>353</v>
      </c>
      <c r="F16" s="395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568</v>
      </c>
      <c r="F22" s="37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538</v>
      </c>
      <c r="C25" s="113"/>
      <c r="D25" s="113"/>
      <c r="E25" s="394" t="s">
        <v>985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4" t="s">
        <v>985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568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2" t="s">
        <v>326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2" t="s">
        <v>90</v>
      </c>
      <c r="C36" s="403"/>
      <c r="D36" s="403"/>
      <c r="E36" s="403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91</v>
      </c>
      <c r="C37" s="403"/>
      <c r="D37" s="403"/>
      <c r="E37" s="403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6" t="s">
        <v>570</v>
      </c>
      <c r="F38" s="37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0" t="s">
        <v>633</v>
      </c>
      <c r="C40" s="381"/>
      <c r="D40" s="381"/>
      <c r="E40" s="381"/>
      <c r="F40" s="382"/>
      <c r="G40" s="42" t="s">
        <v>634</v>
      </c>
      <c r="H40" s="42"/>
    </row>
    <row r="41" spans="1:8" ht="15.95" customHeight="1" x14ac:dyDescent="0.35">
      <c r="A41" s="43"/>
      <c r="B41" s="367" t="s">
        <v>635</v>
      </c>
      <c r="C41" s="368"/>
      <c r="D41" s="368"/>
      <c r="E41" s="368"/>
      <c r="F41" s="369"/>
      <c r="G41" s="37" t="s">
        <v>636</v>
      </c>
      <c r="H41" s="35"/>
    </row>
    <row r="42" spans="1:8" ht="15.95" customHeight="1" x14ac:dyDescent="0.35">
      <c r="A42" s="43"/>
      <c r="B42" s="367" t="s">
        <v>637</v>
      </c>
      <c r="C42" s="368"/>
      <c r="D42" s="368"/>
      <c r="E42" s="368"/>
      <c r="F42" s="36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822</v>
      </c>
      <c r="B11" s="386" t="s">
        <v>484</v>
      </c>
      <c r="C11" s="388"/>
      <c r="D11" s="390" t="s">
        <v>485</v>
      </c>
      <c r="E11" s="390" t="s">
        <v>486</v>
      </c>
      <c r="F11" s="390" t="s">
        <v>487</v>
      </c>
      <c r="G11" s="35"/>
      <c r="H11" s="35" t="s">
        <v>488</v>
      </c>
    </row>
    <row r="12" spans="1:8" x14ac:dyDescent="0.35">
      <c r="A12" s="36" t="s">
        <v>489</v>
      </c>
      <c r="B12" s="387"/>
      <c r="C12" s="389"/>
      <c r="D12" s="391"/>
      <c r="E12" s="391"/>
      <c r="F12" s="391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79" t="s">
        <v>568</v>
      </c>
      <c r="F19" s="37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79" t="s">
        <v>568</v>
      </c>
      <c r="F24" s="37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2" t="s">
        <v>326</v>
      </c>
      <c r="C26" s="393"/>
      <c r="D26" s="393"/>
      <c r="E26" s="393"/>
      <c r="F26" s="393"/>
      <c r="G26" s="86"/>
      <c r="H26" s="42"/>
    </row>
    <row r="27" spans="1:8" ht="20.100000000000001" customHeight="1" x14ac:dyDescent="0.35">
      <c r="A27" s="37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2" t="s">
        <v>90</v>
      </c>
      <c r="C33" s="403"/>
      <c r="D33" s="403"/>
      <c r="E33" s="403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2" t="s">
        <v>91</v>
      </c>
      <c r="C34" s="403"/>
      <c r="D34" s="403"/>
      <c r="E34" s="403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6" t="s">
        <v>570</v>
      </c>
      <c r="F35" s="37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0" t="s">
        <v>633</v>
      </c>
      <c r="C37" s="381"/>
      <c r="D37" s="381"/>
      <c r="E37" s="381"/>
      <c r="F37" s="382"/>
      <c r="G37" s="42" t="s">
        <v>634</v>
      </c>
      <c r="H37" s="42"/>
    </row>
    <row r="38" spans="1:8" ht="20.100000000000001" customHeight="1" x14ac:dyDescent="0.35">
      <c r="A38" s="43"/>
      <c r="B38" s="367" t="s">
        <v>635</v>
      </c>
      <c r="C38" s="368"/>
      <c r="D38" s="368"/>
      <c r="E38" s="368"/>
      <c r="F38" s="369"/>
      <c r="G38" s="37" t="s">
        <v>636</v>
      </c>
      <c r="H38" s="35"/>
    </row>
    <row r="39" spans="1:8" ht="20.100000000000001" customHeight="1" x14ac:dyDescent="0.35">
      <c r="A39" s="43"/>
      <c r="B39" s="367" t="s">
        <v>637</v>
      </c>
      <c r="C39" s="368"/>
      <c r="D39" s="368"/>
      <c r="E39" s="368"/>
      <c r="F39" s="36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2015-08-05T08:21:37Z</dcterms:modified>
</cp:coreProperties>
</file>